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r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cheme val="minor"/>
    </font>
    <font/>
    <font>
      <name val="Calibri"/>
      <b val="1"/>
      <color rgb="FFFFFFFF"/>
      <scheme val="minor"/>
    </font>
    <font>
      <name val="Calibri"/>
      <color theme="1"/>
      <scheme val="minor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0" min="1" max="1"/>
    <col width="18" customWidth="1" style="10" min="2" max="3"/>
    <col width="14" customWidth="1" style="10" min="4" max="4"/>
    <col width="28" customWidth="1" style="10" min="5" max="6"/>
    <col width="18" customWidth="1" style="10" min="7" max="7"/>
    <col width="14" customWidth="1" style="10" min="8" max="9"/>
    <col width="24" customWidth="1" style="10" min="10" max="10"/>
    <col width="18" customWidth="1" style="10" min="11" max="12"/>
    <col width="12" customWidth="1" style="10" min="13" max="13"/>
    <col width="14" customWidth="1" style="10" min="14" max="16"/>
  </cols>
  <sheetData>
    <row r="1">
      <c r="A1" s="11" t="inlineStr">
        <is>
          <t>ARCHIVO MAESTRO AD507 | CONFIGURADO SOLO PARA PANAMÁ 🇵🇦 | NO CAMBIAR CONFIGURACIÓN REGIONAL</t>
        </is>
      </c>
      <c r="O1" s="4" t="n"/>
      <c r="P1" s="4" t="n"/>
    </row>
    <row r="2">
      <c r="A2" s="5" t="inlineStr">
        <is>
          <t>Código</t>
        </is>
      </c>
      <c r="B2" s="5" t="inlineStr">
        <is>
          <t>Nombre</t>
        </is>
      </c>
      <c r="C2" s="5" t="inlineStr">
        <is>
          <t>Teléfono (cliente)</t>
        </is>
      </c>
      <c r="D2" s="5" t="inlineStr">
        <is>
          <t>Provincia</t>
        </is>
      </c>
      <c r="E2" s="5" t="inlineStr">
        <is>
          <t>Referencia</t>
        </is>
      </c>
      <c r="F2" s="5" t="inlineStr">
        <is>
          <t>Coordenada (LAT,LNG)</t>
        </is>
      </c>
      <c r="G2" s="5" t="inlineStr">
        <is>
          <t>Google Maps</t>
        </is>
      </c>
      <c r="H2" s="5" t="inlineStr">
        <is>
          <t>Waze</t>
        </is>
      </c>
      <c r="I2" s="5" t="inlineStr">
        <is>
          <t>Uber</t>
        </is>
      </c>
      <c r="J2" s="5" t="inlineStr">
        <is>
          <t>QR Verificación (Maps)</t>
        </is>
      </c>
      <c r="K2" s="5" t="inlineStr">
        <is>
          <t>Link Avisar WhatsApp</t>
        </is>
      </c>
      <c r="L2" s="5" t="inlineStr">
        <is>
          <t>QR Avisar WhatsApp</t>
        </is>
      </c>
      <c r="M2" s="5" t="inlineStr">
        <is>
          <t>Fecha</t>
        </is>
      </c>
      <c r="N2" s="5" t="inlineStr">
        <is>
          <t>Validación</t>
        </is>
      </c>
      <c r="O2" s="6" t="n"/>
      <c r="P2" s="6" t="n"/>
    </row>
    <row r="3">
      <c r="A3" s="8">
        <f>CONCAT("AD507-",TEXT(ROW()-2,"0000"))</f>
        <v/>
      </c>
      <c r="C3" s="8" t="inlineStr">
        <is>
          <t>6356-4932</t>
        </is>
      </c>
      <c r="F3" s="8" t="inlineStr">
        <is>
          <t>9.006347151909075, -79.50405578653195</t>
        </is>
      </c>
      <c r="G3" s="9">
        <f>IF(F3&lt;&gt;"",HYPERLINK("https://www.google.com/maps/search/?api=1&amp;query="&amp;SUBSTITUTE(F3," ",""),"🗺 Google Maps"),"")</f>
        <v/>
      </c>
      <c r="H3" s="9">
        <f>IF(F3&lt;&gt;"",HYPERLINK("https://waze.com/ul?ll="&amp;SUBSTITUTE(F3," ","")&amp;"&amp;navigate=yes","🚗 Waze"),"")</f>
        <v/>
      </c>
      <c r="I3" s="9">
        <f>IF(F3&lt;&gt;"",HYPERLINK("https://m.uber.com/ul/?action=setPickup&amp;pickup=my_location&amp;dropoff[latitude]="&amp;LEFT(SUBSTITUTE(F3," ",""),FIND(",",SUBSTITUTE(F3," ",""))-1)&amp;"&amp;dropoff[longitude]="&amp;MID(SUBSTITUTE(F3," ",""),FIND(",",SUBSTITUTE(F3," ",""))+1,99),"🚕 Uber"),"")</f>
        <v/>
      </c>
      <c r="J3" s="9">
        <f>IF(F3&lt;&gt;"","https://api.qrserver.com/v1/create-qr-code/?size=200x200&amp;data="&amp;ENCODEURL("https://www.google.com/maps/search/?api=1&amp;query="&amp;SUBSTITUTE(F3," ","")),"")</f>
        <v/>
      </c>
      <c r="K3" s="9">
        <f>IF(C3&lt;&gt;"",HYPERLINK("https://wa.me/507"&amp;REGEXREPLACE(C3,"[^0-9]","")&amp;"?text="&amp;ENCODEURL("Ya llegue. Codigo: "&amp;A3&amp;". Ubicacion: "&amp;"https://www.google.com/maps/search/?api=1&amp;query="&amp;SUBSTITUTE(F3," ","")),"📲 Avisar al cliente"),"")</f>
        <v/>
      </c>
      <c r="L3" s="9">
        <f>IF(C3&lt;&gt;"","https://api.qrserver.com/v1/create-qr-code/?size=200x200&amp;data="&amp;ENCODEURL("https://wa.me/507"&amp;REGEXREPLACE(C3,"[^0-9]","")&amp;"?text="&amp;ENCODEURL("Ya llegue. Codigo: "&amp;A3&amp;". Ubicacion: "&amp;"https://www.google.com/maps/search/?api=1&amp;query="&amp;SUBSTITUTE(F3," ",""))),"")</f>
        <v/>
      </c>
      <c r="M3" s="8">
        <f>IF(B3&lt;&gt;"",TODAY(),"")</f>
        <v/>
      </c>
      <c r="N3" s="8">
        <f>IF(F3&lt;&gt;"",IFERROR(IF(AND(REGEXMATCH(SUBSTITUTE(TRIM(F3)," ",""),"^-?\d+(\.\d+)?,-?\d+(\.\d+)?$"),VALUE(REGEXEXTRACT(SUBSTITUTE(TRIM(F3)," ",""),"^-?\d+(\.\d+)?"))&gt;=-90,VALUE(REGEXEXTRACT(SUBSTITUTE(TRIM(F3)," ",""),"^-?\d+(\.\d+)?"))&lt;=90,VALUE(REGEXEXTRACT(SUBSTITUTE(TRIM(F3)," ",""),"-?\d+(\.\d+)?$"))&gt;=-180,VALUE(REGEXEXTRACT(SUBSTITUTE(TRIM(F3)," ",""),"-?\d+(\.\d+)?$"))&lt;=180),"OK","REVISAR"),"REVISAR"),"")</f>
        <v/>
      </c>
      <c r="O3" s="8">
        <f>IF(A3&lt;&gt;"","https://direcciones507.github.io/direcciones507/panel.html?codigo="&amp;A3&amp;"&amp;nombre="&amp;ENCODEURL(B3)&amp;"&amp;telefono="&amp;SUBSTITUTE(C3,"-","")&amp;"&amp;referencia="&amp;ENCODEURL(E3)&amp;"&amp;lat="&amp;IZQUIERDA(SUBSTITUTE(F3," ",""),ENCONTRAR(",",SUBSTITUTE(F3," ",""))-1)&amp;"&amp;lng="&amp;DERECHA(SUBSTITUTE(F3," ",""),LARGO(SUBSTITUTE(F3," ",""))-ENCONTRAR(",",SUBSTITUTE(F3," ",""))),"")</f>
        <v/>
      </c>
    </row>
    <row r="4">
      <c r="A4" s="8">
        <f>CONCAT("AD507-",TEXT(ROW()-2,"0000"))</f>
        <v/>
      </c>
      <c r="C4" s="8" t="n"/>
      <c r="F4" s="8" t="inlineStr">
        <is>
          <t>9.006590920799805, -79.50404507116416</t>
        </is>
      </c>
      <c r="G4" s="9">
        <f>IF(F4&lt;&gt;"",HYPERLINK("https://www.google.com/maps/search/?api=1&amp;query="&amp;SUBSTITUTE(F4," ",""),"🗺 Google Maps"),"")</f>
        <v/>
      </c>
      <c r="H4" s="9">
        <f>IF(F4&lt;&gt;"",HYPERLINK("https://waze.com/ul?ll="&amp;SUBSTITUTE(F4," ","")&amp;"&amp;navigate=yes","🚗 Waze"),"")</f>
        <v/>
      </c>
      <c r="I4" s="9">
        <f>IF(F4&lt;&gt;"",HYPERLINK("https://m.uber.com/ul/?action=setPickup&amp;pickup=my_location&amp;dropoff[latitude]="&amp;LEFT(SUBSTITUTE(F4," ",""),FIND(",",SUBSTITUTE(F4," ",""))-1)&amp;"&amp;dropoff[longitude]="&amp;MID(SUBSTITUTE(F4," ",""),FIND(",",SUBSTITUTE(F4," ",""))+1,99),"🚕 Uber"),"")</f>
        <v/>
      </c>
      <c r="J4" s="9">
        <f>IF(F4&lt;&gt;"","https://api.qrserver.com/v1/create-qr-code/?size=200x200&amp;data="&amp;ENCODEURL("https://www.google.com/maps/search/?api=1&amp;query="&amp;SUBSTITUTE(F4," ","")),"")</f>
        <v/>
      </c>
      <c r="K4" s="8">
        <f>IF(C4&lt;&gt;"",HYPERLINK("https://wa.me/507"&amp;REGEXREPLACE(C4,"[^0-9]","")&amp;"?text="&amp;ENCODEURL("Ya llegue. Codigo: "&amp;A4&amp;". Ubicacion: "&amp;"https://www.google.com/maps/search/?api=1&amp;query="&amp;SUBSTITUTE(F4," ","")),"📲 Avisar al cliente"),"")</f>
        <v/>
      </c>
      <c r="L4" s="8">
        <f>IF(C4&lt;&gt;"","https://api.qrserver.com/v1/create-qr-code/?size=200x200&amp;data="&amp;ENCODEURL("https://wa.me/507"&amp;REGEXREPLACE(C4,"[^0-9]","")&amp;"?text="&amp;ENCODEURL("Ya llegue. Codigo: "&amp;A4&amp;". Ubicacion: "&amp;"https://www.google.com/maps/search/?api=1&amp;query="&amp;SUBSTITUTE(F4," ",""))),"")</f>
        <v/>
      </c>
      <c r="M4" s="8">
        <f>IF(B4&lt;&gt;"",TODAY(),"")</f>
        <v/>
      </c>
      <c r="N4" s="8">
        <f>IF(F4&lt;&gt;"",IFERROR(IF(AND(REGEXMATCH(SUBSTITUTE(TRIM(F4)," ",""),"^-?\d+(\.\d+)?,-?\d+(\.\d+)?$"),VALUE(REGEXEXTRACT(SUBSTITUTE(TRIM(F4)," ",""),"^-?\d+(\.\d+)?"))&gt;=-90,VALUE(REGEXEXTRACT(SUBSTITUTE(TRIM(F4)," ",""),"^-?\d+(\.\d+)?"))&lt;=90,VALUE(REGEXEXTRACT(SUBSTITUTE(TRIM(F4)," ",""),"-?\d+(\.\d+)?$"))&gt;=-180,VALUE(REGEXEXTRACT(SUBSTITUTE(TRIM(F4)," ",""),"-?\d+(\.\d+)?$"))&lt;=180),"OK","REVISAR"),"REVISAR"),"")</f>
        <v/>
      </c>
      <c r="O4" s="8">
        <f>IF(A4&lt;&gt;"","https://direcciones507.github.io/direcciones507/panel.html?codigo="&amp;A4&amp;"&amp;nombre="&amp;ENCODEURL(B4)&amp;"&amp;telefono="&amp;SUBSTITUTE(C4,"-","")&amp;"&amp;referencia="&amp;ENCODEURL(E4)&amp;"&amp;lat="&amp;IZQUIERDA(SUBSTITUTE(F4," ",""),ENCONTRAR(",",SUBSTITUTE(F4," ",""))-1)&amp;"&amp;lng="&amp;DERECHA(SUBSTITUTE(F4," ",""),LARGO(SUBSTITUTE(F4," ",""))-ENCONTRAR(",",SUBSTITUTE(F4," ",""))),"")</f>
        <v/>
      </c>
    </row>
    <row r="5">
      <c r="A5" s="8">
        <f>CONCAT("AD507-",TEXT(ROW()-2,"0000"))</f>
        <v/>
      </c>
      <c r="C5" s="8" t="n"/>
      <c r="F5" s="8" t="inlineStr">
        <is>
          <t>9.00420326285912, -79.50704319902117</t>
        </is>
      </c>
      <c r="G5" s="9">
        <f>IF(F5&lt;&gt;"",HYPERLINK("https://www.google.com/maps/search/?api=1&amp;query="&amp;SUBSTITUTE(F5," ",""),"🗺 Google Maps"),"")</f>
        <v/>
      </c>
      <c r="H5" s="9">
        <f>IF(F5&lt;&gt;"",HYPERLINK("https://waze.com/ul?ll="&amp;SUBSTITUTE(F5," ","")&amp;"&amp;navigate=yes","🚗 Waze"),"")</f>
        <v/>
      </c>
      <c r="I5" s="9">
        <f>IF(F5&lt;&gt;"",HYPERLINK("https://m.uber.com/ul/?action=setPickup&amp;pickup=my_location&amp;dropoff[latitude]="&amp;LEFT(SUBSTITUTE(F5," ",""),FIND(",",SUBSTITUTE(F5," ",""))-1)&amp;"&amp;dropoff[longitude]="&amp;MID(SUBSTITUTE(F5," ",""),FIND(",",SUBSTITUTE(F5," ",""))+1,99),"🚕 Uber"),"")</f>
        <v/>
      </c>
      <c r="J5" s="9">
        <f>IF(F5&lt;&gt;"","https://api.qrserver.com/v1/create-qr-code/?size=200x200&amp;data="&amp;ENCODEURL("https://www.google.com/maps/search/?api=1&amp;query="&amp;SUBSTITUTE(F5," ","")),"")</f>
        <v/>
      </c>
      <c r="K5" s="8">
        <f>IF(C5&lt;&gt;"",HYPERLINK("https://wa.me/507"&amp;REGEXREPLACE(C5,"[^0-9]","")&amp;"?text="&amp;ENCODEURL("Ya llegue. Codigo: "&amp;A5&amp;". Ubicacion: "&amp;"https://www.google.com/maps/search/?api=1&amp;query="&amp;SUBSTITUTE(F5," ","")),"📲 Avisar al cliente"),"")</f>
        <v/>
      </c>
      <c r="L5" s="8">
        <f>IF(C5&lt;&gt;"","https://api.qrserver.com/v1/create-qr-code/?size=200x200&amp;data="&amp;ENCODEURL("https://wa.me/507"&amp;REGEXREPLACE(C5,"[^0-9]","")&amp;"?text="&amp;ENCODEURL("Ya llegue. Codigo: "&amp;A5&amp;". Ubicacion: "&amp;"https://www.google.com/maps/search/?api=1&amp;query="&amp;SUBSTITUTE(F5," ",""))),"")</f>
        <v/>
      </c>
      <c r="M5" s="8">
        <f>IF(B5&lt;&gt;"",TODAY(),"")</f>
        <v/>
      </c>
      <c r="N5" s="8">
        <f>IF(F5&lt;&gt;"",IFERROR(IF(AND(REGEXMATCH(SUBSTITUTE(TRIM(F5)," ",""),"^-?\d+(\.\d+)?,-?\d+(\.\d+)?$"),VALUE(REGEXEXTRACT(SUBSTITUTE(TRIM(F5)," ",""),"^-?\d+(\.\d+)?"))&gt;=-90,VALUE(REGEXEXTRACT(SUBSTITUTE(TRIM(F5)," ",""),"^-?\d+(\.\d+)?"))&lt;=90,VALUE(REGEXEXTRACT(SUBSTITUTE(TRIM(F5)," ",""),"-?\d+(\.\d+)?$"))&gt;=-180,VALUE(REGEXEXTRACT(SUBSTITUTE(TRIM(F5)," ",""),"-?\d+(\.\d+)?$"))&lt;=180),"OK","REVISAR"),"REVISAR"),"")</f>
        <v/>
      </c>
      <c r="O5" s="8">
        <f>IF(A5&lt;&gt;"","https://direcciones507.github.io/direcciones507/panel.html?codigo="&amp;A5&amp;"&amp;nombre="&amp;ENCODEURL(B5)&amp;"&amp;telefono="&amp;SUBSTITUTE(C5,"-","")&amp;"&amp;referencia="&amp;ENCODEURL(E5)&amp;"&amp;lat="&amp;IZQUIERDA(SUBSTITUTE(F5," ",""),ENCONTRAR(",",SUBSTITUTE(F5," ",""))-1)&amp;"&amp;lng="&amp;DERECHA(SUBSTITUTE(F5," ",""),LARGO(SUBSTITUTE(F5," ",""))-ENCONTRAR(",",SUBSTITUTE(F5," ",""))),"")</f>
        <v/>
      </c>
    </row>
    <row r="6">
      <c r="A6" s="8">
        <f>CONCAT("AD507-",TEXT(ROW()-2,"0000"))</f>
        <v/>
      </c>
      <c r="C6" s="8" t="n"/>
      <c r="F6" s="8" t="inlineStr">
        <is>
          <t>9.062448198624551, -79.4026838109867</t>
        </is>
      </c>
      <c r="G6" s="9">
        <f>IF(F6&lt;&gt;"",HYPERLINK("https://www.google.com/maps/search/?api=1&amp;query="&amp;SUBSTITUTE(F6," ",""),"🗺 Google Maps"),"")</f>
        <v/>
      </c>
      <c r="H6" s="9">
        <f>IF(F6&lt;&gt;"",HYPERLINK("https://waze.com/ul?ll="&amp;SUBSTITUTE(F6," ","")&amp;"&amp;navigate=yes","🚗 Waze"),"")</f>
        <v/>
      </c>
      <c r="I6" s="9">
        <f>IF(F6&lt;&gt;"",HYPERLINK("https://m.uber.com/ul/?action=setPickup&amp;pickup=my_location&amp;dropoff[latitude]="&amp;LEFT(SUBSTITUTE(F6," ",""),FIND(",",SUBSTITUTE(F6," ",""))-1)&amp;"&amp;dropoff[longitude]="&amp;MID(SUBSTITUTE(F6," ",""),FIND(",",SUBSTITUTE(F6," ",""))+1,99),"🚕 Uber"),"")</f>
        <v/>
      </c>
      <c r="J6" s="9">
        <f>IF(F6&lt;&gt;"","https://api.qrserver.com/v1/create-qr-code/?size=200x200&amp;data="&amp;ENCODEURL("https://www.google.com/maps/search/?api=1&amp;query="&amp;SUBSTITUTE(F6," ","")),"")</f>
        <v/>
      </c>
      <c r="K6" s="8">
        <f>IF(C6&lt;&gt;"",HYPERLINK("https://wa.me/507"&amp;REGEXREPLACE(C6,"[^0-9]","")&amp;"?text="&amp;ENCODEURL("Ya llegue. Codigo: "&amp;A6&amp;". Ubicacion: "&amp;"https://www.google.com/maps/search/?api=1&amp;query="&amp;SUBSTITUTE(F6," ","")),"📲 Avisar al cliente"),"")</f>
        <v/>
      </c>
      <c r="L6" s="8">
        <f>IF(C6&lt;&gt;"","https://api.qrserver.com/v1/create-qr-code/?size=200x200&amp;data="&amp;ENCODEURL("https://wa.me/507"&amp;REGEXREPLACE(C6,"[^0-9]","")&amp;"?text="&amp;ENCODEURL("Ya llegue. Codigo: "&amp;A6&amp;". Ubicacion: "&amp;"https://www.google.com/maps/search/?api=1&amp;query="&amp;SUBSTITUTE(F6," ",""))),"")</f>
        <v/>
      </c>
      <c r="M6" s="8">
        <f>IF(B6&lt;&gt;"",TODAY(),"")</f>
        <v/>
      </c>
      <c r="N6" s="8">
        <f>IF(F6&lt;&gt;"",IFERROR(IF(AND(REGEXMATCH(SUBSTITUTE(TRIM(F6)," ",""),"^-?\d+(\.\d+)?,-?\d+(\.\d+)?$"),VALUE(REGEXEXTRACT(SUBSTITUTE(TRIM(F6)," ",""),"^-?\d+(\.\d+)?"))&gt;=-90,VALUE(REGEXEXTRACT(SUBSTITUTE(TRIM(F6)," ",""),"^-?\d+(\.\d+)?"))&lt;=90,VALUE(REGEXEXTRACT(SUBSTITUTE(TRIM(F6)," ",""),"-?\d+(\.\d+)?$"))&gt;=-180,VALUE(REGEXEXTRACT(SUBSTITUTE(TRIM(F6)," ",""),"-?\d+(\.\d+)?$"))&lt;=180),"OK","REVISAR"),"REVISAR"),"")</f>
        <v/>
      </c>
      <c r="O6" s="8">
        <f>IF(A6&lt;&gt;"","https://direcciones507.github.io/direcciones507/panel.html?codigo="&amp;A6&amp;"&amp;nombre="&amp;ENCODEURL(B6)&amp;"&amp;telefono="&amp;SUBSTITUTE(C6,"-","")&amp;"&amp;referencia="&amp;ENCODEURL(E6)&amp;"&amp;lat="&amp;IZQUIERDA(SUBSTITUTE(F6," ",""),ENCONTRAR(",",SUBSTITUTE(F6," ",""))-1)&amp;"&amp;lng="&amp;DERECHA(SUBSTITUTE(F6," ",""),LARGO(SUBSTITUTE(F6," ",""))-ENCONTRAR(",",SUBSTITUTE(F6," ",""))),"")</f>
        <v/>
      </c>
    </row>
    <row r="7">
      <c r="A7" s="8">
        <f>CONCAT("AD507-",TEXT(ROW()-2,"0000"))</f>
        <v/>
      </c>
      <c r="C7" s="8" t="inlineStr">
        <is>
          <t>6599-6532</t>
        </is>
      </c>
      <c r="F7" s="8" t="inlineStr">
        <is>
          <t>9.062448198624551, -79.4026838109867</t>
        </is>
      </c>
      <c r="G7" s="9">
        <f>IF(F7&lt;&gt;"",HYPERLINK("https://www.google.com/maps/search/?api=1&amp;query="&amp;SUBSTITUTE(F7," ",""),"🗺 Google Maps"),"")</f>
        <v/>
      </c>
      <c r="H7" s="9">
        <f>IF(F7&lt;&gt;"",HYPERLINK("https://waze.com/ul?ll="&amp;SUBSTITUTE(F7," ","")&amp;"&amp;navigate=yes","🚗 Waze"),"")</f>
        <v/>
      </c>
      <c r="I7" s="9">
        <f>IF(F7&lt;&gt;"",HYPERLINK("https://m.uber.com/ul/?action=setPickup&amp;pickup=my_location&amp;dropoff[latitude]="&amp;LEFT(SUBSTITUTE(F7," ",""),FIND(",",SUBSTITUTE(F7," ",""))-1)&amp;"&amp;dropoff[longitude]="&amp;MID(SUBSTITUTE(F7," ",""),FIND(",",SUBSTITUTE(F7," ",""))+1,99),"🚕 Uber"),"")</f>
        <v/>
      </c>
      <c r="J7" s="9">
        <f>IF(F7&lt;&gt;"","https://api.qrserver.com/v1/create-qr-code/?size=200x200&amp;data="&amp;ENCODEURL("https://www.google.com/maps/search/?api=1&amp;query="&amp;SUBSTITUTE(F7," ","")),"")</f>
        <v/>
      </c>
      <c r="K7" s="9">
        <f>IF(C7&lt;&gt;"",HYPERLINK("https://wa.me/507"&amp;REGEXREPLACE(C7,"[^0-9]","")&amp;"?text="&amp;ENCODEURL("Ya llegue. Codigo: "&amp;A7&amp;". Ubicacion: "&amp;"https://www.google.com/maps/search/?api=1&amp;query="&amp;SUBSTITUTE(F7," ","")),"📲 Avisar al cliente"),"")</f>
        <v/>
      </c>
      <c r="L7" s="9">
        <f>IF(C7&lt;&gt;"","https://api.qrserver.com/v1/create-qr-code/?size=200x200&amp;data="&amp;ENCODEURL("https://wa.me/507"&amp;REGEXREPLACE(C7,"[^0-9]","")&amp;"?text="&amp;ENCODEURL("Ya llegue. Codigo: "&amp;A7&amp;". Ubicacion: "&amp;"https://www.google.com/maps/search/?api=1&amp;query="&amp;SUBSTITUTE(F7," ",""))),"")</f>
        <v/>
      </c>
      <c r="M7" s="8">
        <f>IF(B7&lt;&gt;"",TODAY(),"")</f>
        <v/>
      </c>
      <c r="N7" s="8">
        <f>IF(F7&lt;&gt;"",IFERROR(IF(AND(REGEXMATCH(SUBSTITUTE(TRIM(F7)," ",""),"^-?\d+(\.\d+)?,-?\d+(\.\d+)?$"),VALUE(REGEXEXTRACT(SUBSTITUTE(TRIM(F7)," ",""),"^-?\d+(\.\d+)?"))&gt;=-90,VALUE(REGEXEXTRACT(SUBSTITUTE(TRIM(F7)," ",""),"^-?\d+(\.\d+)?"))&lt;=90,VALUE(REGEXEXTRACT(SUBSTITUTE(TRIM(F7)," ",""),"-?\d+(\.\d+)?$"))&gt;=-180,VALUE(REGEXEXTRACT(SUBSTITUTE(TRIM(F7)," ",""),"-?\d+(\.\d+)?$"))&lt;=180),"OK","REVISAR"),"REVISAR"),"")</f>
        <v/>
      </c>
      <c r="O7" s="8">
        <f>IF(A7&lt;&gt;"","https://direcciones507.github.io/direcciones507/panel.html?codigo="&amp;A7&amp;"&amp;nombre="&amp;ENCODEURL(B7)&amp;"&amp;telefono="&amp;SUBSTITUTE(C7,"-","")&amp;"&amp;referencia="&amp;ENCODEURL(E7)&amp;"&amp;lat="&amp;IZQUIERDA(SUBSTITUTE(F7," ",""),ENCONTRAR(",",SUBSTITUTE(F7," ",""))-1)&amp;"&amp;lng="&amp;DERECHA(SUBSTITUTE(F7," ",""),LARGO(SUBSTITUTE(F7," ",""))-ENCONTRAR(",",SUBSTITUTE(F7," ",""))),"")</f>
        <v/>
      </c>
    </row>
    <row r="8">
      <c r="A8" s="8">
        <f>CONCAT("AD507-",TEXT(ROW()-2,"0000"))</f>
        <v/>
      </c>
      <c r="C8" s="8" t="n"/>
      <c r="F8" s="8" t="n"/>
      <c r="G8" s="8">
        <f>IF(F8&lt;&gt;"",HYPERLINK("https://www.google.com/maps/search/?api=1&amp;query="&amp;SUBSTITUTE(F8," ",""),"🗺 Google Maps"),"")</f>
        <v/>
      </c>
      <c r="H8" s="8">
        <f>IF(F8&lt;&gt;"",HYPERLINK("https://waze.com/ul?ll="&amp;SUBSTITUTE(F8," ","")&amp;"&amp;navigate=yes","🚗 Waze"),"")</f>
        <v/>
      </c>
      <c r="I8" s="8">
        <f>IF(F8&lt;&gt;"",HYPERLINK("https://m.uber.com/ul/?action=setPickup&amp;pickup=my_location&amp;dropoff[latitude]="&amp;LEFT(SUBSTITUTE(F8," ",""),FIND(",",SUBSTITUTE(F8," ",""))-1)&amp;"&amp;dropoff[longitude]="&amp;MID(SUBSTITUTE(F8," ",""),FIND(",",SUBSTITUTE(F8," ",""))+1,99),"🚕 Uber"),"")</f>
        <v/>
      </c>
      <c r="J8" s="8">
        <f>IF(F8&lt;&gt;"","https://api.qrserver.com/v1/create-qr-code/?size=200x200&amp;data="&amp;ENCODEURL("https://www.google.com/maps/search/?api=1&amp;query="&amp;SUBSTITUTE(F8," ","")),"")</f>
        <v/>
      </c>
      <c r="K8" s="8">
        <f>IF(C8&lt;&gt;"",HYPERLINK("https://wa.me/507"&amp;REGEXREPLACE(C8,"[^0-9]","")&amp;"?text="&amp;ENCODEURL("Ya llegue. Codigo: "&amp;A8&amp;". Ubicacion: "&amp;"https://www.google.com/maps/search/?api=1&amp;query="&amp;SUBSTITUTE(F8," ","")),"📲 Avisar al cliente"),"")</f>
        <v/>
      </c>
      <c r="L8" s="8">
        <f>IF(C8&lt;&gt;"","https://api.qrserver.com/v1/create-qr-code/?size=200x200&amp;data="&amp;ENCODEURL("https://wa.me/507"&amp;REGEXREPLACE(C8,"[^0-9]","")&amp;"?text="&amp;ENCODEURL("Ya llegue. Codigo: "&amp;A8&amp;". Ubicacion: "&amp;"https://www.google.com/maps/search/?api=1&amp;query="&amp;SUBSTITUTE(F8," ",""))),"")</f>
        <v/>
      </c>
      <c r="M8" s="8">
        <f>IF(B8&lt;&gt;"",TODAY(),"")</f>
        <v/>
      </c>
      <c r="N8" s="8">
        <f>IF(F8&lt;&gt;"",IFERROR(IF(AND(REGEXMATCH(SUBSTITUTE(TRIM(F8)," ",""),"^-?\d+(\.\d+)?,-?\d+(\.\d+)?$"),VALUE(REGEXEXTRACT(SUBSTITUTE(TRIM(F8)," ",""),"^-?\d+(\.\d+)?"))&gt;=-90,VALUE(REGEXEXTRACT(SUBSTITUTE(TRIM(F8)," ",""),"^-?\d+(\.\d+)?"))&lt;=90,VALUE(REGEXEXTRACT(SUBSTITUTE(TRIM(F8)," ",""),"-?\d+(\.\d+)?$"))&gt;=-180,VALUE(REGEXEXTRACT(SUBSTITUTE(TRIM(F8)," ",""),"-?\d+(\.\d+)?$"))&lt;=180),"OK","REVISAR"),"REVISAR"),"")</f>
        <v/>
      </c>
      <c r="O8">
        <f>IF(A8&lt;&gt;"","https://direcciones507.github.io/direcciones507/panel.html?codigo="&amp;A8&amp;"&amp;nombre="&amp;ENCODEURL(B8)&amp;"&amp;telefono="&amp;SUBSTITUTE(C8,"-","")&amp;"&amp;referencia="&amp;ENCODEURL(E8)&amp;"&amp;lat="&amp;IZQUIERDA(SUBSTITUTE(F8," ",""),ENCONTRAR(",",SUBSTITUTE(F8," ",""))-1)&amp;"&amp;lng="&amp;DERECHA(SUBSTITUTE(F8," ",""),LARGO(SUBSTITUTE(F8," ",""))-ENCONTRAR(",",SUBSTITUTE(F8," ",""))),"")</f>
        <v/>
      </c>
    </row>
    <row r="9">
      <c r="A9" s="8">
        <f>CONCAT("AD507-",TEXT(ROW()-2,"0000"))</f>
        <v/>
      </c>
      <c r="C9" s="8" t="n"/>
      <c r="F9" s="8" t="n"/>
      <c r="G9" s="8">
        <f>IF(F9&lt;&gt;"",HYPERLINK("https://www.google.com/maps/search/?api=1&amp;query="&amp;SUBSTITUTE(F9," ",""),"🗺 Google Maps"),"")</f>
        <v/>
      </c>
      <c r="H9" s="8">
        <f>IF(F9&lt;&gt;"",HYPERLINK("https://waze.com/ul?ll="&amp;SUBSTITUTE(F9," ","")&amp;"&amp;navigate=yes","🚗 Waze"),"")</f>
        <v/>
      </c>
      <c r="I9" s="8">
        <f>IF(F9&lt;&gt;"",HYPERLINK("https://m.uber.com/ul/?action=setPickup&amp;pickup=my_location&amp;dropoff[latitude]="&amp;LEFT(SUBSTITUTE(F9," ",""),FIND(",",SUBSTITUTE(F9," ",""))-1)&amp;"&amp;dropoff[longitude]="&amp;MID(SUBSTITUTE(F9," ",""),FIND(",",SUBSTITUTE(F9," ",""))+1,99),"🚕 Uber"),"")</f>
        <v/>
      </c>
      <c r="J9" s="8">
        <f>IF(F9&lt;&gt;"","https://api.qrserver.com/v1/create-qr-code/?size=200x200&amp;data="&amp;ENCODEURL("https://www.google.com/maps/search/?api=1&amp;query="&amp;SUBSTITUTE(F9," ","")),"")</f>
        <v/>
      </c>
      <c r="K9" s="8">
        <f>IF(C9&lt;&gt;"",HYPERLINK("https://wa.me/507"&amp;REGEXREPLACE(C9,"[^0-9]","")&amp;"?text="&amp;ENCODEURL("Ya llegue. Codigo: "&amp;A9&amp;". Ubicacion: "&amp;"https://www.google.com/maps/search/?api=1&amp;query="&amp;SUBSTITUTE(F9," ","")),"📲 Avisar al cliente"),"")</f>
        <v/>
      </c>
      <c r="L9" s="8">
        <f>IF(C9&lt;&gt;"","https://api.qrserver.com/v1/create-qr-code/?size=200x200&amp;data="&amp;ENCODEURL("https://wa.me/507"&amp;REGEXREPLACE(C9,"[^0-9]","")&amp;"?text="&amp;ENCODEURL("Ya llegue. Codigo: "&amp;A9&amp;". Ubicacion: "&amp;"https://www.google.com/maps/search/?api=1&amp;query="&amp;SUBSTITUTE(F9," ",""))),"")</f>
        <v/>
      </c>
      <c r="M9" s="8">
        <f>IF(B9&lt;&gt;"",TODAY(),"")</f>
        <v/>
      </c>
      <c r="N9" s="8">
        <f>IF(F9&lt;&gt;"",IFERROR(IF(AND(REGEXMATCH(SUBSTITUTE(TRIM(F9)," ",""),"^-?\d+(\.\d+)?,-?\d+(\.\d+)?$"),VALUE(REGEXEXTRACT(SUBSTITUTE(TRIM(F9)," ",""),"^-?\d+(\.\d+)?"))&gt;=-90,VALUE(REGEXEXTRACT(SUBSTITUTE(TRIM(F9)," ",""),"^-?\d+(\.\d+)?"))&lt;=90,VALUE(REGEXEXTRACT(SUBSTITUTE(TRIM(F9)," ",""),"-?\d+(\.\d+)?$"))&gt;=-180,VALUE(REGEXEXTRACT(SUBSTITUTE(TRIM(F9)," ",""),"-?\d+(\.\d+)?$"))&lt;=180),"OK","REVISAR"),"REVISAR"),"")</f>
        <v/>
      </c>
      <c r="O9">
        <f>IF(A9&lt;&gt;"","https://direcciones507.github.io/direcciones507/panel.html?codigo="&amp;A9&amp;"&amp;nombre="&amp;ENCODEURL(B9)&amp;"&amp;telefono="&amp;SUBSTITUTE(C9,"-","")&amp;"&amp;referencia="&amp;ENCODEURL(E9)&amp;"&amp;lat="&amp;IZQUIERDA(SUBSTITUTE(F9," ",""),ENCONTRAR(",",SUBSTITUTE(F9," ",""))-1)&amp;"&amp;lng="&amp;DERECHA(SUBSTITUTE(F9," ",""),LARGO(SUBSTITUTE(F9," ",""))-ENCONTRAR(",",SUBSTITUTE(F9," ",""))),"")</f>
        <v/>
      </c>
    </row>
    <row r="10">
      <c r="A10" s="8">
        <f>CONCAT("AD507-",TEXT(ROW()-2,"0000"))</f>
        <v/>
      </c>
      <c r="C10" s="8" t="n"/>
      <c r="F10" s="8" t="n"/>
      <c r="G10" s="8">
        <f>IF(F10&lt;&gt;"",HYPERLINK("https://www.google.com/maps/search/?api=1&amp;query="&amp;SUBSTITUTE(F10," ",""),"🗺 Google Maps"),"")</f>
        <v/>
      </c>
      <c r="H10" s="8">
        <f>IF(F10&lt;&gt;"",HYPERLINK("https://waze.com/ul?ll="&amp;SUBSTITUTE(F10," ","")&amp;"&amp;navigate=yes","🚗 Waze"),"")</f>
        <v/>
      </c>
      <c r="I10" s="8">
        <f>IF(F10&lt;&gt;"",HYPERLINK("https://m.uber.com/ul/?action=setPickup&amp;pickup=my_location&amp;dropoff[latitude]="&amp;LEFT(SUBSTITUTE(F10," ",""),FIND(",",SUBSTITUTE(F10," ",""))-1)&amp;"&amp;dropoff[longitude]="&amp;MID(SUBSTITUTE(F10," ",""),FIND(",",SUBSTITUTE(F10," ",""))+1,99),"🚕 Uber"),"")</f>
        <v/>
      </c>
      <c r="J10" s="8">
        <f>IF(F10&lt;&gt;"","https://api.qrserver.com/v1/create-qr-code/?size=200x200&amp;data="&amp;ENCODEURL("https://www.google.com/maps/search/?api=1&amp;query="&amp;SUBSTITUTE(F10," ","")),"")</f>
        <v/>
      </c>
      <c r="K10" s="8">
        <f>IF(C10&lt;&gt;"",HYPERLINK("https://wa.me/507"&amp;REGEXREPLACE(C10,"[^0-9]","")&amp;"?text="&amp;ENCODEURL("Ya llegue. Codigo: "&amp;A10&amp;". Ubicacion: "&amp;"https://www.google.com/maps/search/?api=1&amp;query="&amp;SUBSTITUTE(F10," ","")),"📲 Avisar al cliente"),"")</f>
        <v/>
      </c>
      <c r="L10" s="8">
        <f>IF(C10&lt;&gt;"","https://api.qrserver.com/v1/create-qr-code/?size=200x200&amp;data="&amp;ENCODEURL("https://wa.me/507"&amp;REGEXREPLACE(C10,"[^0-9]","")&amp;"?text="&amp;ENCODEURL("Ya llegue. Codigo: "&amp;A10&amp;". Ubicacion: "&amp;"https://www.google.com/maps/search/?api=1&amp;query="&amp;SUBSTITUTE(F10," ",""))),"")</f>
        <v/>
      </c>
      <c r="M10" s="8">
        <f>IF(B10&lt;&gt;"",TODAY(),"")</f>
        <v/>
      </c>
      <c r="N10" s="8">
        <f>IF(F10&lt;&gt;"",IFERROR(IF(AND(REGEXMATCH(SUBSTITUTE(TRIM(F10)," ",""),"^-?\d+(\.\d+)?,-?\d+(\.\d+)?$"),VALUE(REGEXEXTRACT(SUBSTITUTE(TRIM(F10)," ",""),"^-?\d+(\.\d+)?"))&gt;=-90,VALUE(REGEXEXTRACT(SUBSTITUTE(TRIM(F10)," ",""),"^-?\d+(\.\d+)?"))&lt;=90,VALUE(REGEXEXTRACT(SUBSTITUTE(TRIM(F10)," ",""),"-?\d+(\.\d+)?$"))&gt;=-180,VALUE(REGEXEXTRACT(SUBSTITUTE(TRIM(F10)," ",""),"-?\d+(\.\d+)?$"))&lt;=180),"OK","REVISAR"),"REVISAR"),"")</f>
        <v/>
      </c>
      <c r="O10">
        <f>IF(A10&lt;&gt;"","https://direcciones507.github.io/direcciones507/panel.html?codigo="&amp;A10&amp;"&amp;nombre="&amp;ENCODEURL(B10)&amp;"&amp;telefono="&amp;SUBSTITUTE(C10,"-","")&amp;"&amp;referencia="&amp;ENCODEURL(E10)&amp;"&amp;lat="&amp;IZQUIERDA(SUBSTITUTE(F10," ",""),ENCONTRAR(",",SUBSTITUTE(F10," ",""))-1)&amp;"&amp;lng="&amp;DERECHA(SUBSTITUTE(F10," ",""),LARGO(SUBSTITUTE(F10," ",""))-ENCONTRAR(",",SUBSTITUTE(F10," ",""))),"")</f>
        <v/>
      </c>
    </row>
    <row r="11">
      <c r="A11" s="8">
        <f>CONCAT("AD507-",TEXT(ROW()-2,"0000"))</f>
        <v/>
      </c>
      <c r="C11" s="8" t="n"/>
      <c r="F11" s="8" t="n"/>
      <c r="G11" s="8">
        <f>IF(F11&lt;&gt;"",HYPERLINK("https://www.google.com/maps/search/?api=1&amp;query="&amp;SUBSTITUTE(F11," ",""),"🗺 Google Maps"),"")</f>
        <v/>
      </c>
      <c r="H11" s="8">
        <f>IF(F11&lt;&gt;"",HYPERLINK("https://waze.com/ul?ll="&amp;SUBSTITUTE(F11," ","")&amp;"&amp;navigate=yes","🚗 Waze"),"")</f>
        <v/>
      </c>
      <c r="I11" s="8">
        <f>IF(F11&lt;&gt;"",HYPERLINK("https://m.uber.com/ul/?action=setPickup&amp;pickup=my_location&amp;dropoff[latitude]="&amp;LEFT(SUBSTITUTE(F11," ",""),FIND(",",SUBSTITUTE(F11," ",""))-1)&amp;"&amp;dropoff[longitude]="&amp;MID(SUBSTITUTE(F11," ",""),FIND(",",SUBSTITUTE(F11," ",""))+1,99),"🚕 Uber"),"")</f>
        <v/>
      </c>
      <c r="J11" s="8">
        <f>IF(F11&lt;&gt;"","https://api.qrserver.com/v1/create-qr-code/?size=200x200&amp;data="&amp;ENCODEURL("https://www.google.com/maps/search/?api=1&amp;query="&amp;SUBSTITUTE(F11," ","")),"")</f>
        <v/>
      </c>
      <c r="K11" s="8">
        <f>IF(C11&lt;&gt;"",HYPERLINK("https://wa.me/507"&amp;REGEXREPLACE(C11,"[^0-9]","")&amp;"?text="&amp;ENCODEURL("Ya llegue. Codigo: "&amp;A11&amp;". Ubicacion: "&amp;"https://www.google.com/maps/search/?api=1&amp;query="&amp;SUBSTITUTE(F11," ","")),"📲 Avisar al cliente"),"")</f>
        <v/>
      </c>
      <c r="L11" s="8">
        <f>IF(C11&lt;&gt;"","https://api.qrserver.com/v1/create-qr-code/?size=200x200&amp;data="&amp;ENCODEURL("https://wa.me/507"&amp;REGEXREPLACE(C11,"[^0-9]","")&amp;"?text="&amp;ENCODEURL("Ya llegue. Codigo: "&amp;A11&amp;". Ubicacion: "&amp;"https://www.google.com/maps/search/?api=1&amp;query="&amp;SUBSTITUTE(F11," ",""))),"")</f>
        <v/>
      </c>
      <c r="M11" s="8">
        <f>IF(B11&lt;&gt;"",TODAY(),"")</f>
        <v/>
      </c>
      <c r="N11" s="8">
        <f>IF(F11&lt;&gt;"",IFERROR(IF(AND(REGEXMATCH(SUBSTITUTE(TRIM(F11)," ",""),"^-?\d+(\.\d+)?,-?\d+(\.\d+)?$"),VALUE(REGEXEXTRACT(SUBSTITUTE(TRIM(F11)," ",""),"^-?\d+(\.\d+)?"))&gt;=-90,VALUE(REGEXEXTRACT(SUBSTITUTE(TRIM(F11)," ",""),"^-?\d+(\.\d+)?"))&lt;=90,VALUE(REGEXEXTRACT(SUBSTITUTE(TRIM(F11)," ",""),"-?\d+(\.\d+)?$"))&gt;=-180,VALUE(REGEXEXTRACT(SUBSTITUTE(TRIM(F11)," ",""),"-?\d+(\.\d+)?$"))&lt;=180),"OK","REVISAR"),"REVISAR"),"")</f>
        <v/>
      </c>
      <c r="O11">
        <f>IF(A11&lt;&gt;"","https://direcciones507.github.io/direcciones507/panel.html?codigo="&amp;A11&amp;"&amp;nombre="&amp;ENCODEURL(B11)&amp;"&amp;telefono="&amp;SUBSTITUTE(C11,"-","")&amp;"&amp;referencia="&amp;ENCODEURL(E11)&amp;"&amp;lat="&amp;IZQUIERDA(SUBSTITUTE(F11," ",""),ENCONTRAR(",",SUBSTITUTE(F11," ",""))-1)&amp;"&amp;lng="&amp;DERECHA(SUBSTITUTE(F11," ",""),LARGO(SUBSTITUTE(F11," ",""))-ENCONTRAR(",",SUBSTITUTE(F11," ",""))),"")</f>
        <v/>
      </c>
    </row>
    <row r="12">
      <c r="A12" s="8">
        <f>CONCAT("AD507-",TEXT(ROW()-2,"0000"))</f>
        <v/>
      </c>
      <c r="C12" s="8" t="n"/>
      <c r="F12" s="8" t="n"/>
      <c r="G12" s="8">
        <f>IF(F12&lt;&gt;"",HYPERLINK("https://www.google.com/maps/search/?api=1&amp;query="&amp;SUBSTITUTE(F12," ",""),"🗺 Google Maps"),"")</f>
        <v/>
      </c>
      <c r="H12" s="8">
        <f>IF(F12&lt;&gt;"",HYPERLINK("https://waze.com/ul?ll="&amp;SUBSTITUTE(F12," ","")&amp;"&amp;navigate=yes","🚗 Waze"),"")</f>
        <v/>
      </c>
      <c r="I12" s="8">
        <f>IF(F12&lt;&gt;"",HYPERLINK("https://m.uber.com/ul/?action=setPickup&amp;pickup=my_location&amp;dropoff[latitude]="&amp;LEFT(SUBSTITUTE(F12," ",""),FIND(",",SUBSTITUTE(F12," ",""))-1)&amp;"&amp;dropoff[longitude]="&amp;MID(SUBSTITUTE(F12," ",""),FIND(",",SUBSTITUTE(F12," ",""))+1,99),"🚕 Uber"),"")</f>
        <v/>
      </c>
      <c r="J12" s="8">
        <f>IF(F12&lt;&gt;"","https://api.qrserver.com/v1/create-qr-code/?size=200x200&amp;data="&amp;ENCODEURL("https://www.google.com/maps/search/?api=1&amp;query="&amp;SUBSTITUTE(F12," ","")),"")</f>
        <v/>
      </c>
      <c r="K12" s="8">
        <f>IF(C12&lt;&gt;"",HYPERLINK("https://wa.me/507"&amp;REGEXREPLACE(C12,"[^0-9]","")&amp;"?text="&amp;ENCODEURL("Ya llegue. Codigo: "&amp;A12&amp;". Ubicacion: "&amp;"https://www.google.com/maps/search/?api=1&amp;query="&amp;SUBSTITUTE(F12," ","")),"📲 Avisar al cliente"),"")</f>
        <v/>
      </c>
      <c r="L12" s="8">
        <f>IF(C12&lt;&gt;"","https://api.qrserver.com/v1/create-qr-code/?size=200x200&amp;data="&amp;ENCODEURL("https://wa.me/507"&amp;REGEXREPLACE(C12,"[^0-9]","")&amp;"?text="&amp;ENCODEURL("Ya llegue. Codigo: "&amp;A12&amp;". Ubicacion: "&amp;"https://www.google.com/maps/search/?api=1&amp;query="&amp;SUBSTITUTE(F12," ",""))),"")</f>
        <v/>
      </c>
      <c r="M12" s="8">
        <f>IF(B12&lt;&gt;"",TODAY(),"")</f>
        <v/>
      </c>
      <c r="N12" s="8">
        <f>IF(F12&lt;&gt;"",IFERROR(IF(AND(REGEXMATCH(SUBSTITUTE(TRIM(F12)," ",""),"^-?\d+(\.\d+)?,-?\d+(\.\d+)?$"),VALUE(REGEXEXTRACT(SUBSTITUTE(TRIM(F12)," ",""),"^-?\d+(\.\d+)?"))&gt;=-90,VALUE(REGEXEXTRACT(SUBSTITUTE(TRIM(F12)," ",""),"^-?\d+(\.\d+)?"))&lt;=90,VALUE(REGEXEXTRACT(SUBSTITUTE(TRIM(F12)," ",""),"-?\d+(\.\d+)?$"))&gt;=-180,VALUE(REGEXEXTRACT(SUBSTITUTE(TRIM(F12)," ",""),"-?\d+(\.\d+)?$"))&lt;=180),"OK","REVISAR"),"REVISAR"),"")</f>
        <v/>
      </c>
      <c r="O12">
        <f>IF(A12&lt;&gt;"","https://direcciones507.github.io/direcciones507/panel.html?codigo="&amp;A12&amp;"&amp;nombre="&amp;ENCODEURL(B12)&amp;"&amp;telefono="&amp;SUBSTITUTE(C12,"-","")&amp;"&amp;referencia="&amp;ENCODEURL(E12)&amp;"&amp;lat="&amp;IZQUIERDA(SUBSTITUTE(F12," ",""),ENCONTRAR(",",SUBSTITUTE(F12," ",""))-1)&amp;"&amp;lng="&amp;DERECHA(SUBSTITUTE(F12," ",""),LARGO(SUBSTITUTE(F12," ",""))-ENCONTRAR(",",SUBSTITUTE(F12," ",""))),"")</f>
        <v/>
      </c>
    </row>
    <row r="13">
      <c r="A13" s="8">
        <f>CONCAT("AD507-",TEXT(ROW()-2,"0000"))</f>
        <v/>
      </c>
      <c r="C13" s="8" t="n"/>
      <c r="F13" s="8" t="n"/>
      <c r="G13" s="8">
        <f>IF(F13&lt;&gt;"",HYPERLINK("https://www.google.com/maps/search/?api=1&amp;query="&amp;SUBSTITUTE(F13," ",""),"🗺 Google Maps"),"")</f>
        <v/>
      </c>
      <c r="H13" s="8">
        <f>IF(F13&lt;&gt;"",HYPERLINK("https://waze.com/ul?ll="&amp;SUBSTITUTE(F13," ","")&amp;"&amp;navigate=yes","🚗 Waze"),"")</f>
        <v/>
      </c>
      <c r="I13" s="8">
        <f>IF(F13&lt;&gt;"",HYPERLINK("https://m.uber.com/ul/?action=setPickup&amp;pickup=my_location&amp;dropoff[latitude]="&amp;LEFT(SUBSTITUTE(F13," ",""),FIND(",",SUBSTITUTE(F13," ",""))-1)&amp;"&amp;dropoff[longitude]="&amp;MID(SUBSTITUTE(F13," ",""),FIND(",",SUBSTITUTE(F13," ",""))+1,99),"🚕 Uber"),"")</f>
        <v/>
      </c>
      <c r="J13" s="8">
        <f>IF(F13&lt;&gt;"","https://api.qrserver.com/v1/create-qr-code/?size=200x200&amp;data="&amp;ENCODEURL("https://www.google.com/maps/search/?api=1&amp;query="&amp;SUBSTITUTE(F13," ","")),"")</f>
        <v/>
      </c>
      <c r="K13" s="8">
        <f>IF(C13&lt;&gt;"",HYPERLINK("https://wa.me/507"&amp;REGEXREPLACE(C13,"[^0-9]","")&amp;"?text="&amp;ENCODEURL("Ya llegue. Codigo: "&amp;A13&amp;". Ubicacion: "&amp;"https://www.google.com/maps/search/?api=1&amp;query="&amp;SUBSTITUTE(F13," ","")),"📲 Avisar al cliente"),"")</f>
        <v/>
      </c>
      <c r="L13" s="8">
        <f>IF(C13&lt;&gt;"","https://api.qrserver.com/v1/create-qr-code/?size=200x200&amp;data="&amp;ENCODEURL("https://wa.me/507"&amp;REGEXREPLACE(C13,"[^0-9]","")&amp;"?text="&amp;ENCODEURL("Ya llegue. Codigo: "&amp;A13&amp;". Ubicacion: "&amp;"https://www.google.com/maps/search/?api=1&amp;query="&amp;SUBSTITUTE(F13," ",""))),"")</f>
        <v/>
      </c>
      <c r="M13" s="8">
        <f>IF(B13&lt;&gt;"",TODAY(),"")</f>
        <v/>
      </c>
      <c r="N13" s="8">
        <f>IF(F13&lt;&gt;"",IFERROR(IF(AND(REGEXMATCH(SUBSTITUTE(TRIM(F13)," ",""),"^-?\d+(\.\d+)?,-?\d+(\.\d+)?$"),VALUE(REGEXEXTRACT(SUBSTITUTE(TRIM(F13)," ",""),"^-?\d+(\.\d+)?"))&gt;=-90,VALUE(REGEXEXTRACT(SUBSTITUTE(TRIM(F13)," ",""),"^-?\d+(\.\d+)?"))&lt;=90,VALUE(REGEXEXTRACT(SUBSTITUTE(TRIM(F13)," ",""),"-?\d+(\.\d+)?$"))&gt;=-180,VALUE(REGEXEXTRACT(SUBSTITUTE(TRIM(F13)," ",""),"-?\d+(\.\d+)?$"))&lt;=180),"OK","REVISAR"),"REVISAR"),"")</f>
        <v/>
      </c>
      <c r="O13">
        <f>IF(A13&lt;&gt;"","https://direcciones507.github.io/direcciones507/panel.html?codigo="&amp;A13&amp;"&amp;nombre="&amp;ENCODEURL(B13)&amp;"&amp;telefono="&amp;SUBSTITUTE(C13,"-","")&amp;"&amp;referencia="&amp;ENCODEURL(E13)&amp;"&amp;lat="&amp;IZQUIERDA(SUBSTITUTE(F13," ",""),ENCONTRAR(",",SUBSTITUTE(F13," ",""))-1)&amp;"&amp;lng="&amp;DERECHA(SUBSTITUTE(F13," ",""),LARGO(SUBSTITUTE(F13," ",""))-ENCONTRAR(",",SUBSTITUTE(F13," ",""))),"")</f>
        <v/>
      </c>
    </row>
    <row r="14">
      <c r="A14" s="8">
        <f>CONCAT("AD507-",TEXT(ROW()-2,"0000"))</f>
        <v/>
      </c>
      <c r="C14" s="8" t="n"/>
      <c r="F14" s="8" t="n"/>
      <c r="G14" s="8">
        <f>IF(F14&lt;&gt;"",HYPERLINK("https://www.google.com/maps/search/?api=1&amp;query="&amp;SUBSTITUTE(F14," ",""),"🗺 Google Maps"),"")</f>
        <v/>
      </c>
      <c r="H14" s="8">
        <f>IF(F14&lt;&gt;"",HYPERLINK("https://waze.com/ul?ll="&amp;SUBSTITUTE(F14," ","")&amp;"&amp;navigate=yes","🚗 Waze"),"")</f>
        <v/>
      </c>
      <c r="I14" s="8">
        <f>IF(F14&lt;&gt;"",HYPERLINK("https://m.uber.com/ul/?action=setPickup&amp;pickup=my_location&amp;dropoff[latitude]="&amp;LEFT(SUBSTITUTE(F14," ",""),FIND(",",SUBSTITUTE(F14," ",""))-1)&amp;"&amp;dropoff[longitude]="&amp;MID(SUBSTITUTE(F14," ",""),FIND(",",SUBSTITUTE(F14," ",""))+1,99),"🚕 Uber"),"")</f>
        <v/>
      </c>
      <c r="J14" s="8">
        <f>IF(F14&lt;&gt;"","https://api.qrserver.com/v1/create-qr-code/?size=200x200&amp;data="&amp;ENCODEURL("https://www.google.com/maps/search/?api=1&amp;query="&amp;SUBSTITUTE(F14," ","")),"")</f>
        <v/>
      </c>
      <c r="K14" s="8">
        <f>IF(C14&lt;&gt;"",HYPERLINK("https://wa.me/507"&amp;REGEXREPLACE(C14,"[^0-9]","")&amp;"?text="&amp;ENCODEURL("Ya llegue. Codigo: "&amp;A14&amp;". Ubicacion: "&amp;"https://www.google.com/maps/search/?api=1&amp;query="&amp;SUBSTITUTE(F14," ","")),"📲 Avisar al cliente"),"")</f>
        <v/>
      </c>
      <c r="L14" s="8">
        <f>IF(C14&lt;&gt;"","https://api.qrserver.com/v1/create-qr-code/?size=200x200&amp;data="&amp;ENCODEURL("https://wa.me/507"&amp;REGEXREPLACE(C14,"[^0-9]","")&amp;"?text="&amp;ENCODEURL("Ya llegue. Codigo: "&amp;A14&amp;". Ubicacion: "&amp;"https://www.google.com/maps/search/?api=1&amp;query="&amp;SUBSTITUTE(F14," ",""))),"")</f>
        <v/>
      </c>
      <c r="M14" s="8">
        <f>IF(B14&lt;&gt;"",TODAY(),"")</f>
        <v/>
      </c>
      <c r="N14" s="8">
        <f>IF(F14&lt;&gt;"",IFERROR(IF(AND(REGEXMATCH(SUBSTITUTE(TRIM(F14)," ",""),"^-?\d+(\.\d+)?,-?\d+(\.\d+)?$"),VALUE(REGEXEXTRACT(SUBSTITUTE(TRIM(F14)," ",""),"^-?\d+(\.\d+)?"))&gt;=-90,VALUE(REGEXEXTRACT(SUBSTITUTE(TRIM(F14)," ",""),"^-?\d+(\.\d+)?"))&lt;=90,VALUE(REGEXEXTRACT(SUBSTITUTE(TRIM(F14)," ",""),"-?\d+(\.\d+)?$"))&gt;=-180,VALUE(REGEXEXTRACT(SUBSTITUTE(TRIM(F14)," ",""),"-?\d+(\.\d+)?$"))&lt;=180),"OK","REVISAR"),"REVISAR"),"")</f>
        <v/>
      </c>
      <c r="O14">
        <f>IF(A14&lt;&gt;"","https://direcciones507.github.io/direcciones507/panel.html?codigo="&amp;A14&amp;"&amp;nombre="&amp;ENCODEURL(B14)&amp;"&amp;telefono="&amp;SUBSTITUTE(C14,"-","")&amp;"&amp;referencia="&amp;ENCODEURL(E14)&amp;"&amp;lat="&amp;IZQUIERDA(SUBSTITUTE(F14," ",""),ENCONTRAR(",",SUBSTITUTE(F14," ",""))-1)&amp;"&amp;lng="&amp;DERECHA(SUBSTITUTE(F14," ",""),LARGO(SUBSTITUTE(F14," ",""))-ENCONTRAR(",",SUBSTITUTE(F14," ",""))),"")</f>
        <v/>
      </c>
    </row>
    <row r="15">
      <c r="A15" s="8">
        <f>CONCAT("AD507-",TEXT(ROW()-2,"0000"))</f>
        <v/>
      </c>
      <c r="C15" s="8" t="n"/>
      <c r="F15" s="8" t="n"/>
      <c r="G15" s="8">
        <f>IF(F15&lt;&gt;"",HYPERLINK("https://www.google.com/maps/search/?api=1&amp;query="&amp;SUBSTITUTE(F15," ",""),"🗺 Google Maps"),"")</f>
        <v/>
      </c>
      <c r="H15" s="8">
        <f>IF(F15&lt;&gt;"",HYPERLINK("https://waze.com/ul?ll="&amp;SUBSTITUTE(F15," ","")&amp;"&amp;navigate=yes","🚗 Waze"),"")</f>
        <v/>
      </c>
      <c r="I15" s="8">
        <f>IF(F15&lt;&gt;"",HYPERLINK("https://m.uber.com/ul/?action=setPickup&amp;pickup=my_location&amp;dropoff[latitude]="&amp;LEFT(SUBSTITUTE(F15," ",""),FIND(",",SUBSTITUTE(F15," ",""))-1)&amp;"&amp;dropoff[longitude]="&amp;MID(SUBSTITUTE(F15," ",""),FIND(",",SUBSTITUTE(F15," ",""))+1,99),"🚕 Uber"),"")</f>
        <v/>
      </c>
      <c r="J15" s="8">
        <f>IF(F15&lt;&gt;"","https://api.qrserver.com/v1/create-qr-code/?size=200x200&amp;data="&amp;ENCODEURL("https://www.google.com/maps/search/?api=1&amp;query="&amp;SUBSTITUTE(F15," ","")),"")</f>
        <v/>
      </c>
      <c r="K15" s="8">
        <f>IF(C15&lt;&gt;"",HYPERLINK("https://wa.me/507"&amp;REGEXREPLACE(C15,"[^0-9]","")&amp;"?text="&amp;ENCODEURL("Ya llegue. Codigo: "&amp;A15&amp;". Ubicacion: "&amp;"https://www.google.com/maps/search/?api=1&amp;query="&amp;SUBSTITUTE(F15," ","")),"📲 Avisar al cliente"),"")</f>
        <v/>
      </c>
      <c r="L15" s="8">
        <f>IF(C15&lt;&gt;"","https://api.qrserver.com/v1/create-qr-code/?size=200x200&amp;data="&amp;ENCODEURL("https://wa.me/507"&amp;REGEXREPLACE(C15,"[^0-9]","")&amp;"?text="&amp;ENCODEURL("Ya llegue. Codigo: "&amp;A15&amp;". Ubicacion: "&amp;"https://www.google.com/maps/search/?api=1&amp;query="&amp;SUBSTITUTE(F15," ",""))),"")</f>
        <v/>
      </c>
      <c r="M15" s="8">
        <f>IF(B15&lt;&gt;"",TODAY(),"")</f>
        <v/>
      </c>
      <c r="N15" s="8">
        <f>IF(F15&lt;&gt;"",IFERROR(IF(AND(REGEXMATCH(SUBSTITUTE(TRIM(F15)," ",""),"^-?\d+(\.\d+)?,-?\d+(\.\d+)?$"),VALUE(REGEXEXTRACT(SUBSTITUTE(TRIM(F15)," ",""),"^-?\d+(\.\d+)?"))&gt;=-90,VALUE(REGEXEXTRACT(SUBSTITUTE(TRIM(F15)," ",""),"^-?\d+(\.\d+)?"))&lt;=90,VALUE(REGEXEXTRACT(SUBSTITUTE(TRIM(F15)," ",""),"-?\d+(\.\d+)?$"))&gt;=-180,VALUE(REGEXEXTRACT(SUBSTITUTE(TRIM(F15)," ",""),"-?\d+(\.\d+)?$"))&lt;=180),"OK","REVISAR"),"REVISAR"),"")</f>
        <v/>
      </c>
      <c r="O15">
        <f>IF(A15&lt;&gt;"","https://direcciones507.github.io/direcciones507/panel.html?codigo="&amp;A15&amp;"&amp;nombre="&amp;ENCODEURL(B15)&amp;"&amp;telefono="&amp;SUBSTITUTE(C15,"-","")&amp;"&amp;referencia="&amp;ENCODEURL(E15)&amp;"&amp;lat="&amp;IZQUIERDA(SUBSTITUTE(F15," ",""),ENCONTRAR(",",SUBSTITUTE(F15," ",""))-1)&amp;"&amp;lng="&amp;DERECHA(SUBSTITUTE(F15," ",""),LARGO(SUBSTITUTE(F15," ",""))-ENCONTRAR(",",SUBSTITUTE(F15," ",""))),"")</f>
        <v/>
      </c>
    </row>
    <row r="16">
      <c r="A16" s="8">
        <f>CONCAT("AD507-",TEXT(ROW()-2,"0000"))</f>
        <v/>
      </c>
      <c r="C16" s="8" t="n"/>
      <c r="F16" s="8" t="n"/>
      <c r="G16" s="8">
        <f>IF(F16&lt;&gt;"",HYPERLINK("https://www.google.com/maps/search/?api=1&amp;query="&amp;SUBSTITUTE(F16," ",""),"🗺 Google Maps"),"")</f>
        <v/>
      </c>
      <c r="H16" s="8">
        <f>IF(F16&lt;&gt;"",HYPERLINK("https://waze.com/ul?ll="&amp;SUBSTITUTE(F16," ","")&amp;"&amp;navigate=yes","🚗 Waze"),"")</f>
        <v/>
      </c>
      <c r="I16" s="8">
        <f>IF(F16&lt;&gt;"",HYPERLINK("https://m.uber.com/ul/?action=setPickup&amp;pickup=my_location&amp;dropoff[latitude]="&amp;LEFT(SUBSTITUTE(F16," ",""),FIND(",",SUBSTITUTE(F16," ",""))-1)&amp;"&amp;dropoff[longitude]="&amp;MID(SUBSTITUTE(F16," ",""),FIND(",",SUBSTITUTE(F16," ",""))+1,99),"🚕 Uber"),"")</f>
        <v/>
      </c>
      <c r="J16" s="8">
        <f>IF(F16&lt;&gt;"","https://api.qrserver.com/v1/create-qr-code/?size=200x200&amp;data="&amp;ENCODEURL("https://www.google.com/maps/search/?api=1&amp;query="&amp;SUBSTITUTE(F16," ","")),"")</f>
        <v/>
      </c>
      <c r="K16" s="8">
        <f>IF(C16&lt;&gt;"",HYPERLINK("https://wa.me/507"&amp;REGEXREPLACE(C16,"[^0-9]","")&amp;"?text="&amp;ENCODEURL("Ya llegue. Codigo: "&amp;A16&amp;". Ubicacion: "&amp;"https://www.google.com/maps/search/?api=1&amp;query="&amp;SUBSTITUTE(F16," ","")),"📲 Avisar al cliente"),"")</f>
        <v/>
      </c>
      <c r="L16" s="8">
        <f>IF(C16&lt;&gt;"","https://api.qrserver.com/v1/create-qr-code/?size=200x200&amp;data="&amp;ENCODEURL("https://wa.me/507"&amp;REGEXREPLACE(C16,"[^0-9]","")&amp;"?text="&amp;ENCODEURL("Ya llegue. Codigo: "&amp;A16&amp;". Ubicacion: "&amp;"https://www.google.com/maps/search/?api=1&amp;query="&amp;SUBSTITUTE(F16," ",""))),"")</f>
        <v/>
      </c>
      <c r="M16" s="8">
        <f>IF(B16&lt;&gt;"",TODAY(),"")</f>
        <v/>
      </c>
      <c r="N16" s="8">
        <f>IF(F16&lt;&gt;"",IFERROR(IF(AND(REGEXMATCH(SUBSTITUTE(TRIM(F16)," ",""),"^-?\d+(\.\d+)?,-?\d+(\.\d+)?$"),VALUE(REGEXEXTRACT(SUBSTITUTE(TRIM(F16)," ",""),"^-?\d+(\.\d+)?"))&gt;=-90,VALUE(REGEXEXTRACT(SUBSTITUTE(TRIM(F16)," ",""),"^-?\d+(\.\d+)?"))&lt;=90,VALUE(REGEXEXTRACT(SUBSTITUTE(TRIM(F16)," ",""),"-?\d+(\.\d+)?$"))&gt;=-180,VALUE(REGEXEXTRACT(SUBSTITUTE(TRIM(F16)," ",""),"-?\d+(\.\d+)?$"))&lt;=180),"OK","REVISAR"),"REVISAR"),"")</f>
        <v/>
      </c>
      <c r="O16">
        <f>IF(A16&lt;&gt;"","https://direcciones507.github.io/direcciones507/panel.html?codigo="&amp;A16&amp;"&amp;nombre="&amp;ENCODEURL(B16)&amp;"&amp;telefono="&amp;SUBSTITUTE(C16,"-","")&amp;"&amp;referencia="&amp;ENCODEURL(E16)&amp;"&amp;lat="&amp;IZQUIERDA(SUBSTITUTE(F16," ",""),ENCONTRAR(",",SUBSTITUTE(F16," ",""))-1)&amp;"&amp;lng="&amp;DERECHA(SUBSTITUTE(F16," ",""),LARGO(SUBSTITUTE(F16," ",""))-ENCONTRAR(",",SUBSTITUTE(F16," ",""))),"")</f>
        <v/>
      </c>
    </row>
    <row r="17">
      <c r="A17" s="8">
        <f>CONCAT("AD507-",TEXT(ROW()-2,"0000"))</f>
        <v/>
      </c>
      <c r="C17" s="8" t="n"/>
      <c r="F17" s="8" t="n"/>
      <c r="G17" s="8">
        <f>IF(F17&lt;&gt;"",HYPERLINK("https://www.google.com/maps/search/?api=1&amp;query="&amp;SUBSTITUTE(F17," ",""),"🗺 Google Maps"),"")</f>
        <v/>
      </c>
      <c r="H17" s="8">
        <f>IF(F17&lt;&gt;"",HYPERLINK("https://waze.com/ul?ll="&amp;SUBSTITUTE(F17," ","")&amp;"&amp;navigate=yes","🚗 Waze"),"")</f>
        <v/>
      </c>
      <c r="I17" s="8">
        <f>IF(F17&lt;&gt;"",HYPERLINK("https://m.uber.com/ul/?action=setPickup&amp;pickup=my_location&amp;dropoff[latitude]="&amp;LEFT(SUBSTITUTE(F17," ",""),FIND(",",SUBSTITUTE(F17," ",""))-1)&amp;"&amp;dropoff[longitude]="&amp;MID(SUBSTITUTE(F17," ",""),FIND(",",SUBSTITUTE(F17," ",""))+1,99),"🚕 Uber"),"")</f>
        <v/>
      </c>
      <c r="J17" s="8">
        <f>IF(F17&lt;&gt;"","https://api.qrserver.com/v1/create-qr-code/?size=200x200&amp;data="&amp;ENCODEURL("https://www.google.com/maps/search/?api=1&amp;query="&amp;SUBSTITUTE(F17," ","")),"")</f>
        <v/>
      </c>
      <c r="K17" s="8">
        <f>IF(C17&lt;&gt;"",HYPERLINK("https://wa.me/507"&amp;REGEXREPLACE(C17,"[^0-9]","")&amp;"?text="&amp;ENCODEURL("Ya llegue. Codigo: "&amp;A17&amp;". Ubicacion: "&amp;"https://www.google.com/maps/search/?api=1&amp;query="&amp;SUBSTITUTE(F17," ","")),"📲 Avisar al cliente"),"")</f>
        <v/>
      </c>
      <c r="L17" s="8">
        <f>IF(C17&lt;&gt;"","https://api.qrserver.com/v1/create-qr-code/?size=200x200&amp;data="&amp;ENCODEURL("https://wa.me/507"&amp;REGEXREPLACE(C17,"[^0-9]","")&amp;"?text="&amp;ENCODEURL("Ya llegue. Codigo: "&amp;A17&amp;". Ubicacion: "&amp;"https://www.google.com/maps/search/?api=1&amp;query="&amp;SUBSTITUTE(F17," ",""))),"")</f>
        <v/>
      </c>
      <c r="M17" s="8">
        <f>IF(B17&lt;&gt;"",TODAY(),"")</f>
        <v/>
      </c>
      <c r="N17" s="8">
        <f>IF(F17&lt;&gt;"",IFERROR(IF(AND(REGEXMATCH(SUBSTITUTE(TRIM(F17)," ",""),"^-?\d+(\.\d+)?,-?\d+(\.\d+)?$"),VALUE(REGEXEXTRACT(SUBSTITUTE(TRIM(F17)," ",""),"^-?\d+(\.\d+)?"))&gt;=-90,VALUE(REGEXEXTRACT(SUBSTITUTE(TRIM(F17)," ",""),"^-?\d+(\.\d+)?"))&lt;=90,VALUE(REGEXEXTRACT(SUBSTITUTE(TRIM(F17)," ",""),"-?\d+(\.\d+)?$"))&gt;=-180,VALUE(REGEXEXTRACT(SUBSTITUTE(TRIM(F17)," ",""),"-?\d+(\.\d+)?$"))&lt;=180),"OK","REVISAR"),"REVISAR"),"")</f>
        <v/>
      </c>
      <c r="O17">
        <f>IF(A17&lt;&gt;"","https://direcciones507.github.io/direcciones507/panel.html?codigo="&amp;A17&amp;"&amp;nombre="&amp;ENCODEURL(B17)&amp;"&amp;telefono="&amp;SUBSTITUTE(C17,"-","")&amp;"&amp;referencia="&amp;ENCODEURL(E17)&amp;"&amp;lat="&amp;IZQUIERDA(SUBSTITUTE(F17," ",""),ENCONTRAR(",",SUBSTITUTE(F17," ",""))-1)&amp;"&amp;lng="&amp;DERECHA(SUBSTITUTE(F17," ",""),LARGO(SUBSTITUTE(F17," ",""))-ENCONTRAR(",",SUBSTITUTE(F17," ",""))),"")</f>
        <v/>
      </c>
    </row>
    <row r="18">
      <c r="A18" s="8">
        <f>CONCAT("AD507-",TEXT(ROW()-2,"0000"))</f>
        <v/>
      </c>
      <c r="C18" s="8" t="n"/>
      <c r="F18" s="8" t="n"/>
      <c r="G18" s="8">
        <f>IF(F18&lt;&gt;"",HYPERLINK("https://www.google.com/maps/search/?api=1&amp;query="&amp;SUBSTITUTE(F18," ",""),"🗺 Google Maps"),"")</f>
        <v/>
      </c>
      <c r="H18" s="8">
        <f>IF(F18&lt;&gt;"",HYPERLINK("https://waze.com/ul?ll="&amp;SUBSTITUTE(F18," ","")&amp;"&amp;navigate=yes","🚗 Waze"),"")</f>
        <v/>
      </c>
      <c r="I18" s="8">
        <f>IF(F18&lt;&gt;"",HYPERLINK("https://m.uber.com/ul/?action=setPickup&amp;pickup=my_location&amp;dropoff[latitude]="&amp;LEFT(SUBSTITUTE(F18," ",""),FIND(",",SUBSTITUTE(F18," ",""))-1)&amp;"&amp;dropoff[longitude]="&amp;MID(SUBSTITUTE(F18," ",""),FIND(",",SUBSTITUTE(F18," ",""))+1,99),"🚕 Uber"),"")</f>
        <v/>
      </c>
      <c r="J18" s="8">
        <f>IF(F18&lt;&gt;"","https://api.qrserver.com/v1/create-qr-code/?size=200x200&amp;data="&amp;ENCODEURL("https://www.google.com/maps/search/?api=1&amp;query="&amp;SUBSTITUTE(F18," ","")),"")</f>
        <v/>
      </c>
      <c r="K18" s="8">
        <f>IF(C18&lt;&gt;"",HYPERLINK("https://wa.me/507"&amp;REGEXREPLACE(C18,"[^0-9]","")&amp;"?text="&amp;ENCODEURL("Ya llegue. Codigo: "&amp;A18&amp;". Ubicacion: "&amp;"https://www.google.com/maps/search/?api=1&amp;query="&amp;SUBSTITUTE(F18," ","")),"📲 Avisar al cliente"),"")</f>
        <v/>
      </c>
      <c r="L18" s="8">
        <f>IF(C18&lt;&gt;"","https://api.qrserver.com/v1/create-qr-code/?size=200x200&amp;data="&amp;ENCODEURL("https://wa.me/507"&amp;REGEXREPLACE(C18,"[^0-9]","")&amp;"?text="&amp;ENCODEURL("Ya llegue. Codigo: "&amp;A18&amp;". Ubicacion: "&amp;"https://www.google.com/maps/search/?api=1&amp;query="&amp;SUBSTITUTE(F18," ",""))),"")</f>
        <v/>
      </c>
      <c r="M18" s="8">
        <f>IF(B18&lt;&gt;"",TODAY(),"")</f>
        <v/>
      </c>
      <c r="N18" s="8">
        <f>IF(F18&lt;&gt;"",IFERROR(IF(AND(REGEXMATCH(SUBSTITUTE(TRIM(F18)," ",""),"^-?\d+(\.\d+)?,-?\d+(\.\d+)?$"),VALUE(REGEXEXTRACT(SUBSTITUTE(TRIM(F18)," ",""),"^-?\d+(\.\d+)?"))&gt;=-90,VALUE(REGEXEXTRACT(SUBSTITUTE(TRIM(F18)," ",""),"^-?\d+(\.\d+)?"))&lt;=90,VALUE(REGEXEXTRACT(SUBSTITUTE(TRIM(F18)," ",""),"-?\d+(\.\d+)?$"))&gt;=-180,VALUE(REGEXEXTRACT(SUBSTITUTE(TRIM(F18)," ",""),"-?\d+(\.\d+)?$"))&lt;=180),"OK","REVISAR"),"REVISAR"),"")</f>
        <v/>
      </c>
      <c r="O18">
        <f>IF(A18&lt;&gt;"","https://direcciones507.github.io/direcciones507/panel.html?codigo="&amp;A18&amp;"&amp;nombre="&amp;ENCODEURL(B18)&amp;"&amp;telefono="&amp;SUBSTITUTE(C18,"-","")&amp;"&amp;referencia="&amp;ENCODEURL(E18)&amp;"&amp;lat="&amp;IZQUIERDA(SUBSTITUTE(F18," ",""),ENCONTRAR(",",SUBSTITUTE(F18," ",""))-1)&amp;"&amp;lng="&amp;DERECHA(SUBSTITUTE(F18," ",""),LARGO(SUBSTITUTE(F18," ",""))-ENCONTRAR(",",SUBSTITUTE(F18," ",""))),"")</f>
        <v/>
      </c>
    </row>
    <row r="19">
      <c r="A19" s="8">
        <f>CONCAT("AD507-",TEXT(ROW()-2,"0000"))</f>
        <v/>
      </c>
      <c r="C19" s="8" t="n"/>
      <c r="F19" s="8" t="n"/>
      <c r="G19" s="8">
        <f>IF(F19&lt;&gt;"",HYPERLINK("https://www.google.com/maps/search/?api=1&amp;query="&amp;SUBSTITUTE(F19," ",""),"🗺 Google Maps"),"")</f>
        <v/>
      </c>
      <c r="H19" s="8">
        <f>IF(F19&lt;&gt;"",HYPERLINK("https://waze.com/ul?ll="&amp;SUBSTITUTE(F19," ","")&amp;"&amp;navigate=yes","🚗 Waze"),"")</f>
        <v/>
      </c>
      <c r="I19" s="8">
        <f>IF(F19&lt;&gt;"",HYPERLINK("https://m.uber.com/ul/?action=setPickup&amp;pickup=my_location&amp;dropoff[latitude]="&amp;LEFT(SUBSTITUTE(F19," ",""),FIND(",",SUBSTITUTE(F19," ",""))-1)&amp;"&amp;dropoff[longitude]="&amp;MID(SUBSTITUTE(F19," ",""),FIND(",",SUBSTITUTE(F19," ",""))+1,99),"🚕 Uber"),"")</f>
        <v/>
      </c>
      <c r="J19" s="8">
        <f>IF(F19&lt;&gt;"","https://api.qrserver.com/v1/create-qr-code/?size=200x200&amp;data="&amp;ENCODEURL("https://www.google.com/maps/search/?api=1&amp;query="&amp;SUBSTITUTE(F19," ","")),"")</f>
        <v/>
      </c>
      <c r="K19" s="8">
        <f>IF(C19&lt;&gt;"",HYPERLINK("https://wa.me/507"&amp;REGEXREPLACE(C19,"[^0-9]","")&amp;"?text="&amp;ENCODEURL("Ya llegue. Codigo: "&amp;A19&amp;". Ubicacion: "&amp;"https://www.google.com/maps/search/?api=1&amp;query="&amp;SUBSTITUTE(F19," ","")),"📲 Avisar al cliente"),"")</f>
        <v/>
      </c>
      <c r="L19" s="8">
        <f>IF(C19&lt;&gt;"","https://api.qrserver.com/v1/create-qr-code/?size=200x200&amp;data="&amp;ENCODEURL("https://wa.me/507"&amp;REGEXREPLACE(C19,"[^0-9]","")&amp;"?text="&amp;ENCODEURL("Ya llegue. Codigo: "&amp;A19&amp;". Ubicacion: "&amp;"https://www.google.com/maps/search/?api=1&amp;query="&amp;SUBSTITUTE(F19," ",""))),"")</f>
        <v/>
      </c>
      <c r="M19" s="8">
        <f>IF(B19&lt;&gt;"",TODAY(),"")</f>
        <v/>
      </c>
      <c r="N19" s="8">
        <f>IF(F19&lt;&gt;"",IFERROR(IF(AND(REGEXMATCH(SUBSTITUTE(TRIM(F19)," ",""),"^-?\d+(\.\d+)?,-?\d+(\.\d+)?$"),VALUE(REGEXEXTRACT(SUBSTITUTE(TRIM(F19)," ",""),"^-?\d+(\.\d+)?"))&gt;=-90,VALUE(REGEXEXTRACT(SUBSTITUTE(TRIM(F19)," ",""),"^-?\d+(\.\d+)?"))&lt;=90,VALUE(REGEXEXTRACT(SUBSTITUTE(TRIM(F19)," ",""),"-?\d+(\.\d+)?$"))&gt;=-180,VALUE(REGEXEXTRACT(SUBSTITUTE(TRIM(F19)," ",""),"-?\d+(\.\d+)?$"))&lt;=180),"OK","REVISAR"),"REVISAR"),"")</f>
        <v/>
      </c>
      <c r="O19">
        <f>IF(A19&lt;&gt;"","https://direcciones507.github.io/direcciones507/panel.html?codigo="&amp;A19&amp;"&amp;nombre="&amp;ENCODEURL(B19)&amp;"&amp;telefono="&amp;SUBSTITUTE(C19,"-","")&amp;"&amp;referencia="&amp;ENCODEURL(E19)&amp;"&amp;lat="&amp;IZQUIERDA(SUBSTITUTE(F19," ",""),ENCONTRAR(",",SUBSTITUTE(F19," ",""))-1)&amp;"&amp;lng="&amp;DERECHA(SUBSTITUTE(F19," ",""),LARGO(SUBSTITUTE(F19," ",""))-ENCONTRAR(",",SUBSTITUTE(F19," ",""))),"")</f>
        <v/>
      </c>
    </row>
    <row r="20">
      <c r="A20" s="8">
        <f>CONCAT("AD507-",TEXT(ROW()-2,"0000"))</f>
        <v/>
      </c>
      <c r="C20" s="8" t="n"/>
      <c r="F20" s="8" t="n"/>
      <c r="G20" s="8">
        <f>IF(F20&lt;&gt;"",HYPERLINK("https://www.google.com/maps/search/?api=1&amp;query="&amp;SUBSTITUTE(F20," ",""),"🗺 Google Maps"),"")</f>
        <v/>
      </c>
      <c r="H20" s="8">
        <f>IF(F20&lt;&gt;"",HYPERLINK("https://waze.com/ul?ll="&amp;SUBSTITUTE(F20," ","")&amp;"&amp;navigate=yes","🚗 Waze"),"")</f>
        <v/>
      </c>
      <c r="I20" s="8">
        <f>IF(F20&lt;&gt;"",HYPERLINK("https://m.uber.com/ul/?action=setPickup&amp;pickup=my_location&amp;dropoff[latitude]="&amp;LEFT(SUBSTITUTE(F20," ",""),FIND(",",SUBSTITUTE(F20," ",""))-1)&amp;"&amp;dropoff[longitude]="&amp;MID(SUBSTITUTE(F20," ",""),FIND(",",SUBSTITUTE(F20," ",""))+1,99),"🚕 Uber"),"")</f>
        <v/>
      </c>
      <c r="J20" s="8">
        <f>IF(F20&lt;&gt;"","https://api.qrserver.com/v1/create-qr-code/?size=200x200&amp;data="&amp;ENCODEURL("https://www.google.com/maps/search/?api=1&amp;query="&amp;SUBSTITUTE(F20," ","")),"")</f>
        <v/>
      </c>
      <c r="K20" s="8">
        <f>IF(C20&lt;&gt;"",HYPERLINK("https://wa.me/507"&amp;REGEXREPLACE(C20,"[^0-9]","")&amp;"?text="&amp;ENCODEURL("Ya llegue. Codigo: "&amp;A20&amp;". Ubicacion: "&amp;"https://www.google.com/maps/search/?api=1&amp;query="&amp;SUBSTITUTE(F20," ","")),"📲 Avisar al cliente"),"")</f>
        <v/>
      </c>
      <c r="L20" s="8">
        <f>IF(C20&lt;&gt;"","https://api.qrserver.com/v1/create-qr-code/?size=200x200&amp;data="&amp;ENCODEURL("https://wa.me/507"&amp;REGEXREPLACE(C20,"[^0-9]","")&amp;"?text="&amp;ENCODEURL("Ya llegue. Codigo: "&amp;A20&amp;". Ubicacion: "&amp;"https://www.google.com/maps/search/?api=1&amp;query="&amp;SUBSTITUTE(F20," ",""))),"")</f>
        <v/>
      </c>
      <c r="M20" s="8">
        <f>IF(B20&lt;&gt;"",TODAY(),"")</f>
        <v/>
      </c>
      <c r="N20" s="8">
        <f>IF(F20&lt;&gt;"",IFERROR(IF(AND(REGEXMATCH(SUBSTITUTE(TRIM(F20)," ",""),"^-?\d+(\.\d+)?,-?\d+(\.\d+)?$"),VALUE(REGEXEXTRACT(SUBSTITUTE(TRIM(F20)," ",""),"^-?\d+(\.\d+)?"))&gt;=-90,VALUE(REGEXEXTRACT(SUBSTITUTE(TRIM(F20)," ",""),"^-?\d+(\.\d+)?"))&lt;=90,VALUE(REGEXEXTRACT(SUBSTITUTE(TRIM(F20)," ",""),"-?\d+(\.\d+)?$"))&gt;=-180,VALUE(REGEXEXTRACT(SUBSTITUTE(TRIM(F20)," ",""),"-?\d+(\.\d+)?$"))&lt;=180),"OK","REVISAR"),"REVISAR"),"")</f>
        <v/>
      </c>
      <c r="O20">
        <f>IF(A20&lt;&gt;"","https://direcciones507.github.io/direcciones507/panel.html?codigo="&amp;A20&amp;"&amp;nombre="&amp;ENCODEURL(B20)&amp;"&amp;telefono="&amp;SUBSTITUTE(C20,"-","")&amp;"&amp;referencia="&amp;ENCODEURL(E20)&amp;"&amp;lat="&amp;IZQUIERDA(SUBSTITUTE(F20," ",""),ENCONTRAR(",",SUBSTITUTE(F20," ",""))-1)&amp;"&amp;lng="&amp;DERECHA(SUBSTITUTE(F20," ",""),LARGO(SUBSTITUTE(F20," ",""))-ENCONTRAR(",",SUBSTITUTE(F20," ",""))),"")</f>
        <v/>
      </c>
    </row>
    <row r="21" ht="15.75" customHeight="1" s="10">
      <c r="A21" s="8">
        <f>CONCAT("AD507-",TEXT(ROW()-2,"0000"))</f>
        <v/>
      </c>
      <c r="C21" s="8" t="n"/>
      <c r="F21" s="8" t="n"/>
      <c r="G21" s="8">
        <f>IF(F21&lt;&gt;"",HYPERLINK("https://www.google.com/maps/search/?api=1&amp;query="&amp;SUBSTITUTE(F21," ",""),"🗺 Google Maps"),"")</f>
        <v/>
      </c>
      <c r="H21" s="8">
        <f>IF(F21&lt;&gt;"",HYPERLINK("https://waze.com/ul?ll="&amp;SUBSTITUTE(F21," ","")&amp;"&amp;navigate=yes","🚗 Waze"),"")</f>
        <v/>
      </c>
      <c r="I21" s="8">
        <f>IF(F21&lt;&gt;"",HYPERLINK("https://m.uber.com/ul/?action=setPickup&amp;pickup=my_location&amp;dropoff[latitude]="&amp;LEFT(SUBSTITUTE(F21," ",""),FIND(",",SUBSTITUTE(F21," ",""))-1)&amp;"&amp;dropoff[longitude]="&amp;MID(SUBSTITUTE(F21," ",""),FIND(",",SUBSTITUTE(F21," ",""))+1,99),"🚕 Uber"),"")</f>
        <v/>
      </c>
      <c r="J21" s="8">
        <f>IF(F21&lt;&gt;"","https://api.qrserver.com/v1/create-qr-code/?size=200x200&amp;data="&amp;ENCODEURL("https://www.google.com/maps/search/?api=1&amp;query="&amp;SUBSTITUTE(F21," ","")),"")</f>
        <v/>
      </c>
      <c r="K21" s="8">
        <f>IF(C21&lt;&gt;"",HYPERLINK("https://wa.me/507"&amp;REGEXREPLACE(C21,"[^0-9]","")&amp;"?text="&amp;ENCODEURL("Ya llegue. Codigo: "&amp;A21&amp;". Ubicacion: "&amp;"https://www.google.com/maps/search/?api=1&amp;query="&amp;SUBSTITUTE(F21," ","")),"📲 Avisar al cliente"),"")</f>
        <v/>
      </c>
      <c r="L21" s="8">
        <f>IF(C21&lt;&gt;"","https://api.qrserver.com/v1/create-qr-code/?size=200x200&amp;data="&amp;ENCODEURL("https://wa.me/507"&amp;REGEXREPLACE(C21,"[^0-9]","")&amp;"?text="&amp;ENCODEURL("Ya llegue. Codigo: "&amp;A21&amp;". Ubicacion: "&amp;"https://www.google.com/maps/search/?api=1&amp;query="&amp;SUBSTITUTE(F21," ",""))),"")</f>
        <v/>
      </c>
      <c r="M21" s="8">
        <f>IF(B21&lt;&gt;"",TODAY(),"")</f>
        <v/>
      </c>
      <c r="N21" s="8">
        <f>IF(F21&lt;&gt;"",IFERROR(IF(AND(REGEXMATCH(SUBSTITUTE(TRIM(F21)," ",""),"^-?\d+(\.\d+)?,-?\d+(\.\d+)?$"),VALUE(REGEXEXTRACT(SUBSTITUTE(TRIM(F21)," ",""),"^-?\d+(\.\d+)?"))&gt;=-90,VALUE(REGEXEXTRACT(SUBSTITUTE(TRIM(F21)," ",""),"^-?\d+(\.\d+)?"))&lt;=90,VALUE(REGEXEXTRACT(SUBSTITUTE(TRIM(F21)," ",""),"-?\d+(\.\d+)?$"))&gt;=-180,VALUE(REGEXEXTRACT(SUBSTITUTE(TRIM(F21)," ",""),"-?\d+(\.\d+)?$"))&lt;=180),"OK","REVISAR"),"REVISAR"),"")</f>
        <v/>
      </c>
      <c r="O21">
        <f>IF(A21&lt;&gt;"","https://direcciones507.github.io/direcciones507/panel.html?codigo="&amp;A21&amp;"&amp;nombre="&amp;ENCODEURL(B21)&amp;"&amp;telefono="&amp;SUBSTITUTE(C21,"-","")&amp;"&amp;referencia="&amp;ENCODEURL(E21)&amp;"&amp;lat="&amp;IZQUIERDA(SUBSTITUTE(F21," ",""),ENCONTRAR(",",SUBSTITUTE(F21," ",""))-1)&amp;"&amp;lng="&amp;DERECHA(SUBSTITUTE(F21," ",""),LARGO(SUBSTITUTE(F21," ",""))-ENCONTRAR(",",SUBSTITUTE(F21," ",""))),"")</f>
        <v/>
      </c>
    </row>
    <row r="22" ht="15.75" customHeight="1" s="10">
      <c r="A22" s="8">
        <f>CONCAT("AD507-",TEXT(ROW()-2,"0000"))</f>
        <v/>
      </c>
      <c r="C22" s="8" t="n"/>
      <c r="F22" s="8" t="n"/>
      <c r="G22" s="8">
        <f>IF(F22&lt;&gt;"",HYPERLINK("https://www.google.com/maps/search/?api=1&amp;query="&amp;SUBSTITUTE(F22," ",""),"🗺 Google Maps"),"")</f>
        <v/>
      </c>
      <c r="H22" s="8">
        <f>IF(F22&lt;&gt;"",HYPERLINK("https://waze.com/ul?ll="&amp;SUBSTITUTE(F22," ","")&amp;"&amp;navigate=yes","🚗 Waze"),"")</f>
        <v/>
      </c>
      <c r="I22" s="8">
        <f>IF(F22&lt;&gt;"",HYPERLINK("https://m.uber.com/ul/?action=setPickup&amp;pickup=my_location&amp;dropoff[latitude]="&amp;LEFT(SUBSTITUTE(F22," ",""),FIND(",",SUBSTITUTE(F22," ",""))-1)&amp;"&amp;dropoff[longitude]="&amp;MID(SUBSTITUTE(F22," ",""),FIND(",",SUBSTITUTE(F22," ",""))+1,99),"🚕 Uber"),"")</f>
        <v/>
      </c>
      <c r="J22" s="8">
        <f>IF(F22&lt;&gt;"","https://api.qrserver.com/v1/create-qr-code/?size=200x200&amp;data="&amp;ENCODEURL("https://www.google.com/maps/search/?api=1&amp;query="&amp;SUBSTITUTE(F22," ","")),"")</f>
        <v/>
      </c>
      <c r="K22" s="8">
        <f>IF(C22&lt;&gt;"",HYPERLINK("https://wa.me/507"&amp;REGEXREPLACE(C22,"[^0-9]","")&amp;"?text="&amp;ENCODEURL("Ya llegue. Codigo: "&amp;A22&amp;". Ubicacion: "&amp;"https://www.google.com/maps/search/?api=1&amp;query="&amp;SUBSTITUTE(F22," ","")),"📲 Avisar al cliente"),"")</f>
        <v/>
      </c>
      <c r="L22" s="8">
        <f>IF(C22&lt;&gt;"","https://api.qrserver.com/v1/create-qr-code/?size=200x200&amp;data="&amp;ENCODEURL("https://wa.me/507"&amp;REGEXREPLACE(C22,"[^0-9]","")&amp;"?text="&amp;ENCODEURL("Ya llegue. Codigo: "&amp;A22&amp;". Ubicacion: "&amp;"https://www.google.com/maps/search/?api=1&amp;query="&amp;SUBSTITUTE(F22," ",""))),"")</f>
        <v/>
      </c>
      <c r="M22" s="8">
        <f>IF(B22&lt;&gt;"",TODAY(),"")</f>
        <v/>
      </c>
      <c r="N22" s="8">
        <f>IF(F22&lt;&gt;"",IFERROR(IF(AND(REGEXMATCH(SUBSTITUTE(TRIM(F22)," ",""),"^-?\d+(\.\d+)?,-?\d+(\.\d+)?$"),VALUE(REGEXEXTRACT(SUBSTITUTE(TRIM(F22)," ",""),"^-?\d+(\.\d+)?"))&gt;=-90,VALUE(REGEXEXTRACT(SUBSTITUTE(TRIM(F22)," ",""),"^-?\d+(\.\d+)?"))&lt;=90,VALUE(REGEXEXTRACT(SUBSTITUTE(TRIM(F22)," ",""),"-?\d+(\.\d+)?$"))&gt;=-180,VALUE(REGEXEXTRACT(SUBSTITUTE(TRIM(F22)," ",""),"-?\d+(\.\d+)?$"))&lt;=180),"OK","REVISAR"),"REVISAR"),"")</f>
        <v/>
      </c>
      <c r="O22">
        <f>IF(A22&lt;&gt;"","https://direcciones507.github.io/direcciones507/panel.html?codigo="&amp;A22&amp;"&amp;nombre="&amp;ENCODEURL(B22)&amp;"&amp;telefono="&amp;SUBSTITUTE(C22,"-","")&amp;"&amp;referencia="&amp;ENCODEURL(E22)&amp;"&amp;lat="&amp;IZQUIERDA(SUBSTITUTE(F22," ",""),ENCONTRAR(",",SUBSTITUTE(F22," ",""))-1)&amp;"&amp;lng="&amp;DERECHA(SUBSTITUTE(F22," ",""),LARGO(SUBSTITUTE(F22," ",""))-ENCONTRAR(",",SUBSTITUTE(F22," ",""))),"")</f>
        <v/>
      </c>
    </row>
    <row r="23" ht="15.75" customHeight="1" s="10">
      <c r="A23" s="8">
        <f>CONCAT("AD507-",TEXT(ROW()-2,"0000"))</f>
        <v/>
      </c>
      <c r="C23" s="8" t="n"/>
      <c r="F23" s="8" t="n"/>
      <c r="G23" s="8">
        <f>IF(F23&lt;&gt;"",HYPERLINK("https://www.google.com/maps/search/?api=1&amp;query="&amp;SUBSTITUTE(F23," ",""),"🗺 Google Maps"),"")</f>
        <v/>
      </c>
      <c r="H23" s="8">
        <f>IF(F23&lt;&gt;"",HYPERLINK("https://waze.com/ul?ll="&amp;SUBSTITUTE(F23," ","")&amp;"&amp;navigate=yes","🚗 Waze"),"")</f>
        <v/>
      </c>
      <c r="I23" s="8">
        <f>IF(F23&lt;&gt;"",HYPERLINK("https://m.uber.com/ul/?action=setPickup&amp;pickup=my_location&amp;dropoff[latitude]="&amp;LEFT(SUBSTITUTE(F23," ",""),FIND(",",SUBSTITUTE(F23," ",""))-1)&amp;"&amp;dropoff[longitude]="&amp;MID(SUBSTITUTE(F23," ",""),FIND(",",SUBSTITUTE(F23," ",""))+1,99),"🚕 Uber"),"")</f>
        <v/>
      </c>
      <c r="J23" s="8">
        <f>IF(F23&lt;&gt;"","https://api.qrserver.com/v1/create-qr-code/?size=200x200&amp;data="&amp;ENCODEURL("https://www.google.com/maps/search/?api=1&amp;query="&amp;SUBSTITUTE(F23," ","")),"")</f>
        <v/>
      </c>
      <c r="K23" s="8">
        <f>IF(C23&lt;&gt;"",HYPERLINK("https://wa.me/507"&amp;REGEXREPLACE(C23,"[^0-9]","")&amp;"?text="&amp;ENCODEURL("Ya llegue. Codigo: "&amp;A23&amp;". Ubicacion: "&amp;"https://www.google.com/maps/search/?api=1&amp;query="&amp;SUBSTITUTE(F23," ","")),"📲 Avisar al cliente"),"")</f>
        <v/>
      </c>
      <c r="L23" s="8">
        <f>IF(C23&lt;&gt;"","https://api.qrserver.com/v1/create-qr-code/?size=200x200&amp;data="&amp;ENCODEURL("https://wa.me/507"&amp;REGEXREPLACE(C23,"[^0-9]","")&amp;"?text="&amp;ENCODEURL("Ya llegue. Codigo: "&amp;A23&amp;". Ubicacion: "&amp;"https://www.google.com/maps/search/?api=1&amp;query="&amp;SUBSTITUTE(F23," ",""))),"")</f>
        <v/>
      </c>
      <c r="M23" s="8">
        <f>IF(B23&lt;&gt;"",TODAY(),"")</f>
        <v/>
      </c>
      <c r="N23" s="8">
        <f>IF(F23&lt;&gt;"",IFERROR(IF(AND(REGEXMATCH(SUBSTITUTE(TRIM(F23)," ",""),"^-?\d+(\.\d+)?,-?\d+(\.\d+)?$"),VALUE(REGEXEXTRACT(SUBSTITUTE(TRIM(F23)," ",""),"^-?\d+(\.\d+)?"))&gt;=-90,VALUE(REGEXEXTRACT(SUBSTITUTE(TRIM(F23)," ",""),"^-?\d+(\.\d+)?"))&lt;=90,VALUE(REGEXEXTRACT(SUBSTITUTE(TRIM(F23)," ",""),"-?\d+(\.\d+)?$"))&gt;=-180,VALUE(REGEXEXTRACT(SUBSTITUTE(TRIM(F23)," ",""),"-?\d+(\.\d+)?$"))&lt;=180),"OK","REVISAR"),"REVISAR"),"")</f>
        <v/>
      </c>
      <c r="O23">
        <f>IF(A23&lt;&gt;"","https://direcciones507.github.io/direcciones507/panel.html?codigo="&amp;A23&amp;"&amp;nombre="&amp;ENCODEURL(B23)&amp;"&amp;telefono="&amp;SUBSTITUTE(C23,"-","")&amp;"&amp;referencia="&amp;ENCODEURL(E23)&amp;"&amp;lat="&amp;IZQUIERDA(SUBSTITUTE(F23," ",""),ENCONTRAR(",",SUBSTITUTE(F23," ",""))-1)&amp;"&amp;lng="&amp;DERECHA(SUBSTITUTE(F23," ",""),LARGO(SUBSTITUTE(F23," ",""))-ENCONTRAR(",",SUBSTITUTE(F23," ",""))),"")</f>
        <v/>
      </c>
    </row>
    <row r="24" ht="15.75" customHeight="1" s="10">
      <c r="A24" s="8">
        <f>CONCAT("AD507-",TEXT(ROW()-2,"0000"))</f>
        <v/>
      </c>
      <c r="C24" s="8" t="n"/>
      <c r="F24" s="8" t="n"/>
      <c r="G24" s="8">
        <f>IF(F24&lt;&gt;"",HYPERLINK("https://www.google.com/maps/search/?api=1&amp;query="&amp;SUBSTITUTE(F24," ",""),"🗺 Google Maps"),"")</f>
        <v/>
      </c>
      <c r="H24" s="8">
        <f>IF(F24&lt;&gt;"",HYPERLINK("https://waze.com/ul?ll="&amp;SUBSTITUTE(F24," ","")&amp;"&amp;navigate=yes","🚗 Waze"),"")</f>
        <v/>
      </c>
      <c r="I24" s="8">
        <f>IF(F24&lt;&gt;"",HYPERLINK("https://m.uber.com/ul/?action=setPickup&amp;pickup=my_location&amp;dropoff[latitude]="&amp;LEFT(SUBSTITUTE(F24," ",""),FIND(",",SUBSTITUTE(F24," ",""))-1)&amp;"&amp;dropoff[longitude]="&amp;MID(SUBSTITUTE(F24," ",""),FIND(",",SUBSTITUTE(F24," ",""))+1,99),"🚕 Uber"),"")</f>
        <v/>
      </c>
      <c r="J24" s="8">
        <f>IF(F24&lt;&gt;"","https://api.qrserver.com/v1/create-qr-code/?size=200x200&amp;data="&amp;ENCODEURL("https://www.google.com/maps/search/?api=1&amp;query="&amp;SUBSTITUTE(F24," ","")),"")</f>
        <v/>
      </c>
      <c r="K24" s="8">
        <f>IF(C24&lt;&gt;"",HYPERLINK("https://wa.me/507"&amp;REGEXREPLACE(C24,"[^0-9]","")&amp;"?text="&amp;ENCODEURL("Ya llegue. Codigo: "&amp;A24&amp;". Ubicacion: "&amp;"https://www.google.com/maps/search/?api=1&amp;query="&amp;SUBSTITUTE(F24," ","")),"📲 Avisar al cliente"),"")</f>
        <v/>
      </c>
      <c r="L24" s="8">
        <f>IF(C24&lt;&gt;"","https://api.qrserver.com/v1/create-qr-code/?size=200x200&amp;data="&amp;ENCODEURL("https://wa.me/507"&amp;REGEXREPLACE(C24,"[^0-9]","")&amp;"?text="&amp;ENCODEURL("Ya llegue. Codigo: "&amp;A24&amp;". Ubicacion: "&amp;"https://www.google.com/maps/search/?api=1&amp;query="&amp;SUBSTITUTE(F24," ",""))),"")</f>
        <v/>
      </c>
      <c r="M24" s="8">
        <f>IF(B24&lt;&gt;"",TODAY(),"")</f>
        <v/>
      </c>
      <c r="N24" s="8">
        <f>IF(F24&lt;&gt;"",IFERROR(IF(AND(REGEXMATCH(SUBSTITUTE(TRIM(F24)," ",""),"^-?\d+(\.\d+)?,-?\d+(\.\d+)?$"),VALUE(REGEXEXTRACT(SUBSTITUTE(TRIM(F24)," ",""),"^-?\d+(\.\d+)?"))&gt;=-90,VALUE(REGEXEXTRACT(SUBSTITUTE(TRIM(F24)," ",""),"^-?\d+(\.\d+)?"))&lt;=90,VALUE(REGEXEXTRACT(SUBSTITUTE(TRIM(F24)," ",""),"-?\d+(\.\d+)?$"))&gt;=-180,VALUE(REGEXEXTRACT(SUBSTITUTE(TRIM(F24)," ",""),"-?\d+(\.\d+)?$"))&lt;=180),"OK","REVISAR"),"REVISAR"),"")</f>
        <v/>
      </c>
      <c r="O24">
        <f>IF(A24&lt;&gt;"","https://direcciones507.github.io/direcciones507/panel.html?codigo="&amp;A24&amp;"&amp;nombre="&amp;ENCODEURL(B24)&amp;"&amp;telefono="&amp;SUBSTITUTE(C24,"-","")&amp;"&amp;referencia="&amp;ENCODEURL(E24)&amp;"&amp;lat="&amp;IZQUIERDA(SUBSTITUTE(F24," ",""),ENCONTRAR(",",SUBSTITUTE(F24," ",""))-1)&amp;"&amp;lng="&amp;DERECHA(SUBSTITUTE(F24," ",""),LARGO(SUBSTITUTE(F24," ",""))-ENCONTRAR(",",SUBSTITUTE(F24," ",""))),"")</f>
        <v/>
      </c>
    </row>
    <row r="25" ht="15.75" customHeight="1" s="10">
      <c r="A25" s="8">
        <f>CONCAT("AD507-",TEXT(ROW()-2,"0000"))</f>
        <v/>
      </c>
      <c r="C25" s="8" t="n"/>
      <c r="F25" s="8" t="n"/>
      <c r="G25" s="8">
        <f>IF(F25&lt;&gt;"",HYPERLINK("https://www.google.com/maps/search/?api=1&amp;query="&amp;SUBSTITUTE(F25," ",""),"🗺 Google Maps"),"")</f>
        <v/>
      </c>
      <c r="H25" s="8">
        <f>IF(F25&lt;&gt;"",HYPERLINK("https://waze.com/ul?ll="&amp;SUBSTITUTE(F25," ","")&amp;"&amp;navigate=yes","🚗 Waze"),"")</f>
        <v/>
      </c>
      <c r="I25" s="8">
        <f>IF(F25&lt;&gt;"",HYPERLINK("https://m.uber.com/ul/?action=setPickup&amp;pickup=my_location&amp;dropoff[latitude]="&amp;LEFT(SUBSTITUTE(F25," ",""),FIND(",",SUBSTITUTE(F25," ",""))-1)&amp;"&amp;dropoff[longitude]="&amp;MID(SUBSTITUTE(F25," ",""),FIND(",",SUBSTITUTE(F25," ",""))+1,99),"🚕 Uber"),"")</f>
        <v/>
      </c>
      <c r="J25" s="8">
        <f>IF(F25&lt;&gt;"","https://api.qrserver.com/v1/create-qr-code/?size=200x200&amp;data="&amp;ENCODEURL("https://www.google.com/maps/search/?api=1&amp;query="&amp;SUBSTITUTE(F25," ","")),"")</f>
        <v/>
      </c>
      <c r="K25" s="8">
        <f>IF(C25&lt;&gt;"",HYPERLINK("https://wa.me/507"&amp;REGEXREPLACE(C25,"[^0-9]","")&amp;"?text="&amp;ENCODEURL("Ya llegue. Codigo: "&amp;A25&amp;". Ubicacion: "&amp;"https://www.google.com/maps/search/?api=1&amp;query="&amp;SUBSTITUTE(F25," ","")),"📲 Avisar al cliente"),"")</f>
        <v/>
      </c>
      <c r="L25" s="8">
        <f>IF(C25&lt;&gt;"","https://api.qrserver.com/v1/create-qr-code/?size=200x200&amp;data="&amp;ENCODEURL("https://wa.me/507"&amp;REGEXREPLACE(C25,"[^0-9]","")&amp;"?text="&amp;ENCODEURL("Ya llegue. Codigo: "&amp;A25&amp;". Ubicacion: "&amp;"https://www.google.com/maps/search/?api=1&amp;query="&amp;SUBSTITUTE(F25," ",""))),"")</f>
        <v/>
      </c>
      <c r="M25" s="8">
        <f>IF(B25&lt;&gt;"",TODAY(),"")</f>
        <v/>
      </c>
      <c r="N25" s="8">
        <f>IF(F25&lt;&gt;"",IFERROR(IF(AND(REGEXMATCH(SUBSTITUTE(TRIM(F25)," ",""),"^-?\d+(\.\d+)?,-?\d+(\.\d+)?$"),VALUE(REGEXEXTRACT(SUBSTITUTE(TRIM(F25)," ",""),"^-?\d+(\.\d+)?"))&gt;=-90,VALUE(REGEXEXTRACT(SUBSTITUTE(TRIM(F25)," ",""),"^-?\d+(\.\d+)?"))&lt;=90,VALUE(REGEXEXTRACT(SUBSTITUTE(TRIM(F25)," ",""),"-?\d+(\.\d+)?$"))&gt;=-180,VALUE(REGEXEXTRACT(SUBSTITUTE(TRIM(F25)," ",""),"-?\d+(\.\d+)?$"))&lt;=180),"OK","REVISAR"),"REVISAR"),"")</f>
        <v/>
      </c>
      <c r="O25">
        <f>IF(A25&lt;&gt;"","https://direcciones507.github.io/direcciones507/panel.html?codigo="&amp;A25&amp;"&amp;nombre="&amp;ENCODEURL(B25)&amp;"&amp;telefono="&amp;SUBSTITUTE(C25,"-","")&amp;"&amp;referencia="&amp;ENCODEURL(E25)&amp;"&amp;lat="&amp;IZQUIERDA(SUBSTITUTE(F25," ",""),ENCONTRAR(",",SUBSTITUTE(F25," ",""))-1)&amp;"&amp;lng="&amp;DERECHA(SUBSTITUTE(F25," ",""),LARGO(SUBSTITUTE(F25," ",""))-ENCONTRAR(",",SUBSTITUTE(F25," ",""))),"")</f>
        <v/>
      </c>
    </row>
    <row r="26" ht="15.75" customHeight="1" s="10">
      <c r="A26" s="8">
        <f>CONCAT("AD507-",TEXT(ROW()-2,"0000"))</f>
        <v/>
      </c>
      <c r="C26" s="8" t="n"/>
      <c r="F26" s="8" t="n"/>
      <c r="G26" s="8">
        <f>IF(F26&lt;&gt;"",HYPERLINK("https://www.google.com/maps/search/?api=1&amp;query="&amp;SUBSTITUTE(F26," ",""),"🗺 Google Maps"),"")</f>
        <v/>
      </c>
      <c r="H26" s="8">
        <f>IF(F26&lt;&gt;"",HYPERLINK("https://waze.com/ul?ll="&amp;SUBSTITUTE(F26," ","")&amp;"&amp;navigate=yes","🚗 Waze"),"")</f>
        <v/>
      </c>
      <c r="I26" s="8">
        <f>IF(F26&lt;&gt;"",HYPERLINK("https://m.uber.com/ul/?action=setPickup&amp;pickup=my_location&amp;dropoff[latitude]="&amp;LEFT(SUBSTITUTE(F26," ",""),FIND(",",SUBSTITUTE(F26," ",""))-1)&amp;"&amp;dropoff[longitude]="&amp;MID(SUBSTITUTE(F26," ",""),FIND(",",SUBSTITUTE(F26," ",""))+1,99),"🚕 Uber"),"")</f>
        <v/>
      </c>
      <c r="J26" s="8">
        <f>IF(F26&lt;&gt;"","https://api.qrserver.com/v1/create-qr-code/?size=200x200&amp;data="&amp;ENCODEURL("https://www.google.com/maps/search/?api=1&amp;query="&amp;SUBSTITUTE(F26," ","")),"")</f>
        <v/>
      </c>
      <c r="K26" s="8">
        <f>IF(C26&lt;&gt;"",HYPERLINK("https://wa.me/507"&amp;REGEXREPLACE(C26,"[^0-9]","")&amp;"?text="&amp;ENCODEURL("Ya llegue. Codigo: "&amp;A26&amp;". Ubicacion: "&amp;"https://www.google.com/maps/search/?api=1&amp;query="&amp;SUBSTITUTE(F26," ","")),"📲 Avisar al cliente"),"")</f>
        <v/>
      </c>
      <c r="L26" s="8">
        <f>IF(C26&lt;&gt;"","https://api.qrserver.com/v1/create-qr-code/?size=200x200&amp;data="&amp;ENCODEURL("https://wa.me/507"&amp;REGEXREPLACE(C26,"[^0-9]","")&amp;"?text="&amp;ENCODEURL("Ya llegue. Codigo: "&amp;A26&amp;". Ubicacion: "&amp;"https://www.google.com/maps/search/?api=1&amp;query="&amp;SUBSTITUTE(F26," ",""))),"")</f>
        <v/>
      </c>
      <c r="M26" s="8">
        <f>IF(B26&lt;&gt;"",TODAY(),"")</f>
        <v/>
      </c>
      <c r="N26" s="8">
        <f>IF(F26&lt;&gt;"",IFERROR(IF(AND(REGEXMATCH(SUBSTITUTE(TRIM(F26)," ",""),"^-?\d+(\.\d+)?,-?\d+(\.\d+)?$"),VALUE(REGEXEXTRACT(SUBSTITUTE(TRIM(F26)," ",""),"^-?\d+(\.\d+)?"))&gt;=-90,VALUE(REGEXEXTRACT(SUBSTITUTE(TRIM(F26)," ",""),"^-?\d+(\.\d+)?"))&lt;=90,VALUE(REGEXEXTRACT(SUBSTITUTE(TRIM(F26)," ",""),"-?\d+(\.\d+)?$"))&gt;=-180,VALUE(REGEXEXTRACT(SUBSTITUTE(TRIM(F26)," ",""),"-?\d+(\.\d+)?$"))&lt;=180),"OK","REVISAR"),"REVISAR"),"")</f>
        <v/>
      </c>
      <c r="O26">
        <f>IF(A26&lt;&gt;"","https://direcciones507.github.io/direcciones507/panel.html?codigo="&amp;A26&amp;"&amp;nombre="&amp;ENCODEURL(B26)&amp;"&amp;telefono="&amp;SUBSTITUTE(C26,"-","")&amp;"&amp;referencia="&amp;ENCODEURL(E26)&amp;"&amp;lat="&amp;IZQUIERDA(SUBSTITUTE(F26," ",""),ENCONTRAR(",",SUBSTITUTE(F26," ",""))-1)&amp;"&amp;lng="&amp;DERECHA(SUBSTITUTE(F26," ",""),LARGO(SUBSTITUTE(F26," ",""))-ENCONTRAR(",",SUBSTITUTE(F26," ",""))),"")</f>
        <v/>
      </c>
    </row>
    <row r="27" ht="15.75" customHeight="1" s="10">
      <c r="A27" s="8">
        <f>CONCAT("AD507-",TEXT(ROW()-2,"0000"))</f>
        <v/>
      </c>
      <c r="C27" s="8" t="n"/>
      <c r="F27" s="8" t="n"/>
      <c r="G27" s="8">
        <f>IF(F27&lt;&gt;"",HYPERLINK("https://www.google.com/maps/search/?api=1&amp;query="&amp;SUBSTITUTE(F27," ",""),"🗺 Google Maps"),"")</f>
        <v/>
      </c>
      <c r="H27" s="8">
        <f>IF(F27&lt;&gt;"",HYPERLINK("https://waze.com/ul?ll="&amp;SUBSTITUTE(F27," ","")&amp;"&amp;navigate=yes","🚗 Waze"),"")</f>
        <v/>
      </c>
      <c r="I27" s="8">
        <f>IF(F27&lt;&gt;"",HYPERLINK("https://m.uber.com/ul/?action=setPickup&amp;pickup=my_location&amp;dropoff[latitude]="&amp;LEFT(SUBSTITUTE(F27," ",""),FIND(",",SUBSTITUTE(F27," ",""))-1)&amp;"&amp;dropoff[longitude]="&amp;MID(SUBSTITUTE(F27," ",""),FIND(",",SUBSTITUTE(F27," ",""))+1,99),"🚕 Uber"),"")</f>
        <v/>
      </c>
      <c r="J27" s="8">
        <f>IF(F27&lt;&gt;"","https://api.qrserver.com/v1/create-qr-code/?size=200x200&amp;data="&amp;ENCODEURL("https://www.google.com/maps/search/?api=1&amp;query="&amp;SUBSTITUTE(F27," ","")),"")</f>
        <v/>
      </c>
      <c r="K27" s="8">
        <f>IF(C27&lt;&gt;"",HYPERLINK("https://wa.me/507"&amp;REGEXREPLACE(C27,"[^0-9]","")&amp;"?text="&amp;ENCODEURL("Ya llegue. Codigo: "&amp;A27&amp;". Ubicacion: "&amp;"https://www.google.com/maps/search/?api=1&amp;query="&amp;SUBSTITUTE(F27," ","")),"📲 Avisar al cliente"),"")</f>
        <v/>
      </c>
      <c r="L27" s="8">
        <f>IF(C27&lt;&gt;"","https://api.qrserver.com/v1/create-qr-code/?size=200x200&amp;data="&amp;ENCODEURL("https://wa.me/507"&amp;REGEXREPLACE(C27,"[^0-9]","")&amp;"?text="&amp;ENCODEURL("Ya llegue. Codigo: "&amp;A27&amp;". Ubicacion: "&amp;"https://www.google.com/maps/search/?api=1&amp;query="&amp;SUBSTITUTE(F27," ",""))),"")</f>
        <v/>
      </c>
      <c r="M27" s="8">
        <f>IF(B27&lt;&gt;"",TODAY(),"")</f>
        <v/>
      </c>
      <c r="N27" s="8">
        <f>IF(F27&lt;&gt;"",IFERROR(IF(AND(REGEXMATCH(SUBSTITUTE(TRIM(F27)," ",""),"^-?\d+(\.\d+)?,-?\d+(\.\d+)?$"),VALUE(REGEXEXTRACT(SUBSTITUTE(TRIM(F27)," ",""),"^-?\d+(\.\d+)?"))&gt;=-90,VALUE(REGEXEXTRACT(SUBSTITUTE(TRIM(F27)," ",""),"^-?\d+(\.\d+)?"))&lt;=90,VALUE(REGEXEXTRACT(SUBSTITUTE(TRIM(F27)," ",""),"-?\d+(\.\d+)?$"))&gt;=-180,VALUE(REGEXEXTRACT(SUBSTITUTE(TRIM(F27)," ",""),"-?\d+(\.\d+)?$"))&lt;=180),"OK","REVISAR"),"REVISAR"),"")</f>
        <v/>
      </c>
      <c r="O27">
        <f>IF(A27&lt;&gt;"","https://direcciones507.github.io/direcciones507/panel.html?codigo="&amp;A27&amp;"&amp;nombre="&amp;ENCODEURL(B27)&amp;"&amp;telefono="&amp;SUBSTITUTE(C27,"-","")&amp;"&amp;referencia="&amp;ENCODEURL(E27)&amp;"&amp;lat="&amp;IZQUIERDA(SUBSTITUTE(F27," ",""),ENCONTRAR(",",SUBSTITUTE(F27," ",""))-1)&amp;"&amp;lng="&amp;DERECHA(SUBSTITUTE(F27," ",""),LARGO(SUBSTITUTE(F27," ",""))-ENCONTRAR(",",SUBSTITUTE(F27," ",""))),"")</f>
        <v/>
      </c>
    </row>
    <row r="28" ht="15.75" customHeight="1" s="10">
      <c r="A28" s="8">
        <f>CONCAT("AD507-",TEXT(ROW()-2,"0000"))</f>
        <v/>
      </c>
      <c r="C28" s="8" t="n"/>
      <c r="F28" s="8" t="n"/>
      <c r="G28" s="8">
        <f>IF(F28&lt;&gt;"",HYPERLINK("https://www.google.com/maps/search/?api=1&amp;query="&amp;SUBSTITUTE(F28," ",""),"🗺 Google Maps"),"")</f>
        <v/>
      </c>
      <c r="H28" s="8">
        <f>IF(F28&lt;&gt;"",HYPERLINK("https://waze.com/ul?ll="&amp;SUBSTITUTE(F28," ","")&amp;"&amp;navigate=yes","🚗 Waze"),"")</f>
        <v/>
      </c>
      <c r="I28" s="8">
        <f>IF(F28&lt;&gt;"",HYPERLINK("https://m.uber.com/ul/?action=setPickup&amp;pickup=my_location&amp;dropoff[latitude]="&amp;LEFT(SUBSTITUTE(F28," ",""),FIND(",",SUBSTITUTE(F28," ",""))-1)&amp;"&amp;dropoff[longitude]="&amp;MID(SUBSTITUTE(F28," ",""),FIND(",",SUBSTITUTE(F28," ",""))+1,99),"🚕 Uber"),"")</f>
        <v/>
      </c>
      <c r="J28" s="8">
        <f>IF(F28&lt;&gt;"","https://api.qrserver.com/v1/create-qr-code/?size=200x200&amp;data="&amp;ENCODEURL("https://www.google.com/maps/search/?api=1&amp;query="&amp;SUBSTITUTE(F28," ","")),"")</f>
        <v/>
      </c>
      <c r="K28" s="8">
        <f>IF(C28&lt;&gt;"",HYPERLINK("https://wa.me/507"&amp;REGEXREPLACE(C28,"[^0-9]","")&amp;"?text="&amp;ENCODEURL("Ya llegue. Codigo: "&amp;A28&amp;". Ubicacion: "&amp;"https://www.google.com/maps/search/?api=1&amp;query="&amp;SUBSTITUTE(F28," ","")),"📲 Avisar al cliente"),"")</f>
        <v/>
      </c>
      <c r="L28" s="8">
        <f>IF(C28&lt;&gt;"","https://api.qrserver.com/v1/create-qr-code/?size=200x200&amp;data="&amp;ENCODEURL("https://wa.me/507"&amp;REGEXREPLACE(C28,"[^0-9]","")&amp;"?text="&amp;ENCODEURL("Ya llegue. Codigo: "&amp;A28&amp;". Ubicacion: "&amp;"https://www.google.com/maps/search/?api=1&amp;query="&amp;SUBSTITUTE(F28," ",""))),"")</f>
        <v/>
      </c>
      <c r="M28" s="8">
        <f>IF(B28&lt;&gt;"",TODAY(),"")</f>
        <v/>
      </c>
      <c r="N28" s="8">
        <f>IF(F28&lt;&gt;"",IFERROR(IF(AND(REGEXMATCH(SUBSTITUTE(TRIM(F28)," ",""),"^-?\d+(\.\d+)?,-?\d+(\.\d+)?$"),VALUE(REGEXEXTRACT(SUBSTITUTE(TRIM(F28)," ",""),"^-?\d+(\.\d+)?"))&gt;=-90,VALUE(REGEXEXTRACT(SUBSTITUTE(TRIM(F28)," ",""),"^-?\d+(\.\d+)?"))&lt;=90,VALUE(REGEXEXTRACT(SUBSTITUTE(TRIM(F28)," ",""),"-?\d+(\.\d+)?$"))&gt;=-180,VALUE(REGEXEXTRACT(SUBSTITUTE(TRIM(F28)," ",""),"-?\d+(\.\d+)?$"))&lt;=180),"OK","REVISAR"),"REVISAR"),"")</f>
        <v/>
      </c>
      <c r="O28">
        <f>IF(A28&lt;&gt;"","https://direcciones507.github.io/direcciones507/panel.html?codigo="&amp;A28&amp;"&amp;nombre="&amp;ENCODEURL(B28)&amp;"&amp;telefono="&amp;SUBSTITUTE(C28,"-","")&amp;"&amp;referencia="&amp;ENCODEURL(E28)&amp;"&amp;lat="&amp;IZQUIERDA(SUBSTITUTE(F28," ",""),ENCONTRAR(",",SUBSTITUTE(F28," ",""))-1)&amp;"&amp;lng="&amp;DERECHA(SUBSTITUTE(F28," ",""),LARGO(SUBSTITUTE(F28," ",""))-ENCONTRAR(",",SUBSTITUTE(F28," ",""))),"")</f>
        <v/>
      </c>
    </row>
    <row r="29" ht="15.75" customHeight="1" s="10">
      <c r="A29" s="8">
        <f>CONCAT("AD507-",TEXT(ROW()-2,"0000"))</f>
        <v/>
      </c>
      <c r="C29" s="8" t="n"/>
      <c r="F29" s="8" t="n"/>
      <c r="G29" s="8">
        <f>IF(F29&lt;&gt;"",HYPERLINK("https://www.google.com/maps/search/?api=1&amp;query="&amp;SUBSTITUTE(F29," ",""),"🗺 Google Maps"),"")</f>
        <v/>
      </c>
      <c r="H29" s="8">
        <f>IF(F29&lt;&gt;"",HYPERLINK("https://waze.com/ul?ll="&amp;SUBSTITUTE(F29," ","")&amp;"&amp;navigate=yes","🚗 Waze"),"")</f>
        <v/>
      </c>
      <c r="I29" s="8">
        <f>IF(F29&lt;&gt;"",HYPERLINK("https://m.uber.com/ul/?action=setPickup&amp;pickup=my_location&amp;dropoff[latitude]="&amp;LEFT(SUBSTITUTE(F29," ",""),FIND(",",SUBSTITUTE(F29," ",""))-1)&amp;"&amp;dropoff[longitude]="&amp;MID(SUBSTITUTE(F29," ",""),FIND(",",SUBSTITUTE(F29," ",""))+1,99),"🚕 Uber"),"")</f>
        <v/>
      </c>
      <c r="J29" s="8">
        <f>IF(F29&lt;&gt;"","https://api.qrserver.com/v1/create-qr-code/?size=200x200&amp;data="&amp;ENCODEURL("https://www.google.com/maps/search/?api=1&amp;query="&amp;SUBSTITUTE(F29," ","")),"")</f>
        <v/>
      </c>
      <c r="K29" s="8">
        <f>IF(C29&lt;&gt;"",HYPERLINK("https://wa.me/507"&amp;REGEXREPLACE(C29,"[^0-9]","")&amp;"?text="&amp;ENCODEURL("Ya llegue. Codigo: "&amp;A29&amp;". Ubicacion: "&amp;"https://www.google.com/maps/search/?api=1&amp;query="&amp;SUBSTITUTE(F29," ","")),"📲 Avisar al cliente"),"")</f>
        <v/>
      </c>
      <c r="L29" s="8">
        <f>IF(C29&lt;&gt;"","https://api.qrserver.com/v1/create-qr-code/?size=200x200&amp;data="&amp;ENCODEURL("https://wa.me/507"&amp;REGEXREPLACE(C29,"[^0-9]","")&amp;"?text="&amp;ENCODEURL("Ya llegue. Codigo: "&amp;A29&amp;". Ubicacion: "&amp;"https://www.google.com/maps/search/?api=1&amp;query="&amp;SUBSTITUTE(F29," ",""))),"")</f>
        <v/>
      </c>
      <c r="M29" s="8">
        <f>IF(B29&lt;&gt;"",TODAY(),"")</f>
        <v/>
      </c>
      <c r="N29" s="8">
        <f>IF(F29&lt;&gt;"",IFERROR(IF(AND(REGEXMATCH(SUBSTITUTE(TRIM(F29)," ",""),"^-?\d+(\.\d+)?,-?\d+(\.\d+)?$"),VALUE(REGEXEXTRACT(SUBSTITUTE(TRIM(F29)," ",""),"^-?\d+(\.\d+)?"))&gt;=-90,VALUE(REGEXEXTRACT(SUBSTITUTE(TRIM(F29)," ",""),"^-?\d+(\.\d+)?"))&lt;=90,VALUE(REGEXEXTRACT(SUBSTITUTE(TRIM(F29)," ",""),"-?\d+(\.\d+)?$"))&gt;=-180,VALUE(REGEXEXTRACT(SUBSTITUTE(TRIM(F29)," ",""),"-?\d+(\.\d+)?$"))&lt;=180),"OK","REVISAR"),"REVISAR"),"")</f>
        <v/>
      </c>
      <c r="O29">
        <f>IF(A29&lt;&gt;"","https://direcciones507.github.io/direcciones507/panel.html?codigo="&amp;A29&amp;"&amp;nombre="&amp;ENCODEURL(B29)&amp;"&amp;telefono="&amp;SUBSTITUTE(C29,"-","")&amp;"&amp;referencia="&amp;ENCODEURL(E29)&amp;"&amp;lat="&amp;IZQUIERDA(SUBSTITUTE(F29," ",""),ENCONTRAR(",",SUBSTITUTE(F29," ",""))-1)&amp;"&amp;lng="&amp;DERECHA(SUBSTITUTE(F29," ",""),LARGO(SUBSTITUTE(F29," ",""))-ENCONTRAR(",",SUBSTITUTE(F29," ",""))),"")</f>
        <v/>
      </c>
    </row>
    <row r="30" ht="15.75" customHeight="1" s="10">
      <c r="A30" s="8">
        <f>CONCAT("AD507-",TEXT(ROW()-2,"0000"))</f>
        <v/>
      </c>
      <c r="C30" s="8" t="n"/>
      <c r="F30" s="8" t="n"/>
      <c r="G30" s="8">
        <f>IF(F30&lt;&gt;"",HYPERLINK("https://www.google.com/maps/search/?api=1&amp;query="&amp;SUBSTITUTE(F30," ",""),"🗺 Google Maps"),"")</f>
        <v/>
      </c>
      <c r="H30" s="8">
        <f>IF(F30&lt;&gt;"",HYPERLINK("https://waze.com/ul?ll="&amp;SUBSTITUTE(F30," ","")&amp;"&amp;navigate=yes","🚗 Waze"),"")</f>
        <v/>
      </c>
      <c r="I30" s="8">
        <f>IF(F30&lt;&gt;"",HYPERLINK("https://m.uber.com/ul/?action=setPickup&amp;pickup=my_location&amp;dropoff[latitude]="&amp;LEFT(SUBSTITUTE(F30," ",""),FIND(",",SUBSTITUTE(F30," ",""))-1)&amp;"&amp;dropoff[longitude]="&amp;MID(SUBSTITUTE(F30," ",""),FIND(",",SUBSTITUTE(F30," ",""))+1,99),"🚕 Uber"),"")</f>
        <v/>
      </c>
      <c r="J30" s="8">
        <f>IF(F30&lt;&gt;"","https://api.qrserver.com/v1/create-qr-code/?size=200x200&amp;data="&amp;ENCODEURL("https://www.google.com/maps/search/?api=1&amp;query="&amp;SUBSTITUTE(F30," ","")),"")</f>
        <v/>
      </c>
      <c r="K30" s="8">
        <f>IF(C30&lt;&gt;"",HYPERLINK("https://wa.me/507"&amp;REGEXREPLACE(C30,"[^0-9]","")&amp;"?text="&amp;ENCODEURL("Ya llegue. Codigo: "&amp;A30&amp;". Ubicacion: "&amp;"https://www.google.com/maps/search/?api=1&amp;query="&amp;SUBSTITUTE(F30," ","")),"📲 Avisar al cliente"),"")</f>
        <v/>
      </c>
      <c r="L30" s="8">
        <f>IF(C30&lt;&gt;"","https://api.qrserver.com/v1/create-qr-code/?size=200x200&amp;data="&amp;ENCODEURL("https://wa.me/507"&amp;REGEXREPLACE(C30,"[^0-9]","")&amp;"?text="&amp;ENCODEURL("Ya llegue. Codigo: "&amp;A30&amp;". Ubicacion: "&amp;"https://www.google.com/maps/search/?api=1&amp;query="&amp;SUBSTITUTE(F30," ",""))),"")</f>
        <v/>
      </c>
      <c r="M30" s="8">
        <f>IF(B30&lt;&gt;"",TODAY(),"")</f>
        <v/>
      </c>
      <c r="N30" s="8">
        <f>IF(F30&lt;&gt;"",IFERROR(IF(AND(REGEXMATCH(SUBSTITUTE(TRIM(F30)," ",""),"^-?\d+(\.\d+)?,-?\d+(\.\d+)?$"),VALUE(REGEXEXTRACT(SUBSTITUTE(TRIM(F30)," ",""),"^-?\d+(\.\d+)?"))&gt;=-90,VALUE(REGEXEXTRACT(SUBSTITUTE(TRIM(F30)," ",""),"^-?\d+(\.\d+)?"))&lt;=90,VALUE(REGEXEXTRACT(SUBSTITUTE(TRIM(F30)," ",""),"-?\d+(\.\d+)?$"))&gt;=-180,VALUE(REGEXEXTRACT(SUBSTITUTE(TRIM(F30)," ",""),"-?\d+(\.\d+)?$"))&lt;=180),"OK","REVISAR"),"REVISAR"),"")</f>
        <v/>
      </c>
      <c r="O30">
        <f>IF(A30&lt;&gt;"","https://direcciones507.github.io/direcciones507/panel.html?codigo="&amp;A30&amp;"&amp;nombre="&amp;ENCODEURL(B30)&amp;"&amp;telefono="&amp;SUBSTITUTE(C30,"-","")&amp;"&amp;referencia="&amp;ENCODEURL(E30)&amp;"&amp;lat="&amp;IZQUIERDA(SUBSTITUTE(F30," ",""),ENCONTRAR(",",SUBSTITUTE(F30," ",""))-1)&amp;"&amp;lng="&amp;DERECHA(SUBSTITUTE(F30," ",""),LARGO(SUBSTITUTE(F30," ",""))-ENCONTRAR(",",SUBSTITUTE(F30," ",""))),"")</f>
        <v/>
      </c>
    </row>
    <row r="31" ht="15.75" customHeight="1" s="10">
      <c r="A31" s="8">
        <f>CONCAT("AD507-",TEXT(ROW()-2,"0000"))</f>
        <v/>
      </c>
      <c r="C31" s="8" t="n"/>
      <c r="F31" s="8" t="n"/>
      <c r="G31" s="8">
        <f>IF(F31&lt;&gt;"",HYPERLINK("https://www.google.com/maps/search/?api=1&amp;query="&amp;SUBSTITUTE(F31," ",""),"🗺 Google Maps"),"")</f>
        <v/>
      </c>
      <c r="H31" s="8">
        <f>IF(F31&lt;&gt;"",HYPERLINK("https://waze.com/ul?ll="&amp;SUBSTITUTE(F31," ","")&amp;"&amp;navigate=yes","🚗 Waze"),"")</f>
        <v/>
      </c>
      <c r="I31" s="8">
        <f>IF(F31&lt;&gt;"",HYPERLINK("https://m.uber.com/ul/?action=setPickup&amp;pickup=my_location&amp;dropoff[latitude]="&amp;LEFT(SUBSTITUTE(F31," ",""),FIND(",",SUBSTITUTE(F31," ",""))-1)&amp;"&amp;dropoff[longitude]="&amp;MID(SUBSTITUTE(F31," ",""),FIND(",",SUBSTITUTE(F31," ",""))+1,99),"🚕 Uber"),"")</f>
        <v/>
      </c>
      <c r="J31" s="8">
        <f>IF(F31&lt;&gt;"","https://api.qrserver.com/v1/create-qr-code/?size=200x200&amp;data="&amp;ENCODEURL("https://www.google.com/maps/search/?api=1&amp;query="&amp;SUBSTITUTE(F31," ","")),"")</f>
        <v/>
      </c>
      <c r="K31" s="8">
        <f>IF(C31&lt;&gt;"",HYPERLINK("https://wa.me/507"&amp;REGEXREPLACE(C31,"[^0-9]","")&amp;"?text="&amp;ENCODEURL("Ya llegue. Codigo: "&amp;A31&amp;". Ubicacion: "&amp;"https://www.google.com/maps/search/?api=1&amp;query="&amp;SUBSTITUTE(F31," ","")),"📲 Avisar al cliente"),"")</f>
        <v/>
      </c>
      <c r="L31" s="8">
        <f>IF(C31&lt;&gt;"","https://api.qrserver.com/v1/create-qr-code/?size=200x200&amp;data="&amp;ENCODEURL("https://wa.me/507"&amp;REGEXREPLACE(C31,"[^0-9]","")&amp;"?text="&amp;ENCODEURL("Ya llegue. Codigo: "&amp;A31&amp;". Ubicacion: "&amp;"https://www.google.com/maps/search/?api=1&amp;query="&amp;SUBSTITUTE(F31," ",""))),"")</f>
        <v/>
      </c>
      <c r="M31" s="8">
        <f>IF(B31&lt;&gt;"",TODAY(),"")</f>
        <v/>
      </c>
      <c r="N31" s="8">
        <f>IF(F31&lt;&gt;"",IFERROR(IF(AND(REGEXMATCH(SUBSTITUTE(TRIM(F31)," ",""),"^-?\d+(\.\d+)?,-?\d+(\.\d+)?$"),VALUE(REGEXEXTRACT(SUBSTITUTE(TRIM(F31)," ",""),"^-?\d+(\.\d+)?"))&gt;=-90,VALUE(REGEXEXTRACT(SUBSTITUTE(TRIM(F31)," ",""),"^-?\d+(\.\d+)?"))&lt;=90,VALUE(REGEXEXTRACT(SUBSTITUTE(TRIM(F31)," ",""),"-?\d+(\.\d+)?$"))&gt;=-180,VALUE(REGEXEXTRACT(SUBSTITUTE(TRIM(F31)," ",""),"-?\d+(\.\d+)?$"))&lt;=180),"OK","REVISAR"),"REVISAR"),"")</f>
        <v/>
      </c>
      <c r="O31">
        <f>IF(A31&lt;&gt;"","https://direcciones507.github.io/direcciones507/panel.html?codigo="&amp;A31&amp;"&amp;nombre="&amp;ENCODEURL(B31)&amp;"&amp;telefono="&amp;SUBSTITUTE(C31,"-","")&amp;"&amp;referencia="&amp;ENCODEURL(E31)&amp;"&amp;lat="&amp;IZQUIERDA(SUBSTITUTE(F31," ",""),ENCONTRAR(",",SUBSTITUTE(F31," ",""))-1)&amp;"&amp;lng="&amp;DERECHA(SUBSTITUTE(F31," ",""),LARGO(SUBSTITUTE(F31," ",""))-ENCONTRAR(",",SUBSTITUTE(F31," ",""))),"")</f>
        <v/>
      </c>
    </row>
    <row r="32" ht="15.75" customHeight="1" s="10">
      <c r="A32" s="8">
        <f>CONCAT("AD507-",TEXT(ROW()-2,"0000"))</f>
        <v/>
      </c>
      <c r="C32" s="8" t="n"/>
      <c r="F32" s="8" t="n"/>
      <c r="G32" s="8">
        <f>IF(F32&lt;&gt;"",HYPERLINK("https://www.google.com/maps/search/?api=1&amp;query="&amp;SUBSTITUTE(F32," ",""),"🗺 Google Maps"),"")</f>
        <v/>
      </c>
      <c r="H32" s="8">
        <f>IF(F32&lt;&gt;"",HYPERLINK("https://waze.com/ul?ll="&amp;SUBSTITUTE(F32," ","")&amp;"&amp;navigate=yes","🚗 Waze"),"")</f>
        <v/>
      </c>
      <c r="I32" s="8">
        <f>IF(F32&lt;&gt;"",HYPERLINK("https://m.uber.com/ul/?action=setPickup&amp;pickup=my_location&amp;dropoff[latitude]="&amp;LEFT(SUBSTITUTE(F32," ",""),FIND(",",SUBSTITUTE(F32," ",""))-1)&amp;"&amp;dropoff[longitude]="&amp;MID(SUBSTITUTE(F32," ",""),FIND(",",SUBSTITUTE(F32," ",""))+1,99),"🚕 Uber"),"")</f>
        <v/>
      </c>
      <c r="J32" s="8">
        <f>IF(F32&lt;&gt;"","https://api.qrserver.com/v1/create-qr-code/?size=200x200&amp;data="&amp;ENCODEURL("https://www.google.com/maps/search/?api=1&amp;query="&amp;SUBSTITUTE(F32," ","")),"")</f>
        <v/>
      </c>
      <c r="K32" s="8">
        <f>IF(C32&lt;&gt;"",HYPERLINK("https://wa.me/507"&amp;REGEXREPLACE(C32,"[^0-9]","")&amp;"?text="&amp;ENCODEURL("Ya llegue. Codigo: "&amp;A32&amp;". Ubicacion: "&amp;"https://www.google.com/maps/search/?api=1&amp;query="&amp;SUBSTITUTE(F32," ","")),"📲 Avisar al cliente"),"")</f>
        <v/>
      </c>
      <c r="L32" s="8">
        <f>IF(C32&lt;&gt;"","https://api.qrserver.com/v1/create-qr-code/?size=200x200&amp;data="&amp;ENCODEURL("https://wa.me/507"&amp;REGEXREPLACE(C32,"[^0-9]","")&amp;"?text="&amp;ENCODEURL("Ya llegue. Codigo: "&amp;A32&amp;". Ubicacion: "&amp;"https://www.google.com/maps/search/?api=1&amp;query="&amp;SUBSTITUTE(F32," ",""))),"")</f>
        <v/>
      </c>
      <c r="M32" s="8">
        <f>IF(B32&lt;&gt;"",TODAY(),"")</f>
        <v/>
      </c>
      <c r="N32" s="8">
        <f>IF(F32&lt;&gt;"",IFERROR(IF(AND(REGEXMATCH(SUBSTITUTE(TRIM(F32)," ",""),"^-?\d+(\.\d+)?,-?\d+(\.\d+)?$"),VALUE(REGEXEXTRACT(SUBSTITUTE(TRIM(F32)," ",""),"^-?\d+(\.\d+)?"))&gt;=-90,VALUE(REGEXEXTRACT(SUBSTITUTE(TRIM(F32)," ",""),"^-?\d+(\.\d+)?"))&lt;=90,VALUE(REGEXEXTRACT(SUBSTITUTE(TRIM(F32)," ",""),"-?\d+(\.\d+)?$"))&gt;=-180,VALUE(REGEXEXTRACT(SUBSTITUTE(TRIM(F32)," ",""),"-?\d+(\.\d+)?$"))&lt;=180),"OK","REVISAR"),"REVISAR"),"")</f>
        <v/>
      </c>
      <c r="O32">
        <f>IF(A32&lt;&gt;"","https://direcciones507.github.io/direcciones507/panel.html?codigo="&amp;A32&amp;"&amp;nombre="&amp;ENCODEURL(B32)&amp;"&amp;telefono="&amp;SUBSTITUTE(C32,"-","")&amp;"&amp;referencia="&amp;ENCODEURL(E32)&amp;"&amp;lat="&amp;IZQUIERDA(SUBSTITUTE(F32," ",""),ENCONTRAR(",",SUBSTITUTE(F32," ",""))-1)&amp;"&amp;lng="&amp;DERECHA(SUBSTITUTE(F32," ",""),LARGO(SUBSTITUTE(F32," ",""))-ENCONTRAR(",",SUBSTITUTE(F32," ",""))),"")</f>
        <v/>
      </c>
    </row>
    <row r="33" ht="15.75" customHeight="1" s="10">
      <c r="A33" s="8">
        <f>CONCAT("AD507-",TEXT(ROW()-2,"0000"))</f>
        <v/>
      </c>
      <c r="C33" s="8" t="n"/>
      <c r="F33" s="8" t="n"/>
      <c r="G33" s="8">
        <f>IF(F33&lt;&gt;"",HYPERLINK("https://www.google.com/maps/search/?api=1&amp;query="&amp;SUBSTITUTE(F33," ",""),"🗺 Google Maps"),"")</f>
        <v/>
      </c>
      <c r="H33" s="8">
        <f>IF(F33&lt;&gt;"",HYPERLINK("https://waze.com/ul?ll="&amp;SUBSTITUTE(F33," ","")&amp;"&amp;navigate=yes","🚗 Waze"),"")</f>
        <v/>
      </c>
      <c r="I33" s="8">
        <f>IF(F33&lt;&gt;"",HYPERLINK("https://m.uber.com/ul/?action=setPickup&amp;pickup=my_location&amp;dropoff[latitude]="&amp;LEFT(SUBSTITUTE(F33," ",""),FIND(",",SUBSTITUTE(F33," ",""))-1)&amp;"&amp;dropoff[longitude]="&amp;MID(SUBSTITUTE(F33," ",""),FIND(",",SUBSTITUTE(F33," ",""))+1,99),"🚕 Uber"),"")</f>
        <v/>
      </c>
      <c r="J33" s="8">
        <f>IF(F33&lt;&gt;"","https://api.qrserver.com/v1/create-qr-code/?size=200x200&amp;data="&amp;ENCODEURL("https://www.google.com/maps/search/?api=1&amp;query="&amp;SUBSTITUTE(F33," ","")),"")</f>
        <v/>
      </c>
      <c r="K33" s="8">
        <f>IF(C33&lt;&gt;"",HYPERLINK("https://wa.me/507"&amp;REGEXREPLACE(C33,"[^0-9]","")&amp;"?text="&amp;ENCODEURL("Ya llegue. Codigo: "&amp;A33&amp;". Ubicacion: "&amp;"https://www.google.com/maps/search/?api=1&amp;query="&amp;SUBSTITUTE(F33," ","")),"📲 Avisar al cliente"),"")</f>
        <v/>
      </c>
      <c r="L33" s="8">
        <f>IF(C33&lt;&gt;"","https://api.qrserver.com/v1/create-qr-code/?size=200x200&amp;data="&amp;ENCODEURL("https://wa.me/507"&amp;REGEXREPLACE(C33,"[^0-9]","")&amp;"?text="&amp;ENCODEURL("Ya llegue. Codigo: "&amp;A33&amp;". Ubicacion: "&amp;"https://www.google.com/maps/search/?api=1&amp;query="&amp;SUBSTITUTE(F33," ",""))),"")</f>
        <v/>
      </c>
      <c r="M33" s="8">
        <f>IF(B33&lt;&gt;"",TODAY(),"")</f>
        <v/>
      </c>
      <c r="N33" s="8">
        <f>IF(F33&lt;&gt;"",IFERROR(IF(AND(REGEXMATCH(SUBSTITUTE(TRIM(F33)," ",""),"^-?\d+(\.\d+)?,-?\d+(\.\d+)?$"),VALUE(REGEXEXTRACT(SUBSTITUTE(TRIM(F33)," ",""),"^-?\d+(\.\d+)?"))&gt;=-90,VALUE(REGEXEXTRACT(SUBSTITUTE(TRIM(F33)," ",""),"^-?\d+(\.\d+)?"))&lt;=90,VALUE(REGEXEXTRACT(SUBSTITUTE(TRIM(F33)," ",""),"-?\d+(\.\d+)?$"))&gt;=-180,VALUE(REGEXEXTRACT(SUBSTITUTE(TRIM(F33)," ",""),"-?\d+(\.\d+)?$"))&lt;=180),"OK","REVISAR"),"REVISAR"),"")</f>
        <v/>
      </c>
      <c r="O33">
        <f>IF(A33&lt;&gt;"","https://direcciones507.github.io/direcciones507/panel.html?codigo="&amp;A33&amp;"&amp;nombre="&amp;ENCODEURL(B33)&amp;"&amp;telefono="&amp;SUBSTITUTE(C33,"-","")&amp;"&amp;referencia="&amp;ENCODEURL(E33)&amp;"&amp;lat="&amp;IZQUIERDA(SUBSTITUTE(F33," ",""),ENCONTRAR(",",SUBSTITUTE(F33," ",""))-1)&amp;"&amp;lng="&amp;DERECHA(SUBSTITUTE(F33," ",""),LARGO(SUBSTITUTE(F33," ",""))-ENCONTRAR(",",SUBSTITUTE(F33," ",""))),"")</f>
        <v/>
      </c>
    </row>
    <row r="34" ht="15.75" customHeight="1" s="10">
      <c r="A34" s="8">
        <f>CONCAT("AD507-",TEXT(ROW()-2,"0000"))</f>
        <v/>
      </c>
      <c r="C34" s="8" t="n"/>
      <c r="F34" s="8" t="n"/>
      <c r="G34" s="8">
        <f>IF(F34&lt;&gt;"",HYPERLINK("https://www.google.com/maps/search/?api=1&amp;query="&amp;SUBSTITUTE(F34," ",""),"🗺 Google Maps"),"")</f>
        <v/>
      </c>
      <c r="H34" s="8">
        <f>IF(F34&lt;&gt;"",HYPERLINK("https://waze.com/ul?ll="&amp;SUBSTITUTE(F34," ","")&amp;"&amp;navigate=yes","🚗 Waze"),"")</f>
        <v/>
      </c>
      <c r="I34" s="8">
        <f>IF(F34&lt;&gt;"",HYPERLINK("https://m.uber.com/ul/?action=setPickup&amp;pickup=my_location&amp;dropoff[latitude]="&amp;LEFT(SUBSTITUTE(F34," ",""),FIND(",",SUBSTITUTE(F34," ",""))-1)&amp;"&amp;dropoff[longitude]="&amp;MID(SUBSTITUTE(F34," ",""),FIND(",",SUBSTITUTE(F34," ",""))+1,99),"🚕 Uber"),"")</f>
        <v/>
      </c>
      <c r="J34" s="8">
        <f>IF(F34&lt;&gt;"","https://api.qrserver.com/v1/create-qr-code/?size=200x200&amp;data="&amp;ENCODEURL("https://www.google.com/maps/search/?api=1&amp;query="&amp;SUBSTITUTE(F34," ","")),"")</f>
        <v/>
      </c>
      <c r="K34" s="8">
        <f>IF(C34&lt;&gt;"",HYPERLINK("https://wa.me/507"&amp;REGEXREPLACE(C34,"[^0-9]","")&amp;"?text="&amp;ENCODEURL("Ya llegue. Codigo: "&amp;A34&amp;". Ubicacion: "&amp;"https://www.google.com/maps/search/?api=1&amp;query="&amp;SUBSTITUTE(F34," ","")),"📲 Avisar al cliente"),"")</f>
        <v/>
      </c>
      <c r="L34" s="8">
        <f>IF(C34&lt;&gt;"","https://api.qrserver.com/v1/create-qr-code/?size=200x200&amp;data="&amp;ENCODEURL("https://wa.me/507"&amp;REGEXREPLACE(C34,"[^0-9]","")&amp;"?text="&amp;ENCODEURL("Ya llegue. Codigo: "&amp;A34&amp;". Ubicacion: "&amp;"https://www.google.com/maps/search/?api=1&amp;query="&amp;SUBSTITUTE(F34," ",""))),"")</f>
        <v/>
      </c>
      <c r="M34" s="8">
        <f>IF(B34&lt;&gt;"",TODAY(),"")</f>
        <v/>
      </c>
      <c r="N34" s="8">
        <f>IF(F34&lt;&gt;"",IFERROR(IF(AND(REGEXMATCH(SUBSTITUTE(TRIM(F34)," ",""),"^-?\d+(\.\d+)?,-?\d+(\.\d+)?$"),VALUE(REGEXEXTRACT(SUBSTITUTE(TRIM(F34)," ",""),"^-?\d+(\.\d+)?"))&gt;=-90,VALUE(REGEXEXTRACT(SUBSTITUTE(TRIM(F34)," ",""),"^-?\d+(\.\d+)?"))&lt;=90,VALUE(REGEXEXTRACT(SUBSTITUTE(TRIM(F34)," ",""),"-?\d+(\.\d+)?$"))&gt;=-180,VALUE(REGEXEXTRACT(SUBSTITUTE(TRIM(F34)," ",""),"-?\d+(\.\d+)?$"))&lt;=180),"OK","REVISAR"),"REVISAR"),"")</f>
        <v/>
      </c>
      <c r="O34">
        <f>IF(A34&lt;&gt;"","https://direcciones507.github.io/direcciones507/panel.html?codigo="&amp;A34&amp;"&amp;nombre="&amp;ENCODEURL(B34)&amp;"&amp;telefono="&amp;SUBSTITUTE(C34,"-","")&amp;"&amp;referencia="&amp;ENCODEURL(E34)&amp;"&amp;lat="&amp;IZQUIERDA(SUBSTITUTE(F34," ",""),ENCONTRAR(",",SUBSTITUTE(F34," ",""))-1)&amp;"&amp;lng="&amp;DERECHA(SUBSTITUTE(F34," ",""),LARGO(SUBSTITUTE(F34," ",""))-ENCONTRAR(",",SUBSTITUTE(F34," ",""))),"")</f>
        <v/>
      </c>
    </row>
    <row r="35" ht="15.75" customHeight="1" s="10">
      <c r="A35" s="8">
        <f>CONCAT("AD507-",TEXT(ROW()-2,"0000"))</f>
        <v/>
      </c>
      <c r="C35" s="8" t="n"/>
      <c r="F35" s="8" t="n"/>
      <c r="G35" s="8">
        <f>IF(F35&lt;&gt;"",HYPERLINK("https://www.google.com/maps/search/?api=1&amp;query="&amp;SUBSTITUTE(F35," ",""),"🗺 Google Maps"),"")</f>
        <v/>
      </c>
      <c r="H35" s="8">
        <f>IF(F35&lt;&gt;"",HYPERLINK("https://waze.com/ul?ll="&amp;SUBSTITUTE(F35," ","")&amp;"&amp;navigate=yes","🚗 Waze"),"")</f>
        <v/>
      </c>
      <c r="I35" s="8">
        <f>IF(F35&lt;&gt;"",HYPERLINK("https://m.uber.com/ul/?action=setPickup&amp;pickup=my_location&amp;dropoff[latitude]="&amp;LEFT(SUBSTITUTE(F35," ",""),FIND(",",SUBSTITUTE(F35," ",""))-1)&amp;"&amp;dropoff[longitude]="&amp;MID(SUBSTITUTE(F35," ",""),FIND(",",SUBSTITUTE(F35," ",""))+1,99),"🚕 Uber"),"")</f>
        <v/>
      </c>
      <c r="J35" s="8">
        <f>IF(F35&lt;&gt;"","https://api.qrserver.com/v1/create-qr-code/?size=200x200&amp;data="&amp;ENCODEURL("https://www.google.com/maps/search/?api=1&amp;query="&amp;SUBSTITUTE(F35," ","")),"")</f>
        <v/>
      </c>
      <c r="K35" s="8">
        <f>IF(C35&lt;&gt;"",HYPERLINK("https://wa.me/507"&amp;REGEXREPLACE(C35,"[^0-9]","")&amp;"?text="&amp;ENCODEURL("Ya llegue. Codigo: "&amp;A35&amp;". Ubicacion: "&amp;"https://www.google.com/maps/search/?api=1&amp;query="&amp;SUBSTITUTE(F35," ","")),"📲 Avisar al cliente"),"")</f>
        <v/>
      </c>
      <c r="L35" s="8">
        <f>IF(C35&lt;&gt;"","https://api.qrserver.com/v1/create-qr-code/?size=200x200&amp;data="&amp;ENCODEURL("https://wa.me/507"&amp;REGEXREPLACE(C35,"[^0-9]","")&amp;"?text="&amp;ENCODEURL("Ya llegue. Codigo: "&amp;A35&amp;". Ubicacion: "&amp;"https://www.google.com/maps/search/?api=1&amp;query="&amp;SUBSTITUTE(F35," ",""))),"")</f>
        <v/>
      </c>
      <c r="M35" s="8">
        <f>IF(B35&lt;&gt;"",TODAY(),"")</f>
        <v/>
      </c>
      <c r="N35" s="8">
        <f>IF(F35&lt;&gt;"",IFERROR(IF(AND(REGEXMATCH(SUBSTITUTE(TRIM(F35)," ",""),"^-?\d+(\.\d+)?,-?\d+(\.\d+)?$"),VALUE(REGEXEXTRACT(SUBSTITUTE(TRIM(F35)," ",""),"^-?\d+(\.\d+)?"))&gt;=-90,VALUE(REGEXEXTRACT(SUBSTITUTE(TRIM(F35)," ",""),"^-?\d+(\.\d+)?"))&lt;=90,VALUE(REGEXEXTRACT(SUBSTITUTE(TRIM(F35)," ",""),"-?\d+(\.\d+)?$"))&gt;=-180,VALUE(REGEXEXTRACT(SUBSTITUTE(TRIM(F35)," ",""),"-?\d+(\.\d+)?$"))&lt;=180),"OK","REVISAR"),"REVISAR"),"")</f>
        <v/>
      </c>
      <c r="O35">
        <f>IF(A35&lt;&gt;"","https://direcciones507.github.io/direcciones507/panel.html?codigo="&amp;A35&amp;"&amp;nombre="&amp;ENCODEURL(B35)&amp;"&amp;telefono="&amp;SUBSTITUTE(C35,"-","")&amp;"&amp;referencia="&amp;ENCODEURL(E35)&amp;"&amp;lat="&amp;IZQUIERDA(SUBSTITUTE(F35," ",""),ENCONTRAR(",",SUBSTITUTE(F35," ",""))-1)&amp;"&amp;lng="&amp;DERECHA(SUBSTITUTE(F35," ",""),LARGO(SUBSTITUTE(F35," ",""))-ENCONTRAR(",",SUBSTITUTE(F35," ",""))),"")</f>
        <v/>
      </c>
    </row>
    <row r="36" ht="15.75" customHeight="1" s="10">
      <c r="A36" s="8">
        <f>CONCAT("AD507-",TEXT(ROW()-2,"0000"))</f>
        <v/>
      </c>
      <c r="C36" s="8" t="n"/>
      <c r="F36" s="8" t="n"/>
      <c r="G36" s="8">
        <f>IF(F36&lt;&gt;"",HYPERLINK("https://www.google.com/maps/search/?api=1&amp;query="&amp;SUBSTITUTE(F36," ",""),"🗺 Google Maps"),"")</f>
        <v/>
      </c>
      <c r="H36" s="8">
        <f>IF(F36&lt;&gt;"",HYPERLINK("https://waze.com/ul?ll="&amp;SUBSTITUTE(F36," ","")&amp;"&amp;navigate=yes","🚗 Waze"),"")</f>
        <v/>
      </c>
      <c r="I36" s="8">
        <f>IF(F36&lt;&gt;"",HYPERLINK("https://m.uber.com/ul/?action=setPickup&amp;pickup=my_location&amp;dropoff[latitude]="&amp;LEFT(SUBSTITUTE(F36," ",""),FIND(",",SUBSTITUTE(F36," ",""))-1)&amp;"&amp;dropoff[longitude]="&amp;MID(SUBSTITUTE(F36," ",""),FIND(",",SUBSTITUTE(F36," ",""))+1,99),"🚕 Uber"),"")</f>
        <v/>
      </c>
      <c r="J36" s="8">
        <f>IF(F36&lt;&gt;"","https://api.qrserver.com/v1/create-qr-code/?size=200x200&amp;data="&amp;ENCODEURL("https://www.google.com/maps/search/?api=1&amp;query="&amp;SUBSTITUTE(F36," ","")),"")</f>
        <v/>
      </c>
      <c r="K36" s="8">
        <f>IF(C36&lt;&gt;"",HYPERLINK("https://wa.me/507"&amp;REGEXREPLACE(C36,"[^0-9]","")&amp;"?text="&amp;ENCODEURL("Ya llegue. Codigo: "&amp;A36&amp;". Ubicacion: "&amp;"https://www.google.com/maps/search/?api=1&amp;query="&amp;SUBSTITUTE(F36," ","")),"📲 Avisar al cliente"),"")</f>
        <v/>
      </c>
      <c r="L36" s="8">
        <f>IF(C36&lt;&gt;"","https://api.qrserver.com/v1/create-qr-code/?size=200x200&amp;data="&amp;ENCODEURL("https://wa.me/507"&amp;REGEXREPLACE(C36,"[^0-9]","")&amp;"?text="&amp;ENCODEURL("Ya llegue. Codigo: "&amp;A36&amp;". Ubicacion: "&amp;"https://www.google.com/maps/search/?api=1&amp;query="&amp;SUBSTITUTE(F36," ",""))),"")</f>
        <v/>
      </c>
      <c r="M36" s="8">
        <f>IF(B36&lt;&gt;"",TODAY(),"")</f>
        <v/>
      </c>
      <c r="N36" s="8">
        <f>IF(F36&lt;&gt;"",IFERROR(IF(AND(REGEXMATCH(SUBSTITUTE(TRIM(F36)," ",""),"^-?\d+(\.\d+)?,-?\d+(\.\d+)?$"),VALUE(REGEXEXTRACT(SUBSTITUTE(TRIM(F36)," ",""),"^-?\d+(\.\d+)?"))&gt;=-90,VALUE(REGEXEXTRACT(SUBSTITUTE(TRIM(F36)," ",""),"^-?\d+(\.\d+)?"))&lt;=90,VALUE(REGEXEXTRACT(SUBSTITUTE(TRIM(F36)," ",""),"-?\d+(\.\d+)?$"))&gt;=-180,VALUE(REGEXEXTRACT(SUBSTITUTE(TRIM(F36)," ",""),"-?\d+(\.\d+)?$"))&lt;=180),"OK","REVISAR"),"REVISAR"),"")</f>
        <v/>
      </c>
      <c r="O36">
        <f>IF(A36&lt;&gt;"","https://direcciones507.github.io/direcciones507/panel.html?codigo="&amp;A36&amp;"&amp;nombre="&amp;ENCODEURL(B36)&amp;"&amp;telefono="&amp;SUBSTITUTE(C36,"-","")&amp;"&amp;referencia="&amp;ENCODEURL(E36)&amp;"&amp;lat="&amp;IZQUIERDA(SUBSTITUTE(F36," ",""),ENCONTRAR(",",SUBSTITUTE(F36," ",""))-1)&amp;"&amp;lng="&amp;DERECHA(SUBSTITUTE(F36," ",""),LARGO(SUBSTITUTE(F36," ",""))-ENCONTRAR(",",SUBSTITUTE(F36," ",""))),"")</f>
        <v/>
      </c>
    </row>
    <row r="37" ht="15.75" customHeight="1" s="10">
      <c r="A37" s="8">
        <f>CONCAT("AD507-",TEXT(ROW()-2,"0000"))</f>
        <v/>
      </c>
      <c r="C37" s="8" t="n"/>
      <c r="F37" s="8" t="n"/>
      <c r="G37" s="8">
        <f>IF(F37&lt;&gt;"",HYPERLINK("https://www.google.com/maps/search/?api=1&amp;query="&amp;SUBSTITUTE(F37," ",""),"🗺 Google Maps"),"")</f>
        <v/>
      </c>
      <c r="H37" s="8">
        <f>IF(F37&lt;&gt;"",HYPERLINK("https://waze.com/ul?ll="&amp;SUBSTITUTE(F37," ","")&amp;"&amp;navigate=yes","🚗 Waze"),"")</f>
        <v/>
      </c>
      <c r="I37" s="8">
        <f>IF(F37&lt;&gt;"",HYPERLINK("https://m.uber.com/ul/?action=setPickup&amp;pickup=my_location&amp;dropoff[latitude]="&amp;LEFT(SUBSTITUTE(F37," ",""),FIND(",",SUBSTITUTE(F37," ",""))-1)&amp;"&amp;dropoff[longitude]="&amp;MID(SUBSTITUTE(F37," ",""),FIND(",",SUBSTITUTE(F37," ",""))+1,99),"🚕 Uber"),"")</f>
        <v/>
      </c>
      <c r="J37" s="8">
        <f>IF(F37&lt;&gt;"","https://api.qrserver.com/v1/create-qr-code/?size=200x200&amp;data="&amp;ENCODEURL("https://www.google.com/maps/search/?api=1&amp;query="&amp;SUBSTITUTE(F37," ","")),"")</f>
        <v/>
      </c>
      <c r="K37" s="8">
        <f>IF(C37&lt;&gt;"",HYPERLINK("https://wa.me/507"&amp;REGEXREPLACE(C37,"[^0-9]","")&amp;"?text="&amp;ENCODEURL("Ya llegue. Codigo: "&amp;A37&amp;". Ubicacion: "&amp;"https://www.google.com/maps/search/?api=1&amp;query="&amp;SUBSTITUTE(F37," ","")),"📲 Avisar al cliente"),"")</f>
        <v/>
      </c>
      <c r="L37" s="8">
        <f>IF(C37&lt;&gt;"","https://api.qrserver.com/v1/create-qr-code/?size=200x200&amp;data="&amp;ENCODEURL("https://wa.me/507"&amp;REGEXREPLACE(C37,"[^0-9]","")&amp;"?text="&amp;ENCODEURL("Ya llegue. Codigo: "&amp;A37&amp;". Ubicacion: "&amp;"https://www.google.com/maps/search/?api=1&amp;query="&amp;SUBSTITUTE(F37," ",""))),"")</f>
        <v/>
      </c>
      <c r="M37" s="8">
        <f>IF(B37&lt;&gt;"",TODAY(),"")</f>
        <v/>
      </c>
      <c r="N37" s="8">
        <f>IF(F37&lt;&gt;"",IFERROR(IF(AND(REGEXMATCH(SUBSTITUTE(TRIM(F37)," ",""),"^-?\d+(\.\d+)?,-?\d+(\.\d+)?$"),VALUE(REGEXEXTRACT(SUBSTITUTE(TRIM(F37)," ",""),"^-?\d+(\.\d+)?"))&gt;=-90,VALUE(REGEXEXTRACT(SUBSTITUTE(TRIM(F37)," ",""),"^-?\d+(\.\d+)?"))&lt;=90,VALUE(REGEXEXTRACT(SUBSTITUTE(TRIM(F37)," ",""),"-?\d+(\.\d+)?$"))&gt;=-180,VALUE(REGEXEXTRACT(SUBSTITUTE(TRIM(F37)," ",""),"-?\d+(\.\d+)?$"))&lt;=180),"OK","REVISAR"),"REVISAR"),"")</f>
        <v/>
      </c>
      <c r="O37">
        <f>IF(A37&lt;&gt;"","https://direcciones507.github.io/direcciones507/panel.html?codigo="&amp;A37&amp;"&amp;nombre="&amp;ENCODEURL(B37)&amp;"&amp;telefono="&amp;SUBSTITUTE(C37,"-","")&amp;"&amp;referencia="&amp;ENCODEURL(E37)&amp;"&amp;lat="&amp;IZQUIERDA(SUBSTITUTE(F37," ",""),ENCONTRAR(",",SUBSTITUTE(F37," ",""))-1)&amp;"&amp;lng="&amp;DERECHA(SUBSTITUTE(F37," ",""),LARGO(SUBSTITUTE(F37," ",""))-ENCONTRAR(",",SUBSTITUTE(F37," ",""))),"")</f>
        <v/>
      </c>
    </row>
    <row r="38" ht="15.75" customHeight="1" s="10">
      <c r="A38" s="8">
        <f>CONCAT("AD507-",TEXT(ROW()-2,"0000"))</f>
        <v/>
      </c>
      <c r="C38" s="8" t="n"/>
      <c r="F38" s="8" t="n"/>
      <c r="G38" s="8">
        <f>IF(F38&lt;&gt;"",HYPERLINK("https://www.google.com/maps/search/?api=1&amp;query="&amp;SUBSTITUTE(F38," ",""),"🗺 Google Maps"),"")</f>
        <v/>
      </c>
      <c r="H38" s="8">
        <f>IF(F38&lt;&gt;"",HYPERLINK("https://waze.com/ul?ll="&amp;SUBSTITUTE(F38," ","")&amp;"&amp;navigate=yes","🚗 Waze"),"")</f>
        <v/>
      </c>
      <c r="I38" s="8">
        <f>IF(F38&lt;&gt;"",HYPERLINK("https://m.uber.com/ul/?action=setPickup&amp;pickup=my_location&amp;dropoff[latitude]="&amp;LEFT(SUBSTITUTE(F38," ",""),FIND(",",SUBSTITUTE(F38," ",""))-1)&amp;"&amp;dropoff[longitude]="&amp;MID(SUBSTITUTE(F38," ",""),FIND(",",SUBSTITUTE(F38," ",""))+1,99),"🚕 Uber"),"")</f>
        <v/>
      </c>
      <c r="J38" s="8">
        <f>IF(F38&lt;&gt;"","https://api.qrserver.com/v1/create-qr-code/?size=200x200&amp;data="&amp;ENCODEURL("https://www.google.com/maps/search/?api=1&amp;query="&amp;SUBSTITUTE(F38," ","")),"")</f>
        <v/>
      </c>
      <c r="K38" s="8">
        <f>IF(C38&lt;&gt;"",HYPERLINK("https://wa.me/507"&amp;REGEXREPLACE(C38,"[^0-9]","")&amp;"?text="&amp;ENCODEURL("Ya llegue. Codigo: "&amp;A38&amp;". Ubicacion: "&amp;"https://www.google.com/maps/search/?api=1&amp;query="&amp;SUBSTITUTE(F38," ","")),"📲 Avisar al cliente"),"")</f>
        <v/>
      </c>
      <c r="L38" s="8">
        <f>IF(C38&lt;&gt;"","https://api.qrserver.com/v1/create-qr-code/?size=200x200&amp;data="&amp;ENCODEURL("https://wa.me/507"&amp;REGEXREPLACE(C38,"[^0-9]","")&amp;"?text="&amp;ENCODEURL("Ya llegue. Codigo: "&amp;A38&amp;". Ubicacion: "&amp;"https://www.google.com/maps/search/?api=1&amp;query="&amp;SUBSTITUTE(F38," ",""))),"")</f>
        <v/>
      </c>
      <c r="M38" s="8">
        <f>IF(B38&lt;&gt;"",TODAY(),"")</f>
        <v/>
      </c>
      <c r="N38" s="8">
        <f>IF(F38&lt;&gt;"",IFERROR(IF(AND(REGEXMATCH(SUBSTITUTE(TRIM(F38)," ",""),"^-?\d+(\.\d+)?,-?\d+(\.\d+)?$"),VALUE(REGEXEXTRACT(SUBSTITUTE(TRIM(F38)," ",""),"^-?\d+(\.\d+)?"))&gt;=-90,VALUE(REGEXEXTRACT(SUBSTITUTE(TRIM(F38)," ",""),"^-?\d+(\.\d+)?"))&lt;=90,VALUE(REGEXEXTRACT(SUBSTITUTE(TRIM(F38)," ",""),"-?\d+(\.\d+)?$"))&gt;=-180,VALUE(REGEXEXTRACT(SUBSTITUTE(TRIM(F38)," ",""),"-?\d+(\.\d+)?$"))&lt;=180),"OK","REVISAR"),"REVISAR"),"")</f>
        <v/>
      </c>
      <c r="O38">
        <f>IF(A38&lt;&gt;"","https://direcciones507.github.io/direcciones507/panel.html?codigo="&amp;A38&amp;"&amp;nombre="&amp;ENCODEURL(B38)&amp;"&amp;telefono="&amp;SUBSTITUTE(C38,"-","")&amp;"&amp;referencia="&amp;ENCODEURL(E38)&amp;"&amp;lat="&amp;IZQUIERDA(SUBSTITUTE(F38," ",""),ENCONTRAR(",",SUBSTITUTE(F38," ",""))-1)&amp;"&amp;lng="&amp;DERECHA(SUBSTITUTE(F38," ",""),LARGO(SUBSTITUTE(F38," ",""))-ENCONTRAR(",",SUBSTITUTE(F38," ",""))),"")</f>
        <v/>
      </c>
    </row>
    <row r="39" ht="15.75" customHeight="1" s="10">
      <c r="A39" s="8">
        <f>CONCAT("AD507-",TEXT(ROW()-2,"0000"))</f>
        <v/>
      </c>
      <c r="C39" s="8" t="n"/>
      <c r="F39" s="8" t="n"/>
      <c r="G39" s="8">
        <f>IF(F39&lt;&gt;"",HYPERLINK("https://www.google.com/maps/search/?api=1&amp;query="&amp;SUBSTITUTE(F39," ",""),"🗺 Google Maps"),"")</f>
        <v/>
      </c>
      <c r="H39" s="8">
        <f>IF(F39&lt;&gt;"",HYPERLINK("https://waze.com/ul?ll="&amp;SUBSTITUTE(F39," ","")&amp;"&amp;navigate=yes","🚗 Waze"),"")</f>
        <v/>
      </c>
      <c r="I39" s="8">
        <f>IF(F39&lt;&gt;"",HYPERLINK("https://m.uber.com/ul/?action=setPickup&amp;pickup=my_location&amp;dropoff[latitude]="&amp;LEFT(SUBSTITUTE(F39," ",""),FIND(",",SUBSTITUTE(F39," ",""))-1)&amp;"&amp;dropoff[longitude]="&amp;MID(SUBSTITUTE(F39," ",""),FIND(",",SUBSTITUTE(F39," ",""))+1,99),"🚕 Uber"),"")</f>
        <v/>
      </c>
      <c r="J39" s="8">
        <f>IF(F39&lt;&gt;"","https://api.qrserver.com/v1/create-qr-code/?size=200x200&amp;data="&amp;ENCODEURL("https://www.google.com/maps/search/?api=1&amp;query="&amp;SUBSTITUTE(F39," ","")),"")</f>
        <v/>
      </c>
      <c r="K39" s="8">
        <f>IF(C39&lt;&gt;"",HYPERLINK("https://wa.me/507"&amp;REGEXREPLACE(C39,"[^0-9]","")&amp;"?text="&amp;ENCODEURL("Ya llegue. Codigo: "&amp;A39&amp;". Ubicacion: "&amp;"https://www.google.com/maps/search/?api=1&amp;query="&amp;SUBSTITUTE(F39," ","")),"📲 Avisar al cliente"),"")</f>
        <v/>
      </c>
      <c r="L39" s="8">
        <f>IF(C39&lt;&gt;"","https://api.qrserver.com/v1/create-qr-code/?size=200x200&amp;data="&amp;ENCODEURL("https://wa.me/507"&amp;REGEXREPLACE(C39,"[^0-9]","")&amp;"?text="&amp;ENCODEURL("Ya llegue. Codigo: "&amp;A39&amp;". Ubicacion: "&amp;"https://www.google.com/maps/search/?api=1&amp;query="&amp;SUBSTITUTE(F39," ",""))),"")</f>
        <v/>
      </c>
      <c r="M39" s="8">
        <f>IF(B39&lt;&gt;"",TODAY(),"")</f>
        <v/>
      </c>
      <c r="N39" s="8">
        <f>IF(F39&lt;&gt;"",IFERROR(IF(AND(REGEXMATCH(SUBSTITUTE(TRIM(F39)," ",""),"^-?\d+(\.\d+)?,-?\d+(\.\d+)?$"),VALUE(REGEXEXTRACT(SUBSTITUTE(TRIM(F39)," ",""),"^-?\d+(\.\d+)?"))&gt;=-90,VALUE(REGEXEXTRACT(SUBSTITUTE(TRIM(F39)," ",""),"^-?\d+(\.\d+)?"))&lt;=90,VALUE(REGEXEXTRACT(SUBSTITUTE(TRIM(F39)," ",""),"-?\d+(\.\d+)?$"))&gt;=-180,VALUE(REGEXEXTRACT(SUBSTITUTE(TRIM(F39)," ",""),"-?\d+(\.\d+)?$"))&lt;=180),"OK","REVISAR"),"REVISAR"),"")</f>
        <v/>
      </c>
      <c r="O39">
        <f>IF(A39&lt;&gt;"","https://direcciones507.github.io/direcciones507/panel.html?codigo="&amp;A39&amp;"&amp;nombre="&amp;ENCODEURL(B39)&amp;"&amp;telefono="&amp;SUBSTITUTE(C39,"-","")&amp;"&amp;referencia="&amp;ENCODEURL(E39)&amp;"&amp;lat="&amp;IZQUIERDA(SUBSTITUTE(F39," ",""),ENCONTRAR(",",SUBSTITUTE(F39," ",""))-1)&amp;"&amp;lng="&amp;DERECHA(SUBSTITUTE(F39," ",""),LARGO(SUBSTITUTE(F39," ",""))-ENCONTRAR(",",SUBSTITUTE(F39," ",""))),"")</f>
        <v/>
      </c>
    </row>
    <row r="40" ht="15.75" customHeight="1" s="10">
      <c r="A40" s="8">
        <f>CONCAT("AD507-",TEXT(ROW()-2,"0000"))</f>
        <v/>
      </c>
      <c r="C40" s="8" t="n"/>
      <c r="F40" s="8" t="n"/>
      <c r="G40" s="8">
        <f>IF(F40&lt;&gt;"",HYPERLINK("https://www.google.com/maps/search/?api=1&amp;query="&amp;SUBSTITUTE(F40," ",""),"🗺 Google Maps"),"")</f>
        <v/>
      </c>
      <c r="H40" s="8">
        <f>IF(F40&lt;&gt;"",HYPERLINK("https://waze.com/ul?ll="&amp;SUBSTITUTE(F40," ","")&amp;"&amp;navigate=yes","🚗 Waze"),"")</f>
        <v/>
      </c>
      <c r="I40" s="8">
        <f>IF(F40&lt;&gt;"",HYPERLINK("https://m.uber.com/ul/?action=setPickup&amp;pickup=my_location&amp;dropoff[latitude]="&amp;LEFT(SUBSTITUTE(F40," ",""),FIND(",",SUBSTITUTE(F40," ",""))-1)&amp;"&amp;dropoff[longitude]="&amp;MID(SUBSTITUTE(F40," ",""),FIND(",",SUBSTITUTE(F40," ",""))+1,99),"🚕 Uber"),"")</f>
        <v/>
      </c>
      <c r="J40" s="8">
        <f>IF(F40&lt;&gt;"","https://api.qrserver.com/v1/create-qr-code/?size=200x200&amp;data="&amp;ENCODEURL("https://www.google.com/maps/search/?api=1&amp;query="&amp;SUBSTITUTE(F40," ","")),"")</f>
        <v/>
      </c>
      <c r="K40" s="8">
        <f>IF(C40&lt;&gt;"",HYPERLINK("https://wa.me/507"&amp;REGEXREPLACE(C40,"[^0-9]","")&amp;"?text="&amp;ENCODEURL("Ya llegue. Codigo: "&amp;A40&amp;". Ubicacion: "&amp;"https://www.google.com/maps/search/?api=1&amp;query="&amp;SUBSTITUTE(F40," ","")),"📲 Avisar al cliente"),"")</f>
        <v/>
      </c>
      <c r="L40" s="8">
        <f>IF(C40&lt;&gt;"","https://api.qrserver.com/v1/create-qr-code/?size=200x200&amp;data="&amp;ENCODEURL("https://wa.me/507"&amp;REGEXREPLACE(C40,"[^0-9]","")&amp;"?text="&amp;ENCODEURL("Ya llegue. Codigo: "&amp;A40&amp;". Ubicacion: "&amp;"https://www.google.com/maps/search/?api=1&amp;query="&amp;SUBSTITUTE(F40," ",""))),"")</f>
        <v/>
      </c>
      <c r="M40" s="8">
        <f>IF(B40&lt;&gt;"",TODAY(),"")</f>
        <v/>
      </c>
      <c r="N40" s="8">
        <f>IF(F40&lt;&gt;"",IFERROR(IF(AND(REGEXMATCH(SUBSTITUTE(TRIM(F40)," ",""),"^-?\d+(\.\d+)?,-?\d+(\.\d+)?$"),VALUE(REGEXEXTRACT(SUBSTITUTE(TRIM(F40)," ",""),"^-?\d+(\.\d+)?"))&gt;=-90,VALUE(REGEXEXTRACT(SUBSTITUTE(TRIM(F40)," ",""),"^-?\d+(\.\d+)?"))&lt;=90,VALUE(REGEXEXTRACT(SUBSTITUTE(TRIM(F40)," ",""),"-?\d+(\.\d+)?$"))&gt;=-180,VALUE(REGEXEXTRACT(SUBSTITUTE(TRIM(F40)," ",""),"-?\d+(\.\d+)?$"))&lt;=180),"OK","REVISAR"),"REVISAR"),"")</f>
        <v/>
      </c>
      <c r="O40">
        <f>IF(A40&lt;&gt;"","https://direcciones507.github.io/direcciones507/panel.html?codigo="&amp;A40&amp;"&amp;nombre="&amp;ENCODEURL(B40)&amp;"&amp;telefono="&amp;SUBSTITUTE(C40,"-","")&amp;"&amp;referencia="&amp;ENCODEURL(E40)&amp;"&amp;lat="&amp;IZQUIERDA(SUBSTITUTE(F40," ",""),ENCONTRAR(",",SUBSTITUTE(F40," ",""))-1)&amp;"&amp;lng="&amp;DERECHA(SUBSTITUTE(F40," ",""),LARGO(SUBSTITUTE(F40," ",""))-ENCONTRAR(",",SUBSTITUTE(F40," ",""))),"")</f>
        <v/>
      </c>
    </row>
    <row r="41" ht="15.75" customHeight="1" s="10">
      <c r="A41" s="8">
        <f>CONCAT("AD507-",TEXT(ROW()-2,"0000"))</f>
        <v/>
      </c>
      <c r="C41" s="8" t="n"/>
      <c r="F41" s="8" t="n"/>
      <c r="G41" s="8">
        <f>IF(F41&lt;&gt;"",HYPERLINK("https://www.google.com/maps/search/?api=1&amp;query="&amp;SUBSTITUTE(F41," ",""),"🗺 Google Maps"),"")</f>
        <v/>
      </c>
      <c r="H41" s="8">
        <f>IF(F41&lt;&gt;"",HYPERLINK("https://waze.com/ul?ll="&amp;SUBSTITUTE(F41," ","")&amp;"&amp;navigate=yes","🚗 Waze"),"")</f>
        <v/>
      </c>
      <c r="I41" s="8">
        <f>IF(F41&lt;&gt;"",HYPERLINK("https://m.uber.com/ul/?action=setPickup&amp;pickup=my_location&amp;dropoff[latitude]="&amp;LEFT(SUBSTITUTE(F41," ",""),FIND(",",SUBSTITUTE(F41," ",""))-1)&amp;"&amp;dropoff[longitude]="&amp;MID(SUBSTITUTE(F41," ",""),FIND(",",SUBSTITUTE(F41," ",""))+1,99),"🚕 Uber"),"")</f>
        <v/>
      </c>
      <c r="J41" s="8">
        <f>IF(F41&lt;&gt;"","https://api.qrserver.com/v1/create-qr-code/?size=200x200&amp;data="&amp;ENCODEURL("https://www.google.com/maps/search/?api=1&amp;query="&amp;SUBSTITUTE(F41," ","")),"")</f>
        <v/>
      </c>
      <c r="K41" s="8">
        <f>IF(C41&lt;&gt;"",HYPERLINK("https://wa.me/507"&amp;REGEXREPLACE(C41,"[^0-9]","")&amp;"?text="&amp;ENCODEURL("Ya llegue. Codigo: "&amp;A41&amp;". Ubicacion: "&amp;"https://www.google.com/maps/search/?api=1&amp;query="&amp;SUBSTITUTE(F41," ","")),"📲 Avisar al cliente"),"")</f>
        <v/>
      </c>
      <c r="L41" s="8">
        <f>IF(C41&lt;&gt;"","https://api.qrserver.com/v1/create-qr-code/?size=200x200&amp;data="&amp;ENCODEURL("https://wa.me/507"&amp;REGEXREPLACE(C41,"[^0-9]","")&amp;"?text="&amp;ENCODEURL("Ya llegue. Codigo: "&amp;A41&amp;". Ubicacion: "&amp;"https://www.google.com/maps/search/?api=1&amp;query="&amp;SUBSTITUTE(F41," ",""))),"")</f>
        <v/>
      </c>
      <c r="M41" s="8">
        <f>IF(B41&lt;&gt;"",TODAY(),"")</f>
        <v/>
      </c>
      <c r="N41" s="8">
        <f>IF(F41&lt;&gt;"",IFERROR(IF(AND(REGEXMATCH(SUBSTITUTE(TRIM(F41)," ",""),"^-?\d+(\.\d+)?,-?\d+(\.\d+)?$"),VALUE(REGEXEXTRACT(SUBSTITUTE(TRIM(F41)," ",""),"^-?\d+(\.\d+)?"))&gt;=-90,VALUE(REGEXEXTRACT(SUBSTITUTE(TRIM(F41)," ",""),"^-?\d+(\.\d+)?"))&lt;=90,VALUE(REGEXEXTRACT(SUBSTITUTE(TRIM(F41)," ",""),"-?\d+(\.\d+)?$"))&gt;=-180,VALUE(REGEXEXTRACT(SUBSTITUTE(TRIM(F41)," ",""),"-?\d+(\.\d+)?$"))&lt;=180),"OK","REVISAR"),"REVISAR"),"")</f>
        <v/>
      </c>
      <c r="O41">
        <f>IF(A41&lt;&gt;"","https://direcciones507.github.io/direcciones507/panel.html?codigo="&amp;A41&amp;"&amp;nombre="&amp;ENCODEURL(B41)&amp;"&amp;telefono="&amp;SUBSTITUTE(C41,"-","")&amp;"&amp;referencia="&amp;ENCODEURL(E41)&amp;"&amp;lat="&amp;IZQUIERDA(SUBSTITUTE(F41," ",""),ENCONTRAR(",",SUBSTITUTE(F41," ",""))-1)&amp;"&amp;lng="&amp;DERECHA(SUBSTITUTE(F41," ",""),LARGO(SUBSTITUTE(F41," ",""))-ENCONTRAR(",",SUBSTITUTE(F41," ",""))),"")</f>
        <v/>
      </c>
    </row>
    <row r="42" ht="15.75" customHeight="1" s="10">
      <c r="A42" s="8">
        <f>CONCAT("AD507-",TEXT(ROW()-2,"0000"))</f>
        <v/>
      </c>
      <c r="C42" s="8" t="n"/>
      <c r="F42" s="8" t="n"/>
      <c r="G42" s="8">
        <f>IF(F42&lt;&gt;"",HYPERLINK("https://www.google.com/maps/search/?api=1&amp;query="&amp;SUBSTITUTE(F42," ",""),"🗺 Google Maps"),"")</f>
        <v/>
      </c>
      <c r="H42" s="8">
        <f>IF(F42&lt;&gt;"",HYPERLINK("https://waze.com/ul?ll="&amp;SUBSTITUTE(F42," ","")&amp;"&amp;navigate=yes","🚗 Waze"),"")</f>
        <v/>
      </c>
      <c r="I42" s="8">
        <f>IF(F42&lt;&gt;"",HYPERLINK("https://m.uber.com/ul/?action=setPickup&amp;pickup=my_location&amp;dropoff[latitude]="&amp;LEFT(SUBSTITUTE(F42," ",""),FIND(",",SUBSTITUTE(F42," ",""))-1)&amp;"&amp;dropoff[longitude]="&amp;MID(SUBSTITUTE(F42," ",""),FIND(",",SUBSTITUTE(F42," ",""))+1,99),"🚕 Uber"),"")</f>
        <v/>
      </c>
      <c r="J42" s="8">
        <f>IF(F42&lt;&gt;"","https://api.qrserver.com/v1/create-qr-code/?size=200x200&amp;data="&amp;ENCODEURL("https://www.google.com/maps/search/?api=1&amp;query="&amp;SUBSTITUTE(F42," ","")),"")</f>
        <v/>
      </c>
      <c r="K42" s="8">
        <f>IF(C42&lt;&gt;"",HYPERLINK("https://wa.me/507"&amp;REGEXREPLACE(C42,"[^0-9]","")&amp;"?text="&amp;ENCODEURL("Ya llegue. Codigo: "&amp;A42&amp;". Ubicacion: "&amp;"https://www.google.com/maps/search/?api=1&amp;query="&amp;SUBSTITUTE(F42," ","")),"📲 Avisar al cliente"),"")</f>
        <v/>
      </c>
      <c r="L42" s="8">
        <f>IF(C42&lt;&gt;"","https://api.qrserver.com/v1/create-qr-code/?size=200x200&amp;data="&amp;ENCODEURL("https://wa.me/507"&amp;REGEXREPLACE(C42,"[^0-9]","")&amp;"?text="&amp;ENCODEURL("Ya llegue. Codigo: "&amp;A42&amp;". Ubicacion: "&amp;"https://www.google.com/maps/search/?api=1&amp;query="&amp;SUBSTITUTE(F42," ",""))),"")</f>
        <v/>
      </c>
      <c r="M42" s="8">
        <f>IF(B42&lt;&gt;"",TODAY(),"")</f>
        <v/>
      </c>
      <c r="N42" s="8">
        <f>IF(F42&lt;&gt;"",IFERROR(IF(AND(REGEXMATCH(SUBSTITUTE(TRIM(F42)," ",""),"^-?\d+(\.\d+)?,-?\d+(\.\d+)?$"),VALUE(REGEXEXTRACT(SUBSTITUTE(TRIM(F42)," ",""),"^-?\d+(\.\d+)?"))&gt;=-90,VALUE(REGEXEXTRACT(SUBSTITUTE(TRIM(F42)," ",""),"^-?\d+(\.\d+)?"))&lt;=90,VALUE(REGEXEXTRACT(SUBSTITUTE(TRIM(F42)," ",""),"-?\d+(\.\d+)?$"))&gt;=-180,VALUE(REGEXEXTRACT(SUBSTITUTE(TRIM(F42)," ",""),"-?\d+(\.\d+)?$"))&lt;=180),"OK","REVISAR"),"REVISAR"),"")</f>
        <v/>
      </c>
      <c r="O42">
        <f>IF(A42&lt;&gt;"","https://direcciones507.github.io/direcciones507/panel.html?codigo="&amp;A42&amp;"&amp;nombre="&amp;ENCODEURL(B42)&amp;"&amp;telefono="&amp;SUBSTITUTE(C42,"-","")&amp;"&amp;referencia="&amp;ENCODEURL(E42)&amp;"&amp;lat="&amp;IZQUIERDA(SUBSTITUTE(F42," ",""),ENCONTRAR(",",SUBSTITUTE(F42," ",""))-1)&amp;"&amp;lng="&amp;DERECHA(SUBSTITUTE(F42," ",""),LARGO(SUBSTITUTE(F42," ",""))-ENCONTRAR(",",SUBSTITUTE(F42," ",""))),"")</f>
        <v/>
      </c>
    </row>
    <row r="43" ht="15.75" customHeight="1" s="10">
      <c r="A43" s="8">
        <f>CONCAT("AD507-",TEXT(ROW()-2,"0000"))</f>
        <v/>
      </c>
      <c r="C43" s="8" t="n"/>
      <c r="F43" s="8" t="n"/>
      <c r="G43" s="8">
        <f>IF(F43&lt;&gt;"",HYPERLINK("https://www.google.com/maps/search/?api=1&amp;query="&amp;SUBSTITUTE(F43," ",""),"🗺 Google Maps"),"")</f>
        <v/>
      </c>
      <c r="H43" s="8">
        <f>IF(F43&lt;&gt;"",HYPERLINK("https://waze.com/ul?ll="&amp;SUBSTITUTE(F43," ","")&amp;"&amp;navigate=yes","🚗 Waze"),"")</f>
        <v/>
      </c>
      <c r="I43" s="8">
        <f>IF(F43&lt;&gt;"",HYPERLINK("https://m.uber.com/ul/?action=setPickup&amp;pickup=my_location&amp;dropoff[latitude]="&amp;LEFT(SUBSTITUTE(F43," ",""),FIND(",",SUBSTITUTE(F43," ",""))-1)&amp;"&amp;dropoff[longitude]="&amp;MID(SUBSTITUTE(F43," ",""),FIND(",",SUBSTITUTE(F43," ",""))+1,99),"🚕 Uber"),"")</f>
        <v/>
      </c>
      <c r="J43" s="8">
        <f>IF(F43&lt;&gt;"","https://api.qrserver.com/v1/create-qr-code/?size=200x200&amp;data="&amp;ENCODEURL("https://www.google.com/maps/search/?api=1&amp;query="&amp;SUBSTITUTE(F43," ","")),"")</f>
        <v/>
      </c>
      <c r="K43" s="8">
        <f>IF(C43&lt;&gt;"",HYPERLINK("https://wa.me/507"&amp;REGEXREPLACE(C43,"[^0-9]","")&amp;"?text="&amp;ENCODEURL("Ya llegue. Codigo: "&amp;A43&amp;". Ubicacion: "&amp;"https://www.google.com/maps/search/?api=1&amp;query="&amp;SUBSTITUTE(F43," ","")),"📲 Avisar al cliente"),"")</f>
        <v/>
      </c>
      <c r="L43" s="8">
        <f>IF(C43&lt;&gt;"","https://api.qrserver.com/v1/create-qr-code/?size=200x200&amp;data="&amp;ENCODEURL("https://wa.me/507"&amp;REGEXREPLACE(C43,"[^0-9]","")&amp;"?text="&amp;ENCODEURL("Ya llegue. Codigo: "&amp;A43&amp;". Ubicacion: "&amp;"https://www.google.com/maps/search/?api=1&amp;query="&amp;SUBSTITUTE(F43," ",""))),"")</f>
        <v/>
      </c>
      <c r="M43" s="8">
        <f>IF(B43&lt;&gt;"",TODAY(),"")</f>
        <v/>
      </c>
      <c r="N43" s="8">
        <f>IF(F43&lt;&gt;"",IFERROR(IF(AND(REGEXMATCH(SUBSTITUTE(TRIM(F43)," ",""),"^-?\d+(\.\d+)?,-?\d+(\.\d+)?$"),VALUE(REGEXEXTRACT(SUBSTITUTE(TRIM(F43)," ",""),"^-?\d+(\.\d+)?"))&gt;=-90,VALUE(REGEXEXTRACT(SUBSTITUTE(TRIM(F43)," ",""),"^-?\d+(\.\d+)?"))&lt;=90,VALUE(REGEXEXTRACT(SUBSTITUTE(TRIM(F43)," ",""),"-?\d+(\.\d+)?$"))&gt;=-180,VALUE(REGEXEXTRACT(SUBSTITUTE(TRIM(F43)," ",""),"-?\d+(\.\d+)?$"))&lt;=180),"OK","REVISAR"),"REVISAR"),"")</f>
        <v/>
      </c>
      <c r="O43">
        <f>IF(A43&lt;&gt;"","https://direcciones507.github.io/direcciones507/panel.html?codigo="&amp;A43&amp;"&amp;nombre="&amp;ENCODEURL(B43)&amp;"&amp;telefono="&amp;SUBSTITUTE(C43,"-","")&amp;"&amp;referencia="&amp;ENCODEURL(E43)&amp;"&amp;lat="&amp;IZQUIERDA(SUBSTITUTE(F43," ",""),ENCONTRAR(",",SUBSTITUTE(F43," ",""))-1)&amp;"&amp;lng="&amp;DERECHA(SUBSTITUTE(F43," ",""),LARGO(SUBSTITUTE(F43," ",""))-ENCONTRAR(",",SUBSTITUTE(F43," ",""))),"")</f>
        <v/>
      </c>
    </row>
    <row r="44" ht="15.75" customHeight="1" s="10">
      <c r="A44" s="8">
        <f>CONCAT("AD507-",TEXT(ROW()-2,"0000"))</f>
        <v/>
      </c>
      <c r="C44" s="8" t="n"/>
      <c r="F44" s="8" t="n"/>
      <c r="G44" s="8">
        <f>IF(F44&lt;&gt;"",HYPERLINK("https://www.google.com/maps/search/?api=1&amp;query="&amp;SUBSTITUTE(F44," ",""),"🗺 Google Maps"),"")</f>
        <v/>
      </c>
      <c r="H44" s="8">
        <f>IF(F44&lt;&gt;"",HYPERLINK("https://waze.com/ul?ll="&amp;SUBSTITUTE(F44," ","")&amp;"&amp;navigate=yes","🚗 Waze"),"")</f>
        <v/>
      </c>
      <c r="I44" s="8">
        <f>IF(F44&lt;&gt;"",HYPERLINK("https://m.uber.com/ul/?action=setPickup&amp;pickup=my_location&amp;dropoff[latitude]="&amp;LEFT(SUBSTITUTE(F44," ",""),FIND(",",SUBSTITUTE(F44," ",""))-1)&amp;"&amp;dropoff[longitude]="&amp;MID(SUBSTITUTE(F44," ",""),FIND(",",SUBSTITUTE(F44," ",""))+1,99),"🚕 Uber"),"")</f>
        <v/>
      </c>
      <c r="J44" s="8">
        <f>IF(F44&lt;&gt;"","https://api.qrserver.com/v1/create-qr-code/?size=200x200&amp;data="&amp;ENCODEURL("https://www.google.com/maps/search/?api=1&amp;query="&amp;SUBSTITUTE(F44," ","")),"")</f>
        <v/>
      </c>
      <c r="K44" s="8">
        <f>IF(C44&lt;&gt;"",HYPERLINK("https://wa.me/507"&amp;REGEXREPLACE(C44,"[^0-9]","")&amp;"?text="&amp;ENCODEURL("Ya llegue. Codigo: "&amp;A44&amp;". Ubicacion: "&amp;"https://www.google.com/maps/search/?api=1&amp;query="&amp;SUBSTITUTE(F44," ","")),"📲 Avisar al cliente"),"")</f>
        <v/>
      </c>
      <c r="L44" s="8">
        <f>IF(C44&lt;&gt;"","https://api.qrserver.com/v1/create-qr-code/?size=200x200&amp;data="&amp;ENCODEURL("https://wa.me/507"&amp;REGEXREPLACE(C44,"[^0-9]","")&amp;"?text="&amp;ENCODEURL("Ya llegue. Codigo: "&amp;A44&amp;". Ubicacion: "&amp;"https://www.google.com/maps/search/?api=1&amp;query="&amp;SUBSTITUTE(F44," ",""))),"")</f>
        <v/>
      </c>
      <c r="M44" s="8">
        <f>IF(B44&lt;&gt;"",TODAY(),"")</f>
        <v/>
      </c>
      <c r="N44" s="8">
        <f>IF(F44&lt;&gt;"",IFERROR(IF(AND(REGEXMATCH(SUBSTITUTE(TRIM(F44)," ",""),"^-?\d+(\.\d+)?,-?\d+(\.\d+)?$"),VALUE(REGEXEXTRACT(SUBSTITUTE(TRIM(F44)," ",""),"^-?\d+(\.\d+)?"))&gt;=-90,VALUE(REGEXEXTRACT(SUBSTITUTE(TRIM(F44)," ",""),"^-?\d+(\.\d+)?"))&lt;=90,VALUE(REGEXEXTRACT(SUBSTITUTE(TRIM(F44)," ",""),"-?\d+(\.\d+)?$"))&gt;=-180,VALUE(REGEXEXTRACT(SUBSTITUTE(TRIM(F44)," ",""),"-?\d+(\.\d+)?$"))&lt;=180),"OK","REVISAR"),"REVISAR"),"")</f>
        <v/>
      </c>
      <c r="O44">
        <f>IF(A44&lt;&gt;"","https://direcciones507.github.io/direcciones507/panel.html?codigo="&amp;A44&amp;"&amp;nombre="&amp;ENCODEURL(B44)&amp;"&amp;telefono="&amp;SUBSTITUTE(C44,"-","")&amp;"&amp;referencia="&amp;ENCODEURL(E44)&amp;"&amp;lat="&amp;IZQUIERDA(SUBSTITUTE(F44," ",""),ENCONTRAR(",",SUBSTITUTE(F44," ",""))-1)&amp;"&amp;lng="&amp;DERECHA(SUBSTITUTE(F44," ",""),LARGO(SUBSTITUTE(F44," ",""))-ENCONTRAR(",",SUBSTITUTE(F44," ",""))),"")</f>
        <v/>
      </c>
    </row>
    <row r="45" ht="15.75" customHeight="1" s="10">
      <c r="A45" s="8">
        <f>CONCAT("AD507-",TEXT(ROW()-2,"0000"))</f>
        <v/>
      </c>
      <c r="C45" s="8" t="n"/>
      <c r="F45" s="8" t="n"/>
      <c r="G45" s="8">
        <f>IF(F45&lt;&gt;"",HYPERLINK("https://www.google.com/maps/search/?api=1&amp;query="&amp;SUBSTITUTE(F45," ",""),"🗺 Google Maps"),"")</f>
        <v/>
      </c>
      <c r="H45" s="8">
        <f>IF(F45&lt;&gt;"",HYPERLINK("https://waze.com/ul?ll="&amp;SUBSTITUTE(F45," ","")&amp;"&amp;navigate=yes","🚗 Waze"),"")</f>
        <v/>
      </c>
      <c r="I45" s="8">
        <f>IF(F45&lt;&gt;"",HYPERLINK("https://m.uber.com/ul/?action=setPickup&amp;pickup=my_location&amp;dropoff[latitude]="&amp;LEFT(SUBSTITUTE(F45," ",""),FIND(",",SUBSTITUTE(F45," ",""))-1)&amp;"&amp;dropoff[longitude]="&amp;MID(SUBSTITUTE(F45," ",""),FIND(",",SUBSTITUTE(F45," ",""))+1,99),"🚕 Uber"),"")</f>
        <v/>
      </c>
      <c r="J45" s="8">
        <f>IF(F45&lt;&gt;"","https://api.qrserver.com/v1/create-qr-code/?size=200x200&amp;data="&amp;ENCODEURL("https://www.google.com/maps/search/?api=1&amp;query="&amp;SUBSTITUTE(F45," ","")),"")</f>
        <v/>
      </c>
      <c r="K45" s="8">
        <f>IF(C45&lt;&gt;"",HYPERLINK("https://wa.me/507"&amp;REGEXREPLACE(C45,"[^0-9]","")&amp;"?text="&amp;ENCODEURL("Ya llegue. Codigo: "&amp;A45&amp;". Ubicacion: "&amp;"https://www.google.com/maps/search/?api=1&amp;query="&amp;SUBSTITUTE(F45," ","")),"📲 Avisar al cliente"),"")</f>
        <v/>
      </c>
      <c r="L45" s="8">
        <f>IF(C45&lt;&gt;"","https://api.qrserver.com/v1/create-qr-code/?size=200x200&amp;data="&amp;ENCODEURL("https://wa.me/507"&amp;REGEXREPLACE(C45,"[^0-9]","")&amp;"?text="&amp;ENCODEURL("Ya llegue. Codigo: "&amp;A45&amp;". Ubicacion: "&amp;"https://www.google.com/maps/search/?api=1&amp;query="&amp;SUBSTITUTE(F45," ",""))),"")</f>
        <v/>
      </c>
      <c r="M45" s="8">
        <f>IF(B45&lt;&gt;"",TODAY(),"")</f>
        <v/>
      </c>
      <c r="N45" s="8">
        <f>IF(F45&lt;&gt;"",IFERROR(IF(AND(REGEXMATCH(SUBSTITUTE(TRIM(F45)," ",""),"^-?\d+(\.\d+)?,-?\d+(\.\d+)?$"),VALUE(REGEXEXTRACT(SUBSTITUTE(TRIM(F45)," ",""),"^-?\d+(\.\d+)?"))&gt;=-90,VALUE(REGEXEXTRACT(SUBSTITUTE(TRIM(F45)," ",""),"^-?\d+(\.\d+)?"))&lt;=90,VALUE(REGEXEXTRACT(SUBSTITUTE(TRIM(F45)," ",""),"-?\d+(\.\d+)?$"))&gt;=-180,VALUE(REGEXEXTRACT(SUBSTITUTE(TRIM(F45)," ",""),"-?\d+(\.\d+)?$"))&lt;=180),"OK","REVISAR"),"REVISAR"),"")</f>
        <v/>
      </c>
      <c r="O45">
        <f>IF(A45&lt;&gt;"","https://direcciones507.github.io/direcciones507/panel.html?codigo="&amp;A45&amp;"&amp;nombre="&amp;ENCODEURL(B45)&amp;"&amp;telefono="&amp;SUBSTITUTE(C45,"-","")&amp;"&amp;referencia="&amp;ENCODEURL(E45)&amp;"&amp;lat="&amp;IZQUIERDA(SUBSTITUTE(F45," ",""),ENCONTRAR(",",SUBSTITUTE(F45," ",""))-1)&amp;"&amp;lng="&amp;DERECHA(SUBSTITUTE(F45," ",""),LARGO(SUBSTITUTE(F45," ",""))-ENCONTRAR(",",SUBSTITUTE(F45," ",""))),"")</f>
        <v/>
      </c>
    </row>
    <row r="46" ht="15.75" customHeight="1" s="10">
      <c r="A46" s="8">
        <f>CONCAT("AD507-",TEXT(ROW()-2,"0000"))</f>
        <v/>
      </c>
      <c r="C46" s="8" t="n"/>
      <c r="F46" s="8" t="n"/>
      <c r="G46" s="8">
        <f>IF(F46&lt;&gt;"",HYPERLINK("https://www.google.com/maps/search/?api=1&amp;query="&amp;SUBSTITUTE(F46," ",""),"🗺 Google Maps"),"")</f>
        <v/>
      </c>
      <c r="H46" s="8">
        <f>IF(F46&lt;&gt;"",HYPERLINK("https://waze.com/ul?ll="&amp;SUBSTITUTE(F46," ","")&amp;"&amp;navigate=yes","🚗 Waze"),"")</f>
        <v/>
      </c>
      <c r="I46" s="8">
        <f>IF(F46&lt;&gt;"",HYPERLINK("https://m.uber.com/ul/?action=setPickup&amp;pickup=my_location&amp;dropoff[latitude]="&amp;LEFT(SUBSTITUTE(F46," ",""),FIND(",",SUBSTITUTE(F46," ",""))-1)&amp;"&amp;dropoff[longitude]="&amp;MID(SUBSTITUTE(F46," ",""),FIND(",",SUBSTITUTE(F46," ",""))+1,99),"🚕 Uber"),"")</f>
        <v/>
      </c>
      <c r="J46" s="8">
        <f>IF(F46&lt;&gt;"","https://api.qrserver.com/v1/create-qr-code/?size=200x200&amp;data="&amp;ENCODEURL("https://www.google.com/maps/search/?api=1&amp;query="&amp;SUBSTITUTE(F46," ","")),"")</f>
        <v/>
      </c>
      <c r="K46" s="8">
        <f>IF(C46&lt;&gt;"",HYPERLINK("https://wa.me/507"&amp;REGEXREPLACE(C46,"[^0-9]","")&amp;"?text="&amp;ENCODEURL("Ya llegue. Codigo: "&amp;A46&amp;". Ubicacion: "&amp;"https://www.google.com/maps/search/?api=1&amp;query="&amp;SUBSTITUTE(F46," ","")),"📲 Avisar al cliente"),"")</f>
        <v/>
      </c>
      <c r="L46" s="8">
        <f>IF(C46&lt;&gt;"","https://api.qrserver.com/v1/create-qr-code/?size=200x200&amp;data="&amp;ENCODEURL("https://wa.me/507"&amp;REGEXREPLACE(C46,"[^0-9]","")&amp;"?text="&amp;ENCODEURL("Ya llegue. Codigo: "&amp;A46&amp;". Ubicacion: "&amp;"https://www.google.com/maps/search/?api=1&amp;query="&amp;SUBSTITUTE(F46," ",""))),"")</f>
        <v/>
      </c>
      <c r="M46" s="8">
        <f>IF(B46&lt;&gt;"",TODAY(),"")</f>
        <v/>
      </c>
      <c r="N46" s="8">
        <f>IF(F46&lt;&gt;"",IFERROR(IF(AND(REGEXMATCH(SUBSTITUTE(TRIM(F46)," ",""),"^-?\d+(\.\d+)?,-?\d+(\.\d+)?$"),VALUE(REGEXEXTRACT(SUBSTITUTE(TRIM(F46)," ",""),"^-?\d+(\.\d+)?"))&gt;=-90,VALUE(REGEXEXTRACT(SUBSTITUTE(TRIM(F46)," ",""),"^-?\d+(\.\d+)?"))&lt;=90,VALUE(REGEXEXTRACT(SUBSTITUTE(TRIM(F46)," ",""),"-?\d+(\.\d+)?$"))&gt;=-180,VALUE(REGEXEXTRACT(SUBSTITUTE(TRIM(F46)," ",""),"-?\d+(\.\d+)?$"))&lt;=180),"OK","REVISAR"),"REVISAR"),"")</f>
        <v/>
      </c>
      <c r="O46">
        <f>IF(A46&lt;&gt;"","https://direcciones507.github.io/direcciones507/panel.html?codigo="&amp;A46&amp;"&amp;nombre="&amp;ENCODEURL(B46)&amp;"&amp;telefono="&amp;SUBSTITUTE(C46,"-","")&amp;"&amp;referencia="&amp;ENCODEURL(E46)&amp;"&amp;lat="&amp;IZQUIERDA(SUBSTITUTE(F46," ",""),ENCONTRAR(",",SUBSTITUTE(F46," ",""))-1)&amp;"&amp;lng="&amp;DERECHA(SUBSTITUTE(F46," ",""),LARGO(SUBSTITUTE(F46," ",""))-ENCONTRAR(",",SUBSTITUTE(F46," ",""))),"")</f>
        <v/>
      </c>
    </row>
    <row r="47" ht="15.75" customHeight="1" s="10">
      <c r="A47" s="8">
        <f>CONCAT("AD507-",TEXT(ROW()-2,"0000"))</f>
        <v/>
      </c>
      <c r="C47" s="8" t="n"/>
      <c r="F47" s="8" t="n"/>
      <c r="G47" s="8">
        <f>IF(F47&lt;&gt;"",HYPERLINK("https://www.google.com/maps/search/?api=1&amp;query="&amp;SUBSTITUTE(F47," ",""),"🗺 Google Maps"),"")</f>
        <v/>
      </c>
      <c r="H47" s="8">
        <f>IF(F47&lt;&gt;"",HYPERLINK("https://waze.com/ul?ll="&amp;SUBSTITUTE(F47," ","")&amp;"&amp;navigate=yes","🚗 Waze"),"")</f>
        <v/>
      </c>
      <c r="I47" s="8">
        <f>IF(F47&lt;&gt;"",HYPERLINK("https://m.uber.com/ul/?action=setPickup&amp;pickup=my_location&amp;dropoff[latitude]="&amp;LEFT(SUBSTITUTE(F47," ",""),FIND(",",SUBSTITUTE(F47," ",""))-1)&amp;"&amp;dropoff[longitude]="&amp;MID(SUBSTITUTE(F47," ",""),FIND(",",SUBSTITUTE(F47," ",""))+1,99),"🚕 Uber"),"")</f>
        <v/>
      </c>
      <c r="J47" s="8">
        <f>IF(F47&lt;&gt;"","https://api.qrserver.com/v1/create-qr-code/?size=200x200&amp;data="&amp;ENCODEURL("https://www.google.com/maps/search/?api=1&amp;query="&amp;SUBSTITUTE(F47," ","")),"")</f>
        <v/>
      </c>
      <c r="K47" s="8">
        <f>IF(C47&lt;&gt;"",HYPERLINK("https://wa.me/507"&amp;REGEXREPLACE(C47,"[^0-9]","")&amp;"?text="&amp;ENCODEURL("Ya llegue. Codigo: "&amp;A47&amp;". Ubicacion: "&amp;"https://www.google.com/maps/search/?api=1&amp;query="&amp;SUBSTITUTE(F47," ","")),"📲 Avisar al cliente"),"")</f>
        <v/>
      </c>
      <c r="L47" s="8">
        <f>IF(C47&lt;&gt;"","https://api.qrserver.com/v1/create-qr-code/?size=200x200&amp;data="&amp;ENCODEURL("https://wa.me/507"&amp;REGEXREPLACE(C47,"[^0-9]","")&amp;"?text="&amp;ENCODEURL("Ya llegue. Codigo: "&amp;A47&amp;". Ubicacion: "&amp;"https://www.google.com/maps/search/?api=1&amp;query="&amp;SUBSTITUTE(F47," ",""))),"")</f>
        <v/>
      </c>
      <c r="M47" s="8">
        <f>IF(B47&lt;&gt;"",TODAY(),"")</f>
        <v/>
      </c>
      <c r="N47" s="8">
        <f>IF(F47&lt;&gt;"",IFERROR(IF(AND(REGEXMATCH(SUBSTITUTE(TRIM(F47)," ",""),"^-?\d+(\.\d+)?,-?\d+(\.\d+)?$"),VALUE(REGEXEXTRACT(SUBSTITUTE(TRIM(F47)," ",""),"^-?\d+(\.\d+)?"))&gt;=-90,VALUE(REGEXEXTRACT(SUBSTITUTE(TRIM(F47)," ",""),"^-?\d+(\.\d+)?"))&lt;=90,VALUE(REGEXEXTRACT(SUBSTITUTE(TRIM(F47)," ",""),"-?\d+(\.\d+)?$"))&gt;=-180,VALUE(REGEXEXTRACT(SUBSTITUTE(TRIM(F47)," ",""),"-?\d+(\.\d+)?$"))&lt;=180),"OK","REVISAR"),"REVISAR"),"")</f>
        <v/>
      </c>
      <c r="O47">
        <f>IF(A47&lt;&gt;"","https://direcciones507.github.io/direcciones507/panel.html?codigo="&amp;A47&amp;"&amp;nombre="&amp;ENCODEURL(B47)&amp;"&amp;telefono="&amp;SUBSTITUTE(C47,"-","")&amp;"&amp;referencia="&amp;ENCODEURL(E47)&amp;"&amp;lat="&amp;IZQUIERDA(SUBSTITUTE(F47," ",""),ENCONTRAR(",",SUBSTITUTE(F47," ",""))-1)&amp;"&amp;lng="&amp;DERECHA(SUBSTITUTE(F47," ",""),LARGO(SUBSTITUTE(F47," ",""))-ENCONTRAR(",",SUBSTITUTE(F47," ",""))),"")</f>
        <v/>
      </c>
    </row>
    <row r="48" ht="15.75" customHeight="1" s="10">
      <c r="A48" s="8">
        <f>CONCAT("AD507-",TEXT(ROW()-2,"0000"))</f>
        <v/>
      </c>
      <c r="C48" s="8" t="n"/>
      <c r="F48" s="8" t="n"/>
      <c r="G48" s="8">
        <f>IF(F48&lt;&gt;"",HYPERLINK("https://www.google.com/maps/search/?api=1&amp;query="&amp;SUBSTITUTE(F48," ",""),"🗺 Google Maps"),"")</f>
        <v/>
      </c>
      <c r="H48" s="8">
        <f>IF(F48&lt;&gt;"",HYPERLINK("https://waze.com/ul?ll="&amp;SUBSTITUTE(F48," ","")&amp;"&amp;navigate=yes","🚗 Waze"),"")</f>
        <v/>
      </c>
      <c r="I48" s="8">
        <f>IF(F48&lt;&gt;"",HYPERLINK("https://m.uber.com/ul/?action=setPickup&amp;pickup=my_location&amp;dropoff[latitude]="&amp;LEFT(SUBSTITUTE(F48," ",""),FIND(",",SUBSTITUTE(F48," ",""))-1)&amp;"&amp;dropoff[longitude]="&amp;MID(SUBSTITUTE(F48," ",""),FIND(",",SUBSTITUTE(F48," ",""))+1,99),"🚕 Uber"),"")</f>
        <v/>
      </c>
      <c r="J48" s="8">
        <f>IF(F48&lt;&gt;"","https://api.qrserver.com/v1/create-qr-code/?size=200x200&amp;data="&amp;ENCODEURL("https://www.google.com/maps/search/?api=1&amp;query="&amp;SUBSTITUTE(F48," ","")),"")</f>
        <v/>
      </c>
      <c r="K48" s="8">
        <f>IF(C48&lt;&gt;"",HYPERLINK("https://wa.me/507"&amp;REGEXREPLACE(C48,"[^0-9]","")&amp;"?text="&amp;ENCODEURL("Ya llegue. Codigo: "&amp;A48&amp;". Ubicacion: "&amp;"https://www.google.com/maps/search/?api=1&amp;query="&amp;SUBSTITUTE(F48," ","")),"📲 Avisar al cliente"),"")</f>
        <v/>
      </c>
      <c r="L48" s="8">
        <f>IF(C48&lt;&gt;"","https://api.qrserver.com/v1/create-qr-code/?size=200x200&amp;data="&amp;ENCODEURL("https://wa.me/507"&amp;REGEXREPLACE(C48,"[^0-9]","")&amp;"?text="&amp;ENCODEURL("Ya llegue. Codigo: "&amp;A48&amp;". Ubicacion: "&amp;"https://www.google.com/maps/search/?api=1&amp;query="&amp;SUBSTITUTE(F48," ",""))),"")</f>
        <v/>
      </c>
      <c r="M48" s="8">
        <f>IF(B48&lt;&gt;"",TODAY(),"")</f>
        <v/>
      </c>
      <c r="N48" s="8">
        <f>IF(F48&lt;&gt;"",IFERROR(IF(AND(REGEXMATCH(SUBSTITUTE(TRIM(F48)," ",""),"^-?\d+(\.\d+)?,-?\d+(\.\d+)?$"),VALUE(REGEXEXTRACT(SUBSTITUTE(TRIM(F48)," ",""),"^-?\d+(\.\d+)?"))&gt;=-90,VALUE(REGEXEXTRACT(SUBSTITUTE(TRIM(F48)," ",""),"^-?\d+(\.\d+)?"))&lt;=90,VALUE(REGEXEXTRACT(SUBSTITUTE(TRIM(F48)," ",""),"-?\d+(\.\d+)?$"))&gt;=-180,VALUE(REGEXEXTRACT(SUBSTITUTE(TRIM(F48)," ",""),"-?\d+(\.\d+)?$"))&lt;=180),"OK","REVISAR"),"REVISAR"),"")</f>
        <v/>
      </c>
      <c r="O48">
        <f>IF(A48&lt;&gt;"","https://direcciones507.github.io/direcciones507/panel.html?codigo="&amp;A48&amp;"&amp;nombre="&amp;ENCODEURL(B48)&amp;"&amp;telefono="&amp;SUBSTITUTE(C48,"-","")&amp;"&amp;referencia="&amp;ENCODEURL(E48)&amp;"&amp;lat="&amp;IZQUIERDA(SUBSTITUTE(F48," ",""),ENCONTRAR(",",SUBSTITUTE(F48," ",""))-1)&amp;"&amp;lng="&amp;DERECHA(SUBSTITUTE(F48," ",""),LARGO(SUBSTITUTE(F48," ",""))-ENCONTRAR(",",SUBSTITUTE(F48," ",""))),"")</f>
        <v/>
      </c>
    </row>
    <row r="49" ht="15.75" customHeight="1" s="10">
      <c r="A49" s="8">
        <f>CONCAT("AD507-",TEXT(ROW()-2,"0000"))</f>
        <v/>
      </c>
      <c r="C49" s="8" t="n"/>
      <c r="F49" s="8" t="n"/>
      <c r="G49" s="8">
        <f>IF(F49&lt;&gt;"",HYPERLINK("https://www.google.com/maps/search/?api=1&amp;query="&amp;SUBSTITUTE(F49," ",""),"🗺 Google Maps"),"")</f>
        <v/>
      </c>
      <c r="H49" s="8">
        <f>IF(F49&lt;&gt;"",HYPERLINK("https://waze.com/ul?ll="&amp;SUBSTITUTE(F49," ","")&amp;"&amp;navigate=yes","🚗 Waze"),"")</f>
        <v/>
      </c>
      <c r="I49" s="8">
        <f>IF(F49&lt;&gt;"",HYPERLINK("https://m.uber.com/ul/?action=setPickup&amp;pickup=my_location&amp;dropoff[latitude]="&amp;LEFT(SUBSTITUTE(F49," ",""),FIND(",",SUBSTITUTE(F49," ",""))-1)&amp;"&amp;dropoff[longitude]="&amp;MID(SUBSTITUTE(F49," ",""),FIND(",",SUBSTITUTE(F49," ",""))+1,99),"🚕 Uber"),"")</f>
        <v/>
      </c>
      <c r="J49" s="8">
        <f>IF(F49&lt;&gt;"","https://api.qrserver.com/v1/create-qr-code/?size=200x200&amp;data="&amp;ENCODEURL("https://www.google.com/maps/search/?api=1&amp;query="&amp;SUBSTITUTE(F49," ","")),"")</f>
        <v/>
      </c>
      <c r="K49" s="8">
        <f>IF(C49&lt;&gt;"",HYPERLINK("https://wa.me/507"&amp;REGEXREPLACE(C49,"[^0-9]","")&amp;"?text="&amp;ENCODEURL("Ya llegue. Codigo: "&amp;A49&amp;". Ubicacion: "&amp;"https://www.google.com/maps/search/?api=1&amp;query="&amp;SUBSTITUTE(F49," ","")),"📲 Avisar al cliente"),"")</f>
        <v/>
      </c>
      <c r="L49" s="8">
        <f>IF(C49&lt;&gt;"","https://api.qrserver.com/v1/create-qr-code/?size=200x200&amp;data="&amp;ENCODEURL("https://wa.me/507"&amp;REGEXREPLACE(C49,"[^0-9]","")&amp;"?text="&amp;ENCODEURL("Ya llegue. Codigo: "&amp;A49&amp;". Ubicacion: "&amp;"https://www.google.com/maps/search/?api=1&amp;query="&amp;SUBSTITUTE(F49," ",""))),"")</f>
        <v/>
      </c>
      <c r="M49" s="8">
        <f>IF(B49&lt;&gt;"",TODAY(),"")</f>
        <v/>
      </c>
      <c r="N49" s="8">
        <f>IF(F49&lt;&gt;"",IFERROR(IF(AND(REGEXMATCH(SUBSTITUTE(TRIM(F49)," ",""),"^-?\d+(\.\d+)?,-?\d+(\.\d+)?$"),VALUE(REGEXEXTRACT(SUBSTITUTE(TRIM(F49)," ",""),"^-?\d+(\.\d+)?"))&gt;=-90,VALUE(REGEXEXTRACT(SUBSTITUTE(TRIM(F49)," ",""),"^-?\d+(\.\d+)?"))&lt;=90,VALUE(REGEXEXTRACT(SUBSTITUTE(TRIM(F49)," ",""),"-?\d+(\.\d+)?$"))&gt;=-180,VALUE(REGEXEXTRACT(SUBSTITUTE(TRIM(F49)," ",""),"-?\d+(\.\d+)?$"))&lt;=180),"OK","REVISAR"),"REVISAR"),"")</f>
        <v/>
      </c>
      <c r="O49">
        <f>IF(A49&lt;&gt;"","https://direcciones507.github.io/direcciones507/panel.html?codigo="&amp;A49&amp;"&amp;nombre="&amp;ENCODEURL(B49)&amp;"&amp;telefono="&amp;SUBSTITUTE(C49,"-","")&amp;"&amp;referencia="&amp;ENCODEURL(E49)&amp;"&amp;lat="&amp;IZQUIERDA(SUBSTITUTE(F49," ",""),ENCONTRAR(",",SUBSTITUTE(F49," ",""))-1)&amp;"&amp;lng="&amp;DERECHA(SUBSTITUTE(F49," ",""),LARGO(SUBSTITUTE(F49," ",""))-ENCONTRAR(",",SUBSTITUTE(F49," ",""))),"")</f>
        <v/>
      </c>
    </row>
    <row r="50" ht="15.75" customHeight="1" s="10">
      <c r="A50" s="8">
        <f>CONCAT("AD507-",TEXT(ROW()-2,"0000"))</f>
        <v/>
      </c>
      <c r="C50" s="8" t="n"/>
      <c r="F50" s="8" t="n"/>
      <c r="G50" s="8">
        <f>IF(F50&lt;&gt;"",HYPERLINK("https://www.google.com/maps/search/?api=1&amp;query="&amp;SUBSTITUTE(F50," ",""),"🗺 Google Maps"),"")</f>
        <v/>
      </c>
      <c r="H50" s="8">
        <f>IF(F50&lt;&gt;"",HYPERLINK("https://waze.com/ul?ll="&amp;SUBSTITUTE(F50," ","")&amp;"&amp;navigate=yes","🚗 Waze"),"")</f>
        <v/>
      </c>
      <c r="I50" s="8">
        <f>IF(F50&lt;&gt;"",HYPERLINK("https://m.uber.com/ul/?action=setPickup&amp;pickup=my_location&amp;dropoff[latitude]="&amp;LEFT(SUBSTITUTE(F50," ",""),FIND(",",SUBSTITUTE(F50," ",""))-1)&amp;"&amp;dropoff[longitude]="&amp;MID(SUBSTITUTE(F50," ",""),FIND(",",SUBSTITUTE(F50," ",""))+1,99),"🚕 Uber"),"")</f>
        <v/>
      </c>
      <c r="J50" s="8">
        <f>IF(F50&lt;&gt;"","https://api.qrserver.com/v1/create-qr-code/?size=200x200&amp;data="&amp;ENCODEURL("https://www.google.com/maps/search/?api=1&amp;query="&amp;SUBSTITUTE(F50," ","")),"")</f>
        <v/>
      </c>
      <c r="K50" s="8">
        <f>IF(C50&lt;&gt;"",HYPERLINK("https://wa.me/507"&amp;REGEXREPLACE(C50,"[^0-9]","")&amp;"?text="&amp;ENCODEURL("Ya llegue. Codigo: "&amp;A50&amp;". Ubicacion: "&amp;"https://www.google.com/maps/search/?api=1&amp;query="&amp;SUBSTITUTE(F50," ","")),"📲 Avisar al cliente"),"")</f>
        <v/>
      </c>
      <c r="L50" s="8">
        <f>IF(C50&lt;&gt;"","https://api.qrserver.com/v1/create-qr-code/?size=200x200&amp;data="&amp;ENCODEURL("https://wa.me/507"&amp;REGEXREPLACE(C50,"[^0-9]","")&amp;"?text="&amp;ENCODEURL("Ya llegue. Codigo: "&amp;A50&amp;". Ubicacion: "&amp;"https://www.google.com/maps/search/?api=1&amp;query="&amp;SUBSTITUTE(F50," ",""))),"")</f>
        <v/>
      </c>
      <c r="M50" s="8">
        <f>IF(B50&lt;&gt;"",TODAY(),"")</f>
        <v/>
      </c>
      <c r="N50" s="8">
        <f>IF(F50&lt;&gt;"",IFERROR(IF(AND(REGEXMATCH(SUBSTITUTE(TRIM(F50)," ",""),"^-?\d+(\.\d+)?,-?\d+(\.\d+)?$"),VALUE(REGEXEXTRACT(SUBSTITUTE(TRIM(F50)," ",""),"^-?\d+(\.\d+)?"))&gt;=-90,VALUE(REGEXEXTRACT(SUBSTITUTE(TRIM(F50)," ",""),"^-?\d+(\.\d+)?"))&lt;=90,VALUE(REGEXEXTRACT(SUBSTITUTE(TRIM(F50)," ",""),"-?\d+(\.\d+)?$"))&gt;=-180,VALUE(REGEXEXTRACT(SUBSTITUTE(TRIM(F50)," ",""),"-?\d+(\.\d+)?$"))&lt;=180),"OK","REVISAR"),"REVISAR"),"")</f>
        <v/>
      </c>
      <c r="O50">
        <f>IF(A50&lt;&gt;"","https://direcciones507.github.io/direcciones507/panel.html?codigo="&amp;A50&amp;"&amp;nombre="&amp;ENCODEURL(B50)&amp;"&amp;telefono="&amp;SUBSTITUTE(C50,"-","")&amp;"&amp;referencia="&amp;ENCODEURL(E50)&amp;"&amp;lat="&amp;IZQUIERDA(SUBSTITUTE(F50," ",""),ENCONTRAR(",",SUBSTITUTE(F50," ",""))-1)&amp;"&amp;lng="&amp;DERECHA(SUBSTITUTE(F50," ",""),LARGO(SUBSTITUTE(F50," ",""))-ENCONTRAR(",",SUBSTITUTE(F50," ",""))),"")</f>
        <v/>
      </c>
    </row>
    <row r="51" ht="15.75" customHeight="1" s="10">
      <c r="A51" s="8">
        <f>CONCAT("AD507-",TEXT(ROW()-2,"0000"))</f>
        <v/>
      </c>
      <c r="C51" s="8" t="n"/>
      <c r="F51" s="8" t="n"/>
      <c r="G51" s="8">
        <f>IF(F51&lt;&gt;"",HYPERLINK("https://www.google.com/maps/search/?api=1&amp;query="&amp;SUBSTITUTE(F51," ",""),"🗺 Google Maps"),"")</f>
        <v/>
      </c>
      <c r="H51" s="8">
        <f>IF(F51&lt;&gt;"",HYPERLINK("https://waze.com/ul?ll="&amp;SUBSTITUTE(F51," ","")&amp;"&amp;navigate=yes","🚗 Waze"),"")</f>
        <v/>
      </c>
      <c r="I51" s="8">
        <f>IF(F51&lt;&gt;"",HYPERLINK("https://m.uber.com/ul/?action=setPickup&amp;pickup=my_location&amp;dropoff[latitude]="&amp;LEFT(SUBSTITUTE(F51," ",""),FIND(",",SUBSTITUTE(F51," ",""))-1)&amp;"&amp;dropoff[longitude]="&amp;MID(SUBSTITUTE(F51," ",""),FIND(",",SUBSTITUTE(F51," ",""))+1,99),"🚕 Uber"),"")</f>
        <v/>
      </c>
      <c r="J51" s="8">
        <f>IF(F51&lt;&gt;"","https://api.qrserver.com/v1/create-qr-code/?size=200x200&amp;data="&amp;ENCODEURL("https://www.google.com/maps/search/?api=1&amp;query="&amp;SUBSTITUTE(F51," ","")),"")</f>
        <v/>
      </c>
      <c r="K51" s="8">
        <f>IF(C51&lt;&gt;"",HYPERLINK("https://wa.me/507"&amp;REGEXREPLACE(C51,"[^0-9]","")&amp;"?text="&amp;ENCODEURL("Ya llegue. Codigo: "&amp;A51&amp;". Ubicacion: "&amp;"https://www.google.com/maps/search/?api=1&amp;query="&amp;SUBSTITUTE(F51," ","")),"📲 Avisar al cliente"),"")</f>
        <v/>
      </c>
      <c r="L51" s="8">
        <f>IF(C51&lt;&gt;"","https://api.qrserver.com/v1/create-qr-code/?size=200x200&amp;data="&amp;ENCODEURL("https://wa.me/507"&amp;REGEXREPLACE(C51,"[^0-9]","")&amp;"?text="&amp;ENCODEURL("Ya llegue. Codigo: "&amp;A51&amp;". Ubicacion: "&amp;"https://www.google.com/maps/search/?api=1&amp;query="&amp;SUBSTITUTE(F51," ",""))),"")</f>
        <v/>
      </c>
      <c r="M51" s="8">
        <f>IF(B51&lt;&gt;"",TODAY(),"")</f>
        <v/>
      </c>
      <c r="N51" s="8">
        <f>IF(F51&lt;&gt;"",IFERROR(IF(AND(REGEXMATCH(SUBSTITUTE(TRIM(F51)," ",""),"^-?\d+(\.\d+)?,-?\d+(\.\d+)?$"),VALUE(REGEXEXTRACT(SUBSTITUTE(TRIM(F51)," ",""),"^-?\d+(\.\d+)?"))&gt;=-90,VALUE(REGEXEXTRACT(SUBSTITUTE(TRIM(F51)," ",""),"^-?\d+(\.\d+)?"))&lt;=90,VALUE(REGEXEXTRACT(SUBSTITUTE(TRIM(F51)," ",""),"-?\d+(\.\d+)?$"))&gt;=-180,VALUE(REGEXEXTRACT(SUBSTITUTE(TRIM(F51)," ",""),"-?\d+(\.\d+)?$"))&lt;=180),"OK","REVISAR"),"REVISAR"),"")</f>
        <v/>
      </c>
      <c r="O51">
        <f>IF(A51&lt;&gt;"","https://direcciones507.github.io/direcciones507/panel.html?codigo="&amp;A51&amp;"&amp;nombre="&amp;ENCODEURL(B51)&amp;"&amp;telefono="&amp;SUBSTITUTE(C51,"-","")&amp;"&amp;referencia="&amp;ENCODEURL(E51)&amp;"&amp;lat="&amp;IZQUIERDA(SUBSTITUTE(F51," ",""),ENCONTRAR(",",SUBSTITUTE(F51," ",""))-1)&amp;"&amp;lng="&amp;DERECHA(SUBSTITUTE(F51," ",""),LARGO(SUBSTITUTE(F51," ",""))-ENCONTRAR(",",SUBSTITUTE(F51," ",""))),"")</f>
        <v/>
      </c>
    </row>
    <row r="52" ht="15.75" customHeight="1" s="10">
      <c r="A52" s="8">
        <f>CONCAT("AD507-",TEXT(ROW()-2,"0000"))</f>
        <v/>
      </c>
      <c r="C52" s="8" t="n"/>
      <c r="F52" s="8" t="n"/>
      <c r="G52" s="8">
        <f>IF(F52&lt;&gt;"",HYPERLINK("https://www.google.com/maps/search/?api=1&amp;query="&amp;SUBSTITUTE(F52," ",""),"🗺 Google Maps"),"")</f>
        <v/>
      </c>
      <c r="H52" s="8">
        <f>IF(F52&lt;&gt;"",HYPERLINK("https://waze.com/ul?ll="&amp;SUBSTITUTE(F52," ","")&amp;"&amp;navigate=yes","🚗 Waze"),"")</f>
        <v/>
      </c>
      <c r="I52" s="8">
        <f>IF(F52&lt;&gt;"",HYPERLINK("https://m.uber.com/ul/?action=setPickup&amp;pickup=my_location&amp;dropoff[latitude]="&amp;LEFT(SUBSTITUTE(F52," ",""),FIND(",",SUBSTITUTE(F52," ",""))-1)&amp;"&amp;dropoff[longitude]="&amp;MID(SUBSTITUTE(F52," ",""),FIND(",",SUBSTITUTE(F52," ",""))+1,99),"🚕 Uber"),"")</f>
        <v/>
      </c>
      <c r="J52" s="8">
        <f>IF(F52&lt;&gt;"","https://api.qrserver.com/v1/create-qr-code/?size=200x200&amp;data="&amp;ENCODEURL("https://www.google.com/maps/search/?api=1&amp;query="&amp;SUBSTITUTE(F52," ","")),"")</f>
        <v/>
      </c>
      <c r="K52" s="8">
        <f>IF(C52&lt;&gt;"",HYPERLINK("https://wa.me/507"&amp;REGEXREPLACE(C52,"[^0-9]","")&amp;"?text="&amp;ENCODEURL("Ya llegue. Codigo: "&amp;A52&amp;". Ubicacion: "&amp;"https://www.google.com/maps/search/?api=1&amp;query="&amp;SUBSTITUTE(F52," ","")),"📲 Avisar al cliente"),"")</f>
        <v/>
      </c>
      <c r="L52" s="8">
        <f>IF(C52&lt;&gt;"","https://api.qrserver.com/v1/create-qr-code/?size=200x200&amp;data="&amp;ENCODEURL("https://wa.me/507"&amp;REGEXREPLACE(C52,"[^0-9]","")&amp;"?text="&amp;ENCODEURL("Ya llegue. Codigo: "&amp;A52&amp;". Ubicacion: "&amp;"https://www.google.com/maps/search/?api=1&amp;query="&amp;SUBSTITUTE(F52," ",""))),"")</f>
        <v/>
      </c>
      <c r="M52" s="8">
        <f>IF(B52&lt;&gt;"",TODAY(),"")</f>
        <v/>
      </c>
      <c r="N52" s="8">
        <f>IF(F52&lt;&gt;"",IFERROR(IF(AND(REGEXMATCH(SUBSTITUTE(TRIM(F52)," ",""),"^-?\d+(\.\d+)?,-?\d+(\.\d+)?$"),VALUE(REGEXEXTRACT(SUBSTITUTE(TRIM(F52)," ",""),"^-?\d+(\.\d+)?"))&gt;=-90,VALUE(REGEXEXTRACT(SUBSTITUTE(TRIM(F52)," ",""),"^-?\d+(\.\d+)?"))&lt;=90,VALUE(REGEXEXTRACT(SUBSTITUTE(TRIM(F52)," ",""),"-?\d+(\.\d+)?$"))&gt;=-180,VALUE(REGEXEXTRACT(SUBSTITUTE(TRIM(F52)," ",""),"-?\d+(\.\d+)?$"))&lt;=180),"OK","REVISAR"),"REVISAR"),"")</f>
        <v/>
      </c>
      <c r="O52">
        <f>IF(A52&lt;&gt;"","https://direcciones507.github.io/direcciones507/panel.html?codigo="&amp;A52&amp;"&amp;nombre="&amp;ENCODEURL(B52)&amp;"&amp;telefono="&amp;SUBSTITUTE(C52,"-","")&amp;"&amp;referencia="&amp;ENCODEURL(E52)&amp;"&amp;lat="&amp;IZQUIERDA(SUBSTITUTE(F52," ",""),ENCONTRAR(",",SUBSTITUTE(F52," ",""))-1)&amp;"&amp;lng="&amp;DERECHA(SUBSTITUTE(F52," ",""),LARGO(SUBSTITUTE(F52," ",""))-ENCONTRAR(",",SUBSTITUTE(F52," ",""))),"")</f>
        <v/>
      </c>
    </row>
    <row r="53" ht="15.75" customHeight="1" s="10">
      <c r="A53" s="8">
        <f>CONCAT("AD507-",TEXT(ROW()-2,"0000"))</f>
        <v/>
      </c>
      <c r="C53" s="8" t="n"/>
      <c r="F53" s="8" t="n"/>
      <c r="G53" s="8">
        <f>IF(F53&lt;&gt;"",HYPERLINK("https://www.google.com/maps/search/?api=1&amp;query="&amp;SUBSTITUTE(F53," ",""),"🗺 Google Maps"),"")</f>
        <v/>
      </c>
      <c r="H53" s="8">
        <f>IF(F53&lt;&gt;"",HYPERLINK("https://waze.com/ul?ll="&amp;SUBSTITUTE(F53," ","")&amp;"&amp;navigate=yes","🚗 Waze"),"")</f>
        <v/>
      </c>
      <c r="I53" s="8">
        <f>IF(F53&lt;&gt;"",HYPERLINK("https://m.uber.com/ul/?action=setPickup&amp;pickup=my_location&amp;dropoff[latitude]="&amp;LEFT(SUBSTITUTE(F53," ",""),FIND(",",SUBSTITUTE(F53," ",""))-1)&amp;"&amp;dropoff[longitude]="&amp;MID(SUBSTITUTE(F53," ",""),FIND(",",SUBSTITUTE(F53," ",""))+1,99),"🚕 Uber"),"")</f>
        <v/>
      </c>
      <c r="J53" s="8">
        <f>IF(F53&lt;&gt;"","https://api.qrserver.com/v1/create-qr-code/?size=200x200&amp;data="&amp;ENCODEURL("https://www.google.com/maps/search/?api=1&amp;query="&amp;SUBSTITUTE(F53," ","")),"")</f>
        <v/>
      </c>
      <c r="K53" s="8">
        <f>IF(C53&lt;&gt;"",HYPERLINK("https://wa.me/507"&amp;REGEXREPLACE(C53,"[^0-9]","")&amp;"?text="&amp;ENCODEURL("Ya llegue. Codigo: "&amp;A53&amp;". Ubicacion: "&amp;"https://www.google.com/maps/search/?api=1&amp;query="&amp;SUBSTITUTE(F53," ","")),"📲 Avisar al cliente"),"")</f>
        <v/>
      </c>
      <c r="L53" s="8">
        <f>IF(C53&lt;&gt;"","https://api.qrserver.com/v1/create-qr-code/?size=200x200&amp;data="&amp;ENCODEURL("https://wa.me/507"&amp;REGEXREPLACE(C53,"[^0-9]","")&amp;"?text="&amp;ENCODEURL("Ya llegue. Codigo: "&amp;A53&amp;". Ubicacion: "&amp;"https://www.google.com/maps/search/?api=1&amp;query="&amp;SUBSTITUTE(F53," ",""))),"")</f>
        <v/>
      </c>
      <c r="M53" s="8">
        <f>IF(B53&lt;&gt;"",TODAY(),"")</f>
        <v/>
      </c>
      <c r="N53" s="8">
        <f>IF(F53&lt;&gt;"",IFERROR(IF(AND(REGEXMATCH(SUBSTITUTE(TRIM(F53)," ",""),"^-?\d+(\.\d+)?,-?\d+(\.\d+)?$"),VALUE(REGEXEXTRACT(SUBSTITUTE(TRIM(F53)," ",""),"^-?\d+(\.\d+)?"))&gt;=-90,VALUE(REGEXEXTRACT(SUBSTITUTE(TRIM(F53)," ",""),"^-?\d+(\.\d+)?"))&lt;=90,VALUE(REGEXEXTRACT(SUBSTITUTE(TRIM(F53)," ",""),"-?\d+(\.\d+)?$"))&gt;=-180,VALUE(REGEXEXTRACT(SUBSTITUTE(TRIM(F53)," ",""),"-?\d+(\.\d+)?$"))&lt;=180),"OK","REVISAR"),"REVISAR"),"")</f>
        <v/>
      </c>
      <c r="O53">
        <f>IF(A53&lt;&gt;"","https://direcciones507.github.io/direcciones507/panel.html?codigo="&amp;A53&amp;"&amp;nombre="&amp;ENCODEURL(B53)&amp;"&amp;telefono="&amp;SUBSTITUTE(C53,"-","")&amp;"&amp;referencia="&amp;ENCODEURL(E53)&amp;"&amp;lat="&amp;IZQUIERDA(SUBSTITUTE(F53," ",""),ENCONTRAR(",",SUBSTITUTE(F53," ",""))-1)&amp;"&amp;lng="&amp;DERECHA(SUBSTITUTE(F53," ",""),LARGO(SUBSTITUTE(F53," ",""))-ENCONTRAR(",",SUBSTITUTE(F53," ",""))),"")</f>
        <v/>
      </c>
    </row>
    <row r="54" ht="15.75" customHeight="1" s="10">
      <c r="A54" s="8">
        <f>CONCAT("AD507-",TEXT(ROW()-2,"0000"))</f>
        <v/>
      </c>
      <c r="C54" s="8" t="n"/>
      <c r="F54" s="8" t="n"/>
      <c r="G54" s="8">
        <f>IF(F54&lt;&gt;"",HYPERLINK("https://www.google.com/maps/search/?api=1&amp;query="&amp;SUBSTITUTE(F54," ",""),"🗺 Google Maps"),"")</f>
        <v/>
      </c>
      <c r="H54" s="8">
        <f>IF(F54&lt;&gt;"",HYPERLINK("https://waze.com/ul?ll="&amp;SUBSTITUTE(F54," ","")&amp;"&amp;navigate=yes","🚗 Waze"),"")</f>
        <v/>
      </c>
      <c r="I54" s="8">
        <f>IF(F54&lt;&gt;"",HYPERLINK("https://m.uber.com/ul/?action=setPickup&amp;pickup=my_location&amp;dropoff[latitude]="&amp;LEFT(SUBSTITUTE(F54," ",""),FIND(",",SUBSTITUTE(F54," ",""))-1)&amp;"&amp;dropoff[longitude]="&amp;MID(SUBSTITUTE(F54," ",""),FIND(",",SUBSTITUTE(F54," ",""))+1,99),"🚕 Uber"),"")</f>
        <v/>
      </c>
      <c r="J54" s="8">
        <f>IF(F54&lt;&gt;"","https://api.qrserver.com/v1/create-qr-code/?size=200x200&amp;data="&amp;ENCODEURL("https://www.google.com/maps/search/?api=1&amp;query="&amp;SUBSTITUTE(F54," ","")),"")</f>
        <v/>
      </c>
      <c r="K54" s="8">
        <f>IF(C54&lt;&gt;"",HYPERLINK("https://wa.me/507"&amp;REGEXREPLACE(C54,"[^0-9]","")&amp;"?text="&amp;ENCODEURL("Ya llegue. Codigo: "&amp;A54&amp;". Ubicacion: "&amp;"https://www.google.com/maps/search/?api=1&amp;query="&amp;SUBSTITUTE(F54," ","")),"📲 Avisar al cliente"),"")</f>
        <v/>
      </c>
      <c r="L54" s="8">
        <f>IF(C54&lt;&gt;"","https://api.qrserver.com/v1/create-qr-code/?size=200x200&amp;data="&amp;ENCODEURL("https://wa.me/507"&amp;REGEXREPLACE(C54,"[^0-9]","")&amp;"?text="&amp;ENCODEURL("Ya llegue. Codigo: "&amp;A54&amp;". Ubicacion: "&amp;"https://www.google.com/maps/search/?api=1&amp;query="&amp;SUBSTITUTE(F54," ",""))),"")</f>
        <v/>
      </c>
      <c r="M54" s="8">
        <f>IF(B54&lt;&gt;"",TODAY(),"")</f>
        <v/>
      </c>
      <c r="N54" s="8">
        <f>IF(F54&lt;&gt;"",IFERROR(IF(AND(REGEXMATCH(SUBSTITUTE(TRIM(F54)," ",""),"^-?\d+(\.\d+)?,-?\d+(\.\d+)?$"),VALUE(REGEXEXTRACT(SUBSTITUTE(TRIM(F54)," ",""),"^-?\d+(\.\d+)?"))&gt;=-90,VALUE(REGEXEXTRACT(SUBSTITUTE(TRIM(F54)," ",""),"^-?\d+(\.\d+)?"))&lt;=90,VALUE(REGEXEXTRACT(SUBSTITUTE(TRIM(F54)," ",""),"-?\d+(\.\d+)?$"))&gt;=-180,VALUE(REGEXEXTRACT(SUBSTITUTE(TRIM(F54)," ",""),"-?\d+(\.\d+)?$"))&lt;=180),"OK","REVISAR"),"REVISAR"),"")</f>
        <v/>
      </c>
      <c r="O54">
        <f>IF(A54&lt;&gt;"","https://direcciones507.github.io/direcciones507/panel.html?codigo="&amp;A54&amp;"&amp;nombre="&amp;ENCODEURL(B54)&amp;"&amp;telefono="&amp;SUBSTITUTE(C54,"-","")&amp;"&amp;referencia="&amp;ENCODEURL(E54)&amp;"&amp;lat="&amp;IZQUIERDA(SUBSTITUTE(F54," ",""),ENCONTRAR(",",SUBSTITUTE(F54," ",""))-1)&amp;"&amp;lng="&amp;DERECHA(SUBSTITUTE(F54," ",""),LARGO(SUBSTITUTE(F54," ",""))-ENCONTRAR(",",SUBSTITUTE(F54," ",""))),"")</f>
        <v/>
      </c>
    </row>
    <row r="55" ht="15.75" customHeight="1" s="10">
      <c r="A55" s="8">
        <f>CONCAT("AD507-",TEXT(ROW()-2,"0000"))</f>
        <v/>
      </c>
      <c r="C55" s="8" t="n"/>
      <c r="F55" s="8" t="n"/>
      <c r="G55" s="8">
        <f>IF(F55&lt;&gt;"",HYPERLINK("https://www.google.com/maps/search/?api=1&amp;query="&amp;SUBSTITUTE(F55," ",""),"🗺 Google Maps"),"")</f>
        <v/>
      </c>
      <c r="H55" s="8">
        <f>IF(F55&lt;&gt;"",HYPERLINK("https://waze.com/ul?ll="&amp;SUBSTITUTE(F55," ","")&amp;"&amp;navigate=yes","🚗 Waze"),"")</f>
        <v/>
      </c>
      <c r="I55" s="8">
        <f>IF(F55&lt;&gt;"",HYPERLINK("https://m.uber.com/ul/?action=setPickup&amp;pickup=my_location&amp;dropoff[latitude]="&amp;LEFT(SUBSTITUTE(F55," ",""),FIND(",",SUBSTITUTE(F55," ",""))-1)&amp;"&amp;dropoff[longitude]="&amp;MID(SUBSTITUTE(F55," ",""),FIND(",",SUBSTITUTE(F55," ",""))+1,99),"🚕 Uber"),"")</f>
        <v/>
      </c>
      <c r="J55" s="8">
        <f>IF(F55&lt;&gt;"","https://api.qrserver.com/v1/create-qr-code/?size=200x200&amp;data="&amp;ENCODEURL("https://www.google.com/maps/search/?api=1&amp;query="&amp;SUBSTITUTE(F55," ","")),"")</f>
        <v/>
      </c>
      <c r="K55" s="8">
        <f>IF(C55&lt;&gt;"",HYPERLINK("https://wa.me/507"&amp;REGEXREPLACE(C55,"[^0-9]","")&amp;"?text="&amp;ENCODEURL("Ya llegue. Codigo: "&amp;A55&amp;". Ubicacion: "&amp;"https://www.google.com/maps/search/?api=1&amp;query="&amp;SUBSTITUTE(F55," ","")),"📲 Avisar al cliente"),"")</f>
        <v/>
      </c>
      <c r="L55" s="8">
        <f>IF(C55&lt;&gt;"","https://api.qrserver.com/v1/create-qr-code/?size=200x200&amp;data="&amp;ENCODEURL("https://wa.me/507"&amp;REGEXREPLACE(C55,"[^0-9]","")&amp;"?text="&amp;ENCODEURL("Ya llegue. Codigo: "&amp;A55&amp;". Ubicacion: "&amp;"https://www.google.com/maps/search/?api=1&amp;query="&amp;SUBSTITUTE(F55," ",""))),"")</f>
        <v/>
      </c>
      <c r="M55" s="8">
        <f>IF(B55&lt;&gt;"",TODAY(),"")</f>
        <v/>
      </c>
      <c r="N55" s="8">
        <f>IF(F55&lt;&gt;"",IFERROR(IF(AND(REGEXMATCH(SUBSTITUTE(TRIM(F55)," ",""),"^-?\d+(\.\d+)?,-?\d+(\.\d+)?$"),VALUE(REGEXEXTRACT(SUBSTITUTE(TRIM(F55)," ",""),"^-?\d+(\.\d+)?"))&gt;=-90,VALUE(REGEXEXTRACT(SUBSTITUTE(TRIM(F55)," ",""),"^-?\d+(\.\d+)?"))&lt;=90,VALUE(REGEXEXTRACT(SUBSTITUTE(TRIM(F55)," ",""),"-?\d+(\.\d+)?$"))&gt;=-180,VALUE(REGEXEXTRACT(SUBSTITUTE(TRIM(F55)," ",""),"-?\d+(\.\d+)?$"))&lt;=180),"OK","REVISAR"),"REVISAR"),"")</f>
        <v/>
      </c>
      <c r="O55">
        <f>IF(A55&lt;&gt;"","https://direcciones507.github.io/direcciones507/panel.html?codigo="&amp;A55&amp;"&amp;nombre="&amp;ENCODEURL(B55)&amp;"&amp;telefono="&amp;SUBSTITUTE(C55,"-","")&amp;"&amp;referencia="&amp;ENCODEURL(E55)&amp;"&amp;lat="&amp;IZQUIERDA(SUBSTITUTE(F55," ",""),ENCONTRAR(",",SUBSTITUTE(F55," ",""))-1)&amp;"&amp;lng="&amp;DERECHA(SUBSTITUTE(F55," ",""),LARGO(SUBSTITUTE(F55," ",""))-ENCONTRAR(",",SUBSTITUTE(F55," ",""))),"")</f>
        <v/>
      </c>
    </row>
    <row r="56" ht="15.75" customHeight="1" s="10">
      <c r="A56" s="8">
        <f>CONCAT("AD507-",TEXT(ROW()-2,"0000"))</f>
        <v/>
      </c>
      <c r="C56" s="8" t="n"/>
      <c r="F56" s="8" t="n"/>
      <c r="G56" s="8">
        <f>IF(F56&lt;&gt;"",HYPERLINK("https://www.google.com/maps/search/?api=1&amp;query="&amp;SUBSTITUTE(F56," ",""),"🗺 Google Maps"),"")</f>
        <v/>
      </c>
      <c r="H56" s="8">
        <f>IF(F56&lt;&gt;"",HYPERLINK("https://waze.com/ul?ll="&amp;SUBSTITUTE(F56," ","")&amp;"&amp;navigate=yes","🚗 Waze"),"")</f>
        <v/>
      </c>
      <c r="I56" s="8">
        <f>IF(F56&lt;&gt;"",HYPERLINK("https://m.uber.com/ul/?action=setPickup&amp;pickup=my_location&amp;dropoff[latitude]="&amp;LEFT(SUBSTITUTE(F56," ",""),FIND(",",SUBSTITUTE(F56," ",""))-1)&amp;"&amp;dropoff[longitude]="&amp;MID(SUBSTITUTE(F56," ",""),FIND(",",SUBSTITUTE(F56," ",""))+1,99),"🚕 Uber"),"")</f>
        <v/>
      </c>
      <c r="J56" s="8">
        <f>IF(F56&lt;&gt;"","https://api.qrserver.com/v1/create-qr-code/?size=200x200&amp;data="&amp;ENCODEURL("https://www.google.com/maps/search/?api=1&amp;query="&amp;SUBSTITUTE(F56," ","")),"")</f>
        <v/>
      </c>
      <c r="K56" s="8">
        <f>IF(C56&lt;&gt;"",HYPERLINK("https://wa.me/507"&amp;REGEXREPLACE(C56,"[^0-9]","")&amp;"?text="&amp;ENCODEURL("Ya llegue. Codigo: "&amp;A56&amp;". Ubicacion: "&amp;"https://www.google.com/maps/search/?api=1&amp;query="&amp;SUBSTITUTE(F56," ","")),"📲 Avisar al cliente"),"")</f>
        <v/>
      </c>
      <c r="L56" s="8">
        <f>IF(C56&lt;&gt;"","https://api.qrserver.com/v1/create-qr-code/?size=200x200&amp;data="&amp;ENCODEURL("https://wa.me/507"&amp;REGEXREPLACE(C56,"[^0-9]","")&amp;"?text="&amp;ENCODEURL("Ya llegue. Codigo: "&amp;A56&amp;". Ubicacion: "&amp;"https://www.google.com/maps/search/?api=1&amp;query="&amp;SUBSTITUTE(F56," ",""))),"")</f>
        <v/>
      </c>
      <c r="M56" s="8">
        <f>IF(B56&lt;&gt;"",TODAY(),"")</f>
        <v/>
      </c>
      <c r="N56" s="8">
        <f>IF(F56&lt;&gt;"",IFERROR(IF(AND(REGEXMATCH(SUBSTITUTE(TRIM(F56)," ",""),"^-?\d+(\.\d+)?,-?\d+(\.\d+)?$"),VALUE(REGEXEXTRACT(SUBSTITUTE(TRIM(F56)," ",""),"^-?\d+(\.\d+)?"))&gt;=-90,VALUE(REGEXEXTRACT(SUBSTITUTE(TRIM(F56)," ",""),"^-?\d+(\.\d+)?"))&lt;=90,VALUE(REGEXEXTRACT(SUBSTITUTE(TRIM(F56)," ",""),"-?\d+(\.\d+)?$"))&gt;=-180,VALUE(REGEXEXTRACT(SUBSTITUTE(TRIM(F56)," ",""),"-?\d+(\.\d+)?$"))&lt;=180),"OK","REVISAR"),"REVISAR"),"")</f>
        <v/>
      </c>
      <c r="O56">
        <f>IF(A56&lt;&gt;"","https://direcciones507.github.io/direcciones507/panel.html?codigo="&amp;A56&amp;"&amp;nombre="&amp;ENCODEURL(B56)&amp;"&amp;telefono="&amp;SUBSTITUTE(C56,"-","")&amp;"&amp;referencia="&amp;ENCODEURL(E56)&amp;"&amp;lat="&amp;IZQUIERDA(SUBSTITUTE(F56," ",""),ENCONTRAR(",",SUBSTITUTE(F56," ",""))-1)&amp;"&amp;lng="&amp;DERECHA(SUBSTITUTE(F56," ",""),LARGO(SUBSTITUTE(F56," ",""))-ENCONTRAR(",",SUBSTITUTE(F56," ",""))),"")</f>
        <v/>
      </c>
    </row>
    <row r="57" ht="15.75" customHeight="1" s="10">
      <c r="A57" s="8">
        <f>CONCAT("AD507-",TEXT(ROW()-2,"0000"))</f>
        <v/>
      </c>
      <c r="C57" s="8" t="n"/>
      <c r="F57" s="8" t="n"/>
      <c r="G57" s="8">
        <f>IF(F57&lt;&gt;"",HYPERLINK("https://www.google.com/maps/search/?api=1&amp;query="&amp;SUBSTITUTE(F57," ",""),"🗺 Google Maps"),"")</f>
        <v/>
      </c>
      <c r="H57" s="8">
        <f>IF(F57&lt;&gt;"",HYPERLINK("https://waze.com/ul?ll="&amp;SUBSTITUTE(F57," ","")&amp;"&amp;navigate=yes","🚗 Waze"),"")</f>
        <v/>
      </c>
      <c r="I57" s="8">
        <f>IF(F57&lt;&gt;"",HYPERLINK("https://m.uber.com/ul/?action=setPickup&amp;pickup=my_location&amp;dropoff[latitude]="&amp;LEFT(SUBSTITUTE(F57," ",""),FIND(",",SUBSTITUTE(F57," ",""))-1)&amp;"&amp;dropoff[longitude]="&amp;MID(SUBSTITUTE(F57," ",""),FIND(",",SUBSTITUTE(F57," ",""))+1,99),"🚕 Uber"),"")</f>
        <v/>
      </c>
      <c r="J57" s="8">
        <f>IF(F57&lt;&gt;"","https://api.qrserver.com/v1/create-qr-code/?size=200x200&amp;data="&amp;ENCODEURL("https://www.google.com/maps/search/?api=1&amp;query="&amp;SUBSTITUTE(F57," ","")),"")</f>
        <v/>
      </c>
      <c r="K57" s="8">
        <f>IF(C57&lt;&gt;"",HYPERLINK("https://wa.me/507"&amp;REGEXREPLACE(C57,"[^0-9]","")&amp;"?text="&amp;ENCODEURL("Ya llegue. Codigo: "&amp;A57&amp;". Ubicacion: "&amp;"https://www.google.com/maps/search/?api=1&amp;query="&amp;SUBSTITUTE(F57," ","")),"📲 Avisar al cliente"),"")</f>
        <v/>
      </c>
      <c r="L57" s="8">
        <f>IF(C57&lt;&gt;"","https://api.qrserver.com/v1/create-qr-code/?size=200x200&amp;data="&amp;ENCODEURL("https://wa.me/507"&amp;REGEXREPLACE(C57,"[^0-9]","")&amp;"?text="&amp;ENCODEURL("Ya llegue. Codigo: "&amp;A57&amp;". Ubicacion: "&amp;"https://www.google.com/maps/search/?api=1&amp;query="&amp;SUBSTITUTE(F57," ",""))),"")</f>
        <v/>
      </c>
      <c r="M57" s="8">
        <f>IF(B57&lt;&gt;"",TODAY(),"")</f>
        <v/>
      </c>
      <c r="N57" s="8">
        <f>IF(F57&lt;&gt;"",IFERROR(IF(AND(REGEXMATCH(SUBSTITUTE(TRIM(F57)," ",""),"^-?\d+(\.\d+)?,-?\d+(\.\d+)?$"),VALUE(REGEXEXTRACT(SUBSTITUTE(TRIM(F57)," ",""),"^-?\d+(\.\d+)?"))&gt;=-90,VALUE(REGEXEXTRACT(SUBSTITUTE(TRIM(F57)," ",""),"^-?\d+(\.\d+)?"))&lt;=90,VALUE(REGEXEXTRACT(SUBSTITUTE(TRIM(F57)," ",""),"-?\d+(\.\d+)?$"))&gt;=-180,VALUE(REGEXEXTRACT(SUBSTITUTE(TRIM(F57)," ",""),"-?\d+(\.\d+)?$"))&lt;=180),"OK","REVISAR"),"REVISAR"),"")</f>
        <v/>
      </c>
      <c r="O57">
        <f>IF(A57&lt;&gt;"","https://direcciones507.github.io/direcciones507/panel.html?codigo="&amp;A57&amp;"&amp;nombre="&amp;ENCODEURL(B57)&amp;"&amp;telefono="&amp;SUBSTITUTE(C57,"-","")&amp;"&amp;referencia="&amp;ENCODEURL(E57)&amp;"&amp;lat="&amp;IZQUIERDA(SUBSTITUTE(F57," ",""),ENCONTRAR(",",SUBSTITUTE(F57," ",""))-1)&amp;"&amp;lng="&amp;DERECHA(SUBSTITUTE(F57," ",""),LARGO(SUBSTITUTE(F57," ",""))-ENCONTRAR(",",SUBSTITUTE(F57," ",""))),"")</f>
        <v/>
      </c>
    </row>
    <row r="58" ht="15.75" customHeight="1" s="10">
      <c r="A58" s="8">
        <f>CONCAT("AD507-",TEXT(ROW()-2,"0000"))</f>
        <v/>
      </c>
      <c r="C58" s="8" t="n"/>
      <c r="F58" s="8" t="n"/>
      <c r="G58" s="8">
        <f>IF(F58&lt;&gt;"",HYPERLINK("https://www.google.com/maps/search/?api=1&amp;query="&amp;SUBSTITUTE(F58," ",""),"🗺 Google Maps"),"")</f>
        <v/>
      </c>
      <c r="H58" s="8">
        <f>IF(F58&lt;&gt;"",HYPERLINK("https://waze.com/ul?ll="&amp;SUBSTITUTE(F58," ","")&amp;"&amp;navigate=yes","🚗 Waze"),"")</f>
        <v/>
      </c>
      <c r="I58" s="8">
        <f>IF(F58&lt;&gt;"",HYPERLINK("https://m.uber.com/ul/?action=setPickup&amp;pickup=my_location&amp;dropoff[latitude]="&amp;LEFT(SUBSTITUTE(F58," ",""),FIND(",",SUBSTITUTE(F58," ",""))-1)&amp;"&amp;dropoff[longitude]="&amp;MID(SUBSTITUTE(F58," ",""),FIND(",",SUBSTITUTE(F58," ",""))+1,99),"🚕 Uber"),"")</f>
        <v/>
      </c>
      <c r="J58" s="8">
        <f>IF(F58&lt;&gt;"","https://api.qrserver.com/v1/create-qr-code/?size=200x200&amp;data="&amp;ENCODEURL("https://www.google.com/maps/search/?api=1&amp;query="&amp;SUBSTITUTE(F58," ","")),"")</f>
        <v/>
      </c>
      <c r="K58" s="8">
        <f>IF(C58&lt;&gt;"",HYPERLINK("https://wa.me/507"&amp;REGEXREPLACE(C58,"[^0-9]","")&amp;"?text="&amp;ENCODEURL("Ya llegue. Codigo: "&amp;A58&amp;". Ubicacion: "&amp;"https://www.google.com/maps/search/?api=1&amp;query="&amp;SUBSTITUTE(F58," ","")),"📲 Avisar al cliente"),"")</f>
        <v/>
      </c>
      <c r="L58" s="8">
        <f>IF(C58&lt;&gt;"","https://api.qrserver.com/v1/create-qr-code/?size=200x200&amp;data="&amp;ENCODEURL("https://wa.me/507"&amp;REGEXREPLACE(C58,"[^0-9]","")&amp;"?text="&amp;ENCODEURL("Ya llegue. Codigo: "&amp;A58&amp;". Ubicacion: "&amp;"https://www.google.com/maps/search/?api=1&amp;query="&amp;SUBSTITUTE(F58," ",""))),"")</f>
        <v/>
      </c>
      <c r="M58" s="8">
        <f>IF(B58&lt;&gt;"",TODAY(),"")</f>
        <v/>
      </c>
      <c r="N58" s="8">
        <f>IF(F58&lt;&gt;"",IFERROR(IF(AND(REGEXMATCH(SUBSTITUTE(TRIM(F58)," ",""),"^-?\d+(\.\d+)?,-?\d+(\.\d+)?$"),VALUE(REGEXEXTRACT(SUBSTITUTE(TRIM(F58)," ",""),"^-?\d+(\.\d+)?"))&gt;=-90,VALUE(REGEXEXTRACT(SUBSTITUTE(TRIM(F58)," ",""),"^-?\d+(\.\d+)?"))&lt;=90,VALUE(REGEXEXTRACT(SUBSTITUTE(TRIM(F58)," ",""),"-?\d+(\.\d+)?$"))&gt;=-180,VALUE(REGEXEXTRACT(SUBSTITUTE(TRIM(F58)," ",""),"-?\d+(\.\d+)?$"))&lt;=180),"OK","REVISAR"),"REVISAR"),"")</f>
        <v/>
      </c>
      <c r="O58">
        <f>IF(A58&lt;&gt;"","https://direcciones507.github.io/direcciones507/panel.html?codigo="&amp;A58&amp;"&amp;nombre="&amp;ENCODEURL(B58)&amp;"&amp;telefono="&amp;SUBSTITUTE(C58,"-","")&amp;"&amp;referencia="&amp;ENCODEURL(E58)&amp;"&amp;lat="&amp;IZQUIERDA(SUBSTITUTE(F58," ",""),ENCONTRAR(",",SUBSTITUTE(F58," ",""))-1)&amp;"&amp;lng="&amp;DERECHA(SUBSTITUTE(F58," ",""),LARGO(SUBSTITUTE(F58," ",""))-ENCONTRAR(",",SUBSTITUTE(F58," ",""))),"")</f>
        <v/>
      </c>
    </row>
    <row r="59" ht="15.75" customHeight="1" s="10">
      <c r="A59" s="8">
        <f>CONCAT("AD507-",TEXT(ROW()-2,"0000"))</f>
        <v/>
      </c>
      <c r="C59" s="8" t="n"/>
      <c r="F59" s="8" t="n"/>
      <c r="G59" s="8">
        <f>IF(F59&lt;&gt;"",HYPERLINK("https://www.google.com/maps/search/?api=1&amp;query="&amp;SUBSTITUTE(F59," ",""),"🗺 Google Maps"),"")</f>
        <v/>
      </c>
      <c r="H59" s="8">
        <f>IF(F59&lt;&gt;"",HYPERLINK("https://waze.com/ul?ll="&amp;SUBSTITUTE(F59," ","")&amp;"&amp;navigate=yes","🚗 Waze"),"")</f>
        <v/>
      </c>
      <c r="I59" s="8">
        <f>IF(F59&lt;&gt;"",HYPERLINK("https://m.uber.com/ul/?action=setPickup&amp;pickup=my_location&amp;dropoff[latitude]="&amp;LEFT(SUBSTITUTE(F59," ",""),FIND(",",SUBSTITUTE(F59," ",""))-1)&amp;"&amp;dropoff[longitude]="&amp;MID(SUBSTITUTE(F59," ",""),FIND(",",SUBSTITUTE(F59," ",""))+1,99),"🚕 Uber"),"")</f>
        <v/>
      </c>
      <c r="J59" s="8">
        <f>IF(F59&lt;&gt;"","https://api.qrserver.com/v1/create-qr-code/?size=200x200&amp;data="&amp;ENCODEURL("https://www.google.com/maps/search/?api=1&amp;query="&amp;SUBSTITUTE(F59," ","")),"")</f>
        <v/>
      </c>
      <c r="K59" s="8">
        <f>IF(C59&lt;&gt;"",HYPERLINK("https://wa.me/507"&amp;REGEXREPLACE(C59,"[^0-9]","")&amp;"?text="&amp;ENCODEURL("Ya llegue. Codigo: "&amp;A59&amp;". Ubicacion: "&amp;"https://www.google.com/maps/search/?api=1&amp;query="&amp;SUBSTITUTE(F59," ","")),"📲 Avisar al cliente"),"")</f>
        <v/>
      </c>
      <c r="L59" s="8">
        <f>IF(C59&lt;&gt;"","https://api.qrserver.com/v1/create-qr-code/?size=200x200&amp;data="&amp;ENCODEURL("https://wa.me/507"&amp;REGEXREPLACE(C59,"[^0-9]","")&amp;"?text="&amp;ENCODEURL("Ya llegue. Codigo: "&amp;A59&amp;". Ubicacion: "&amp;"https://www.google.com/maps/search/?api=1&amp;query="&amp;SUBSTITUTE(F59," ",""))),"")</f>
        <v/>
      </c>
      <c r="M59" s="8">
        <f>IF(B59&lt;&gt;"",TODAY(),"")</f>
        <v/>
      </c>
      <c r="N59" s="8">
        <f>IF(F59&lt;&gt;"",IFERROR(IF(AND(REGEXMATCH(SUBSTITUTE(TRIM(F59)," ",""),"^-?\d+(\.\d+)?,-?\d+(\.\d+)?$"),VALUE(REGEXEXTRACT(SUBSTITUTE(TRIM(F59)," ",""),"^-?\d+(\.\d+)?"))&gt;=-90,VALUE(REGEXEXTRACT(SUBSTITUTE(TRIM(F59)," ",""),"^-?\d+(\.\d+)?"))&lt;=90,VALUE(REGEXEXTRACT(SUBSTITUTE(TRIM(F59)," ",""),"-?\d+(\.\d+)?$"))&gt;=-180,VALUE(REGEXEXTRACT(SUBSTITUTE(TRIM(F59)," ",""),"-?\d+(\.\d+)?$"))&lt;=180),"OK","REVISAR"),"REVISAR"),"")</f>
        <v/>
      </c>
      <c r="O59">
        <f>IF(A59&lt;&gt;"","https://direcciones507.github.io/direcciones507/panel.html?codigo="&amp;A59&amp;"&amp;nombre="&amp;ENCODEURL(B59)&amp;"&amp;telefono="&amp;SUBSTITUTE(C59,"-","")&amp;"&amp;referencia="&amp;ENCODEURL(E59)&amp;"&amp;lat="&amp;IZQUIERDA(SUBSTITUTE(F59," ",""),ENCONTRAR(",",SUBSTITUTE(F59," ",""))-1)&amp;"&amp;lng="&amp;DERECHA(SUBSTITUTE(F59," ",""),LARGO(SUBSTITUTE(F59," ",""))-ENCONTRAR(",",SUBSTITUTE(F59," ",""))),"")</f>
        <v/>
      </c>
    </row>
    <row r="60" ht="15.75" customHeight="1" s="10">
      <c r="A60" s="8">
        <f>CONCAT("AD507-",TEXT(ROW()-2,"0000"))</f>
        <v/>
      </c>
      <c r="C60" s="8" t="n"/>
      <c r="F60" s="8" t="n"/>
      <c r="G60" s="8">
        <f>IF(F60&lt;&gt;"",HYPERLINK("https://www.google.com/maps/search/?api=1&amp;query="&amp;SUBSTITUTE(F60," ",""),"🗺 Google Maps"),"")</f>
        <v/>
      </c>
      <c r="H60" s="8">
        <f>IF(F60&lt;&gt;"",HYPERLINK("https://waze.com/ul?ll="&amp;SUBSTITUTE(F60," ","")&amp;"&amp;navigate=yes","🚗 Waze"),"")</f>
        <v/>
      </c>
      <c r="I60" s="8">
        <f>IF(F60&lt;&gt;"",HYPERLINK("https://m.uber.com/ul/?action=setPickup&amp;pickup=my_location&amp;dropoff[latitude]="&amp;LEFT(SUBSTITUTE(F60," ",""),FIND(",",SUBSTITUTE(F60," ",""))-1)&amp;"&amp;dropoff[longitude]="&amp;MID(SUBSTITUTE(F60," ",""),FIND(",",SUBSTITUTE(F60," ",""))+1,99),"🚕 Uber"),"")</f>
        <v/>
      </c>
      <c r="J60" s="8">
        <f>IF(F60&lt;&gt;"","https://api.qrserver.com/v1/create-qr-code/?size=200x200&amp;data="&amp;ENCODEURL("https://www.google.com/maps/search/?api=1&amp;query="&amp;SUBSTITUTE(F60," ","")),"")</f>
        <v/>
      </c>
      <c r="K60" s="8">
        <f>IF(C60&lt;&gt;"",HYPERLINK("https://wa.me/507"&amp;REGEXREPLACE(C60,"[^0-9]","")&amp;"?text="&amp;ENCODEURL("Ya llegue. Codigo: "&amp;A60&amp;". Ubicacion: "&amp;"https://www.google.com/maps/search/?api=1&amp;query="&amp;SUBSTITUTE(F60," ","")),"📲 Avisar al cliente"),"")</f>
        <v/>
      </c>
      <c r="L60" s="8">
        <f>IF(C60&lt;&gt;"","https://api.qrserver.com/v1/create-qr-code/?size=200x200&amp;data="&amp;ENCODEURL("https://wa.me/507"&amp;REGEXREPLACE(C60,"[^0-9]","")&amp;"?text="&amp;ENCODEURL("Ya llegue. Codigo: "&amp;A60&amp;". Ubicacion: "&amp;"https://www.google.com/maps/search/?api=1&amp;query="&amp;SUBSTITUTE(F60," ",""))),"")</f>
        <v/>
      </c>
      <c r="M60" s="8">
        <f>IF(B60&lt;&gt;"",TODAY(),"")</f>
        <v/>
      </c>
      <c r="N60" s="8">
        <f>IF(F60&lt;&gt;"",IFERROR(IF(AND(REGEXMATCH(SUBSTITUTE(TRIM(F60)," ",""),"^-?\d+(\.\d+)?,-?\d+(\.\d+)?$"),VALUE(REGEXEXTRACT(SUBSTITUTE(TRIM(F60)," ",""),"^-?\d+(\.\d+)?"))&gt;=-90,VALUE(REGEXEXTRACT(SUBSTITUTE(TRIM(F60)," ",""),"^-?\d+(\.\d+)?"))&lt;=90,VALUE(REGEXEXTRACT(SUBSTITUTE(TRIM(F60)," ",""),"-?\d+(\.\d+)?$"))&gt;=-180,VALUE(REGEXEXTRACT(SUBSTITUTE(TRIM(F60)," ",""),"-?\d+(\.\d+)?$"))&lt;=180),"OK","REVISAR"),"REVISAR"),"")</f>
        <v/>
      </c>
      <c r="O60">
        <f>IF(A60&lt;&gt;"","https://direcciones507.github.io/direcciones507/panel.html?codigo="&amp;A60&amp;"&amp;nombre="&amp;ENCODEURL(B60)&amp;"&amp;telefono="&amp;SUBSTITUTE(C60,"-","")&amp;"&amp;referencia="&amp;ENCODEURL(E60)&amp;"&amp;lat="&amp;IZQUIERDA(SUBSTITUTE(F60," ",""),ENCONTRAR(",",SUBSTITUTE(F60," ",""))-1)&amp;"&amp;lng="&amp;DERECHA(SUBSTITUTE(F60," ",""),LARGO(SUBSTITUTE(F60," ",""))-ENCONTRAR(",",SUBSTITUTE(F60," ",""))),"")</f>
        <v/>
      </c>
    </row>
    <row r="61" ht="15.75" customHeight="1" s="10">
      <c r="A61" s="8">
        <f>CONCAT("AD507-",TEXT(ROW()-2,"0000"))</f>
        <v/>
      </c>
      <c r="C61" s="8" t="n"/>
      <c r="F61" s="8" t="n"/>
      <c r="G61" s="8">
        <f>IF(F61&lt;&gt;"",HYPERLINK("https://www.google.com/maps/search/?api=1&amp;query="&amp;SUBSTITUTE(F61," ",""),"🗺 Google Maps"),"")</f>
        <v/>
      </c>
      <c r="H61" s="8">
        <f>IF(F61&lt;&gt;"",HYPERLINK("https://waze.com/ul?ll="&amp;SUBSTITUTE(F61," ","")&amp;"&amp;navigate=yes","🚗 Waze"),"")</f>
        <v/>
      </c>
      <c r="I61" s="8">
        <f>IF(F61&lt;&gt;"",HYPERLINK("https://m.uber.com/ul/?action=setPickup&amp;pickup=my_location&amp;dropoff[latitude]="&amp;LEFT(SUBSTITUTE(F61," ",""),FIND(",",SUBSTITUTE(F61," ",""))-1)&amp;"&amp;dropoff[longitude]="&amp;MID(SUBSTITUTE(F61," ",""),FIND(",",SUBSTITUTE(F61," ",""))+1,99),"🚕 Uber"),"")</f>
        <v/>
      </c>
      <c r="J61" s="8">
        <f>IF(F61&lt;&gt;"","https://api.qrserver.com/v1/create-qr-code/?size=200x200&amp;data="&amp;ENCODEURL("https://www.google.com/maps/search/?api=1&amp;query="&amp;SUBSTITUTE(F61," ","")),"")</f>
        <v/>
      </c>
      <c r="K61" s="8">
        <f>IF(C61&lt;&gt;"",HYPERLINK("https://wa.me/507"&amp;REGEXREPLACE(C61,"[^0-9]","")&amp;"?text="&amp;ENCODEURL("Ya llegue. Codigo: "&amp;A61&amp;". Ubicacion: "&amp;"https://www.google.com/maps/search/?api=1&amp;query="&amp;SUBSTITUTE(F61," ","")),"📲 Avisar al cliente"),"")</f>
        <v/>
      </c>
      <c r="L61" s="8">
        <f>IF(C61&lt;&gt;"","https://api.qrserver.com/v1/create-qr-code/?size=200x200&amp;data="&amp;ENCODEURL("https://wa.me/507"&amp;REGEXREPLACE(C61,"[^0-9]","")&amp;"?text="&amp;ENCODEURL("Ya llegue. Codigo: "&amp;A61&amp;". Ubicacion: "&amp;"https://www.google.com/maps/search/?api=1&amp;query="&amp;SUBSTITUTE(F61," ",""))),"")</f>
        <v/>
      </c>
      <c r="M61" s="8">
        <f>IF(B61&lt;&gt;"",TODAY(),"")</f>
        <v/>
      </c>
      <c r="N61" s="8">
        <f>IF(F61&lt;&gt;"",IFERROR(IF(AND(REGEXMATCH(SUBSTITUTE(TRIM(F61)," ",""),"^-?\d+(\.\d+)?,-?\d+(\.\d+)?$"),VALUE(REGEXEXTRACT(SUBSTITUTE(TRIM(F61)," ",""),"^-?\d+(\.\d+)?"))&gt;=-90,VALUE(REGEXEXTRACT(SUBSTITUTE(TRIM(F61)," ",""),"^-?\d+(\.\d+)?"))&lt;=90,VALUE(REGEXEXTRACT(SUBSTITUTE(TRIM(F61)," ",""),"-?\d+(\.\d+)?$"))&gt;=-180,VALUE(REGEXEXTRACT(SUBSTITUTE(TRIM(F61)," ",""),"-?\d+(\.\d+)?$"))&lt;=180),"OK","REVISAR"),"REVISAR"),"")</f>
        <v/>
      </c>
      <c r="O61">
        <f>IF(A61&lt;&gt;"","https://direcciones507.github.io/direcciones507/panel.html?codigo="&amp;A61&amp;"&amp;nombre="&amp;ENCODEURL(B61)&amp;"&amp;telefono="&amp;SUBSTITUTE(C61,"-","")&amp;"&amp;referencia="&amp;ENCODEURL(E61)&amp;"&amp;lat="&amp;IZQUIERDA(SUBSTITUTE(F61," ",""),ENCONTRAR(",",SUBSTITUTE(F61," ",""))-1)&amp;"&amp;lng="&amp;DERECHA(SUBSTITUTE(F61," ",""),LARGO(SUBSTITUTE(F61," ",""))-ENCONTRAR(",",SUBSTITUTE(F61," ",""))),"")</f>
        <v/>
      </c>
    </row>
    <row r="62" ht="15.75" customHeight="1" s="10">
      <c r="A62" s="8">
        <f>CONCAT("AD507-",TEXT(ROW()-2,"0000"))</f>
        <v/>
      </c>
      <c r="C62" s="8" t="n"/>
      <c r="F62" s="8" t="n"/>
      <c r="G62" s="8">
        <f>IF(F62&lt;&gt;"",HYPERLINK("https://www.google.com/maps/search/?api=1&amp;query="&amp;SUBSTITUTE(F62," ",""),"🗺 Google Maps"),"")</f>
        <v/>
      </c>
      <c r="H62" s="8">
        <f>IF(F62&lt;&gt;"",HYPERLINK("https://waze.com/ul?ll="&amp;SUBSTITUTE(F62," ","")&amp;"&amp;navigate=yes","🚗 Waze"),"")</f>
        <v/>
      </c>
      <c r="I62" s="8">
        <f>IF(F62&lt;&gt;"",HYPERLINK("https://m.uber.com/ul/?action=setPickup&amp;pickup=my_location&amp;dropoff[latitude]="&amp;LEFT(SUBSTITUTE(F62," ",""),FIND(",",SUBSTITUTE(F62," ",""))-1)&amp;"&amp;dropoff[longitude]="&amp;MID(SUBSTITUTE(F62," ",""),FIND(",",SUBSTITUTE(F62," ",""))+1,99),"🚕 Uber"),"")</f>
        <v/>
      </c>
      <c r="J62" s="8">
        <f>IF(F62&lt;&gt;"","https://api.qrserver.com/v1/create-qr-code/?size=200x200&amp;data="&amp;ENCODEURL("https://www.google.com/maps/search/?api=1&amp;query="&amp;SUBSTITUTE(F62," ","")),"")</f>
        <v/>
      </c>
      <c r="K62" s="8">
        <f>IF(C62&lt;&gt;"",HYPERLINK("https://wa.me/507"&amp;REGEXREPLACE(C62,"[^0-9]","")&amp;"?text="&amp;ENCODEURL("Ya llegue. Codigo: "&amp;A62&amp;". Ubicacion: "&amp;"https://www.google.com/maps/search/?api=1&amp;query="&amp;SUBSTITUTE(F62," ","")),"📲 Avisar al cliente"),"")</f>
        <v/>
      </c>
      <c r="L62" s="8">
        <f>IF(C62&lt;&gt;"","https://api.qrserver.com/v1/create-qr-code/?size=200x200&amp;data="&amp;ENCODEURL("https://wa.me/507"&amp;REGEXREPLACE(C62,"[^0-9]","")&amp;"?text="&amp;ENCODEURL("Ya llegue. Codigo: "&amp;A62&amp;". Ubicacion: "&amp;"https://www.google.com/maps/search/?api=1&amp;query="&amp;SUBSTITUTE(F62," ",""))),"")</f>
        <v/>
      </c>
      <c r="M62" s="8">
        <f>IF(B62&lt;&gt;"",TODAY(),"")</f>
        <v/>
      </c>
      <c r="N62" s="8">
        <f>IF(F62&lt;&gt;"",IFERROR(IF(AND(REGEXMATCH(SUBSTITUTE(TRIM(F62)," ",""),"^-?\d+(\.\d+)?,-?\d+(\.\d+)?$"),VALUE(REGEXEXTRACT(SUBSTITUTE(TRIM(F62)," ",""),"^-?\d+(\.\d+)?"))&gt;=-90,VALUE(REGEXEXTRACT(SUBSTITUTE(TRIM(F62)," ",""),"^-?\d+(\.\d+)?"))&lt;=90,VALUE(REGEXEXTRACT(SUBSTITUTE(TRIM(F62)," ",""),"-?\d+(\.\d+)?$"))&gt;=-180,VALUE(REGEXEXTRACT(SUBSTITUTE(TRIM(F62)," ",""),"-?\d+(\.\d+)?$"))&lt;=180),"OK","REVISAR"),"REVISAR"),"")</f>
        <v/>
      </c>
      <c r="O62">
        <f>IF(A62&lt;&gt;"","https://direcciones507.github.io/direcciones507/panel.html?codigo="&amp;A62&amp;"&amp;nombre="&amp;ENCODEURL(B62)&amp;"&amp;telefono="&amp;SUBSTITUTE(C62,"-","")&amp;"&amp;referencia="&amp;ENCODEURL(E62)&amp;"&amp;lat="&amp;IZQUIERDA(SUBSTITUTE(F62," ",""),ENCONTRAR(",",SUBSTITUTE(F62," ",""))-1)&amp;"&amp;lng="&amp;DERECHA(SUBSTITUTE(F62," ",""),LARGO(SUBSTITUTE(F62," ",""))-ENCONTRAR(",",SUBSTITUTE(F62," ",""))),"")</f>
        <v/>
      </c>
    </row>
    <row r="63" ht="15.75" customHeight="1" s="10">
      <c r="A63" s="8">
        <f>CONCAT("AD507-",TEXT(ROW()-2,"0000"))</f>
        <v/>
      </c>
      <c r="C63" s="8" t="n"/>
      <c r="F63" s="8" t="n"/>
      <c r="G63" s="8">
        <f>IF(F63&lt;&gt;"",HYPERLINK("https://www.google.com/maps/search/?api=1&amp;query="&amp;SUBSTITUTE(F63," ",""),"🗺 Google Maps"),"")</f>
        <v/>
      </c>
      <c r="H63" s="8">
        <f>IF(F63&lt;&gt;"",HYPERLINK("https://waze.com/ul?ll="&amp;SUBSTITUTE(F63," ","")&amp;"&amp;navigate=yes","🚗 Waze"),"")</f>
        <v/>
      </c>
      <c r="I63" s="8">
        <f>IF(F63&lt;&gt;"",HYPERLINK("https://m.uber.com/ul/?action=setPickup&amp;pickup=my_location&amp;dropoff[latitude]="&amp;LEFT(SUBSTITUTE(F63," ",""),FIND(",",SUBSTITUTE(F63," ",""))-1)&amp;"&amp;dropoff[longitude]="&amp;MID(SUBSTITUTE(F63," ",""),FIND(",",SUBSTITUTE(F63," ",""))+1,99),"🚕 Uber"),"")</f>
        <v/>
      </c>
      <c r="J63" s="8">
        <f>IF(F63&lt;&gt;"","https://api.qrserver.com/v1/create-qr-code/?size=200x200&amp;data="&amp;ENCODEURL("https://www.google.com/maps/search/?api=1&amp;query="&amp;SUBSTITUTE(F63," ","")),"")</f>
        <v/>
      </c>
      <c r="K63" s="8">
        <f>IF(C63&lt;&gt;"",HYPERLINK("https://wa.me/507"&amp;REGEXREPLACE(C63,"[^0-9]","")&amp;"?text="&amp;ENCODEURL("Ya llegue. Codigo: "&amp;A63&amp;". Ubicacion: "&amp;"https://www.google.com/maps/search/?api=1&amp;query="&amp;SUBSTITUTE(F63," ","")),"📲 Avisar al cliente"),"")</f>
        <v/>
      </c>
      <c r="L63" s="8">
        <f>IF(C63&lt;&gt;"","https://api.qrserver.com/v1/create-qr-code/?size=200x200&amp;data="&amp;ENCODEURL("https://wa.me/507"&amp;REGEXREPLACE(C63,"[^0-9]","")&amp;"?text="&amp;ENCODEURL("Ya llegue. Codigo: "&amp;A63&amp;". Ubicacion: "&amp;"https://www.google.com/maps/search/?api=1&amp;query="&amp;SUBSTITUTE(F63," ",""))),"")</f>
        <v/>
      </c>
      <c r="M63" s="8">
        <f>IF(B63&lt;&gt;"",TODAY(),"")</f>
        <v/>
      </c>
      <c r="N63" s="8">
        <f>IF(F63&lt;&gt;"",IFERROR(IF(AND(REGEXMATCH(SUBSTITUTE(TRIM(F63)," ",""),"^-?\d+(\.\d+)?,-?\d+(\.\d+)?$"),VALUE(REGEXEXTRACT(SUBSTITUTE(TRIM(F63)," ",""),"^-?\d+(\.\d+)?"))&gt;=-90,VALUE(REGEXEXTRACT(SUBSTITUTE(TRIM(F63)," ",""),"^-?\d+(\.\d+)?"))&lt;=90,VALUE(REGEXEXTRACT(SUBSTITUTE(TRIM(F63)," ",""),"-?\d+(\.\d+)?$"))&gt;=-180,VALUE(REGEXEXTRACT(SUBSTITUTE(TRIM(F63)," ",""),"-?\d+(\.\d+)?$"))&lt;=180),"OK","REVISAR"),"REVISAR"),"")</f>
        <v/>
      </c>
      <c r="O63">
        <f>IF(A63&lt;&gt;"","https://direcciones507.github.io/direcciones507/panel.html?codigo="&amp;A63&amp;"&amp;nombre="&amp;ENCODEURL(B63)&amp;"&amp;telefono="&amp;SUBSTITUTE(C63,"-","")&amp;"&amp;referencia="&amp;ENCODEURL(E63)&amp;"&amp;lat="&amp;IZQUIERDA(SUBSTITUTE(F63," ",""),ENCONTRAR(",",SUBSTITUTE(F63," ",""))-1)&amp;"&amp;lng="&amp;DERECHA(SUBSTITUTE(F63," ",""),LARGO(SUBSTITUTE(F63," ",""))-ENCONTRAR(",",SUBSTITUTE(F63," ",""))),"")</f>
        <v/>
      </c>
    </row>
    <row r="64" ht="15.75" customHeight="1" s="10">
      <c r="A64" s="8">
        <f>CONCAT("AD507-",TEXT(ROW()-2,"0000"))</f>
        <v/>
      </c>
      <c r="C64" s="8" t="n"/>
      <c r="F64" s="8" t="n"/>
      <c r="G64" s="8">
        <f>IF(F64&lt;&gt;"",HYPERLINK("https://www.google.com/maps/search/?api=1&amp;query="&amp;SUBSTITUTE(F64," ",""),"🗺 Google Maps"),"")</f>
        <v/>
      </c>
      <c r="H64" s="8">
        <f>IF(F64&lt;&gt;"",HYPERLINK("https://waze.com/ul?ll="&amp;SUBSTITUTE(F64," ","")&amp;"&amp;navigate=yes","🚗 Waze"),"")</f>
        <v/>
      </c>
      <c r="I64" s="8">
        <f>IF(F64&lt;&gt;"",HYPERLINK("https://m.uber.com/ul/?action=setPickup&amp;pickup=my_location&amp;dropoff[latitude]="&amp;LEFT(SUBSTITUTE(F64," ",""),FIND(",",SUBSTITUTE(F64," ",""))-1)&amp;"&amp;dropoff[longitude]="&amp;MID(SUBSTITUTE(F64," ",""),FIND(",",SUBSTITUTE(F64," ",""))+1,99),"🚕 Uber"),"")</f>
        <v/>
      </c>
      <c r="J64" s="8">
        <f>IF(F64&lt;&gt;"","https://api.qrserver.com/v1/create-qr-code/?size=200x200&amp;data="&amp;ENCODEURL("https://www.google.com/maps/search/?api=1&amp;query="&amp;SUBSTITUTE(F64," ","")),"")</f>
        <v/>
      </c>
      <c r="K64" s="8">
        <f>IF(C64&lt;&gt;"",HYPERLINK("https://wa.me/507"&amp;REGEXREPLACE(C64,"[^0-9]","")&amp;"?text="&amp;ENCODEURL("Ya llegue. Codigo: "&amp;A64&amp;". Ubicacion: "&amp;"https://www.google.com/maps/search/?api=1&amp;query="&amp;SUBSTITUTE(F64," ","")),"📲 Avisar al cliente"),"")</f>
        <v/>
      </c>
      <c r="L64" s="8">
        <f>IF(C64&lt;&gt;"","https://api.qrserver.com/v1/create-qr-code/?size=200x200&amp;data="&amp;ENCODEURL("https://wa.me/507"&amp;REGEXREPLACE(C64,"[^0-9]","")&amp;"?text="&amp;ENCODEURL("Ya llegue. Codigo: "&amp;A64&amp;". Ubicacion: "&amp;"https://www.google.com/maps/search/?api=1&amp;query="&amp;SUBSTITUTE(F64," ",""))),"")</f>
        <v/>
      </c>
      <c r="M64" s="8">
        <f>IF(B64&lt;&gt;"",TODAY(),"")</f>
        <v/>
      </c>
      <c r="N64" s="8">
        <f>IF(F64&lt;&gt;"",IFERROR(IF(AND(REGEXMATCH(SUBSTITUTE(TRIM(F64)," ",""),"^-?\d+(\.\d+)?,-?\d+(\.\d+)?$"),VALUE(REGEXEXTRACT(SUBSTITUTE(TRIM(F64)," ",""),"^-?\d+(\.\d+)?"))&gt;=-90,VALUE(REGEXEXTRACT(SUBSTITUTE(TRIM(F64)," ",""),"^-?\d+(\.\d+)?"))&lt;=90,VALUE(REGEXEXTRACT(SUBSTITUTE(TRIM(F64)," ",""),"-?\d+(\.\d+)?$"))&gt;=-180,VALUE(REGEXEXTRACT(SUBSTITUTE(TRIM(F64)," ",""),"-?\d+(\.\d+)?$"))&lt;=180),"OK","REVISAR"),"REVISAR"),"")</f>
        <v/>
      </c>
      <c r="O64">
        <f>IF(A64&lt;&gt;"","https://direcciones507.github.io/direcciones507/panel.html?codigo="&amp;A64&amp;"&amp;nombre="&amp;ENCODEURL(B64)&amp;"&amp;telefono="&amp;SUBSTITUTE(C64,"-","")&amp;"&amp;referencia="&amp;ENCODEURL(E64)&amp;"&amp;lat="&amp;IZQUIERDA(SUBSTITUTE(F64," ",""),ENCONTRAR(",",SUBSTITUTE(F64," ",""))-1)&amp;"&amp;lng="&amp;DERECHA(SUBSTITUTE(F64," ",""),LARGO(SUBSTITUTE(F64," ",""))-ENCONTRAR(",",SUBSTITUTE(F64," ",""))),"")</f>
        <v/>
      </c>
    </row>
    <row r="65" ht="15.75" customHeight="1" s="10">
      <c r="A65" s="8">
        <f>CONCAT("AD507-",TEXT(ROW()-2,"0000"))</f>
        <v/>
      </c>
      <c r="C65" s="8" t="n"/>
      <c r="F65" s="8" t="n"/>
      <c r="G65" s="8">
        <f>IF(F65&lt;&gt;"",HYPERLINK("https://www.google.com/maps/search/?api=1&amp;query="&amp;SUBSTITUTE(F65," ",""),"🗺 Google Maps"),"")</f>
        <v/>
      </c>
      <c r="H65" s="8">
        <f>IF(F65&lt;&gt;"",HYPERLINK("https://waze.com/ul?ll="&amp;SUBSTITUTE(F65," ","")&amp;"&amp;navigate=yes","🚗 Waze"),"")</f>
        <v/>
      </c>
      <c r="I65" s="8">
        <f>IF(F65&lt;&gt;"",HYPERLINK("https://m.uber.com/ul/?action=setPickup&amp;pickup=my_location&amp;dropoff[latitude]="&amp;LEFT(SUBSTITUTE(F65," ",""),FIND(",",SUBSTITUTE(F65," ",""))-1)&amp;"&amp;dropoff[longitude]="&amp;MID(SUBSTITUTE(F65," ",""),FIND(",",SUBSTITUTE(F65," ",""))+1,99),"🚕 Uber"),"")</f>
        <v/>
      </c>
      <c r="J65" s="8">
        <f>IF(F65&lt;&gt;"","https://api.qrserver.com/v1/create-qr-code/?size=200x200&amp;data="&amp;ENCODEURL("https://www.google.com/maps/search/?api=1&amp;query="&amp;SUBSTITUTE(F65," ","")),"")</f>
        <v/>
      </c>
      <c r="K65" s="8">
        <f>IF(C65&lt;&gt;"",HYPERLINK("https://wa.me/507"&amp;REGEXREPLACE(C65,"[^0-9]","")&amp;"?text="&amp;ENCODEURL("Ya llegue. Codigo: "&amp;A65&amp;". Ubicacion: "&amp;"https://www.google.com/maps/search/?api=1&amp;query="&amp;SUBSTITUTE(F65," ","")),"📲 Avisar al cliente"),"")</f>
        <v/>
      </c>
      <c r="L65" s="8">
        <f>IF(C65&lt;&gt;"","https://api.qrserver.com/v1/create-qr-code/?size=200x200&amp;data="&amp;ENCODEURL("https://wa.me/507"&amp;REGEXREPLACE(C65,"[^0-9]","")&amp;"?text="&amp;ENCODEURL("Ya llegue. Codigo: "&amp;A65&amp;". Ubicacion: "&amp;"https://www.google.com/maps/search/?api=1&amp;query="&amp;SUBSTITUTE(F65," ",""))),"")</f>
        <v/>
      </c>
      <c r="M65" s="8">
        <f>IF(B65&lt;&gt;"",TODAY(),"")</f>
        <v/>
      </c>
      <c r="N65" s="8">
        <f>IF(F65&lt;&gt;"",IFERROR(IF(AND(REGEXMATCH(SUBSTITUTE(TRIM(F65)," ",""),"^-?\d+(\.\d+)?,-?\d+(\.\d+)?$"),VALUE(REGEXEXTRACT(SUBSTITUTE(TRIM(F65)," ",""),"^-?\d+(\.\d+)?"))&gt;=-90,VALUE(REGEXEXTRACT(SUBSTITUTE(TRIM(F65)," ",""),"^-?\d+(\.\d+)?"))&lt;=90,VALUE(REGEXEXTRACT(SUBSTITUTE(TRIM(F65)," ",""),"-?\d+(\.\d+)?$"))&gt;=-180,VALUE(REGEXEXTRACT(SUBSTITUTE(TRIM(F65)," ",""),"-?\d+(\.\d+)?$"))&lt;=180),"OK","REVISAR"),"REVISAR"),"")</f>
        <v/>
      </c>
      <c r="O65">
        <f>IF(A65&lt;&gt;"","https://direcciones507.github.io/direcciones507/panel.html?codigo="&amp;A65&amp;"&amp;nombre="&amp;ENCODEURL(B65)&amp;"&amp;telefono="&amp;SUBSTITUTE(C65,"-","")&amp;"&amp;referencia="&amp;ENCODEURL(E65)&amp;"&amp;lat="&amp;IZQUIERDA(SUBSTITUTE(F65," ",""),ENCONTRAR(",",SUBSTITUTE(F65," ",""))-1)&amp;"&amp;lng="&amp;DERECHA(SUBSTITUTE(F65," ",""),LARGO(SUBSTITUTE(F65," ",""))-ENCONTRAR(",",SUBSTITUTE(F65," ",""))),"")</f>
        <v/>
      </c>
    </row>
    <row r="66" ht="15.75" customHeight="1" s="10">
      <c r="A66" s="8">
        <f>CONCAT("AD507-",TEXT(ROW()-2,"0000"))</f>
        <v/>
      </c>
      <c r="C66" s="8" t="n"/>
      <c r="F66" s="8" t="n"/>
      <c r="G66" s="8">
        <f>IF(F66&lt;&gt;"",HYPERLINK("https://www.google.com/maps/search/?api=1&amp;query="&amp;SUBSTITUTE(F66," ",""),"🗺 Google Maps"),"")</f>
        <v/>
      </c>
      <c r="H66" s="8">
        <f>IF(F66&lt;&gt;"",HYPERLINK("https://waze.com/ul?ll="&amp;SUBSTITUTE(F66," ","")&amp;"&amp;navigate=yes","🚗 Waze"),"")</f>
        <v/>
      </c>
      <c r="I66" s="8">
        <f>IF(F66&lt;&gt;"",HYPERLINK("https://m.uber.com/ul/?action=setPickup&amp;pickup=my_location&amp;dropoff[latitude]="&amp;LEFT(SUBSTITUTE(F66," ",""),FIND(",",SUBSTITUTE(F66," ",""))-1)&amp;"&amp;dropoff[longitude]="&amp;MID(SUBSTITUTE(F66," ",""),FIND(",",SUBSTITUTE(F66," ",""))+1,99),"🚕 Uber"),"")</f>
        <v/>
      </c>
      <c r="J66" s="8">
        <f>IF(F66&lt;&gt;"","https://api.qrserver.com/v1/create-qr-code/?size=200x200&amp;data="&amp;ENCODEURL("https://www.google.com/maps/search/?api=1&amp;query="&amp;SUBSTITUTE(F66," ","")),"")</f>
        <v/>
      </c>
      <c r="K66" s="8">
        <f>IF(C66&lt;&gt;"",HYPERLINK("https://wa.me/507"&amp;REGEXREPLACE(C66,"[^0-9]","")&amp;"?text="&amp;ENCODEURL("Ya llegue. Codigo: "&amp;A66&amp;". Ubicacion: "&amp;"https://www.google.com/maps/search/?api=1&amp;query="&amp;SUBSTITUTE(F66," ","")),"📲 Avisar al cliente"),"")</f>
        <v/>
      </c>
      <c r="L66" s="8">
        <f>IF(C66&lt;&gt;"","https://api.qrserver.com/v1/create-qr-code/?size=200x200&amp;data="&amp;ENCODEURL("https://wa.me/507"&amp;REGEXREPLACE(C66,"[^0-9]","")&amp;"?text="&amp;ENCODEURL("Ya llegue. Codigo: "&amp;A66&amp;". Ubicacion: "&amp;"https://www.google.com/maps/search/?api=1&amp;query="&amp;SUBSTITUTE(F66," ",""))),"")</f>
        <v/>
      </c>
      <c r="M66" s="8">
        <f>IF(B66&lt;&gt;"",TODAY(),"")</f>
        <v/>
      </c>
      <c r="N66" s="8">
        <f>IF(F66&lt;&gt;"",IFERROR(IF(AND(REGEXMATCH(SUBSTITUTE(TRIM(F66)," ",""),"^-?\d+(\.\d+)?,-?\d+(\.\d+)?$"),VALUE(REGEXEXTRACT(SUBSTITUTE(TRIM(F66)," ",""),"^-?\d+(\.\d+)?"))&gt;=-90,VALUE(REGEXEXTRACT(SUBSTITUTE(TRIM(F66)," ",""),"^-?\d+(\.\d+)?"))&lt;=90,VALUE(REGEXEXTRACT(SUBSTITUTE(TRIM(F66)," ",""),"-?\d+(\.\d+)?$"))&gt;=-180,VALUE(REGEXEXTRACT(SUBSTITUTE(TRIM(F66)," ",""),"-?\d+(\.\d+)?$"))&lt;=180),"OK","REVISAR"),"REVISAR"),"")</f>
        <v/>
      </c>
      <c r="O66">
        <f>IF(A66&lt;&gt;"","https://direcciones507.github.io/direcciones507/panel.html?codigo="&amp;A66&amp;"&amp;nombre="&amp;ENCODEURL(B66)&amp;"&amp;telefono="&amp;SUBSTITUTE(C66,"-","")&amp;"&amp;referencia="&amp;ENCODEURL(E66)&amp;"&amp;lat="&amp;IZQUIERDA(SUBSTITUTE(F66," ",""),ENCONTRAR(",",SUBSTITUTE(F66," ",""))-1)&amp;"&amp;lng="&amp;DERECHA(SUBSTITUTE(F66," ",""),LARGO(SUBSTITUTE(F66," ",""))-ENCONTRAR(",",SUBSTITUTE(F66," ",""))),"")</f>
        <v/>
      </c>
    </row>
    <row r="67" ht="15.75" customHeight="1" s="10">
      <c r="A67" s="8">
        <f>CONCAT("AD507-",TEXT(ROW()-2,"0000"))</f>
        <v/>
      </c>
      <c r="C67" s="8" t="n"/>
      <c r="F67" s="8" t="n"/>
      <c r="G67" s="8">
        <f>IF(F67&lt;&gt;"",HYPERLINK("https://www.google.com/maps/search/?api=1&amp;query="&amp;SUBSTITUTE(F67," ",""),"🗺 Google Maps"),"")</f>
        <v/>
      </c>
      <c r="H67" s="8">
        <f>IF(F67&lt;&gt;"",HYPERLINK("https://waze.com/ul?ll="&amp;SUBSTITUTE(F67," ","")&amp;"&amp;navigate=yes","🚗 Waze"),"")</f>
        <v/>
      </c>
      <c r="I67" s="8">
        <f>IF(F67&lt;&gt;"",HYPERLINK("https://m.uber.com/ul/?action=setPickup&amp;pickup=my_location&amp;dropoff[latitude]="&amp;LEFT(SUBSTITUTE(F67," ",""),FIND(",",SUBSTITUTE(F67," ",""))-1)&amp;"&amp;dropoff[longitude]="&amp;MID(SUBSTITUTE(F67," ",""),FIND(",",SUBSTITUTE(F67," ",""))+1,99),"🚕 Uber"),"")</f>
        <v/>
      </c>
      <c r="J67" s="8">
        <f>IF(F67&lt;&gt;"","https://api.qrserver.com/v1/create-qr-code/?size=200x200&amp;data="&amp;ENCODEURL("https://www.google.com/maps/search/?api=1&amp;query="&amp;SUBSTITUTE(F67," ","")),"")</f>
        <v/>
      </c>
      <c r="K67" s="8">
        <f>IF(C67&lt;&gt;"",HYPERLINK("https://wa.me/507"&amp;REGEXREPLACE(C67,"[^0-9]","")&amp;"?text="&amp;ENCODEURL("Ya llegue. Codigo: "&amp;A67&amp;". Ubicacion: "&amp;"https://www.google.com/maps/search/?api=1&amp;query="&amp;SUBSTITUTE(F67," ","")),"📲 Avisar al cliente"),"")</f>
        <v/>
      </c>
      <c r="L67" s="8">
        <f>IF(C67&lt;&gt;"","https://api.qrserver.com/v1/create-qr-code/?size=200x200&amp;data="&amp;ENCODEURL("https://wa.me/507"&amp;REGEXREPLACE(C67,"[^0-9]","")&amp;"?text="&amp;ENCODEURL("Ya llegue. Codigo: "&amp;A67&amp;". Ubicacion: "&amp;"https://www.google.com/maps/search/?api=1&amp;query="&amp;SUBSTITUTE(F67," ",""))),"")</f>
        <v/>
      </c>
      <c r="M67" s="8">
        <f>IF(B67&lt;&gt;"",TODAY(),"")</f>
        <v/>
      </c>
      <c r="N67" s="8">
        <f>IF(F67&lt;&gt;"",IFERROR(IF(AND(REGEXMATCH(SUBSTITUTE(TRIM(F67)," ",""),"^-?\d+(\.\d+)?,-?\d+(\.\d+)?$"),VALUE(REGEXEXTRACT(SUBSTITUTE(TRIM(F67)," ",""),"^-?\d+(\.\d+)?"))&gt;=-90,VALUE(REGEXEXTRACT(SUBSTITUTE(TRIM(F67)," ",""),"^-?\d+(\.\d+)?"))&lt;=90,VALUE(REGEXEXTRACT(SUBSTITUTE(TRIM(F67)," ",""),"-?\d+(\.\d+)?$"))&gt;=-180,VALUE(REGEXEXTRACT(SUBSTITUTE(TRIM(F67)," ",""),"-?\d+(\.\d+)?$"))&lt;=180),"OK","REVISAR"),"REVISAR"),"")</f>
        <v/>
      </c>
      <c r="O67">
        <f>IF(A67&lt;&gt;"","https://direcciones507.github.io/direcciones507/panel.html?codigo="&amp;A67&amp;"&amp;nombre="&amp;ENCODEURL(B67)&amp;"&amp;telefono="&amp;SUBSTITUTE(C67,"-","")&amp;"&amp;referencia="&amp;ENCODEURL(E67)&amp;"&amp;lat="&amp;IZQUIERDA(SUBSTITUTE(F67," ",""),ENCONTRAR(",",SUBSTITUTE(F67," ",""))-1)&amp;"&amp;lng="&amp;DERECHA(SUBSTITUTE(F67," ",""),LARGO(SUBSTITUTE(F67," ",""))-ENCONTRAR(",",SUBSTITUTE(F67," ",""))),"")</f>
        <v/>
      </c>
    </row>
    <row r="68" ht="15.75" customHeight="1" s="10">
      <c r="A68" s="8">
        <f>CONCAT("AD507-",TEXT(ROW()-2,"0000"))</f>
        <v/>
      </c>
      <c r="C68" s="8" t="n"/>
      <c r="F68" s="8" t="n"/>
      <c r="G68" s="8">
        <f>IF(F68&lt;&gt;"",HYPERLINK("https://www.google.com/maps/search/?api=1&amp;query="&amp;SUBSTITUTE(F68," ",""),"🗺 Google Maps"),"")</f>
        <v/>
      </c>
      <c r="H68" s="8">
        <f>IF(F68&lt;&gt;"",HYPERLINK("https://waze.com/ul?ll="&amp;SUBSTITUTE(F68," ","")&amp;"&amp;navigate=yes","🚗 Waze"),"")</f>
        <v/>
      </c>
      <c r="I68" s="8">
        <f>IF(F68&lt;&gt;"",HYPERLINK("https://m.uber.com/ul/?action=setPickup&amp;pickup=my_location&amp;dropoff[latitude]="&amp;LEFT(SUBSTITUTE(F68," ",""),FIND(",",SUBSTITUTE(F68," ",""))-1)&amp;"&amp;dropoff[longitude]="&amp;MID(SUBSTITUTE(F68," ",""),FIND(",",SUBSTITUTE(F68," ",""))+1,99),"🚕 Uber"),"")</f>
        <v/>
      </c>
      <c r="J68" s="8">
        <f>IF(F68&lt;&gt;"","https://api.qrserver.com/v1/create-qr-code/?size=200x200&amp;data="&amp;ENCODEURL("https://www.google.com/maps/search/?api=1&amp;query="&amp;SUBSTITUTE(F68," ","")),"")</f>
        <v/>
      </c>
      <c r="K68" s="8">
        <f>IF(C68&lt;&gt;"",HYPERLINK("https://wa.me/507"&amp;REGEXREPLACE(C68,"[^0-9]","")&amp;"?text="&amp;ENCODEURL("Ya llegue. Codigo: "&amp;A68&amp;". Ubicacion: "&amp;"https://www.google.com/maps/search/?api=1&amp;query="&amp;SUBSTITUTE(F68," ","")),"📲 Avisar al cliente"),"")</f>
        <v/>
      </c>
      <c r="L68" s="8">
        <f>IF(C68&lt;&gt;"","https://api.qrserver.com/v1/create-qr-code/?size=200x200&amp;data="&amp;ENCODEURL("https://wa.me/507"&amp;REGEXREPLACE(C68,"[^0-9]","")&amp;"?text="&amp;ENCODEURL("Ya llegue. Codigo: "&amp;A68&amp;". Ubicacion: "&amp;"https://www.google.com/maps/search/?api=1&amp;query="&amp;SUBSTITUTE(F68," ",""))),"")</f>
        <v/>
      </c>
      <c r="M68" s="8">
        <f>IF(B68&lt;&gt;"",TODAY(),"")</f>
        <v/>
      </c>
      <c r="N68" s="8">
        <f>IF(F68&lt;&gt;"",IFERROR(IF(AND(REGEXMATCH(SUBSTITUTE(TRIM(F68)," ",""),"^-?\d+(\.\d+)?,-?\d+(\.\d+)?$"),VALUE(REGEXEXTRACT(SUBSTITUTE(TRIM(F68)," ",""),"^-?\d+(\.\d+)?"))&gt;=-90,VALUE(REGEXEXTRACT(SUBSTITUTE(TRIM(F68)," ",""),"^-?\d+(\.\d+)?"))&lt;=90,VALUE(REGEXEXTRACT(SUBSTITUTE(TRIM(F68)," ",""),"-?\d+(\.\d+)?$"))&gt;=-180,VALUE(REGEXEXTRACT(SUBSTITUTE(TRIM(F68)," ",""),"-?\d+(\.\d+)?$"))&lt;=180),"OK","REVISAR"),"REVISAR"),"")</f>
        <v/>
      </c>
      <c r="O68">
        <f>IF(A68&lt;&gt;"","https://direcciones507.github.io/direcciones507/panel.html?codigo="&amp;A68&amp;"&amp;nombre="&amp;ENCODEURL(B68)&amp;"&amp;telefono="&amp;SUBSTITUTE(C68,"-","")&amp;"&amp;referencia="&amp;ENCODEURL(E68)&amp;"&amp;lat="&amp;IZQUIERDA(SUBSTITUTE(F68," ",""),ENCONTRAR(",",SUBSTITUTE(F68," ",""))-1)&amp;"&amp;lng="&amp;DERECHA(SUBSTITUTE(F68," ",""),LARGO(SUBSTITUTE(F68," ",""))-ENCONTRAR(",",SUBSTITUTE(F68," ",""))),"")</f>
        <v/>
      </c>
    </row>
    <row r="69" ht="15.75" customHeight="1" s="10">
      <c r="A69" s="8">
        <f>CONCAT("AD507-",TEXT(ROW()-2,"0000"))</f>
        <v/>
      </c>
      <c r="C69" s="8" t="n"/>
      <c r="F69" s="8" t="n"/>
      <c r="G69" s="8">
        <f>IF(F69&lt;&gt;"",HYPERLINK("https://www.google.com/maps/search/?api=1&amp;query="&amp;SUBSTITUTE(F69," ",""),"🗺 Google Maps"),"")</f>
        <v/>
      </c>
      <c r="H69" s="8">
        <f>IF(F69&lt;&gt;"",HYPERLINK("https://waze.com/ul?ll="&amp;SUBSTITUTE(F69," ","")&amp;"&amp;navigate=yes","🚗 Waze"),"")</f>
        <v/>
      </c>
      <c r="I69" s="8">
        <f>IF(F69&lt;&gt;"",HYPERLINK("https://m.uber.com/ul/?action=setPickup&amp;pickup=my_location&amp;dropoff[latitude]="&amp;LEFT(SUBSTITUTE(F69," ",""),FIND(",",SUBSTITUTE(F69," ",""))-1)&amp;"&amp;dropoff[longitude]="&amp;MID(SUBSTITUTE(F69," ",""),FIND(",",SUBSTITUTE(F69," ",""))+1,99),"🚕 Uber"),"")</f>
        <v/>
      </c>
      <c r="J69" s="8">
        <f>IF(F69&lt;&gt;"","https://api.qrserver.com/v1/create-qr-code/?size=200x200&amp;data="&amp;ENCODEURL("https://www.google.com/maps/search/?api=1&amp;query="&amp;SUBSTITUTE(F69," ","")),"")</f>
        <v/>
      </c>
      <c r="K69" s="8">
        <f>IF(C69&lt;&gt;"",HYPERLINK("https://wa.me/507"&amp;REGEXREPLACE(C69,"[^0-9]","")&amp;"?text="&amp;ENCODEURL("Ya llegue. Codigo: "&amp;A69&amp;". Ubicacion: "&amp;"https://www.google.com/maps/search/?api=1&amp;query="&amp;SUBSTITUTE(F69," ","")),"📲 Avisar al cliente"),"")</f>
        <v/>
      </c>
      <c r="L69" s="8">
        <f>IF(C69&lt;&gt;"","https://api.qrserver.com/v1/create-qr-code/?size=200x200&amp;data="&amp;ENCODEURL("https://wa.me/507"&amp;REGEXREPLACE(C69,"[^0-9]","")&amp;"?text="&amp;ENCODEURL("Ya llegue. Codigo: "&amp;A69&amp;". Ubicacion: "&amp;"https://www.google.com/maps/search/?api=1&amp;query="&amp;SUBSTITUTE(F69," ",""))),"")</f>
        <v/>
      </c>
      <c r="M69" s="8">
        <f>IF(B69&lt;&gt;"",TODAY(),"")</f>
        <v/>
      </c>
      <c r="N69" s="8">
        <f>IF(F69&lt;&gt;"",IFERROR(IF(AND(REGEXMATCH(SUBSTITUTE(TRIM(F69)," ",""),"^-?\d+(\.\d+)?,-?\d+(\.\d+)?$"),VALUE(REGEXEXTRACT(SUBSTITUTE(TRIM(F69)," ",""),"^-?\d+(\.\d+)?"))&gt;=-90,VALUE(REGEXEXTRACT(SUBSTITUTE(TRIM(F69)," ",""),"^-?\d+(\.\d+)?"))&lt;=90,VALUE(REGEXEXTRACT(SUBSTITUTE(TRIM(F69)," ",""),"-?\d+(\.\d+)?$"))&gt;=-180,VALUE(REGEXEXTRACT(SUBSTITUTE(TRIM(F69)," ",""),"-?\d+(\.\d+)?$"))&lt;=180),"OK","REVISAR"),"REVISAR"),"")</f>
        <v/>
      </c>
      <c r="O69">
        <f>IF(A69&lt;&gt;"","https://direcciones507.github.io/direcciones507/panel.html?codigo="&amp;A69&amp;"&amp;nombre="&amp;ENCODEURL(B69)&amp;"&amp;telefono="&amp;SUBSTITUTE(C69,"-","")&amp;"&amp;referencia="&amp;ENCODEURL(E69)&amp;"&amp;lat="&amp;IZQUIERDA(SUBSTITUTE(F69," ",""),ENCONTRAR(",",SUBSTITUTE(F69," ",""))-1)&amp;"&amp;lng="&amp;DERECHA(SUBSTITUTE(F69," ",""),LARGO(SUBSTITUTE(F69," ",""))-ENCONTRAR(",",SUBSTITUTE(F69," ",""))),"")</f>
        <v/>
      </c>
    </row>
    <row r="70" ht="15.75" customHeight="1" s="10">
      <c r="A70" s="8">
        <f>CONCAT("AD507-",TEXT(ROW()-2,"0000"))</f>
        <v/>
      </c>
      <c r="C70" s="8" t="n"/>
      <c r="F70" s="8" t="n"/>
      <c r="G70" s="8">
        <f>IF(F70&lt;&gt;"",HYPERLINK("https://www.google.com/maps/search/?api=1&amp;query="&amp;SUBSTITUTE(F70," ",""),"🗺 Google Maps"),"")</f>
        <v/>
      </c>
      <c r="H70" s="8">
        <f>IF(F70&lt;&gt;"",HYPERLINK("https://waze.com/ul?ll="&amp;SUBSTITUTE(F70," ","")&amp;"&amp;navigate=yes","🚗 Waze"),"")</f>
        <v/>
      </c>
      <c r="I70" s="8">
        <f>IF(F70&lt;&gt;"",HYPERLINK("https://m.uber.com/ul/?action=setPickup&amp;pickup=my_location&amp;dropoff[latitude]="&amp;LEFT(SUBSTITUTE(F70," ",""),FIND(",",SUBSTITUTE(F70," ",""))-1)&amp;"&amp;dropoff[longitude]="&amp;MID(SUBSTITUTE(F70," ",""),FIND(",",SUBSTITUTE(F70," ",""))+1,99),"🚕 Uber"),"")</f>
        <v/>
      </c>
      <c r="J70" s="8">
        <f>IF(F70&lt;&gt;"","https://api.qrserver.com/v1/create-qr-code/?size=200x200&amp;data="&amp;ENCODEURL("https://www.google.com/maps/search/?api=1&amp;query="&amp;SUBSTITUTE(F70," ","")),"")</f>
        <v/>
      </c>
      <c r="K70" s="8">
        <f>IF(C70&lt;&gt;"",HYPERLINK("https://wa.me/507"&amp;REGEXREPLACE(C70,"[^0-9]","")&amp;"?text="&amp;ENCODEURL("Ya llegue. Codigo: "&amp;A70&amp;". Ubicacion: "&amp;"https://www.google.com/maps/search/?api=1&amp;query="&amp;SUBSTITUTE(F70," ","")),"📲 Avisar al cliente"),"")</f>
        <v/>
      </c>
      <c r="L70" s="8">
        <f>IF(C70&lt;&gt;"","https://api.qrserver.com/v1/create-qr-code/?size=200x200&amp;data="&amp;ENCODEURL("https://wa.me/507"&amp;REGEXREPLACE(C70,"[^0-9]","")&amp;"?text="&amp;ENCODEURL("Ya llegue. Codigo: "&amp;A70&amp;". Ubicacion: "&amp;"https://www.google.com/maps/search/?api=1&amp;query="&amp;SUBSTITUTE(F70," ",""))),"")</f>
        <v/>
      </c>
      <c r="M70" s="8">
        <f>IF(B70&lt;&gt;"",TODAY(),"")</f>
        <v/>
      </c>
      <c r="N70" s="8">
        <f>IF(F70&lt;&gt;"",IFERROR(IF(AND(REGEXMATCH(SUBSTITUTE(TRIM(F70)," ",""),"^-?\d+(\.\d+)?,-?\d+(\.\d+)?$"),VALUE(REGEXEXTRACT(SUBSTITUTE(TRIM(F70)," ",""),"^-?\d+(\.\d+)?"))&gt;=-90,VALUE(REGEXEXTRACT(SUBSTITUTE(TRIM(F70)," ",""),"^-?\d+(\.\d+)?"))&lt;=90,VALUE(REGEXEXTRACT(SUBSTITUTE(TRIM(F70)," ",""),"-?\d+(\.\d+)?$"))&gt;=-180,VALUE(REGEXEXTRACT(SUBSTITUTE(TRIM(F70)," ",""),"-?\d+(\.\d+)?$"))&lt;=180),"OK","REVISAR"),"REVISAR"),"")</f>
        <v/>
      </c>
      <c r="O70">
        <f>IF(A70&lt;&gt;"","https://direcciones507.github.io/direcciones507/panel.html?codigo="&amp;A70&amp;"&amp;nombre="&amp;ENCODEURL(B70)&amp;"&amp;telefono="&amp;SUBSTITUTE(C70,"-","")&amp;"&amp;referencia="&amp;ENCODEURL(E70)&amp;"&amp;lat="&amp;IZQUIERDA(SUBSTITUTE(F70," ",""),ENCONTRAR(",",SUBSTITUTE(F70," ",""))-1)&amp;"&amp;lng="&amp;DERECHA(SUBSTITUTE(F70," ",""),LARGO(SUBSTITUTE(F70," ",""))-ENCONTRAR(",",SUBSTITUTE(F70," ",""))),"")</f>
        <v/>
      </c>
    </row>
    <row r="71" ht="15.75" customHeight="1" s="10">
      <c r="A71" s="8">
        <f>CONCAT("AD507-",TEXT(ROW()-2,"0000"))</f>
        <v/>
      </c>
      <c r="C71" s="8" t="n"/>
      <c r="F71" s="8" t="n"/>
      <c r="G71" s="8">
        <f>IF(F71&lt;&gt;"",HYPERLINK("https://www.google.com/maps/search/?api=1&amp;query="&amp;SUBSTITUTE(F71," ",""),"🗺 Google Maps"),"")</f>
        <v/>
      </c>
      <c r="H71" s="8">
        <f>IF(F71&lt;&gt;"",HYPERLINK("https://waze.com/ul?ll="&amp;SUBSTITUTE(F71," ","")&amp;"&amp;navigate=yes","🚗 Waze"),"")</f>
        <v/>
      </c>
      <c r="I71" s="8">
        <f>IF(F71&lt;&gt;"",HYPERLINK("https://m.uber.com/ul/?action=setPickup&amp;pickup=my_location&amp;dropoff[latitude]="&amp;LEFT(SUBSTITUTE(F71," ",""),FIND(",",SUBSTITUTE(F71," ",""))-1)&amp;"&amp;dropoff[longitude]="&amp;MID(SUBSTITUTE(F71," ",""),FIND(",",SUBSTITUTE(F71," ",""))+1,99),"🚕 Uber"),"")</f>
        <v/>
      </c>
      <c r="J71" s="8">
        <f>IF(F71&lt;&gt;"","https://api.qrserver.com/v1/create-qr-code/?size=200x200&amp;data="&amp;ENCODEURL("https://www.google.com/maps/search/?api=1&amp;query="&amp;SUBSTITUTE(F71," ","")),"")</f>
        <v/>
      </c>
      <c r="K71" s="8">
        <f>IF(C71&lt;&gt;"",HYPERLINK("https://wa.me/507"&amp;REGEXREPLACE(C71,"[^0-9]","")&amp;"?text="&amp;ENCODEURL("Ya llegue. Codigo: "&amp;A71&amp;". Ubicacion: "&amp;"https://www.google.com/maps/search/?api=1&amp;query="&amp;SUBSTITUTE(F71," ","")),"📲 Avisar al cliente"),"")</f>
        <v/>
      </c>
      <c r="L71" s="8">
        <f>IF(C71&lt;&gt;"","https://api.qrserver.com/v1/create-qr-code/?size=200x200&amp;data="&amp;ENCODEURL("https://wa.me/507"&amp;REGEXREPLACE(C71,"[^0-9]","")&amp;"?text="&amp;ENCODEURL("Ya llegue. Codigo: "&amp;A71&amp;". Ubicacion: "&amp;"https://www.google.com/maps/search/?api=1&amp;query="&amp;SUBSTITUTE(F71," ",""))),"")</f>
        <v/>
      </c>
      <c r="M71" s="8">
        <f>IF(B71&lt;&gt;"",TODAY(),"")</f>
        <v/>
      </c>
      <c r="N71" s="8">
        <f>IF(F71&lt;&gt;"",IFERROR(IF(AND(REGEXMATCH(SUBSTITUTE(TRIM(F71)," ",""),"^-?\d+(\.\d+)?,-?\d+(\.\d+)?$"),VALUE(REGEXEXTRACT(SUBSTITUTE(TRIM(F71)," ",""),"^-?\d+(\.\d+)?"))&gt;=-90,VALUE(REGEXEXTRACT(SUBSTITUTE(TRIM(F71)," ",""),"^-?\d+(\.\d+)?"))&lt;=90,VALUE(REGEXEXTRACT(SUBSTITUTE(TRIM(F71)," ",""),"-?\d+(\.\d+)?$"))&gt;=-180,VALUE(REGEXEXTRACT(SUBSTITUTE(TRIM(F71)," ",""),"-?\d+(\.\d+)?$"))&lt;=180),"OK","REVISAR"),"REVISAR"),"")</f>
        <v/>
      </c>
      <c r="O71">
        <f>IF(A71&lt;&gt;"","https://direcciones507.github.io/direcciones507/panel.html?codigo="&amp;A71&amp;"&amp;nombre="&amp;ENCODEURL(B71)&amp;"&amp;telefono="&amp;SUBSTITUTE(C71,"-","")&amp;"&amp;referencia="&amp;ENCODEURL(E71)&amp;"&amp;lat="&amp;IZQUIERDA(SUBSTITUTE(F71," ",""),ENCONTRAR(",",SUBSTITUTE(F71," ",""))-1)&amp;"&amp;lng="&amp;DERECHA(SUBSTITUTE(F71," ",""),LARGO(SUBSTITUTE(F71," ",""))-ENCONTRAR(",",SUBSTITUTE(F71," ",""))),"")</f>
        <v/>
      </c>
    </row>
    <row r="72" ht="15.75" customHeight="1" s="10">
      <c r="A72" s="8">
        <f>CONCAT("AD507-",TEXT(ROW()-2,"0000"))</f>
        <v/>
      </c>
      <c r="C72" s="8" t="n"/>
      <c r="F72" s="8" t="n"/>
      <c r="G72" s="8">
        <f>IF(F72&lt;&gt;"",HYPERLINK("https://www.google.com/maps/search/?api=1&amp;query="&amp;SUBSTITUTE(F72," ",""),"🗺 Google Maps"),"")</f>
        <v/>
      </c>
      <c r="H72" s="8">
        <f>IF(F72&lt;&gt;"",HYPERLINK("https://waze.com/ul?ll="&amp;SUBSTITUTE(F72," ","")&amp;"&amp;navigate=yes","🚗 Waze"),"")</f>
        <v/>
      </c>
      <c r="I72" s="8">
        <f>IF(F72&lt;&gt;"",HYPERLINK("https://m.uber.com/ul/?action=setPickup&amp;pickup=my_location&amp;dropoff[latitude]="&amp;LEFT(SUBSTITUTE(F72," ",""),FIND(",",SUBSTITUTE(F72," ",""))-1)&amp;"&amp;dropoff[longitude]="&amp;MID(SUBSTITUTE(F72," ",""),FIND(",",SUBSTITUTE(F72," ",""))+1,99),"🚕 Uber"),"")</f>
        <v/>
      </c>
      <c r="J72" s="8">
        <f>IF(F72&lt;&gt;"","https://api.qrserver.com/v1/create-qr-code/?size=200x200&amp;data="&amp;ENCODEURL("https://www.google.com/maps/search/?api=1&amp;query="&amp;SUBSTITUTE(F72," ","")),"")</f>
        <v/>
      </c>
      <c r="K72" s="8">
        <f>IF(C72&lt;&gt;"",HYPERLINK("https://wa.me/507"&amp;REGEXREPLACE(C72,"[^0-9]","")&amp;"?text="&amp;ENCODEURL("Ya llegue. Codigo: "&amp;A72&amp;". Ubicacion: "&amp;"https://www.google.com/maps/search/?api=1&amp;query="&amp;SUBSTITUTE(F72," ","")),"📲 Avisar al cliente"),"")</f>
        <v/>
      </c>
      <c r="L72" s="8">
        <f>IF(C72&lt;&gt;"","https://api.qrserver.com/v1/create-qr-code/?size=200x200&amp;data="&amp;ENCODEURL("https://wa.me/507"&amp;REGEXREPLACE(C72,"[^0-9]","")&amp;"?text="&amp;ENCODEURL("Ya llegue. Codigo: "&amp;A72&amp;". Ubicacion: "&amp;"https://www.google.com/maps/search/?api=1&amp;query="&amp;SUBSTITUTE(F72," ",""))),"")</f>
        <v/>
      </c>
      <c r="M72" s="8">
        <f>IF(B72&lt;&gt;"",TODAY(),"")</f>
        <v/>
      </c>
      <c r="N72" s="8">
        <f>IF(F72&lt;&gt;"",IFERROR(IF(AND(REGEXMATCH(SUBSTITUTE(TRIM(F72)," ",""),"^-?\d+(\.\d+)?,-?\d+(\.\d+)?$"),VALUE(REGEXEXTRACT(SUBSTITUTE(TRIM(F72)," ",""),"^-?\d+(\.\d+)?"))&gt;=-90,VALUE(REGEXEXTRACT(SUBSTITUTE(TRIM(F72)," ",""),"^-?\d+(\.\d+)?"))&lt;=90,VALUE(REGEXEXTRACT(SUBSTITUTE(TRIM(F72)," ",""),"-?\d+(\.\d+)?$"))&gt;=-180,VALUE(REGEXEXTRACT(SUBSTITUTE(TRIM(F72)," ",""),"-?\d+(\.\d+)?$"))&lt;=180),"OK","REVISAR"),"REVISAR"),"")</f>
        <v/>
      </c>
      <c r="O72">
        <f>IF(A72&lt;&gt;"","https://direcciones507.github.io/direcciones507/panel.html?codigo="&amp;A72&amp;"&amp;nombre="&amp;ENCODEURL(B72)&amp;"&amp;telefono="&amp;SUBSTITUTE(C72,"-","")&amp;"&amp;referencia="&amp;ENCODEURL(E72)&amp;"&amp;lat="&amp;IZQUIERDA(SUBSTITUTE(F72," ",""),ENCONTRAR(",",SUBSTITUTE(F72," ",""))-1)&amp;"&amp;lng="&amp;DERECHA(SUBSTITUTE(F72," ",""),LARGO(SUBSTITUTE(F72," ",""))-ENCONTRAR(",",SUBSTITUTE(F72," ",""))),"")</f>
        <v/>
      </c>
    </row>
    <row r="73" ht="15.75" customHeight="1" s="10">
      <c r="A73" s="8">
        <f>CONCAT("AD507-",TEXT(ROW()-2,"0000"))</f>
        <v/>
      </c>
      <c r="C73" s="8" t="n"/>
      <c r="F73" s="8" t="n"/>
      <c r="G73" s="8">
        <f>IF(F73&lt;&gt;"",HYPERLINK("https://www.google.com/maps/search/?api=1&amp;query="&amp;SUBSTITUTE(F73," ",""),"🗺 Google Maps"),"")</f>
        <v/>
      </c>
      <c r="H73" s="8">
        <f>IF(F73&lt;&gt;"",HYPERLINK("https://waze.com/ul?ll="&amp;SUBSTITUTE(F73," ","")&amp;"&amp;navigate=yes","🚗 Waze"),"")</f>
        <v/>
      </c>
      <c r="I73" s="8">
        <f>IF(F73&lt;&gt;"",HYPERLINK("https://m.uber.com/ul/?action=setPickup&amp;pickup=my_location&amp;dropoff[latitude]="&amp;LEFT(SUBSTITUTE(F73," ",""),FIND(",",SUBSTITUTE(F73," ",""))-1)&amp;"&amp;dropoff[longitude]="&amp;MID(SUBSTITUTE(F73," ",""),FIND(",",SUBSTITUTE(F73," ",""))+1,99),"🚕 Uber"),"")</f>
        <v/>
      </c>
      <c r="J73" s="8">
        <f>IF(F73&lt;&gt;"","https://api.qrserver.com/v1/create-qr-code/?size=200x200&amp;data="&amp;ENCODEURL("https://www.google.com/maps/search/?api=1&amp;query="&amp;SUBSTITUTE(F73," ","")),"")</f>
        <v/>
      </c>
      <c r="K73" s="8">
        <f>IF(C73&lt;&gt;"",HYPERLINK("https://wa.me/507"&amp;REGEXREPLACE(C73,"[^0-9]","")&amp;"?text="&amp;ENCODEURL("Ya llegue. Codigo: "&amp;A73&amp;". Ubicacion: "&amp;"https://www.google.com/maps/search/?api=1&amp;query="&amp;SUBSTITUTE(F73," ","")),"📲 Avisar al cliente"),"")</f>
        <v/>
      </c>
      <c r="L73" s="8">
        <f>IF(C73&lt;&gt;"","https://api.qrserver.com/v1/create-qr-code/?size=200x200&amp;data="&amp;ENCODEURL("https://wa.me/507"&amp;REGEXREPLACE(C73,"[^0-9]","")&amp;"?text="&amp;ENCODEURL("Ya llegue. Codigo: "&amp;A73&amp;". Ubicacion: "&amp;"https://www.google.com/maps/search/?api=1&amp;query="&amp;SUBSTITUTE(F73," ",""))),"")</f>
        <v/>
      </c>
      <c r="M73" s="8">
        <f>IF(B73&lt;&gt;"",TODAY(),"")</f>
        <v/>
      </c>
      <c r="N73" s="8">
        <f>IF(F73&lt;&gt;"",IFERROR(IF(AND(REGEXMATCH(SUBSTITUTE(TRIM(F73)," ",""),"^-?\d+(\.\d+)?,-?\d+(\.\d+)?$"),VALUE(REGEXEXTRACT(SUBSTITUTE(TRIM(F73)," ",""),"^-?\d+(\.\d+)?"))&gt;=-90,VALUE(REGEXEXTRACT(SUBSTITUTE(TRIM(F73)," ",""),"^-?\d+(\.\d+)?"))&lt;=90,VALUE(REGEXEXTRACT(SUBSTITUTE(TRIM(F73)," ",""),"-?\d+(\.\d+)?$"))&gt;=-180,VALUE(REGEXEXTRACT(SUBSTITUTE(TRIM(F73)," ",""),"-?\d+(\.\d+)?$"))&lt;=180),"OK","REVISAR"),"REVISAR"),"")</f>
        <v/>
      </c>
      <c r="O73">
        <f>IF(A73&lt;&gt;"","https://direcciones507.github.io/direcciones507/panel.html?codigo="&amp;A73&amp;"&amp;nombre="&amp;ENCODEURL(B73)&amp;"&amp;telefono="&amp;SUBSTITUTE(C73,"-","")&amp;"&amp;referencia="&amp;ENCODEURL(E73)&amp;"&amp;lat="&amp;IZQUIERDA(SUBSTITUTE(F73," ",""),ENCONTRAR(",",SUBSTITUTE(F73," ",""))-1)&amp;"&amp;lng="&amp;DERECHA(SUBSTITUTE(F73," ",""),LARGO(SUBSTITUTE(F73," ",""))-ENCONTRAR(",",SUBSTITUTE(F73," ",""))),"")</f>
        <v/>
      </c>
    </row>
    <row r="74" ht="15.75" customHeight="1" s="10">
      <c r="A74" s="8">
        <f>CONCAT("AD507-",TEXT(ROW()-2,"0000"))</f>
        <v/>
      </c>
      <c r="C74" s="8" t="n"/>
      <c r="F74" s="8" t="n"/>
      <c r="G74" s="8">
        <f>IF(F74&lt;&gt;"",HYPERLINK("https://www.google.com/maps/search/?api=1&amp;query="&amp;SUBSTITUTE(F74," ",""),"🗺 Google Maps"),"")</f>
        <v/>
      </c>
      <c r="H74" s="8">
        <f>IF(F74&lt;&gt;"",HYPERLINK("https://waze.com/ul?ll="&amp;SUBSTITUTE(F74," ","")&amp;"&amp;navigate=yes","🚗 Waze"),"")</f>
        <v/>
      </c>
      <c r="I74" s="8">
        <f>IF(F74&lt;&gt;"",HYPERLINK("https://m.uber.com/ul/?action=setPickup&amp;pickup=my_location&amp;dropoff[latitude]="&amp;LEFT(SUBSTITUTE(F74," ",""),FIND(",",SUBSTITUTE(F74," ",""))-1)&amp;"&amp;dropoff[longitude]="&amp;MID(SUBSTITUTE(F74," ",""),FIND(",",SUBSTITUTE(F74," ",""))+1,99),"🚕 Uber"),"")</f>
        <v/>
      </c>
      <c r="J74" s="8">
        <f>IF(F74&lt;&gt;"","https://api.qrserver.com/v1/create-qr-code/?size=200x200&amp;data="&amp;ENCODEURL("https://www.google.com/maps/search/?api=1&amp;query="&amp;SUBSTITUTE(F74," ","")),"")</f>
        <v/>
      </c>
      <c r="K74" s="8">
        <f>IF(C74&lt;&gt;"",HYPERLINK("https://wa.me/507"&amp;REGEXREPLACE(C74,"[^0-9]","")&amp;"?text="&amp;ENCODEURL("Ya llegue. Codigo: "&amp;A74&amp;". Ubicacion: "&amp;"https://www.google.com/maps/search/?api=1&amp;query="&amp;SUBSTITUTE(F74," ","")),"📲 Avisar al cliente"),"")</f>
        <v/>
      </c>
      <c r="L74" s="8">
        <f>IF(C74&lt;&gt;"","https://api.qrserver.com/v1/create-qr-code/?size=200x200&amp;data="&amp;ENCODEURL("https://wa.me/507"&amp;REGEXREPLACE(C74,"[^0-9]","")&amp;"?text="&amp;ENCODEURL("Ya llegue. Codigo: "&amp;A74&amp;". Ubicacion: "&amp;"https://www.google.com/maps/search/?api=1&amp;query="&amp;SUBSTITUTE(F74," ",""))),"")</f>
        <v/>
      </c>
      <c r="M74" s="8">
        <f>IF(B74&lt;&gt;"",TODAY(),"")</f>
        <v/>
      </c>
      <c r="N74" s="8">
        <f>IF(F74&lt;&gt;"",IFERROR(IF(AND(REGEXMATCH(SUBSTITUTE(TRIM(F74)," ",""),"^-?\d+(\.\d+)?,-?\d+(\.\d+)?$"),VALUE(REGEXEXTRACT(SUBSTITUTE(TRIM(F74)," ",""),"^-?\d+(\.\d+)?"))&gt;=-90,VALUE(REGEXEXTRACT(SUBSTITUTE(TRIM(F74)," ",""),"^-?\d+(\.\d+)?"))&lt;=90,VALUE(REGEXEXTRACT(SUBSTITUTE(TRIM(F74)," ",""),"-?\d+(\.\d+)?$"))&gt;=-180,VALUE(REGEXEXTRACT(SUBSTITUTE(TRIM(F74)," ",""),"-?\d+(\.\d+)?$"))&lt;=180),"OK","REVISAR"),"REVISAR"),"")</f>
        <v/>
      </c>
      <c r="O74">
        <f>IF(A74&lt;&gt;"","https://direcciones507.github.io/direcciones507/panel.html?codigo="&amp;A74&amp;"&amp;nombre="&amp;ENCODEURL(B74)&amp;"&amp;telefono="&amp;SUBSTITUTE(C74,"-","")&amp;"&amp;referencia="&amp;ENCODEURL(E74)&amp;"&amp;lat="&amp;IZQUIERDA(SUBSTITUTE(F74," ",""),ENCONTRAR(",",SUBSTITUTE(F74," ",""))-1)&amp;"&amp;lng="&amp;DERECHA(SUBSTITUTE(F74," ",""),LARGO(SUBSTITUTE(F74," ",""))-ENCONTRAR(",",SUBSTITUTE(F74," ",""))),"")</f>
        <v/>
      </c>
    </row>
    <row r="75" ht="15.75" customHeight="1" s="10">
      <c r="A75" s="8">
        <f>CONCAT("AD507-",TEXT(ROW()-2,"0000"))</f>
        <v/>
      </c>
      <c r="C75" s="8" t="n"/>
      <c r="F75" s="8" t="n"/>
      <c r="G75" s="8">
        <f>IF(F75&lt;&gt;"",HYPERLINK("https://www.google.com/maps/search/?api=1&amp;query="&amp;SUBSTITUTE(F75," ",""),"🗺 Google Maps"),"")</f>
        <v/>
      </c>
      <c r="H75" s="8">
        <f>IF(F75&lt;&gt;"",HYPERLINK("https://waze.com/ul?ll="&amp;SUBSTITUTE(F75," ","")&amp;"&amp;navigate=yes","🚗 Waze"),"")</f>
        <v/>
      </c>
      <c r="I75" s="8">
        <f>IF(F75&lt;&gt;"",HYPERLINK("https://m.uber.com/ul/?action=setPickup&amp;pickup=my_location&amp;dropoff[latitude]="&amp;LEFT(SUBSTITUTE(F75," ",""),FIND(",",SUBSTITUTE(F75," ",""))-1)&amp;"&amp;dropoff[longitude]="&amp;MID(SUBSTITUTE(F75," ",""),FIND(",",SUBSTITUTE(F75," ",""))+1,99),"🚕 Uber"),"")</f>
        <v/>
      </c>
      <c r="J75" s="8">
        <f>IF(F75&lt;&gt;"","https://api.qrserver.com/v1/create-qr-code/?size=200x200&amp;data="&amp;ENCODEURL("https://www.google.com/maps/search/?api=1&amp;query="&amp;SUBSTITUTE(F75," ","")),"")</f>
        <v/>
      </c>
      <c r="K75" s="8">
        <f>IF(C75&lt;&gt;"",HYPERLINK("https://wa.me/507"&amp;REGEXREPLACE(C75,"[^0-9]","")&amp;"?text="&amp;ENCODEURL("Ya llegue. Codigo: "&amp;A75&amp;". Ubicacion: "&amp;"https://www.google.com/maps/search/?api=1&amp;query="&amp;SUBSTITUTE(F75," ","")),"📲 Avisar al cliente"),"")</f>
        <v/>
      </c>
      <c r="L75" s="8">
        <f>IF(C75&lt;&gt;"","https://api.qrserver.com/v1/create-qr-code/?size=200x200&amp;data="&amp;ENCODEURL("https://wa.me/507"&amp;REGEXREPLACE(C75,"[^0-9]","")&amp;"?text="&amp;ENCODEURL("Ya llegue. Codigo: "&amp;A75&amp;". Ubicacion: "&amp;"https://www.google.com/maps/search/?api=1&amp;query="&amp;SUBSTITUTE(F75," ",""))),"")</f>
        <v/>
      </c>
      <c r="M75" s="8">
        <f>IF(B75&lt;&gt;"",TODAY(),"")</f>
        <v/>
      </c>
      <c r="N75" s="8">
        <f>IF(F75&lt;&gt;"",IFERROR(IF(AND(REGEXMATCH(SUBSTITUTE(TRIM(F75)," ",""),"^-?\d+(\.\d+)?,-?\d+(\.\d+)?$"),VALUE(REGEXEXTRACT(SUBSTITUTE(TRIM(F75)," ",""),"^-?\d+(\.\d+)?"))&gt;=-90,VALUE(REGEXEXTRACT(SUBSTITUTE(TRIM(F75)," ",""),"^-?\d+(\.\d+)?"))&lt;=90,VALUE(REGEXEXTRACT(SUBSTITUTE(TRIM(F75)," ",""),"-?\d+(\.\d+)?$"))&gt;=-180,VALUE(REGEXEXTRACT(SUBSTITUTE(TRIM(F75)," ",""),"-?\d+(\.\d+)?$"))&lt;=180),"OK","REVISAR"),"REVISAR"),"")</f>
        <v/>
      </c>
      <c r="O75">
        <f>IF(A75&lt;&gt;"","https://direcciones507.github.io/direcciones507/panel.html?codigo="&amp;A75&amp;"&amp;nombre="&amp;ENCODEURL(B75)&amp;"&amp;telefono="&amp;SUBSTITUTE(C75,"-","")&amp;"&amp;referencia="&amp;ENCODEURL(E75)&amp;"&amp;lat="&amp;IZQUIERDA(SUBSTITUTE(F75," ",""),ENCONTRAR(",",SUBSTITUTE(F75," ",""))-1)&amp;"&amp;lng="&amp;DERECHA(SUBSTITUTE(F75," ",""),LARGO(SUBSTITUTE(F75," ",""))-ENCONTRAR(",",SUBSTITUTE(F75," ",""))),"")</f>
        <v/>
      </c>
    </row>
    <row r="76" ht="15.75" customHeight="1" s="10">
      <c r="A76" s="8">
        <f>CONCAT("AD507-",TEXT(ROW()-2,"0000"))</f>
        <v/>
      </c>
      <c r="C76" s="8" t="n"/>
      <c r="F76" s="8" t="n"/>
      <c r="G76" s="8">
        <f>IF(F76&lt;&gt;"",HYPERLINK("https://www.google.com/maps/search/?api=1&amp;query="&amp;SUBSTITUTE(F76," ",""),"🗺 Google Maps"),"")</f>
        <v/>
      </c>
      <c r="H76" s="8">
        <f>IF(F76&lt;&gt;"",HYPERLINK("https://waze.com/ul?ll="&amp;SUBSTITUTE(F76," ","")&amp;"&amp;navigate=yes","🚗 Waze"),"")</f>
        <v/>
      </c>
      <c r="I76" s="8">
        <f>IF(F76&lt;&gt;"",HYPERLINK("https://m.uber.com/ul/?action=setPickup&amp;pickup=my_location&amp;dropoff[latitude]="&amp;LEFT(SUBSTITUTE(F76," ",""),FIND(",",SUBSTITUTE(F76," ",""))-1)&amp;"&amp;dropoff[longitude]="&amp;MID(SUBSTITUTE(F76," ",""),FIND(",",SUBSTITUTE(F76," ",""))+1,99),"🚕 Uber"),"")</f>
        <v/>
      </c>
      <c r="J76" s="8">
        <f>IF(F76&lt;&gt;"","https://api.qrserver.com/v1/create-qr-code/?size=200x200&amp;data="&amp;ENCODEURL("https://www.google.com/maps/search/?api=1&amp;query="&amp;SUBSTITUTE(F76," ","")),"")</f>
        <v/>
      </c>
      <c r="K76" s="8">
        <f>IF(C76&lt;&gt;"",HYPERLINK("https://wa.me/507"&amp;REGEXREPLACE(C76,"[^0-9]","")&amp;"?text="&amp;ENCODEURL("Ya llegue. Codigo: "&amp;A76&amp;". Ubicacion: "&amp;"https://www.google.com/maps/search/?api=1&amp;query="&amp;SUBSTITUTE(F76," ","")),"📲 Avisar al cliente"),"")</f>
        <v/>
      </c>
      <c r="L76" s="8">
        <f>IF(C76&lt;&gt;"","https://api.qrserver.com/v1/create-qr-code/?size=200x200&amp;data="&amp;ENCODEURL("https://wa.me/507"&amp;REGEXREPLACE(C76,"[^0-9]","")&amp;"?text="&amp;ENCODEURL("Ya llegue. Codigo: "&amp;A76&amp;". Ubicacion: "&amp;"https://www.google.com/maps/search/?api=1&amp;query="&amp;SUBSTITUTE(F76," ",""))),"")</f>
        <v/>
      </c>
      <c r="M76" s="8">
        <f>IF(B76&lt;&gt;"",TODAY(),"")</f>
        <v/>
      </c>
      <c r="N76" s="8">
        <f>IF(F76&lt;&gt;"",IFERROR(IF(AND(REGEXMATCH(SUBSTITUTE(TRIM(F76)," ",""),"^-?\d+(\.\d+)?,-?\d+(\.\d+)?$"),VALUE(REGEXEXTRACT(SUBSTITUTE(TRIM(F76)," ",""),"^-?\d+(\.\d+)?"))&gt;=-90,VALUE(REGEXEXTRACT(SUBSTITUTE(TRIM(F76)," ",""),"^-?\d+(\.\d+)?"))&lt;=90,VALUE(REGEXEXTRACT(SUBSTITUTE(TRIM(F76)," ",""),"-?\d+(\.\d+)?$"))&gt;=-180,VALUE(REGEXEXTRACT(SUBSTITUTE(TRIM(F76)," ",""),"-?\d+(\.\d+)?$"))&lt;=180),"OK","REVISAR"),"REVISAR"),"")</f>
        <v/>
      </c>
      <c r="O76">
        <f>IF(A76&lt;&gt;"","https://direcciones507.github.io/direcciones507/panel.html?codigo="&amp;A76&amp;"&amp;nombre="&amp;ENCODEURL(B76)&amp;"&amp;telefono="&amp;SUBSTITUTE(C76,"-","")&amp;"&amp;referencia="&amp;ENCODEURL(E76)&amp;"&amp;lat="&amp;IZQUIERDA(SUBSTITUTE(F76," ",""),ENCONTRAR(",",SUBSTITUTE(F76," ",""))-1)&amp;"&amp;lng="&amp;DERECHA(SUBSTITUTE(F76," ",""),LARGO(SUBSTITUTE(F76," ",""))-ENCONTRAR(",",SUBSTITUTE(F76," ",""))),"")</f>
        <v/>
      </c>
    </row>
    <row r="77" ht="15.75" customHeight="1" s="10">
      <c r="A77" s="8">
        <f>CONCAT("AD507-",TEXT(ROW()-2,"0000"))</f>
        <v/>
      </c>
      <c r="C77" s="8" t="n"/>
      <c r="F77" s="8" t="n"/>
      <c r="G77" s="8">
        <f>IF(F77&lt;&gt;"",HYPERLINK("https://www.google.com/maps/search/?api=1&amp;query="&amp;SUBSTITUTE(F77," ",""),"🗺 Google Maps"),"")</f>
        <v/>
      </c>
      <c r="H77" s="8">
        <f>IF(F77&lt;&gt;"",HYPERLINK("https://waze.com/ul?ll="&amp;SUBSTITUTE(F77," ","")&amp;"&amp;navigate=yes","🚗 Waze"),"")</f>
        <v/>
      </c>
      <c r="I77" s="8">
        <f>IF(F77&lt;&gt;"",HYPERLINK("https://m.uber.com/ul/?action=setPickup&amp;pickup=my_location&amp;dropoff[latitude]="&amp;LEFT(SUBSTITUTE(F77," ",""),FIND(",",SUBSTITUTE(F77," ",""))-1)&amp;"&amp;dropoff[longitude]="&amp;MID(SUBSTITUTE(F77," ",""),FIND(",",SUBSTITUTE(F77," ",""))+1,99),"🚕 Uber"),"")</f>
        <v/>
      </c>
      <c r="J77" s="8">
        <f>IF(F77&lt;&gt;"","https://api.qrserver.com/v1/create-qr-code/?size=200x200&amp;data="&amp;ENCODEURL("https://www.google.com/maps/search/?api=1&amp;query="&amp;SUBSTITUTE(F77," ","")),"")</f>
        <v/>
      </c>
      <c r="K77" s="8">
        <f>IF(C77&lt;&gt;"",HYPERLINK("https://wa.me/507"&amp;REGEXREPLACE(C77,"[^0-9]","")&amp;"?text="&amp;ENCODEURL("Ya llegue. Codigo: "&amp;A77&amp;". Ubicacion: "&amp;"https://www.google.com/maps/search/?api=1&amp;query="&amp;SUBSTITUTE(F77," ","")),"📲 Avisar al cliente"),"")</f>
        <v/>
      </c>
      <c r="L77" s="8">
        <f>IF(C77&lt;&gt;"","https://api.qrserver.com/v1/create-qr-code/?size=200x200&amp;data="&amp;ENCODEURL("https://wa.me/507"&amp;REGEXREPLACE(C77,"[^0-9]","")&amp;"?text="&amp;ENCODEURL("Ya llegue. Codigo: "&amp;A77&amp;". Ubicacion: "&amp;"https://www.google.com/maps/search/?api=1&amp;query="&amp;SUBSTITUTE(F77," ",""))),"")</f>
        <v/>
      </c>
      <c r="M77" s="8">
        <f>IF(B77&lt;&gt;"",TODAY(),"")</f>
        <v/>
      </c>
      <c r="N77" s="8">
        <f>IF(F77&lt;&gt;"",IFERROR(IF(AND(REGEXMATCH(SUBSTITUTE(TRIM(F77)," ",""),"^-?\d+(\.\d+)?,-?\d+(\.\d+)?$"),VALUE(REGEXEXTRACT(SUBSTITUTE(TRIM(F77)," ",""),"^-?\d+(\.\d+)?"))&gt;=-90,VALUE(REGEXEXTRACT(SUBSTITUTE(TRIM(F77)," ",""),"^-?\d+(\.\d+)?"))&lt;=90,VALUE(REGEXEXTRACT(SUBSTITUTE(TRIM(F77)," ",""),"-?\d+(\.\d+)?$"))&gt;=-180,VALUE(REGEXEXTRACT(SUBSTITUTE(TRIM(F77)," ",""),"-?\d+(\.\d+)?$"))&lt;=180),"OK","REVISAR"),"REVISAR"),"")</f>
        <v/>
      </c>
      <c r="O77">
        <f>IF(A77&lt;&gt;"","https://direcciones507.github.io/direcciones507/panel.html?codigo="&amp;A77&amp;"&amp;nombre="&amp;ENCODEURL(B77)&amp;"&amp;telefono="&amp;SUBSTITUTE(C77,"-","")&amp;"&amp;referencia="&amp;ENCODEURL(E77)&amp;"&amp;lat="&amp;IZQUIERDA(SUBSTITUTE(F77," ",""),ENCONTRAR(",",SUBSTITUTE(F77," ",""))-1)&amp;"&amp;lng="&amp;DERECHA(SUBSTITUTE(F77," ",""),LARGO(SUBSTITUTE(F77," ",""))-ENCONTRAR(",",SUBSTITUTE(F77," ",""))),"")</f>
        <v/>
      </c>
    </row>
    <row r="78" ht="15.75" customHeight="1" s="10">
      <c r="A78" s="8">
        <f>CONCAT("AD507-",TEXT(ROW()-2,"0000"))</f>
        <v/>
      </c>
      <c r="C78" s="8" t="n"/>
      <c r="F78" s="8" t="n"/>
      <c r="G78" s="8">
        <f>IF(F78&lt;&gt;"",HYPERLINK("https://www.google.com/maps/search/?api=1&amp;query="&amp;SUBSTITUTE(F78," ",""),"🗺 Google Maps"),"")</f>
        <v/>
      </c>
      <c r="H78" s="8">
        <f>IF(F78&lt;&gt;"",HYPERLINK("https://waze.com/ul?ll="&amp;SUBSTITUTE(F78," ","")&amp;"&amp;navigate=yes","🚗 Waze"),"")</f>
        <v/>
      </c>
      <c r="I78" s="8">
        <f>IF(F78&lt;&gt;"",HYPERLINK("https://m.uber.com/ul/?action=setPickup&amp;pickup=my_location&amp;dropoff[latitude]="&amp;LEFT(SUBSTITUTE(F78," ",""),FIND(",",SUBSTITUTE(F78," ",""))-1)&amp;"&amp;dropoff[longitude]="&amp;MID(SUBSTITUTE(F78," ",""),FIND(",",SUBSTITUTE(F78," ",""))+1,99),"🚕 Uber"),"")</f>
        <v/>
      </c>
      <c r="J78" s="8">
        <f>IF(F78&lt;&gt;"","https://api.qrserver.com/v1/create-qr-code/?size=200x200&amp;data="&amp;ENCODEURL("https://www.google.com/maps/search/?api=1&amp;query="&amp;SUBSTITUTE(F78," ","")),"")</f>
        <v/>
      </c>
      <c r="K78" s="8">
        <f>IF(C78&lt;&gt;"",HYPERLINK("https://wa.me/507"&amp;REGEXREPLACE(C78,"[^0-9]","")&amp;"?text="&amp;ENCODEURL("Ya llegue. Codigo: "&amp;A78&amp;". Ubicacion: "&amp;"https://www.google.com/maps/search/?api=1&amp;query="&amp;SUBSTITUTE(F78," ","")),"📲 Avisar al cliente"),"")</f>
        <v/>
      </c>
      <c r="L78" s="8">
        <f>IF(C78&lt;&gt;"","https://api.qrserver.com/v1/create-qr-code/?size=200x200&amp;data="&amp;ENCODEURL("https://wa.me/507"&amp;REGEXREPLACE(C78,"[^0-9]","")&amp;"?text="&amp;ENCODEURL("Ya llegue. Codigo: "&amp;A78&amp;". Ubicacion: "&amp;"https://www.google.com/maps/search/?api=1&amp;query="&amp;SUBSTITUTE(F78," ",""))),"")</f>
        <v/>
      </c>
      <c r="M78" s="8">
        <f>IF(B78&lt;&gt;"",TODAY(),"")</f>
        <v/>
      </c>
      <c r="N78" s="8">
        <f>IF(F78&lt;&gt;"",IFERROR(IF(AND(REGEXMATCH(SUBSTITUTE(TRIM(F78)," ",""),"^-?\d+(\.\d+)?,-?\d+(\.\d+)?$"),VALUE(REGEXEXTRACT(SUBSTITUTE(TRIM(F78)," ",""),"^-?\d+(\.\d+)?"))&gt;=-90,VALUE(REGEXEXTRACT(SUBSTITUTE(TRIM(F78)," ",""),"^-?\d+(\.\d+)?"))&lt;=90,VALUE(REGEXEXTRACT(SUBSTITUTE(TRIM(F78)," ",""),"-?\d+(\.\d+)?$"))&gt;=-180,VALUE(REGEXEXTRACT(SUBSTITUTE(TRIM(F78)," ",""),"-?\d+(\.\d+)?$"))&lt;=180),"OK","REVISAR"),"REVISAR"),"")</f>
        <v/>
      </c>
      <c r="O78">
        <f>IF(A78&lt;&gt;"","https://direcciones507.github.io/direcciones507/panel.html?codigo="&amp;A78&amp;"&amp;nombre="&amp;ENCODEURL(B78)&amp;"&amp;telefono="&amp;SUBSTITUTE(C78,"-","")&amp;"&amp;referencia="&amp;ENCODEURL(E78)&amp;"&amp;lat="&amp;IZQUIERDA(SUBSTITUTE(F78," ",""),ENCONTRAR(",",SUBSTITUTE(F78," ",""))-1)&amp;"&amp;lng="&amp;DERECHA(SUBSTITUTE(F78," ",""),LARGO(SUBSTITUTE(F78," ",""))-ENCONTRAR(",",SUBSTITUTE(F78," ",""))),"")</f>
        <v/>
      </c>
    </row>
    <row r="79" ht="15.75" customHeight="1" s="10">
      <c r="A79" s="8">
        <f>CONCAT("AD507-",TEXT(ROW()-2,"0000"))</f>
        <v/>
      </c>
      <c r="C79" s="8" t="n"/>
      <c r="F79" s="8" t="n"/>
      <c r="G79" s="8">
        <f>IF(F79&lt;&gt;"",HYPERLINK("https://www.google.com/maps/search/?api=1&amp;query="&amp;SUBSTITUTE(F79," ",""),"🗺 Google Maps"),"")</f>
        <v/>
      </c>
      <c r="H79" s="8">
        <f>IF(F79&lt;&gt;"",HYPERLINK("https://waze.com/ul?ll="&amp;SUBSTITUTE(F79," ","")&amp;"&amp;navigate=yes","🚗 Waze"),"")</f>
        <v/>
      </c>
      <c r="I79" s="8">
        <f>IF(F79&lt;&gt;"",HYPERLINK("https://m.uber.com/ul/?action=setPickup&amp;pickup=my_location&amp;dropoff[latitude]="&amp;LEFT(SUBSTITUTE(F79," ",""),FIND(",",SUBSTITUTE(F79," ",""))-1)&amp;"&amp;dropoff[longitude]="&amp;MID(SUBSTITUTE(F79," ",""),FIND(",",SUBSTITUTE(F79," ",""))+1,99),"🚕 Uber"),"")</f>
        <v/>
      </c>
      <c r="J79" s="8">
        <f>IF(F79&lt;&gt;"","https://api.qrserver.com/v1/create-qr-code/?size=200x200&amp;data="&amp;ENCODEURL("https://www.google.com/maps/search/?api=1&amp;query="&amp;SUBSTITUTE(F79," ","")),"")</f>
        <v/>
      </c>
      <c r="K79" s="8">
        <f>IF(C79&lt;&gt;"",HYPERLINK("https://wa.me/507"&amp;REGEXREPLACE(C79,"[^0-9]","")&amp;"?text="&amp;ENCODEURL("Ya llegue. Codigo: "&amp;A79&amp;". Ubicacion: "&amp;"https://www.google.com/maps/search/?api=1&amp;query="&amp;SUBSTITUTE(F79," ","")),"📲 Avisar al cliente"),"")</f>
        <v/>
      </c>
      <c r="L79" s="8">
        <f>IF(C79&lt;&gt;"","https://api.qrserver.com/v1/create-qr-code/?size=200x200&amp;data="&amp;ENCODEURL("https://wa.me/507"&amp;REGEXREPLACE(C79,"[^0-9]","")&amp;"?text="&amp;ENCODEURL("Ya llegue. Codigo: "&amp;A79&amp;". Ubicacion: "&amp;"https://www.google.com/maps/search/?api=1&amp;query="&amp;SUBSTITUTE(F79," ",""))),"")</f>
        <v/>
      </c>
      <c r="M79" s="8">
        <f>IF(B79&lt;&gt;"",TODAY(),"")</f>
        <v/>
      </c>
      <c r="N79" s="8">
        <f>IF(F79&lt;&gt;"",IFERROR(IF(AND(REGEXMATCH(SUBSTITUTE(TRIM(F79)," ",""),"^-?\d+(\.\d+)?,-?\d+(\.\d+)?$"),VALUE(REGEXEXTRACT(SUBSTITUTE(TRIM(F79)," ",""),"^-?\d+(\.\d+)?"))&gt;=-90,VALUE(REGEXEXTRACT(SUBSTITUTE(TRIM(F79)," ",""),"^-?\d+(\.\d+)?"))&lt;=90,VALUE(REGEXEXTRACT(SUBSTITUTE(TRIM(F79)," ",""),"-?\d+(\.\d+)?$"))&gt;=-180,VALUE(REGEXEXTRACT(SUBSTITUTE(TRIM(F79)," ",""),"-?\d+(\.\d+)?$"))&lt;=180),"OK","REVISAR"),"REVISAR"),"")</f>
        <v/>
      </c>
      <c r="O79">
        <f>IF(A79&lt;&gt;"","https://direcciones507.github.io/direcciones507/panel.html?codigo="&amp;A79&amp;"&amp;nombre="&amp;ENCODEURL(B79)&amp;"&amp;telefono="&amp;SUBSTITUTE(C79,"-","")&amp;"&amp;referencia="&amp;ENCODEURL(E79)&amp;"&amp;lat="&amp;IZQUIERDA(SUBSTITUTE(F79," ",""),ENCONTRAR(",",SUBSTITUTE(F79," ",""))-1)&amp;"&amp;lng="&amp;DERECHA(SUBSTITUTE(F79," ",""),LARGO(SUBSTITUTE(F79," ",""))-ENCONTRAR(",",SUBSTITUTE(F79," ",""))),"")</f>
        <v/>
      </c>
    </row>
    <row r="80" ht="15.75" customHeight="1" s="10">
      <c r="A80" s="8">
        <f>CONCAT("AD507-",TEXT(ROW()-2,"0000"))</f>
        <v/>
      </c>
      <c r="C80" s="8" t="n"/>
      <c r="F80" s="8" t="n"/>
      <c r="G80" s="8">
        <f>IF(F80&lt;&gt;"",HYPERLINK("https://www.google.com/maps/search/?api=1&amp;query="&amp;SUBSTITUTE(F80," ",""),"🗺 Google Maps"),"")</f>
        <v/>
      </c>
      <c r="H80" s="8">
        <f>IF(F80&lt;&gt;"",HYPERLINK("https://waze.com/ul?ll="&amp;SUBSTITUTE(F80," ","")&amp;"&amp;navigate=yes","🚗 Waze"),"")</f>
        <v/>
      </c>
      <c r="I80" s="8">
        <f>IF(F80&lt;&gt;"",HYPERLINK("https://m.uber.com/ul/?action=setPickup&amp;pickup=my_location&amp;dropoff[latitude]="&amp;LEFT(SUBSTITUTE(F80," ",""),FIND(",",SUBSTITUTE(F80," ",""))-1)&amp;"&amp;dropoff[longitude]="&amp;MID(SUBSTITUTE(F80," ",""),FIND(",",SUBSTITUTE(F80," ",""))+1,99),"🚕 Uber"),"")</f>
        <v/>
      </c>
      <c r="J80" s="8">
        <f>IF(F80&lt;&gt;"","https://api.qrserver.com/v1/create-qr-code/?size=200x200&amp;data="&amp;ENCODEURL("https://www.google.com/maps/search/?api=1&amp;query="&amp;SUBSTITUTE(F80," ","")),"")</f>
        <v/>
      </c>
      <c r="K80" s="8">
        <f>IF(C80&lt;&gt;"",HYPERLINK("https://wa.me/507"&amp;REGEXREPLACE(C80,"[^0-9]","")&amp;"?text="&amp;ENCODEURL("Ya llegue. Codigo: "&amp;A80&amp;". Ubicacion: "&amp;"https://www.google.com/maps/search/?api=1&amp;query="&amp;SUBSTITUTE(F80," ","")),"📲 Avisar al cliente"),"")</f>
        <v/>
      </c>
      <c r="L80" s="8">
        <f>IF(C80&lt;&gt;"","https://api.qrserver.com/v1/create-qr-code/?size=200x200&amp;data="&amp;ENCODEURL("https://wa.me/507"&amp;REGEXREPLACE(C80,"[^0-9]","")&amp;"?text="&amp;ENCODEURL("Ya llegue. Codigo: "&amp;A80&amp;". Ubicacion: "&amp;"https://www.google.com/maps/search/?api=1&amp;query="&amp;SUBSTITUTE(F80," ",""))),"")</f>
        <v/>
      </c>
      <c r="M80" s="8">
        <f>IF(B80&lt;&gt;"",TODAY(),"")</f>
        <v/>
      </c>
      <c r="N80" s="8">
        <f>IF(F80&lt;&gt;"",IFERROR(IF(AND(REGEXMATCH(SUBSTITUTE(TRIM(F80)," ",""),"^-?\d+(\.\d+)?,-?\d+(\.\d+)?$"),VALUE(REGEXEXTRACT(SUBSTITUTE(TRIM(F80)," ",""),"^-?\d+(\.\d+)?"))&gt;=-90,VALUE(REGEXEXTRACT(SUBSTITUTE(TRIM(F80)," ",""),"^-?\d+(\.\d+)?"))&lt;=90,VALUE(REGEXEXTRACT(SUBSTITUTE(TRIM(F80)," ",""),"-?\d+(\.\d+)?$"))&gt;=-180,VALUE(REGEXEXTRACT(SUBSTITUTE(TRIM(F80)," ",""),"-?\d+(\.\d+)?$"))&lt;=180),"OK","REVISAR"),"REVISAR"),"")</f>
        <v/>
      </c>
      <c r="O80">
        <f>IF(A80&lt;&gt;"","https://direcciones507.github.io/direcciones507/panel.html?codigo="&amp;A80&amp;"&amp;nombre="&amp;ENCODEURL(B80)&amp;"&amp;telefono="&amp;SUBSTITUTE(C80,"-","")&amp;"&amp;referencia="&amp;ENCODEURL(E80)&amp;"&amp;lat="&amp;IZQUIERDA(SUBSTITUTE(F80," ",""),ENCONTRAR(",",SUBSTITUTE(F80," ",""))-1)&amp;"&amp;lng="&amp;DERECHA(SUBSTITUTE(F80," ",""),LARGO(SUBSTITUTE(F80," ",""))-ENCONTRAR(",",SUBSTITUTE(F80," ",""))),"")</f>
        <v/>
      </c>
    </row>
    <row r="81" ht="15.75" customHeight="1" s="10">
      <c r="A81" s="8">
        <f>CONCAT("AD507-",TEXT(ROW()-2,"0000"))</f>
        <v/>
      </c>
      <c r="C81" s="8" t="n"/>
      <c r="F81" s="8" t="n"/>
      <c r="G81" s="8">
        <f>IF(F81&lt;&gt;"",HYPERLINK("https://www.google.com/maps/search/?api=1&amp;query="&amp;SUBSTITUTE(F81," ",""),"🗺 Google Maps"),"")</f>
        <v/>
      </c>
      <c r="H81" s="8">
        <f>IF(F81&lt;&gt;"",HYPERLINK("https://waze.com/ul?ll="&amp;SUBSTITUTE(F81," ","")&amp;"&amp;navigate=yes","🚗 Waze"),"")</f>
        <v/>
      </c>
      <c r="I81" s="8">
        <f>IF(F81&lt;&gt;"",HYPERLINK("https://m.uber.com/ul/?action=setPickup&amp;pickup=my_location&amp;dropoff[latitude]="&amp;LEFT(SUBSTITUTE(F81," ",""),FIND(",",SUBSTITUTE(F81," ",""))-1)&amp;"&amp;dropoff[longitude]="&amp;MID(SUBSTITUTE(F81," ",""),FIND(",",SUBSTITUTE(F81," ",""))+1,99),"🚕 Uber"),"")</f>
        <v/>
      </c>
      <c r="J81" s="8">
        <f>IF(F81&lt;&gt;"","https://api.qrserver.com/v1/create-qr-code/?size=200x200&amp;data="&amp;ENCODEURL("https://www.google.com/maps/search/?api=1&amp;query="&amp;SUBSTITUTE(F81," ","")),"")</f>
        <v/>
      </c>
      <c r="K81" s="8">
        <f>IF(C81&lt;&gt;"",HYPERLINK("https://wa.me/507"&amp;REGEXREPLACE(C81,"[^0-9]","")&amp;"?text="&amp;ENCODEURL("Ya llegue. Codigo: "&amp;A81&amp;". Ubicacion: "&amp;"https://www.google.com/maps/search/?api=1&amp;query="&amp;SUBSTITUTE(F81," ","")),"📲 Avisar al cliente"),"")</f>
        <v/>
      </c>
      <c r="L81" s="8">
        <f>IF(C81&lt;&gt;"","https://api.qrserver.com/v1/create-qr-code/?size=200x200&amp;data="&amp;ENCODEURL("https://wa.me/507"&amp;REGEXREPLACE(C81,"[^0-9]","")&amp;"?text="&amp;ENCODEURL("Ya llegue. Codigo: "&amp;A81&amp;". Ubicacion: "&amp;"https://www.google.com/maps/search/?api=1&amp;query="&amp;SUBSTITUTE(F81," ",""))),"")</f>
        <v/>
      </c>
      <c r="M81" s="8">
        <f>IF(B81&lt;&gt;"",TODAY(),"")</f>
        <v/>
      </c>
      <c r="N81" s="8">
        <f>IF(F81&lt;&gt;"",IFERROR(IF(AND(REGEXMATCH(SUBSTITUTE(TRIM(F81)," ",""),"^-?\d+(\.\d+)?,-?\d+(\.\d+)?$"),VALUE(REGEXEXTRACT(SUBSTITUTE(TRIM(F81)," ",""),"^-?\d+(\.\d+)?"))&gt;=-90,VALUE(REGEXEXTRACT(SUBSTITUTE(TRIM(F81)," ",""),"^-?\d+(\.\d+)?"))&lt;=90,VALUE(REGEXEXTRACT(SUBSTITUTE(TRIM(F81)," ",""),"-?\d+(\.\d+)?$"))&gt;=-180,VALUE(REGEXEXTRACT(SUBSTITUTE(TRIM(F81)," ",""),"-?\d+(\.\d+)?$"))&lt;=180),"OK","REVISAR"),"REVISAR"),"")</f>
        <v/>
      </c>
      <c r="O81">
        <f>IF(A81&lt;&gt;"","https://direcciones507.github.io/direcciones507/panel.html?codigo="&amp;A81&amp;"&amp;nombre="&amp;ENCODEURL(B81)&amp;"&amp;telefono="&amp;SUBSTITUTE(C81,"-","")&amp;"&amp;referencia="&amp;ENCODEURL(E81)&amp;"&amp;lat="&amp;IZQUIERDA(SUBSTITUTE(F81," ",""),ENCONTRAR(",",SUBSTITUTE(F81," ",""))-1)&amp;"&amp;lng="&amp;DERECHA(SUBSTITUTE(F81," ",""),LARGO(SUBSTITUTE(F81," ",""))-ENCONTRAR(",",SUBSTITUTE(F81," ",""))),"")</f>
        <v/>
      </c>
    </row>
    <row r="82" ht="15.75" customHeight="1" s="10">
      <c r="A82" s="8">
        <f>CONCAT("AD507-",TEXT(ROW()-2,"0000"))</f>
        <v/>
      </c>
      <c r="C82" s="8" t="n"/>
      <c r="F82" s="8" t="n"/>
      <c r="G82" s="8">
        <f>IF(F82&lt;&gt;"",HYPERLINK("https://www.google.com/maps/search/?api=1&amp;query="&amp;SUBSTITUTE(F82," ",""),"🗺 Google Maps"),"")</f>
        <v/>
      </c>
      <c r="H82" s="8">
        <f>IF(F82&lt;&gt;"",HYPERLINK("https://waze.com/ul?ll="&amp;SUBSTITUTE(F82," ","")&amp;"&amp;navigate=yes","🚗 Waze"),"")</f>
        <v/>
      </c>
      <c r="I82" s="8">
        <f>IF(F82&lt;&gt;"",HYPERLINK("https://m.uber.com/ul/?action=setPickup&amp;pickup=my_location&amp;dropoff[latitude]="&amp;LEFT(SUBSTITUTE(F82," ",""),FIND(",",SUBSTITUTE(F82," ",""))-1)&amp;"&amp;dropoff[longitude]="&amp;MID(SUBSTITUTE(F82," ",""),FIND(",",SUBSTITUTE(F82," ",""))+1,99),"🚕 Uber"),"")</f>
        <v/>
      </c>
      <c r="J82" s="8">
        <f>IF(F82&lt;&gt;"","https://api.qrserver.com/v1/create-qr-code/?size=200x200&amp;data="&amp;ENCODEURL("https://www.google.com/maps/search/?api=1&amp;query="&amp;SUBSTITUTE(F82," ","")),"")</f>
        <v/>
      </c>
      <c r="K82" s="8">
        <f>IF(C82&lt;&gt;"",HYPERLINK("https://wa.me/507"&amp;REGEXREPLACE(C82,"[^0-9]","")&amp;"?text="&amp;ENCODEURL("Ya llegue. Codigo: "&amp;A82&amp;". Ubicacion: "&amp;"https://www.google.com/maps/search/?api=1&amp;query="&amp;SUBSTITUTE(F82," ","")),"📲 Avisar al cliente"),"")</f>
        <v/>
      </c>
      <c r="L82" s="8">
        <f>IF(C82&lt;&gt;"","https://api.qrserver.com/v1/create-qr-code/?size=200x200&amp;data="&amp;ENCODEURL("https://wa.me/507"&amp;REGEXREPLACE(C82,"[^0-9]","")&amp;"?text="&amp;ENCODEURL("Ya llegue. Codigo: "&amp;A82&amp;". Ubicacion: "&amp;"https://www.google.com/maps/search/?api=1&amp;query="&amp;SUBSTITUTE(F82," ",""))),"")</f>
        <v/>
      </c>
      <c r="M82" s="8">
        <f>IF(B82&lt;&gt;"",TODAY(),"")</f>
        <v/>
      </c>
      <c r="N82" s="8">
        <f>IF(F82&lt;&gt;"",IFERROR(IF(AND(REGEXMATCH(SUBSTITUTE(TRIM(F82)," ",""),"^-?\d+(\.\d+)?,-?\d+(\.\d+)?$"),VALUE(REGEXEXTRACT(SUBSTITUTE(TRIM(F82)," ",""),"^-?\d+(\.\d+)?"))&gt;=-90,VALUE(REGEXEXTRACT(SUBSTITUTE(TRIM(F82)," ",""),"^-?\d+(\.\d+)?"))&lt;=90,VALUE(REGEXEXTRACT(SUBSTITUTE(TRIM(F82)," ",""),"-?\d+(\.\d+)?$"))&gt;=-180,VALUE(REGEXEXTRACT(SUBSTITUTE(TRIM(F82)," ",""),"-?\d+(\.\d+)?$"))&lt;=180),"OK","REVISAR"),"REVISAR"),"")</f>
        <v/>
      </c>
      <c r="O82">
        <f>IF(A82&lt;&gt;"","https://direcciones507.github.io/direcciones507/panel.html?codigo="&amp;A82&amp;"&amp;nombre="&amp;ENCODEURL(B82)&amp;"&amp;telefono="&amp;SUBSTITUTE(C82,"-","")&amp;"&amp;referencia="&amp;ENCODEURL(E82)&amp;"&amp;lat="&amp;IZQUIERDA(SUBSTITUTE(F82," ",""),ENCONTRAR(",",SUBSTITUTE(F82," ",""))-1)&amp;"&amp;lng="&amp;DERECHA(SUBSTITUTE(F82," ",""),LARGO(SUBSTITUTE(F82," ",""))-ENCONTRAR(",",SUBSTITUTE(F82," ",""))),"")</f>
        <v/>
      </c>
    </row>
    <row r="83" ht="15.75" customHeight="1" s="10">
      <c r="A83" s="8">
        <f>CONCAT("AD507-",TEXT(ROW()-2,"0000"))</f>
        <v/>
      </c>
      <c r="C83" s="8" t="n"/>
      <c r="F83" s="8" t="n"/>
      <c r="G83" s="8">
        <f>IF(F83&lt;&gt;"",HYPERLINK("https://www.google.com/maps/search/?api=1&amp;query="&amp;SUBSTITUTE(F83," ",""),"🗺 Google Maps"),"")</f>
        <v/>
      </c>
      <c r="H83" s="8">
        <f>IF(F83&lt;&gt;"",HYPERLINK("https://waze.com/ul?ll="&amp;SUBSTITUTE(F83," ","")&amp;"&amp;navigate=yes","🚗 Waze"),"")</f>
        <v/>
      </c>
      <c r="I83" s="8">
        <f>IF(F83&lt;&gt;"",HYPERLINK("https://m.uber.com/ul/?action=setPickup&amp;pickup=my_location&amp;dropoff[latitude]="&amp;LEFT(SUBSTITUTE(F83," ",""),FIND(",",SUBSTITUTE(F83," ",""))-1)&amp;"&amp;dropoff[longitude]="&amp;MID(SUBSTITUTE(F83," ",""),FIND(",",SUBSTITUTE(F83," ",""))+1,99),"🚕 Uber"),"")</f>
        <v/>
      </c>
      <c r="J83" s="8">
        <f>IF(F83&lt;&gt;"","https://api.qrserver.com/v1/create-qr-code/?size=200x200&amp;data="&amp;ENCODEURL("https://www.google.com/maps/search/?api=1&amp;query="&amp;SUBSTITUTE(F83," ","")),"")</f>
        <v/>
      </c>
      <c r="K83" s="8">
        <f>IF(C83&lt;&gt;"",HYPERLINK("https://wa.me/507"&amp;REGEXREPLACE(C83,"[^0-9]","")&amp;"?text="&amp;ENCODEURL("Ya llegue. Codigo: "&amp;A83&amp;". Ubicacion: "&amp;"https://www.google.com/maps/search/?api=1&amp;query="&amp;SUBSTITUTE(F83," ","")),"📲 Avisar al cliente"),"")</f>
        <v/>
      </c>
      <c r="L83" s="8">
        <f>IF(C83&lt;&gt;"","https://api.qrserver.com/v1/create-qr-code/?size=200x200&amp;data="&amp;ENCODEURL("https://wa.me/507"&amp;REGEXREPLACE(C83,"[^0-9]","")&amp;"?text="&amp;ENCODEURL("Ya llegue. Codigo: "&amp;A83&amp;". Ubicacion: "&amp;"https://www.google.com/maps/search/?api=1&amp;query="&amp;SUBSTITUTE(F83," ",""))),"")</f>
        <v/>
      </c>
      <c r="M83" s="8">
        <f>IF(B83&lt;&gt;"",TODAY(),"")</f>
        <v/>
      </c>
      <c r="N83" s="8">
        <f>IF(F83&lt;&gt;"",IFERROR(IF(AND(REGEXMATCH(SUBSTITUTE(TRIM(F83)," ",""),"^-?\d+(\.\d+)?,-?\d+(\.\d+)?$"),VALUE(REGEXEXTRACT(SUBSTITUTE(TRIM(F83)," ",""),"^-?\d+(\.\d+)?"))&gt;=-90,VALUE(REGEXEXTRACT(SUBSTITUTE(TRIM(F83)," ",""),"^-?\d+(\.\d+)?"))&lt;=90,VALUE(REGEXEXTRACT(SUBSTITUTE(TRIM(F83)," ",""),"-?\d+(\.\d+)?$"))&gt;=-180,VALUE(REGEXEXTRACT(SUBSTITUTE(TRIM(F83)," ",""),"-?\d+(\.\d+)?$"))&lt;=180),"OK","REVISAR"),"REVISAR"),"")</f>
        <v/>
      </c>
      <c r="O83">
        <f>IF(A83&lt;&gt;"","https://direcciones507.github.io/direcciones507/panel.html?codigo="&amp;A83&amp;"&amp;nombre="&amp;ENCODEURL(B83)&amp;"&amp;telefono="&amp;SUBSTITUTE(C83,"-","")&amp;"&amp;referencia="&amp;ENCODEURL(E83)&amp;"&amp;lat="&amp;IZQUIERDA(SUBSTITUTE(F83," ",""),ENCONTRAR(",",SUBSTITUTE(F83," ",""))-1)&amp;"&amp;lng="&amp;DERECHA(SUBSTITUTE(F83," ",""),LARGO(SUBSTITUTE(F83," ",""))-ENCONTRAR(",",SUBSTITUTE(F83," ",""))),"")</f>
        <v/>
      </c>
    </row>
    <row r="84" ht="15.75" customHeight="1" s="10">
      <c r="A84" s="8">
        <f>CONCAT("AD507-",TEXT(ROW()-2,"0000"))</f>
        <v/>
      </c>
      <c r="C84" s="8" t="n"/>
      <c r="F84" s="8" t="n"/>
      <c r="G84" s="8">
        <f>IF(F84&lt;&gt;"",HYPERLINK("https://www.google.com/maps/search/?api=1&amp;query="&amp;SUBSTITUTE(F84," ",""),"🗺 Google Maps"),"")</f>
        <v/>
      </c>
      <c r="H84" s="8">
        <f>IF(F84&lt;&gt;"",HYPERLINK("https://waze.com/ul?ll="&amp;SUBSTITUTE(F84," ","")&amp;"&amp;navigate=yes","🚗 Waze"),"")</f>
        <v/>
      </c>
      <c r="I84" s="8">
        <f>IF(F84&lt;&gt;"",HYPERLINK("https://m.uber.com/ul/?action=setPickup&amp;pickup=my_location&amp;dropoff[latitude]="&amp;LEFT(SUBSTITUTE(F84," ",""),FIND(",",SUBSTITUTE(F84," ",""))-1)&amp;"&amp;dropoff[longitude]="&amp;MID(SUBSTITUTE(F84," ",""),FIND(",",SUBSTITUTE(F84," ",""))+1,99),"🚕 Uber"),"")</f>
        <v/>
      </c>
      <c r="J84" s="8">
        <f>IF(F84&lt;&gt;"","https://api.qrserver.com/v1/create-qr-code/?size=200x200&amp;data="&amp;ENCODEURL("https://www.google.com/maps/search/?api=1&amp;query="&amp;SUBSTITUTE(F84," ","")),"")</f>
        <v/>
      </c>
      <c r="K84" s="8">
        <f>IF(C84&lt;&gt;"",HYPERLINK("https://wa.me/507"&amp;REGEXREPLACE(C84,"[^0-9]","")&amp;"?text="&amp;ENCODEURL("Ya llegue. Codigo: "&amp;A84&amp;". Ubicacion: "&amp;"https://www.google.com/maps/search/?api=1&amp;query="&amp;SUBSTITUTE(F84," ","")),"📲 Avisar al cliente"),"")</f>
        <v/>
      </c>
      <c r="L84" s="8">
        <f>IF(C84&lt;&gt;"","https://api.qrserver.com/v1/create-qr-code/?size=200x200&amp;data="&amp;ENCODEURL("https://wa.me/507"&amp;REGEXREPLACE(C84,"[^0-9]","")&amp;"?text="&amp;ENCODEURL("Ya llegue. Codigo: "&amp;A84&amp;". Ubicacion: "&amp;"https://www.google.com/maps/search/?api=1&amp;query="&amp;SUBSTITUTE(F84," ",""))),"")</f>
        <v/>
      </c>
      <c r="M84" s="8">
        <f>IF(B84&lt;&gt;"",TODAY(),"")</f>
        <v/>
      </c>
      <c r="N84" s="8">
        <f>IF(F84&lt;&gt;"",IFERROR(IF(AND(REGEXMATCH(SUBSTITUTE(TRIM(F84)," ",""),"^-?\d+(\.\d+)?,-?\d+(\.\d+)?$"),VALUE(REGEXEXTRACT(SUBSTITUTE(TRIM(F84)," ",""),"^-?\d+(\.\d+)?"))&gt;=-90,VALUE(REGEXEXTRACT(SUBSTITUTE(TRIM(F84)," ",""),"^-?\d+(\.\d+)?"))&lt;=90,VALUE(REGEXEXTRACT(SUBSTITUTE(TRIM(F84)," ",""),"-?\d+(\.\d+)?$"))&gt;=-180,VALUE(REGEXEXTRACT(SUBSTITUTE(TRIM(F84)," ",""),"-?\d+(\.\d+)?$"))&lt;=180),"OK","REVISAR"),"REVISAR"),"")</f>
        <v/>
      </c>
      <c r="O84">
        <f>IF(A84&lt;&gt;"","https://direcciones507.github.io/direcciones507/panel.html?codigo="&amp;A84&amp;"&amp;nombre="&amp;ENCODEURL(B84)&amp;"&amp;telefono="&amp;SUBSTITUTE(C84,"-","")&amp;"&amp;referencia="&amp;ENCODEURL(E84)&amp;"&amp;lat="&amp;IZQUIERDA(SUBSTITUTE(F84," ",""),ENCONTRAR(",",SUBSTITUTE(F84," ",""))-1)&amp;"&amp;lng="&amp;DERECHA(SUBSTITUTE(F84," ",""),LARGO(SUBSTITUTE(F84," ",""))-ENCONTRAR(",",SUBSTITUTE(F84," ",""))),"")</f>
        <v/>
      </c>
    </row>
    <row r="85" ht="15.75" customHeight="1" s="10">
      <c r="A85" s="8">
        <f>CONCAT("AD507-",TEXT(ROW()-2,"0000"))</f>
        <v/>
      </c>
      <c r="C85" s="8" t="n"/>
      <c r="F85" s="8" t="n"/>
      <c r="G85" s="8">
        <f>IF(F85&lt;&gt;"",HYPERLINK("https://www.google.com/maps/search/?api=1&amp;query="&amp;SUBSTITUTE(F85," ",""),"🗺 Google Maps"),"")</f>
        <v/>
      </c>
      <c r="H85" s="8">
        <f>IF(F85&lt;&gt;"",HYPERLINK("https://waze.com/ul?ll="&amp;SUBSTITUTE(F85," ","")&amp;"&amp;navigate=yes","🚗 Waze"),"")</f>
        <v/>
      </c>
      <c r="I85" s="8">
        <f>IF(F85&lt;&gt;"",HYPERLINK("https://m.uber.com/ul/?action=setPickup&amp;pickup=my_location&amp;dropoff[latitude]="&amp;LEFT(SUBSTITUTE(F85," ",""),FIND(",",SUBSTITUTE(F85," ",""))-1)&amp;"&amp;dropoff[longitude]="&amp;MID(SUBSTITUTE(F85," ",""),FIND(",",SUBSTITUTE(F85," ",""))+1,99),"🚕 Uber"),"")</f>
        <v/>
      </c>
      <c r="J85" s="8">
        <f>IF(F85&lt;&gt;"","https://api.qrserver.com/v1/create-qr-code/?size=200x200&amp;data="&amp;ENCODEURL("https://www.google.com/maps/search/?api=1&amp;query="&amp;SUBSTITUTE(F85," ","")),"")</f>
        <v/>
      </c>
      <c r="K85" s="8">
        <f>IF(C85&lt;&gt;"",HYPERLINK("https://wa.me/507"&amp;REGEXREPLACE(C85,"[^0-9]","")&amp;"?text="&amp;ENCODEURL("Ya llegue. Codigo: "&amp;A85&amp;". Ubicacion: "&amp;"https://www.google.com/maps/search/?api=1&amp;query="&amp;SUBSTITUTE(F85," ","")),"📲 Avisar al cliente"),"")</f>
        <v/>
      </c>
      <c r="L85" s="8">
        <f>IF(C85&lt;&gt;"","https://api.qrserver.com/v1/create-qr-code/?size=200x200&amp;data="&amp;ENCODEURL("https://wa.me/507"&amp;REGEXREPLACE(C85,"[^0-9]","")&amp;"?text="&amp;ENCODEURL("Ya llegue. Codigo: "&amp;A85&amp;". Ubicacion: "&amp;"https://www.google.com/maps/search/?api=1&amp;query="&amp;SUBSTITUTE(F85," ",""))),"")</f>
        <v/>
      </c>
      <c r="M85" s="8">
        <f>IF(B85&lt;&gt;"",TODAY(),"")</f>
        <v/>
      </c>
      <c r="N85" s="8">
        <f>IF(F85&lt;&gt;"",IFERROR(IF(AND(REGEXMATCH(SUBSTITUTE(TRIM(F85)," ",""),"^-?\d+(\.\d+)?,-?\d+(\.\d+)?$"),VALUE(REGEXEXTRACT(SUBSTITUTE(TRIM(F85)," ",""),"^-?\d+(\.\d+)?"))&gt;=-90,VALUE(REGEXEXTRACT(SUBSTITUTE(TRIM(F85)," ",""),"^-?\d+(\.\d+)?"))&lt;=90,VALUE(REGEXEXTRACT(SUBSTITUTE(TRIM(F85)," ",""),"-?\d+(\.\d+)?$"))&gt;=-180,VALUE(REGEXEXTRACT(SUBSTITUTE(TRIM(F85)," ",""),"-?\d+(\.\d+)?$"))&lt;=180),"OK","REVISAR"),"REVISAR"),"")</f>
        <v/>
      </c>
      <c r="O85">
        <f>IF(A85&lt;&gt;"","https://direcciones507.github.io/direcciones507/panel.html?codigo="&amp;A85&amp;"&amp;nombre="&amp;ENCODEURL(B85)&amp;"&amp;telefono="&amp;SUBSTITUTE(C85,"-","")&amp;"&amp;referencia="&amp;ENCODEURL(E85)&amp;"&amp;lat="&amp;IZQUIERDA(SUBSTITUTE(F85," ",""),ENCONTRAR(",",SUBSTITUTE(F85," ",""))-1)&amp;"&amp;lng="&amp;DERECHA(SUBSTITUTE(F85," ",""),LARGO(SUBSTITUTE(F85," ",""))-ENCONTRAR(",",SUBSTITUTE(F85," ",""))),"")</f>
        <v/>
      </c>
    </row>
    <row r="86" ht="15.75" customHeight="1" s="10">
      <c r="A86" s="8">
        <f>CONCAT("AD507-",TEXT(ROW()-2,"0000"))</f>
        <v/>
      </c>
      <c r="C86" s="8" t="n"/>
      <c r="F86" s="8" t="n"/>
      <c r="G86" s="8">
        <f>IF(F86&lt;&gt;"",HYPERLINK("https://www.google.com/maps/search/?api=1&amp;query="&amp;SUBSTITUTE(F86," ",""),"🗺 Google Maps"),"")</f>
        <v/>
      </c>
      <c r="H86" s="8">
        <f>IF(F86&lt;&gt;"",HYPERLINK("https://waze.com/ul?ll="&amp;SUBSTITUTE(F86," ","")&amp;"&amp;navigate=yes","🚗 Waze"),"")</f>
        <v/>
      </c>
      <c r="I86" s="8">
        <f>IF(F86&lt;&gt;"",HYPERLINK("https://m.uber.com/ul/?action=setPickup&amp;pickup=my_location&amp;dropoff[latitude]="&amp;LEFT(SUBSTITUTE(F86," ",""),FIND(",",SUBSTITUTE(F86," ",""))-1)&amp;"&amp;dropoff[longitude]="&amp;MID(SUBSTITUTE(F86," ",""),FIND(",",SUBSTITUTE(F86," ",""))+1,99),"🚕 Uber"),"")</f>
        <v/>
      </c>
      <c r="J86" s="8">
        <f>IF(F86&lt;&gt;"","https://api.qrserver.com/v1/create-qr-code/?size=200x200&amp;data="&amp;ENCODEURL("https://www.google.com/maps/search/?api=1&amp;query="&amp;SUBSTITUTE(F86," ","")),"")</f>
        <v/>
      </c>
      <c r="K86" s="8">
        <f>IF(C86&lt;&gt;"",HYPERLINK("https://wa.me/507"&amp;REGEXREPLACE(C86,"[^0-9]","")&amp;"?text="&amp;ENCODEURL("Ya llegue. Codigo: "&amp;A86&amp;". Ubicacion: "&amp;"https://www.google.com/maps/search/?api=1&amp;query="&amp;SUBSTITUTE(F86," ","")),"📲 Avisar al cliente"),"")</f>
        <v/>
      </c>
      <c r="L86" s="8">
        <f>IF(C86&lt;&gt;"","https://api.qrserver.com/v1/create-qr-code/?size=200x200&amp;data="&amp;ENCODEURL("https://wa.me/507"&amp;REGEXREPLACE(C86,"[^0-9]","")&amp;"?text="&amp;ENCODEURL("Ya llegue. Codigo: "&amp;A86&amp;". Ubicacion: "&amp;"https://www.google.com/maps/search/?api=1&amp;query="&amp;SUBSTITUTE(F86," ",""))),"")</f>
        <v/>
      </c>
      <c r="M86" s="8">
        <f>IF(B86&lt;&gt;"",TODAY(),"")</f>
        <v/>
      </c>
      <c r="N86" s="8">
        <f>IF(F86&lt;&gt;"",IFERROR(IF(AND(REGEXMATCH(SUBSTITUTE(TRIM(F86)," ",""),"^-?\d+(\.\d+)?,-?\d+(\.\d+)?$"),VALUE(REGEXEXTRACT(SUBSTITUTE(TRIM(F86)," ",""),"^-?\d+(\.\d+)?"))&gt;=-90,VALUE(REGEXEXTRACT(SUBSTITUTE(TRIM(F86)," ",""),"^-?\d+(\.\d+)?"))&lt;=90,VALUE(REGEXEXTRACT(SUBSTITUTE(TRIM(F86)," ",""),"-?\d+(\.\d+)?$"))&gt;=-180,VALUE(REGEXEXTRACT(SUBSTITUTE(TRIM(F86)," ",""),"-?\d+(\.\d+)?$"))&lt;=180),"OK","REVISAR"),"REVISAR"),"")</f>
        <v/>
      </c>
      <c r="O86">
        <f>IF(A86&lt;&gt;"","https://direcciones507.github.io/direcciones507/panel.html?codigo="&amp;A86&amp;"&amp;nombre="&amp;ENCODEURL(B86)&amp;"&amp;telefono="&amp;SUBSTITUTE(C86,"-","")&amp;"&amp;referencia="&amp;ENCODEURL(E86)&amp;"&amp;lat="&amp;IZQUIERDA(SUBSTITUTE(F86," ",""),ENCONTRAR(",",SUBSTITUTE(F86," ",""))-1)&amp;"&amp;lng="&amp;DERECHA(SUBSTITUTE(F86," ",""),LARGO(SUBSTITUTE(F86," ",""))-ENCONTRAR(",",SUBSTITUTE(F86," ",""))),"")</f>
        <v/>
      </c>
    </row>
    <row r="87" ht="15.75" customHeight="1" s="10">
      <c r="A87" s="8">
        <f>CONCAT("AD507-",TEXT(ROW()-2,"0000"))</f>
        <v/>
      </c>
      <c r="C87" s="8" t="n"/>
      <c r="F87" s="8" t="n"/>
      <c r="G87" s="8">
        <f>IF(F87&lt;&gt;"",HYPERLINK("https://www.google.com/maps/search/?api=1&amp;query="&amp;SUBSTITUTE(F87," ",""),"🗺 Google Maps"),"")</f>
        <v/>
      </c>
      <c r="H87" s="8">
        <f>IF(F87&lt;&gt;"",HYPERLINK("https://waze.com/ul?ll="&amp;SUBSTITUTE(F87," ","")&amp;"&amp;navigate=yes","🚗 Waze"),"")</f>
        <v/>
      </c>
      <c r="I87" s="8">
        <f>IF(F87&lt;&gt;"",HYPERLINK("https://m.uber.com/ul/?action=setPickup&amp;pickup=my_location&amp;dropoff[latitude]="&amp;LEFT(SUBSTITUTE(F87," ",""),FIND(",",SUBSTITUTE(F87," ",""))-1)&amp;"&amp;dropoff[longitude]="&amp;MID(SUBSTITUTE(F87," ",""),FIND(",",SUBSTITUTE(F87," ",""))+1,99),"🚕 Uber"),"")</f>
        <v/>
      </c>
      <c r="J87" s="8">
        <f>IF(F87&lt;&gt;"","https://api.qrserver.com/v1/create-qr-code/?size=200x200&amp;data="&amp;ENCODEURL("https://www.google.com/maps/search/?api=1&amp;query="&amp;SUBSTITUTE(F87," ","")),"")</f>
        <v/>
      </c>
      <c r="K87" s="8">
        <f>IF(C87&lt;&gt;"",HYPERLINK("https://wa.me/507"&amp;REGEXREPLACE(C87,"[^0-9]","")&amp;"?text="&amp;ENCODEURL("Ya llegue. Codigo: "&amp;A87&amp;". Ubicacion: "&amp;"https://www.google.com/maps/search/?api=1&amp;query="&amp;SUBSTITUTE(F87," ","")),"📲 Avisar al cliente"),"")</f>
        <v/>
      </c>
      <c r="L87" s="8">
        <f>IF(C87&lt;&gt;"","https://api.qrserver.com/v1/create-qr-code/?size=200x200&amp;data="&amp;ENCODEURL("https://wa.me/507"&amp;REGEXREPLACE(C87,"[^0-9]","")&amp;"?text="&amp;ENCODEURL("Ya llegue. Codigo: "&amp;A87&amp;". Ubicacion: "&amp;"https://www.google.com/maps/search/?api=1&amp;query="&amp;SUBSTITUTE(F87," ",""))),"")</f>
        <v/>
      </c>
      <c r="M87" s="8">
        <f>IF(B87&lt;&gt;"",TODAY(),"")</f>
        <v/>
      </c>
      <c r="N87" s="8">
        <f>IF(F87&lt;&gt;"",IFERROR(IF(AND(REGEXMATCH(SUBSTITUTE(TRIM(F87)," ",""),"^-?\d+(\.\d+)?,-?\d+(\.\d+)?$"),VALUE(REGEXEXTRACT(SUBSTITUTE(TRIM(F87)," ",""),"^-?\d+(\.\d+)?"))&gt;=-90,VALUE(REGEXEXTRACT(SUBSTITUTE(TRIM(F87)," ",""),"^-?\d+(\.\d+)?"))&lt;=90,VALUE(REGEXEXTRACT(SUBSTITUTE(TRIM(F87)," ",""),"-?\d+(\.\d+)?$"))&gt;=-180,VALUE(REGEXEXTRACT(SUBSTITUTE(TRIM(F87)," ",""),"-?\d+(\.\d+)?$"))&lt;=180),"OK","REVISAR"),"REVISAR"),"")</f>
        <v/>
      </c>
      <c r="O87">
        <f>IF(A87&lt;&gt;"","https://direcciones507.github.io/direcciones507/panel.html?codigo="&amp;A87&amp;"&amp;nombre="&amp;ENCODEURL(B87)&amp;"&amp;telefono="&amp;SUBSTITUTE(C87,"-","")&amp;"&amp;referencia="&amp;ENCODEURL(E87)&amp;"&amp;lat="&amp;IZQUIERDA(SUBSTITUTE(F87," ",""),ENCONTRAR(",",SUBSTITUTE(F87," ",""))-1)&amp;"&amp;lng="&amp;DERECHA(SUBSTITUTE(F87," ",""),LARGO(SUBSTITUTE(F87," ",""))-ENCONTRAR(",",SUBSTITUTE(F87," ",""))),"")</f>
        <v/>
      </c>
    </row>
    <row r="88" ht="15.75" customHeight="1" s="10">
      <c r="A88" s="8">
        <f>CONCAT("AD507-",TEXT(ROW()-2,"0000"))</f>
        <v/>
      </c>
      <c r="C88" s="8" t="n"/>
      <c r="F88" s="8" t="n"/>
      <c r="G88" s="8">
        <f>IF(F88&lt;&gt;"",HYPERLINK("https://www.google.com/maps/search/?api=1&amp;query="&amp;SUBSTITUTE(F88," ",""),"🗺 Google Maps"),"")</f>
        <v/>
      </c>
      <c r="H88" s="8">
        <f>IF(F88&lt;&gt;"",HYPERLINK("https://waze.com/ul?ll="&amp;SUBSTITUTE(F88," ","")&amp;"&amp;navigate=yes","🚗 Waze"),"")</f>
        <v/>
      </c>
      <c r="I88" s="8">
        <f>IF(F88&lt;&gt;"",HYPERLINK("https://m.uber.com/ul/?action=setPickup&amp;pickup=my_location&amp;dropoff[latitude]="&amp;LEFT(SUBSTITUTE(F88," ",""),FIND(",",SUBSTITUTE(F88," ",""))-1)&amp;"&amp;dropoff[longitude]="&amp;MID(SUBSTITUTE(F88," ",""),FIND(",",SUBSTITUTE(F88," ",""))+1,99),"🚕 Uber"),"")</f>
        <v/>
      </c>
      <c r="J88" s="8">
        <f>IF(F88&lt;&gt;"","https://api.qrserver.com/v1/create-qr-code/?size=200x200&amp;data="&amp;ENCODEURL("https://www.google.com/maps/search/?api=1&amp;query="&amp;SUBSTITUTE(F88," ","")),"")</f>
        <v/>
      </c>
      <c r="K88" s="8">
        <f>IF(C88&lt;&gt;"",HYPERLINK("https://wa.me/507"&amp;REGEXREPLACE(C88,"[^0-9]","")&amp;"?text="&amp;ENCODEURL("Ya llegue. Codigo: "&amp;A88&amp;". Ubicacion: "&amp;"https://www.google.com/maps/search/?api=1&amp;query="&amp;SUBSTITUTE(F88," ","")),"📲 Avisar al cliente"),"")</f>
        <v/>
      </c>
      <c r="L88" s="8">
        <f>IF(C88&lt;&gt;"","https://api.qrserver.com/v1/create-qr-code/?size=200x200&amp;data="&amp;ENCODEURL("https://wa.me/507"&amp;REGEXREPLACE(C88,"[^0-9]","")&amp;"?text="&amp;ENCODEURL("Ya llegue. Codigo: "&amp;A88&amp;". Ubicacion: "&amp;"https://www.google.com/maps/search/?api=1&amp;query="&amp;SUBSTITUTE(F88," ",""))),"")</f>
        <v/>
      </c>
      <c r="M88" s="8">
        <f>IF(B88&lt;&gt;"",TODAY(),"")</f>
        <v/>
      </c>
      <c r="N88" s="8">
        <f>IF(F88&lt;&gt;"",IFERROR(IF(AND(REGEXMATCH(SUBSTITUTE(TRIM(F88)," ",""),"^-?\d+(\.\d+)?,-?\d+(\.\d+)?$"),VALUE(REGEXEXTRACT(SUBSTITUTE(TRIM(F88)," ",""),"^-?\d+(\.\d+)?"))&gt;=-90,VALUE(REGEXEXTRACT(SUBSTITUTE(TRIM(F88)," ",""),"^-?\d+(\.\d+)?"))&lt;=90,VALUE(REGEXEXTRACT(SUBSTITUTE(TRIM(F88)," ",""),"-?\d+(\.\d+)?$"))&gt;=-180,VALUE(REGEXEXTRACT(SUBSTITUTE(TRIM(F88)," ",""),"-?\d+(\.\d+)?$"))&lt;=180),"OK","REVISAR"),"REVISAR"),"")</f>
        <v/>
      </c>
      <c r="O88">
        <f>IF(A88&lt;&gt;"","https://direcciones507.github.io/direcciones507/panel.html?codigo="&amp;A88&amp;"&amp;nombre="&amp;ENCODEURL(B88)&amp;"&amp;telefono="&amp;SUBSTITUTE(C88,"-","")&amp;"&amp;referencia="&amp;ENCODEURL(E88)&amp;"&amp;lat="&amp;IZQUIERDA(SUBSTITUTE(F88," ",""),ENCONTRAR(",",SUBSTITUTE(F88," ",""))-1)&amp;"&amp;lng="&amp;DERECHA(SUBSTITUTE(F88," ",""),LARGO(SUBSTITUTE(F88," ",""))-ENCONTRAR(",",SUBSTITUTE(F88," ",""))),"")</f>
        <v/>
      </c>
    </row>
    <row r="89" ht="15.75" customHeight="1" s="10">
      <c r="A89" s="8">
        <f>CONCAT("AD507-",TEXT(ROW()-2,"0000"))</f>
        <v/>
      </c>
      <c r="C89" s="8" t="n"/>
      <c r="F89" s="8" t="n"/>
      <c r="G89" s="8">
        <f>IF(F89&lt;&gt;"",HYPERLINK("https://www.google.com/maps/search/?api=1&amp;query="&amp;SUBSTITUTE(F89," ",""),"🗺 Google Maps"),"")</f>
        <v/>
      </c>
      <c r="H89" s="8">
        <f>IF(F89&lt;&gt;"",HYPERLINK("https://waze.com/ul?ll="&amp;SUBSTITUTE(F89," ","")&amp;"&amp;navigate=yes","🚗 Waze"),"")</f>
        <v/>
      </c>
      <c r="I89" s="8">
        <f>IF(F89&lt;&gt;"",HYPERLINK("https://m.uber.com/ul/?action=setPickup&amp;pickup=my_location&amp;dropoff[latitude]="&amp;LEFT(SUBSTITUTE(F89," ",""),FIND(",",SUBSTITUTE(F89," ",""))-1)&amp;"&amp;dropoff[longitude]="&amp;MID(SUBSTITUTE(F89," ",""),FIND(",",SUBSTITUTE(F89," ",""))+1,99),"🚕 Uber"),"")</f>
        <v/>
      </c>
      <c r="J89" s="8">
        <f>IF(F89&lt;&gt;"","https://api.qrserver.com/v1/create-qr-code/?size=200x200&amp;data="&amp;ENCODEURL("https://www.google.com/maps/search/?api=1&amp;query="&amp;SUBSTITUTE(F89," ","")),"")</f>
        <v/>
      </c>
      <c r="K89" s="8">
        <f>IF(C89&lt;&gt;"",HYPERLINK("https://wa.me/507"&amp;REGEXREPLACE(C89,"[^0-9]","")&amp;"?text="&amp;ENCODEURL("Ya llegue. Codigo: "&amp;A89&amp;". Ubicacion: "&amp;"https://www.google.com/maps/search/?api=1&amp;query="&amp;SUBSTITUTE(F89," ","")),"📲 Avisar al cliente"),"")</f>
        <v/>
      </c>
      <c r="L89" s="8">
        <f>IF(C89&lt;&gt;"","https://api.qrserver.com/v1/create-qr-code/?size=200x200&amp;data="&amp;ENCODEURL("https://wa.me/507"&amp;REGEXREPLACE(C89,"[^0-9]","")&amp;"?text="&amp;ENCODEURL("Ya llegue. Codigo: "&amp;A89&amp;". Ubicacion: "&amp;"https://www.google.com/maps/search/?api=1&amp;query="&amp;SUBSTITUTE(F89," ",""))),"")</f>
        <v/>
      </c>
      <c r="M89" s="8">
        <f>IF(B89&lt;&gt;"",TODAY(),"")</f>
        <v/>
      </c>
      <c r="N89" s="8">
        <f>IF(F89&lt;&gt;"",IFERROR(IF(AND(REGEXMATCH(SUBSTITUTE(TRIM(F89)," ",""),"^-?\d+(\.\d+)?,-?\d+(\.\d+)?$"),VALUE(REGEXEXTRACT(SUBSTITUTE(TRIM(F89)," ",""),"^-?\d+(\.\d+)?"))&gt;=-90,VALUE(REGEXEXTRACT(SUBSTITUTE(TRIM(F89)," ",""),"^-?\d+(\.\d+)?"))&lt;=90,VALUE(REGEXEXTRACT(SUBSTITUTE(TRIM(F89)," ",""),"-?\d+(\.\d+)?$"))&gt;=-180,VALUE(REGEXEXTRACT(SUBSTITUTE(TRIM(F89)," ",""),"-?\d+(\.\d+)?$"))&lt;=180),"OK","REVISAR"),"REVISAR"),"")</f>
        <v/>
      </c>
      <c r="O89">
        <f>IF(A89&lt;&gt;"","https://direcciones507.github.io/direcciones507/panel.html?codigo="&amp;A89&amp;"&amp;nombre="&amp;ENCODEURL(B89)&amp;"&amp;telefono="&amp;SUBSTITUTE(C89,"-","")&amp;"&amp;referencia="&amp;ENCODEURL(E89)&amp;"&amp;lat="&amp;IZQUIERDA(SUBSTITUTE(F89," ",""),ENCONTRAR(",",SUBSTITUTE(F89," ",""))-1)&amp;"&amp;lng="&amp;DERECHA(SUBSTITUTE(F89," ",""),LARGO(SUBSTITUTE(F89," ",""))-ENCONTRAR(",",SUBSTITUTE(F89," ",""))),"")</f>
        <v/>
      </c>
    </row>
    <row r="90" ht="15.75" customHeight="1" s="10">
      <c r="A90" s="8">
        <f>CONCAT("AD507-",TEXT(ROW()-2,"0000"))</f>
        <v/>
      </c>
      <c r="C90" s="8" t="n"/>
      <c r="F90" s="8" t="n"/>
      <c r="G90" s="8">
        <f>IF(F90&lt;&gt;"",HYPERLINK("https://www.google.com/maps/search/?api=1&amp;query="&amp;SUBSTITUTE(F90," ",""),"🗺 Google Maps"),"")</f>
        <v/>
      </c>
      <c r="H90" s="8">
        <f>IF(F90&lt;&gt;"",HYPERLINK("https://waze.com/ul?ll="&amp;SUBSTITUTE(F90," ","")&amp;"&amp;navigate=yes","🚗 Waze"),"")</f>
        <v/>
      </c>
      <c r="I90" s="8">
        <f>IF(F90&lt;&gt;"",HYPERLINK("https://m.uber.com/ul/?action=setPickup&amp;pickup=my_location&amp;dropoff[latitude]="&amp;LEFT(SUBSTITUTE(F90," ",""),FIND(",",SUBSTITUTE(F90," ",""))-1)&amp;"&amp;dropoff[longitude]="&amp;MID(SUBSTITUTE(F90," ",""),FIND(",",SUBSTITUTE(F90," ",""))+1,99),"🚕 Uber"),"")</f>
        <v/>
      </c>
      <c r="J90" s="8">
        <f>IF(F90&lt;&gt;"","https://api.qrserver.com/v1/create-qr-code/?size=200x200&amp;data="&amp;ENCODEURL("https://www.google.com/maps/search/?api=1&amp;query="&amp;SUBSTITUTE(F90," ","")),"")</f>
        <v/>
      </c>
      <c r="K90" s="8">
        <f>IF(C90&lt;&gt;"",HYPERLINK("https://wa.me/507"&amp;REGEXREPLACE(C90,"[^0-9]","")&amp;"?text="&amp;ENCODEURL("Ya llegue. Codigo: "&amp;A90&amp;". Ubicacion: "&amp;"https://www.google.com/maps/search/?api=1&amp;query="&amp;SUBSTITUTE(F90," ","")),"📲 Avisar al cliente"),"")</f>
        <v/>
      </c>
      <c r="L90" s="8">
        <f>IF(C90&lt;&gt;"","https://api.qrserver.com/v1/create-qr-code/?size=200x200&amp;data="&amp;ENCODEURL("https://wa.me/507"&amp;REGEXREPLACE(C90,"[^0-9]","")&amp;"?text="&amp;ENCODEURL("Ya llegue. Codigo: "&amp;A90&amp;". Ubicacion: "&amp;"https://www.google.com/maps/search/?api=1&amp;query="&amp;SUBSTITUTE(F90," ",""))),"")</f>
        <v/>
      </c>
      <c r="M90" s="8">
        <f>IF(B90&lt;&gt;"",TODAY(),"")</f>
        <v/>
      </c>
      <c r="N90" s="8">
        <f>IF(F90&lt;&gt;"",IFERROR(IF(AND(REGEXMATCH(SUBSTITUTE(TRIM(F90)," ",""),"^-?\d+(\.\d+)?,-?\d+(\.\d+)?$"),VALUE(REGEXEXTRACT(SUBSTITUTE(TRIM(F90)," ",""),"^-?\d+(\.\d+)?"))&gt;=-90,VALUE(REGEXEXTRACT(SUBSTITUTE(TRIM(F90)," ",""),"^-?\d+(\.\d+)?"))&lt;=90,VALUE(REGEXEXTRACT(SUBSTITUTE(TRIM(F90)," ",""),"-?\d+(\.\d+)?$"))&gt;=-180,VALUE(REGEXEXTRACT(SUBSTITUTE(TRIM(F90)," ",""),"-?\d+(\.\d+)?$"))&lt;=180),"OK","REVISAR"),"REVISAR"),"")</f>
        <v/>
      </c>
      <c r="O90">
        <f>IF(A90&lt;&gt;"","https://direcciones507.github.io/direcciones507/panel.html?codigo="&amp;A90&amp;"&amp;nombre="&amp;ENCODEURL(B90)&amp;"&amp;telefono="&amp;SUBSTITUTE(C90,"-","")&amp;"&amp;referencia="&amp;ENCODEURL(E90)&amp;"&amp;lat="&amp;IZQUIERDA(SUBSTITUTE(F90," ",""),ENCONTRAR(",",SUBSTITUTE(F90," ",""))-1)&amp;"&amp;lng="&amp;DERECHA(SUBSTITUTE(F90," ",""),LARGO(SUBSTITUTE(F90," ",""))-ENCONTRAR(",",SUBSTITUTE(F90," ",""))),"")</f>
        <v/>
      </c>
    </row>
    <row r="91" ht="15.75" customHeight="1" s="10">
      <c r="A91" s="8">
        <f>CONCAT("AD507-",TEXT(ROW()-2,"0000"))</f>
        <v/>
      </c>
      <c r="C91" s="8" t="n"/>
      <c r="F91" s="8" t="n"/>
      <c r="G91" s="8">
        <f>IF(F91&lt;&gt;"",HYPERLINK("https://www.google.com/maps/search/?api=1&amp;query="&amp;SUBSTITUTE(F91," ",""),"🗺 Google Maps"),"")</f>
        <v/>
      </c>
      <c r="H91" s="8">
        <f>IF(F91&lt;&gt;"",HYPERLINK("https://waze.com/ul?ll="&amp;SUBSTITUTE(F91," ","")&amp;"&amp;navigate=yes","🚗 Waze"),"")</f>
        <v/>
      </c>
      <c r="I91" s="8">
        <f>IF(F91&lt;&gt;"",HYPERLINK("https://m.uber.com/ul/?action=setPickup&amp;pickup=my_location&amp;dropoff[latitude]="&amp;LEFT(SUBSTITUTE(F91," ",""),FIND(",",SUBSTITUTE(F91," ",""))-1)&amp;"&amp;dropoff[longitude]="&amp;MID(SUBSTITUTE(F91," ",""),FIND(",",SUBSTITUTE(F91," ",""))+1,99),"🚕 Uber"),"")</f>
        <v/>
      </c>
      <c r="J91" s="8">
        <f>IF(F91&lt;&gt;"","https://api.qrserver.com/v1/create-qr-code/?size=200x200&amp;data="&amp;ENCODEURL("https://www.google.com/maps/search/?api=1&amp;query="&amp;SUBSTITUTE(F91," ","")),"")</f>
        <v/>
      </c>
      <c r="K91" s="8">
        <f>IF(C91&lt;&gt;"",HYPERLINK("https://wa.me/507"&amp;REGEXREPLACE(C91,"[^0-9]","")&amp;"?text="&amp;ENCODEURL("Ya llegue. Codigo: "&amp;A91&amp;". Ubicacion: "&amp;"https://www.google.com/maps/search/?api=1&amp;query="&amp;SUBSTITUTE(F91," ","")),"📲 Avisar al cliente"),"")</f>
        <v/>
      </c>
      <c r="L91" s="8">
        <f>IF(C91&lt;&gt;"","https://api.qrserver.com/v1/create-qr-code/?size=200x200&amp;data="&amp;ENCODEURL("https://wa.me/507"&amp;REGEXREPLACE(C91,"[^0-9]","")&amp;"?text="&amp;ENCODEURL("Ya llegue. Codigo: "&amp;A91&amp;". Ubicacion: "&amp;"https://www.google.com/maps/search/?api=1&amp;query="&amp;SUBSTITUTE(F91," ",""))),"")</f>
        <v/>
      </c>
      <c r="M91" s="8">
        <f>IF(B91&lt;&gt;"",TODAY(),"")</f>
        <v/>
      </c>
      <c r="N91" s="8">
        <f>IF(F91&lt;&gt;"",IFERROR(IF(AND(REGEXMATCH(SUBSTITUTE(TRIM(F91)," ",""),"^-?\d+(\.\d+)?,-?\d+(\.\d+)?$"),VALUE(REGEXEXTRACT(SUBSTITUTE(TRIM(F91)," ",""),"^-?\d+(\.\d+)?"))&gt;=-90,VALUE(REGEXEXTRACT(SUBSTITUTE(TRIM(F91)," ",""),"^-?\d+(\.\d+)?"))&lt;=90,VALUE(REGEXEXTRACT(SUBSTITUTE(TRIM(F91)," ",""),"-?\d+(\.\d+)?$"))&gt;=-180,VALUE(REGEXEXTRACT(SUBSTITUTE(TRIM(F91)," ",""),"-?\d+(\.\d+)?$"))&lt;=180),"OK","REVISAR"),"REVISAR"),"")</f>
        <v/>
      </c>
      <c r="O91">
        <f>IF(A91&lt;&gt;"","https://direcciones507.github.io/direcciones507/panel.html?codigo="&amp;A91&amp;"&amp;nombre="&amp;ENCODEURL(B91)&amp;"&amp;telefono="&amp;SUBSTITUTE(C91,"-","")&amp;"&amp;referencia="&amp;ENCODEURL(E91)&amp;"&amp;lat="&amp;IZQUIERDA(SUBSTITUTE(F91," ",""),ENCONTRAR(",",SUBSTITUTE(F91," ",""))-1)&amp;"&amp;lng="&amp;DERECHA(SUBSTITUTE(F91," ",""),LARGO(SUBSTITUTE(F91," ",""))-ENCONTRAR(",",SUBSTITUTE(F91," ",""))),"")</f>
        <v/>
      </c>
    </row>
    <row r="92" ht="15.75" customHeight="1" s="10">
      <c r="A92" s="8">
        <f>CONCAT("AD507-",TEXT(ROW()-2,"0000"))</f>
        <v/>
      </c>
      <c r="C92" s="8" t="n"/>
      <c r="F92" s="8" t="n"/>
      <c r="G92" s="8">
        <f>IF(F92&lt;&gt;"",HYPERLINK("https://www.google.com/maps/search/?api=1&amp;query="&amp;SUBSTITUTE(F92," ",""),"🗺 Google Maps"),"")</f>
        <v/>
      </c>
      <c r="H92" s="8">
        <f>IF(F92&lt;&gt;"",HYPERLINK("https://waze.com/ul?ll="&amp;SUBSTITUTE(F92," ","")&amp;"&amp;navigate=yes","🚗 Waze"),"")</f>
        <v/>
      </c>
      <c r="I92" s="8">
        <f>IF(F92&lt;&gt;"",HYPERLINK("https://m.uber.com/ul/?action=setPickup&amp;pickup=my_location&amp;dropoff[latitude]="&amp;LEFT(SUBSTITUTE(F92," ",""),FIND(",",SUBSTITUTE(F92," ",""))-1)&amp;"&amp;dropoff[longitude]="&amp;MID(SUBSTITUTE(F92," ",""),FIND(",",SUBSTITUTE(F92," ",""))+1,99),"🚕 Uber"),"")</f>
        <v/>
      </c>
      <c r="J92" s="8">
        <f>IF(F92&lt;&gt;"","https://api.qrserver.com/v1/create-qr-code/?size=200x200&amp;data="&amp;ENCODEURL("https://www.google.com/maps/search/?api=1&amp;query="&amp;SUBSTITUTE(F92," ","")),"")</f>
        <v/>
      </c>
      <c r="K92" s="8">
        <f>IF(C92&lt;&gt;"",HYPERLINK("https://wa.me/507"&amp;REGEXREPLACE(C92,"[^0-9]","")&amp;"?text="&amp;ENCODEURL("Ya llegue. Codigo: "&amp;A92&amp;". Ubicacion: "&amp;"https://www.google.com/maps/search/?api=1&amp;query="&amp;SUBSTITUTE(F92," ","")),"📲 Avisar al cliente"),"")</f>
        <v/>
      </c>
      <c r="L92" s="8">
        <f>IF(C92&lt;&gt;"","https://api.qrserver.com/v1/create-qr-code/?size=200x200&amp;data="&amp;ENCODEURL("https://wa.me/507"&amp;REGEXREPLACE(C92,"[^0-9]","")&amp;"?text="&amp;ENCODEURL("Ya llegue. Codigo: "&amp;A92&amp;". Ubicacion: "&amp;"https://www.google.com/maps/search/?api=1&amp;query="&amp;SUBSTITUTE(F92," ",""))),"")</f>
        <v/>
      </c>
      <c r="M92" s="8">
        <f>IF(B92&lt;&gt;"",TODAY(),"")</f>
        <v/>
      </c>
      <c r="N92" s="8">
        <f>IF(F92&lt;&gt;"",IFERROR(IF(AND(REGEXMATCH(SUBSTITUTE(TRIM(F92)," ",""),"^-?\d+(\.\d+)?,-?\d+(\.\d+)?$"),VALUE(REGEXEXTRACT(SUBSTITUTE(TRIM(F92)," ",""),"^-?\d+(\.\d+)?"))&gt;=-90,VALUE(REGEXEXTRACT(SUBSTITUTE(TRIM(F92)," ",""),"^-?\d+(\.\d+)?"))&lt;=90,VALUE(REGEXEXTRACT(SUBSTITUTE(TRIM(F92)," ",""),"-?\d+(\.\d+)?$"))&gt;=-180,VALUE(REGEXEXTRACT(SUBSTITUTE(TRIM(F92)," ",""),"-?\d+(\.\d+)?$"))&lt;=180),"OK","REVISAR"),"REVISAR"),"")</f>
        <v/>
      </c>
      <c r="O92">
        <f>IF(A92&lt;&gt;"","https://direcciones507.github.io/direcciones507/panel.html?codigo="&amp;A92&amp;"&amp;nombre="&amp;ENCODEURL(B92)&amp;"&amp;telefono="&amp;SUBSTITUTE(C92,"-","")&amp;"&amp;referencia="&amp;ENCODEURL(E92)&amp;"&amp;lat="&amp;IZQUIERDA(SUBSTITUTE(F92," ",""),ENCONTRAR(",",SUBSTITUTE(F92," ",""))-1)&amp;"&amp;lng="&amp;DERECHA(SUBSTITUTE(F92," ",""),LARGO(SUBSTITUTE(F92," ",""))-ENCONTRAR(",",SUBSTITUTE(F92," ",""))),"")</f>
        <v/>
      </c>
    </row>
    <row r="93" ht="15.75" customHeight="1" s="10">
      <c r="A93" s="8">
        <f>CONCAT("AD507-",TEXT(ROW()-2,"0000"))</f>
        <v/>
      </c>
      <c r="C93" s="8" t="n"/>
      <c r="F93" s="8" t="n"/>
      <c r="G93" s="8">
        <f>IF(F93&lt;&gt;"",HYPERLINK("https://www.google.com/maps/search/?api=1&amp;query="&amp;SUBSTITUTE(F93," ",""),"🗺 Google Maps"),"")</f>
        <v/>
      </c>
      <c r="H93" s="8">
        <f>IF(F93&lt;&gt;"",HYPERLINK("https://waze.com/ul?ll="&amp;SUBSTITUTE(F93," ","")&amp;"&amp;navigate=yes","🚗 Waze"),"")</f>
        <v/>
      </c>
      <c r="I93" s="8">
        <f>IF(F93&lt;&gt;"",HYPERLINK("https://m.uber.com/ul/?action=setPickup&amp;pickup=my_location&amp;dropoff[latitude]="&amp;LEFT(SUBSTITUTE(F93," ",""),FIND(",",SUBSTITUTE(F93," ",""))-1)&amp;"&amp;dropoff[longitude]="&amp;MID(SUBSTITUTE(F93," ",""),FIND(",",SUBSTITUTE(F93," ",""))+1,99),"🚕 Uber"),"")</f>
        <v/>
      </c>
      <c r="J93" s="8">
        <f>IF(F93&lt;&gt;"","https://api.qrserver.com/v1/create-qr-code/?size=200x200&amp;data="&amp;ENCODEURL("https://www.google.com/maps/search/?api=1&amp;query="&amp;SUBSTITUTE(F93," ","")),"")</f>
        <v/>
      </c>
      <c r="K93" s="8">
        <f>IF(C93&lt;&gt;"",HYPERLINK("https://wa.me/507"&amp;REGEXREPLACE(C93,"[^0-9]","")&amp;"?text="&amp;ENCODEURL("Ya llegue. Codigo: "&amp;A93&amp;". Ubicacion: "&amp;"https://www.google.com/maps/search/?api=1&amp;query="&amp;SUBSTITUTE(F93," ","")),"📲 Avisar al cliente"),"")</f>
        <v/>
      </c>
      <c r="L93" s="8">
        <f>IF(C93&lt;&gt;"","https://api.qrserver.com/v1/create-qr-code/?size=200x200&amp;data="&amp;ENCODEURL("https://wa.me/507"&amp;REGEXREPLACE(C93,"[^0-9]","")&amp;"?text="&amp;ENCODEURL("Ya llegue. Codigo: "&amp;A93&amp;". Ubicacion: "&amp;"https://www.google.com/maps/search/?api=1&amp;query="&amp;SUBSTITUTE(F93," ",""))),"")</f>
        <v/>
      </c>
      <c r="M93" s="8">
        <f>IF(B93&lt;&gt;"",TODAY(),"")</f>
        <v/>
      </c>
      <c r="N93" s="8">
        <f>IF(F93&lt;&gt;"",IFERROR(IF(AND(REGEXMATCH(SUBSTITUTE(TRIM(F93)," ",""),"^-?\d+(\.\d+)?,-?\d+(\.\d+)?$"),VALUE(REGEXEXTRACT(SUBSTITUTE(TRIM(F93)," ",""),"^-?\d+(\.\d+)?"))&gt;=-90,VALUE(REGEXEXTRACT(SUBSTITUTE(TRIM(F93)," ",""),"^-?\d+(\.\d+)?"))&lt;=90,VALUE(REGEXEXTRACT(SUBSTITUTE(TRIM(F93)," ",""),"-?\d+(\.\d+)?$"))&gt;=-180,VALUE(REGEXEXTRACT(SUBSTITUTE(TRIM(F93)," ",""),"-?\d+(\.\d+)?$"))&lt;=180),"OK","REVISAR"),"REVISAR"),"")</f>
        <v/>
      </c>
      <c r="O93">
        <f>IF(A93&lt;&gt;"","https://direcciones507.github.io/direcciones507/panel.html?codigo="&amp;A93&amp;"&amp;nombre="&amp;ENCODEURL(B93)&amp;"&amp;telefono="&amp;SUBSTITUTE(C93,"-","")&amp;"&amp;referencia="&amp;ENCODEURL(E93)&amp;"&amp;lat="&amp;IZQUIERDA(SUBSTITUTE(F93," ",""),ENCONTRAR(",",SUBSTITUTE(F93," ",""))-1)&amp;"&amp;lng="&amp;DERECHA(SUBSTITUTE(F93," ",""),LARGO(SUBSTITUTE(F93," ",""))-ENCONTRAR(",",SUBSTITUTE(F93," ",""))),"")</f>
        <v/>
      </c>
    </row>
    <row r="94" ht="15.75" customHeight="1" s="10">
      <c r="A94" s="8">
        <f>CONCAT("AD507-",TEXT(ROW()-2,"0000"))</f>
        <v/>
      </c>
      <c r="C94" s="8" t="n"/>
      <c r="F94" s="8" t="n"/>
      <c r="G94" s="8">
        <f>IF(F94&lt;&gt;"",HYPERLINK("https://www.google.com/maps/search/?api=1&amp;query="&amp;SUBSTITUTE(F94," ",""),"🗺 Google Maps"),"")</f>
        <v/>
      </c>
      <c r="H94" s="8">
        <f>IF(F94&lt;&gt;"",HYPERLINK("https://waze.com/ul?ll="&amp;SUBSTITUTE(F94," ","")&amp;"&amp;navigate=yes","🚗 Waze"),"")</f>
        <v/>
      </c>
      <c r="I94" s="8">
        <f>IF(F94&lt;&gt;"",HYPERLINK("https://m.uber.com/ul/?action=setPickup&amp;pickup=my_location&amp;dropoff[latitude]="&amp;LEFT(SUBSTITUTE(F94," ",""),FIND(",",SUBSTITUTE(F94," ",""))-1)&amp;"&amp;dropoff[longitude]="&amp;MID(SUBSTITUTE(F94," ",""),FIND(",",SUBSTITUTE(F94," ",""))+1,99),"🚕 Uber"),"")</f>
        <v/>
      </c>
      <c r="J94" s="8">
        <f>IF(F94&lt;&gt;"","https://api.qrserver.com/v1/create-qr-code/?size=200x200&amp;data="&amp;ENCODEURL("https://www.google.com/maps/search/?api=1&amp;query="&amp;SUBSTITUTE(F94," ","")),"")</f>
        <v/>
      </c>
      <c r="K94" s="8">
        <f>IF(C94&lt;&gt;"",HYPERLINK("https://wa.me/507"&amp;REGEXREPLACE(C94,"[^0-9]","")&amp;"?text="&amp;ENCODEURL("Ya llegue. Codigo: "&amp;A94&amp;". Ubicacion: "&amp;"https://www.google.com/maps/search/?api=1&amp;query="&amp;SUBSTITUTE(F94," ","")),"📲 Avisar al cliente"),"")</f>
        <v/>
      </c>
      <c r="L94" s="8">
        <f>IF(C94&lt;&gt;"","https://api.qrserver.com/v1/create-qr-code/?size=200x200&amp;data="&amp;ENCODEURL("https://wa.me/507"&amp;REGEXREPLACE(C94,"[^0-9]","")&amp;"?text="&amp;ENCODEURL("Ya llegue. Codigo: "&amp;A94&amp;". Ubicacion: "&amp;"https://www.google.com/maps/search/?api=1&amp;query="&amp;SUBSTITUTE(F94," ",""))),"")</f>
        <v/>
      </c>
      <c r="M94" s="8">
        <f>IF(B94&lt;&gt;"",TODAY(),"")</f>
        <v/>
      </c>
      <c r="N94" s="8">
        <f>IF(F94&lt;&gt;"",IFERROR(IF(AND(REGEXMATCH(SUBSTITUTE(TRIM(F94)," ",""),"^-?\d+(\.\d+)?,-?\d+(\.\d+)?$"),VALUE(REGEXEXTRACT(SUBSTITUTE(TRIM(F94)," ",""),"^-?\d+(\.\d+)?"))&gt;=-90,VALUE(REGEXEXTRACT(SUBSTITUTE(TRIM(F94)," ",""),"^-?\d+(\.\d+)?"))&lt;=90,VALUE(REGEXEXTRACT(SUBSTITUTE(TRIM(F94)," ",""),"-?\d+(\.\d+)?$"))&gt;=-180,VALUE(REGEXEXTRACT(SUBSTITUTE(TRIM(F94)," ",""),"-?\d+(\.\d+)?$"))&lt;=180),"OK","REVISAR"),"REVISAR"),"")</f>
        <v/>
      </c>
      <c r="O94">
        <f>IF(A94&lt;&gt;"","https://direcciones507.github.io/direcciones507/panel.html?codigo="&amp;A94&amp;"&amp;nombre="&amp;ENCODEURL(B94)&amp;"&amp;telefono="&amp;SUBSTITUTE(C94,"-","")&amp;"&amp;referencia="&amp;ENCODEURL(E94)&amp;"&amp;lat="&amp;IZQUIERDA(SUBSTITUTE(F94," ",""),ENCONTRAR(",",SUBSTITUTE(F94," ",""))-1)&amp;"&amp;lng="&amp;DERECHA(SUBSTITUTE(F94," ",""),LARGO(SUBSTITUTE(F94," ",""))-ENCONTRAR(",",SUBSTITUTE(F94," ",""))),"")</f>
        <v/>
      </c>
    </row>
    <row r="95" ht="15.75" customHeight="1" s="10">
      <c r="A95" s="8">
        <f>CONCAT("AD507-",TEXT(ROW()-2,"0000"))</f>
        <v/>
      </c>
      <c r="C95" s="8" t="n"/>
      <c r="F95" s="8" t="n"/>
      <c r="G95" s="8">
        <f>IF(F95&lt;&gt;"",HYPERLINK("https://www.google.com/maps/search/?api=1&amp;query="&amp;SUBSTITUTE(F95," ",""),"🗺 Google Maps"),"")</f>
        <v/>
      </c>
      <c r="H95" s="8">
        <f>IF(F95&lt;&gt;"",HYPERLINK("https://waze.com/ul?ll="&amp;SUBSTITUTE(F95," ","")&amp;"&amp;navigate=yes","🚗 Waze"),"")</f>
        <v/>
      </c>
      <c r="I95" s="8">
        <f>IF(F95&lt;&gt;"",HYPERLINK("https://m.uber.com/ul/?action=setPickup&amp;pickup=my_location&amp;dropoff[latitude]="&amp;LEFT(SUBSTITUTE(F95," ",""),FIND(",",SUBSTITUTE(F95," ",""))-1)&amp;"&amp;dropoff[longitude]="&amp;MID(SUBSTITUTE(F95," ",""),FIND(",",SUBSTITUTE(F95," ",""))+1,99),"🚕 Uber"),"")</f>
        <v/>
      </c>
      <c r="J95" s="8">
        <f>IF(F95&lt;&gt;"","https://api.qrserver.com/v1/create-qr-code/?size=200x200&amp;data="&amp;ENCODEURL("https://www.google.com/maps/search/?api=1&amp;query="&amp;SUBSTITUTE(F95," ","")),"")</f>
        <v/>
      </c>
      <c r="K95" s="8">
        <f>IF(C95&lt;&gt;"",HYPERLINK("https://wa.me/507"&amp;REGEXREPLACE(C95,"[^0-9]","")&amp;"?text="&amp;ENCODEURL("Ya llegue. Codigo: "&amp;A95&amp;". Ubicacion: "&amp;"https://www.google.com/maps/search/?api=1&amp;query="&amp;SUBSTITUTE(F95," ","")),"📲 Avisar al cliente"),"")</f>
        <v/>
      </c>
      <c r="L95" s="8">
        <f>IF(C95&lt;&gt;"","https://api.qrserver.com/v1/create-qr-code/?size=200x200&amp;data="&amp;ENCODEURL("https://wa.me/507"&amp;REGEXREPLACE(C95,"[^0-9]","")&amp;"?text="&amp;ENCODEURL("Ya llegue. Codigo: "&amp;A95&amp;". Ubicacion: "&amp;"https://www.google.com/maps/search/?api=1&amp;query="&amp;SUBSTITUTE(F95," ",""))),"")</f>
        <v/>
      </c>
      <c r="M95" s="8">
        <f>IF(B95&lt;&gt;"",TODAY(),"")</f>
        <v/>
      </c>
      <c r="N95" s="8">
        <f>IF(F95&lt;&gt;"",IFERROR(IF(AND(REGEXMATCH(SUBSTITUTE(TRIM(F95)," ",""),"^-?\d+(\.\d+)?,-?\d+(\.\d+)?$"),VALUE(REGEXEXTRACT(SUBSTITUTE(TRIM(F95)," ",""),"^-?\d+(\.\d+)?"))&gt;=-90,VALUE(REGEXEXTRACT(SUBSTITUTE(TRIM(F95)," ",""),"^-?\d+(\.\d+)?"))&lt;=90,VALUE(REGEXEXTRACT(SUBSTITUTE(TRIM(F95)," ",""),"-?\d+(\.\d+)?$"))&gt;=-180,VALUE(REGEXEXTRACT(SUBSTITUTE(TRIM(F95)," ",""),"-?\d+(\.\d+)?$"))&lt;=180),"OK","REVISAR"),"REVISAR"),"")</f>
        <v/>
      </c>
      <c r="O95">
        <f>IF(A95&lt;&gt;"","https://direcciones507.github.io/direcciones507/panel.html?codigo="&amp;A95&amp;"&amp;nombre="&amp;ENCODEURL(B95)&amp;"&amp;telefono="&amp;SUBSTITUTE(C95,"-","")&amp;"&amp;referencia="&amp;ENCODEURL(E95)&amp;"&amp;lat="&amp;IZQUIERDA(SUBSTITUTE(F95," ",""),ENCONTRAR(",",SUBSTITUTE(F95," ",""))-1)&amp;"&amp;lng="&amp;DERECHA(SUBSTITUTE(F95," ",""),LARGO(SUBSTITUTE(F95," ",""))-ENCONTRAR(",",SUBSTITUTE(F95," ",""))),"")</f>
        <v/>
      </c>
    </row>
    <row r="96" ht="15.75" customHeight="1" s="10">
      <c r="A96" s="8">
        <f>CONCAT("AD507-",TEXT(ROW()-2,"0000"))</f>
        <v/>
      </c>
      <c r="C96" s="8" t="n"/>
      <c r="F96" s="8" t="n"/>
      <c r="G96" s="8">
        <f>IF(F96&lt;&gt;"",HYPERLINK("https://www.google.com/maps/search/?api=1&amp;query="&amp;SUBSTITUTE(F96," ",""),"🗺 Google Maps"),"")</f>
        <v/>
      </c>
      <c r="H96" s="8">
        <f>IF(F96&lt;&gt;"",HYPERLINK("https://waze.com/ul?ll="&amp;SUBSTITUTE(F96," ","")&amp;"&amp;navigate=yes","🚗 Waze"),"")</f>
        <v/>
      </c>
      <c r="I96" s="8">
        <f>IF(F96&lt;&gt;"",HYPERLINK("https://m.uber.com/ul/?action=setPickup&amp;pickup=my_location&amp;dropoff[latitude]="&amp;LEFT(SUBSTITUTE(F96," ",""),FIND(",",SUBSTITUTE(F96," ",""))-1)&amp;"&amp;dropoff[longitude]="&amp;MID(SUBSTITUTE(F96," ",""),FIND(",",SUBSTITUTE(F96," ",""))+1,99),"🚕 Uber"),"")</f>
        <v/>
      </c>
      <c r="J96" s="8">
        <f>IF(F96&lt;&gt;"","https://api.qrserver.com/v1/create-qr-code/?size=200x200&amp;data="&amp;ENCODEURL("https://www.google.com/maps/search/?api=1&amp;query="&amp;SUBSTITUTE(F96," ","")),"")</f>
        <v/>
      </c>
      <c r="K96" s="8">
        <f>IF(C96&lt;&gt;"",HYPERLINK("https://wa.me/507"&amp;REGEXREPLACE(C96,"[^0-9]","")&amp;"?text="&amp;ENCODEURL("Ya llegue. Codigo: "&amp;A96&amp;". Ubicacion: "&amp;"https://www.google.com/maps/search/?api=1&amp;query="&amp;SUBSTITUTE(F96," ","")),"📲 Avisar al cliente"),"")</f>
        <v/>
      </c>
      <c r="L96" s="8">
        <f>IF(C96&lt;&gt;"","https://api.qrserver.com/v1/create-qr-code/?size=200x200&amp;data="&amp;ENCODEURL("https://wa.me/507"&amp;REGEXREPLACE(C96,"[^0-9]","")&amp;"?text="&amp;ENCODEURL("Ya llegue. Codigo: "&amp;A96&amp;". Ubicacion: "&amp;"https://www.google.com/maps/search/?api=1&amp;query="&amp;SUBSTITUTE(F96," ",""))),"")</f>
        <v/>
      </c>
      <c r="M96" s="8">
        <f>IF(B96&lt;&gt;"",TODAY(),"")</f>
        <v/>
      </c>
      <c r="N96" s="8">
        <f>IF(F96&lt;&gt;"",IFERROR(IF(AND(REGEXMATCH(SUBSTITUTE(TRIM(F96)," ",""),"^-?\d+(\.\d+)?,-?\d+(\.\d+)?$"),VALUE(REGEXEXTRACT(SUBSTITUTE(TRIM(F96)," ",""),"^-?\d+(\.\d+)?"))&gt;=-90,VALUE(REGEXEXTRACT(SUBSTITUTE(TRIM(F96)," ",""),"^-?\d+(\.\d+)?"))&lt;=90,VALUE(REGEXEXTRACT(SUBSTITUTE(TRIM(F96)," ",""),"-?\d+(\.\d+)?$"))&gt;=-180,VALUE(REGEXEXTRACT(SUBSTITUTE(TRIM(F96)," ",""),"-?\d+(\.\d+)?$"))&lt;=180),"OK","REVISAR"),"REVISAR"),"")</f>
        <v/>
      </c>
      <c r="O96">
        <f>IF(A96&lt;&gt;"","https://direcciones507.github.io/direcciones507/panel.html?codigo="&amp;A96&amp;"&amp;nombre="&amp;ENCODEURL(B96)&amp;"&amp;telefono="&amp;SUBSTITUTE(C96,"-","")&amp;"&amp;referencia="&amp;ENCODEURL(E96)&amp;"&amp;lat="&amp;IZQUIERDA(SUBSTITUTE(F96," ",""),ENCONTRAR(",",SUBSTITUTE(F96," ",""))-1)&amp;"&amp;lng="&amp;DERECHA(SUBSTITUTE(F96," ",""),LARGO(SUBSTITUTE(F96," ",""))-ENCONTRAR(",",SUBSTITUTE(F96," ",""))),"")</f>
        <v/>
      </c>
    </row>
    <row r="97" ht="15.75" customHeight="1" s="10">
      <c r="A97" s="8">
        <f>CONCAT("AD507-",TEXT(ROW()-2,"0000"))</f>
        <v/>
      </c>
      <c r="C97" s="8" t="n"/>
      <c r="F97" s="8" t="n"/>
      <c r="G97" s="8">
        <f>IF(F97&lt;&gt;"",HYPERLINK("https://www.google.com/maps/search/?api=1&amp;query="&amp;SUBSTITUTE(F97," ",""),"🗺 Google Maps"),"")</f>
        <v/>
      </c>
      <c r="H97" s="8">
        <f>IF(F97&lt;&gt;"",HYPERLINK("https://waze.com/ul?ll="&amp;SUBSTITUTE(F97," ","")&amp;"&amp;navigate=yes","🚗 Waze"),"")</f>
        <v/>
      </c>
      <c r="I97" s="8">
        <f>IF(F97&lt;&gt;"",HYPERLINK("https://m.uber.com/ul/?action=setPickup&amp;pickup=my_location&amp;dropoff[latitude]="&amp;LEFT(SUBSTITUTE(F97," ",""),FIND(",",SUBSTITUTE(F97," ",""))-1)&amp;"&amp;dropoff[longitude]="&amp;MID(SUBSTITUTE(F97," ",""),FIND(",",SUBSTITUTE(F97," ",""))+1,99),"🚕 Uber"),"")</f>
        <v/>
      </c>
      <c r="J97" s="8">
        <f>IF(F97&lt;&gt;"","https://api.qrserver.com/v1/create-qr-code/?size=200x200&amp;data="&amp;ENCODEURL("https://www.google.com/maps/search/?api=1&amp;query="&amp;SUBSTITUTE(F97," ","")),"")</f>
        <v/>
      </c>
      <c r="K97" s="8">
        <f>IF(C97&lt;&gt;"",HYPERLINK("https://wa.me/507"&amp;REGEXREPLACE(C97,"[^0-9]","")&amp;"?text="&amp;ENCODEURL("Ya llegue. Codigo: "&amp;A97&amp;". Ubicacion: "&amp;"https://www.google.com/maps/search/?api=1&amp;query="&amp;SUBSTITUTE(F97," ","")),"📲 Avisar al cliente"),"")</f>
        <v/>
      </c>
      <c r="L97" s="8">
        <f>IF(C97&lt;&gt;"","https://api.qrserver.com/v1/create-qr-code/?size=200x200&amp;data="&amp;ENCODEURL("https://wa.me/507"&amp;REGEXREPLACE(C97,"[^0-9]","")&amp;"?text="&amp;ENCODEURL("Ya llegue. Codigo: "&amp;A97&amp;". Ubicacion: "&amp;"https://www.google.com/maps/search/?api=1&amp;query="&amp;SUBSTITUTE(F97," ",""))),"")</f>
        <v/>
      </c>
      <c r="M97" s="8">
        <f>IF(B97&lt;&gt;"",TODAY(),"")</f>
        <v/>
      </c>
      <c r="N97" s="8">
        <f>IF(F97&lt;&gt;"",IFERROR(IF(AND(REGEXMATCH(SUBSTITUTE(TRIM(F97)," ",""),"^-?\d+(\.\d+)?,-?\d+(\.\d+)?$"),VALUE(REGEXEXTRACT(SUBSTITUTE(TRIM(F97)," ",""),"^-?\d+(\.\d+)?"))&gt;=-90,VALUE(REGEXEXTRACT(SUBSTITUTE(TRIM(F97)," ",""),"^-?\d+(\.\d+)?"))&lt;=90,VALUE(REGEXEXTRACT(SUBSTITUTE(TRIM(F97)," ",""),"-?\d+(\.\d+)?$"))&gt;=-180,VALUE(REGEXEXTRACT(SUBSTITUTE(TRIM(F97)," ",""),"-?\d+(\.\d+)?$"))&lt;=180),"OK","REVISAR"),"REVISAR"),"")</f>
        <v/>
      </c>
      <c r="O97">
        <f>IF(A97&lt;&gt;"","https://direcciones507.github.io/direcciones507/panel.html?codigo="&amp;A97&amp;"&amp;nombre="&amp;ENCODEURL(B97)&amp;"&amp;telefono="&amp;SUBSTITUTE(C97,"-","")&amp;"&amp;referencia="&amp;ENCODEURL(E97)&amp;"&amp;lat="&amp;IZQUIERDA(SUBSTITUTE(F97," ",""),ENCONTRAR(",",SUBSTITUTE(F97," ",""))-1)&amp;"&amp;lng="&amp;DERECHA(SUBSTITUTE(F97," ",""),LARGO(SUBSTITUTE(F97," ",""))-ENCONTRAR(",",SUBSTITUTE(F97," ",""))),"")</f>
        <v/>
      </c>
    </row>
    <row r="98" ht="15.75" customHeight="1" s="10">
      <c r="A98" s="8">
        <f>CONCAT("AD507-",TEXT(ROW()-2,"0000"))</f>
        <v/>
      </c>
      <c r="C98" s="8" t="n"/>
      <c r="F98" s="8" t="n"/>
      <c r="G98" s="8">
        <f>IF(F98&lt;&gt;"",HYPERLINK("https://www.google.com/maps/search/?api=1&amp;query="&amp;SUBSTITUTE(F98," ",""),"🗺 Google Maps"),"")</f>
        <v/>
      </c>
      <c r="H98" s="8">
        <f>IF(F98&lt;&gt;"",HYPERLINK("https://waze.com/ul?ll="&amp;SUBSTITUTE(F98," ","")&amp;"&amp;navigate=yes","🚗 Waze"),"")</f>
        <v/>
      </c>
      <c r="I98" s="8">
        <f>IF(F98&lt;&gt;"",HYPERLINK("https://m.uber.com/ul/?action=setPickup&amp;pickup=my_location&amp;dropoff[latitude]="&amp;LEFT(SUBSTITUTE(F98," ",""),FIND(",",SUBSTITUTE(F98," ",""))-1)&amp;"&amp;dropoff[longitude]="&amp;MID(SUBSTITUTE(F98," ",""),FIND(",",SUBSTITUTE(F98," ",""))+1,99),"🚕 Uber"),"")</f>
        <v/>
      </c>
      <c r="J98" s="8">
        <f>IF(F98&lt;&gt;"","https://api.qrserver.com/v1/create-qr-code/?size=200x200&amp;data="&amp;ENCODEURL("https://www.google.com/maps/search/?api=1&amp;query="&amp;SUBSTITUTE(F98," ","")),"")</f>
        <v/>
      </c>
      <c r="K98" s="8">
        <f>IF(C98&lt;&gt;"",HYPERLINK("https://wa.me/507"&amp;REGEXREPLACE(C98,"[^0-9]","")&amp;"?text="&amp;ENCODEURL("Ya llegue. Codigo: "&amp;A98&amp;". Ubicacion: "&amp;"https://www.google.com/maps/search/?api=1&amp;query="&amp;SUBSTITUTE(F98," ","")),"📲 Avisar al cliente"),"")</f>
        <v/>
      </c>
      <c r="L98" s="8">
        <f>IF(C98&lt;&gt;"","https://api.qrserver.com/v1/create-qr-code/?size=200x200&amp;data="&amp;ENCODEURL("https://wa.me/507"&amp;REGEXREPLACE(C98,"[^0-9]","")&amp;"?text="&amp;ENCODEURL("Ya llegue. Codigo: "&amp;A98&amp;". Ubicacion: "&amp;"https://www.google.com/maps/search/?api=1&amp;query="&amp;SUBSTITUTE(F98," ",""))),"")</f>
        <v/>
      </c>
      <c r="M98" s="8">
        <f>IF(B98&lt;&gt;"",TODAY(),"")</f>
        <v/>
      </c>
      <c r="N98" s="8">
        <f>IF(F98&lt;&gt;"",IFERROR(IF(AND(REGEXMATCH(SUBSTITUTE(TRIM(F98)," ",""),"^-?\d+(\.\d+)?,-?\d+(\.\d+)?$"),VALUE(REGEXEXTRACT(SUBSTITUTE(TRIM(F98)," ",""),"^-?\d+(\.\d+)?"))&gt;=-90,VALUE(REGEXEXTRACT(SUBSTITUTE(TRIM(F98)," ",""),"^-?\d+(\.\d+)?"))&lt;=90,VALUE(REGEXEXTRACT(SUBSTITUTE(TRIM(F98)," ",""),"-?\d+(\.\d+)?$"))&gt;=-180,VALUE(REGEXEXTRACT(SUBSTITUTE(TRIM(F98)," ",""),"-?\d+(\.\d+)?$"))&lt;=180),"OK","REVISAR"),"REVISAR"),"")</f>
        <v/>
      </c>
      <c r="O98">
        <f>IF(A98&lt;&gt;"","https://direcciones507.github.io/direcciones507/panel.html?codigo="&amp;A98&amp;"&amp;nombre="&amp;ENCODEURL(B98)&amp;"&amp;telefono="&amp;SUBSTITUTE(C98,"-","")&amp;"&amp;referencia="&amp;ENCODEURL(E98)&amp;"&amp;lat="&amp;IZQUIERDA(SUBSTITUTE(F98," ",""),ENCONTRAR(",",SUBSTITUTE(F98," ",""))-1)&amp;"&amp;lng="&amp;DERECHA(SUBSTITUTE(F98," ",""),LARGO(SUBSTITUTE(F98," ",""))-ENCONTRAR(",",SUBSTITUTE(F98," ",""))),"")</f>
        <v/>
      </c>
    </row>
    <row r="99" ht="15.75" customHeight="1" s="10">
      <c r="A99" s="8">
        <f>CONCAT("AD507-",TEXT(ROW()-2,"0000"))</f>
        <v/>
      </c>
      <c r="C99" s="8" t="n"/>
      <c r="F99" s="8" t="n"/>
      <c r="G99" s="8">
        <f>IF(F99&lt;&gt;"",HYPERLINK("https://www.google.com/maps/search/?api=1&amp;query="&amp;SUBSTITUTE(F99," ",""),"🗺 Google Maps"),"")</f>
        <v/>
      </c>
      <c r="H99" s="8">
        <f>IF(F99&lt;&gt;"",HYPERLINK("https://waze.com/ul?ll="&amp;SUBSTITUTE(F99," ","")&amp;"&amp;navigate=yes","🚗 Waze"),"")</f>
        <v/>
      </c>
      <c r="I99" s="8">
        <f>IF(F99&lt;&gt;"",HYPERLINK("https://m.uber.com/ul/?action=setPickup&amp;pickup=my_location&amp;dropoff[latitude]="&amp;LEFT(SUBSTITUTE(F99," ",""),FIND(",",SUBSTITUTE(F99," ",""))-1)&amp;"&amp;dropoff[longitude]="&amp;MID(SUBSTITUTE(F99," ",""),FIND(",",SUBSTITUTE(F99," ",""))+1,99),"🚕 Uber"),"")</f>
        <v/>
      </c>
      <c r="J99" s="8">
        <f>IF(F99&lt;&gt;"","https://api.qrserver.com/v1/create-qr-code/?size=200x200&amp;data="&amp;ENCODEURL("https://www.google.com/maps/search/?api=1&amp;query="&amp;SUBSTITUTE(F99," ","")),"")</f>
        <v/>
      </c>
      <c r="K99" s="8">
        <f>IF(C99&lt;&gt;"",HYPERLINK("https://wa.me/507"&amp;REGEXREPLACE(C99,"[^0-9]","")&amp;"?text="&amp;ENCODEURL("Ya llegue. Codigo: "&amp;A99&amp;". Ubicacion: "&amp;"https://www.google.com/maps/search/?api=1&amp;query="&amp;SUBSTITUTE(F99," ","")),"📲 Avisar al cliente"),"")</f>
        <v/>
      </c>
      <c r="L99" s="8">
        <f>IF(C99&lt;&gt;"","https://api.qrserver.com/v1/create-qr-code/?size=200x200&amp;data="&amp;ENCODEURL("https://wa.me/507"&amp;REGEXREPLACE(C99,"[^0-9]","")&amp;"?text="&amp;ENCODEURL("Ya llegue. Codigo: "&amp;A99&amp;". Ubicacion: "&amp;"https://www.google.com/maps/search/?api=1&amp;query="&amp;SUBSTITUTE(F99," ",""))),"")</f>
        <v/>
      </c>
      <c r="M99" s="8">
        <f>IF(B99&lt;&gt;"",TODAY(),"")</f>
        <v/>
      </c>
      <c r="N99" s="8">
        <f>IF(F99&lt;&gt;"",IFERROR(IF(AND(REGEXMATCH(SUBSTITUTE(TRIM(F99)," ",""),"^-?\d+(\.\d+)?,-?\d+(\.\d+)?$"),VALUE(REGEXEXTRACT(SUBSTITUTE(TRIM(F99)," ",""),"^-?\d+(\.\d+)?"))&gt;=-90,VALUE(REGEXEXTRACT(SUBSTITUTE(TRIM(F99)," ",""),"^-?\d+(\.\d+)?"))&lt;=90,VALUE(REGEXEXTRACT(SUBSTITUTE(TRIM(F99)," ",""),"-?\d+(\.\d+)?$"))&gt;=-180,VALUE(REGEXEXTRACT(SUBSTITUTE(TRIM(F99)," ",""),"-?\d+(\.\d+)?$"))&lt;=180),"OK","REVISAR"),"REVISAR"),"")</f>
        <v/>
      </c>
      <c r="O99">
        <f>IF(A99&lt;&gt;"","https://direcciones507.github.io/direcciones507/panel.html?codigo="&amp;A99&amp;"&amp;nombre="&amp;ENCODEURL(B99)&amp;"&amp;telefono="&amp;SUBSTITUTE(C99,"-","")&amp;"&amp;referencia="&amp;ENCODEURL(E99)&amp;"&amp;lat="&amp;IZQUIERDA(SUBSTITUTE(F99," ",""),ENCONTRAR(",",SUBSTITUTE(F99," ",""))-1)&amp;"&amp;lng="&amp;DERECHA(SUBSTITUTE(F99," ",""),LARGO(SUBSTITUTE(F99," ",""))-ENCONTRAR(",",SUBSTITUTE(F99," ",""))),"")</f>
        <v/>
      </c>
    </row>
    <row r="100" ht="15.75" customHeight="1" s="10">
      <c r="A100" s="8">
        <f>CONCAT("AD507-",TEXT(ROW()-2,"0000"))</f>
        <v/>
      </c>
      <c r="C100" s="8" t="n"/>
      <c r="F100" s="8" t="n"/>
      <c r="G100" s="8">
        <f>IF(F100&lt;&gt;"",HYPERLINK("https://www.google.com/maps/search/?api=1&amp;query="&amp;SUBSTITUTE(F100," ",""),"🗺 Google Maps"),"")</f>
        <v/>
      </c>
      <c r="H100" s="8">
        <f>IF(F100&lt;&gt;"",HYPERLINK("https://waze.com/ul?ll="&amp;SUBSTITUTE(F100," ","")&amp;"&amp;navigate=yes","🚗 Waze"),"")</f>
        <v/>
      </c>
      <c r="I100" s="8">
        <f>IF(F100&lt;&gt;"",HYPERLINK("https://m.uber.com/ul/?action=setPickup&amp;pickup=my_location&amp;dropoff[latitude]="&amp;LEFT(SUBSTITUTE(F100," ",""),FIND(",",SUBSTITUTE(F100," ",""))-1)&amp;"&amp;dropoff[longitude]="&amp;MID(SUBSTITUTE(F100," ",""),FIND(",",SUBSTITUTE(F100," ",""))+1,99),"🚕 Uber"),"")</f>
        <v/>
      </c>
      <c r="J100" s="8">
        <f>IF(F100&lt;&gt;"","https://api.qrserver.com/v1/create-qr-code/?size=200x200&amp;data="&amp;ENCODEURL("https://www.google.com/maps/search/?api=1&amp;query="&amp;SUBSTITUTE(F100," ","")),"")</f>
        <v/>
      </c>
      <c r="K100" s="8">
        <f>IF(C100&lt;&gt;"",HYPERLINK("https://wa.me/507"&amp;REGEXREPLACE(C100,"[^0-9]","")&amp;"?text="&amp;ENCODEURL("Ya llegue. Codigo: "&amp;A100&amp;". Ubicacion: "&amp;"https://www.google.com/maps/search/?api=1&amp;query="&amp;SUBSTITUTE(F100," ","")),"📲 Avisar al cliente"),"")</f>
        <v/>
      </c>
      <c r="L100" s="8">
        <f>IF(C100&lt;&gt;"","https://api.qrserver.com/v1/create-qr-code/?size=200x200&amp;data="&amp;ENCODEURL("https://wa.me/507"&amp;REGEXREPLACE(C100,"[^0-9]","")&amp;"?text="&amp;ENCODEURL("Ya llegue. Codigo: "&amp;A100&amp;". Ubicacion: "&amp;"https://www.google.com/maps/search/?api=1&amp;query="&amp;SUBSTITUTE(F100," ",""))),"")</f>
        <v/>
      </c>
      <c r="M100" s="8">
        <f>IF(B100&lt;&gt;"",TODAY(),"")</f>
        <v/>
      </c>
      <c r="N100" s="8">
        <f>IF(F100&lt;&gt;"",IFERROR(IF(AND(REGEXMATCH(SUBSTITUTE(TRIM(F100)," ",""),"^-?\d+(\.\d+)?,-?\d+(\.\d+)?$"),VALUE(REGEXEXTRACT(SUBSTITUTE(TRIM(F100)," ",""),"^-?\d+(\.\d+)?"))&gt;=-90,VALUE(REGEXEXTRACT(SUBSTITUTE(TRIM(F100)," ",""),"^-?\d+(\.\d+)?"))&lt;=90,VALUE(REGEXEXTRACT(SUBSTITUTE(TRIM(F100)," ",""),"-?\d+(\.\d+)?$"))&gt;=-180,VALUE(REGEXEXTRACT(SUBSTITUTE(TRIM(F100)," ",""),"-?\d+(\.\d+)?$"))&lt;=180),"OK","REVISAR"),"REVISAR"),"")</f>
        <v/>
      </c>
      <c r="O100">
        <f>IF(A100&lt;&gt;"","https://direcciones507.github.io/direcciones507/panel.html?codigo="&amp;A100&amp;"&amp;nombre="&amp;ENCODEURL(B100)&amp;"&amp;telefono="&amp;SUBSTITUTE(C100,"-","")&amp;"&amp;referencia="&amp;ENCODEURL(E100)&amp;"&amp;lat="&amp;IZQUIERDA(SUBSTITUTE(F100," ",""),ENCONTRAR(",",SUBSTITUTE(F100," ",""))-1)&amp;"&amp;lng="&amp;DERECHA(SUBSTITUTE(F100," ",""),LARGO(SUBSTITUTE(F100," ",""))-ENCONTRAR(",",SUBSTITUTE(F100," ",""))),"")</f>
        <v/>
      </c>
    </row>
    <row r="101" ht="15.75" customHeight="1" s="10">
      <c r="A101" s="8">
        <f>CONCAT("AD507-",TEXT(ROW()-2,"0000"))</f>
        <v/>
      </c>
      <c r="C101" s="8" t="n"/>
      <c r="F101" s="8" t="n"/>
      <c r="G101" s="8">
        <f>IF(F101&lt;&gt;"",HYPERLINK("https://www.google.com/maps/search/?api=1&amp;query="&amp;SUBSTITUTE(F101," ",""),"🗺 Google Maps"),"")</f>
        <v/>
      </c>
      <c r="H101" s="8">
        <f>IF(F101&lt;&gt;"",HYPERLINK("https://waze.com/ul?ll="&amp;SUBSTITUTE(F101," ","")&amp;"&amp;navigate=yes","🚗 Waze"),"")</f>
        <v/>
      </c>
      <c r="I101" s="8">
        <f>IF(F101&lt;&gt;"",HYPERLINK("https://m.uber.com/ul/?action=setPickup&amp;pickup=my_location&amp;dropoff[latitude]="&amp;LEFT(SUBSTITUTE(F101," ",""),FIND(",",SUBSTITUTE(F101," ",""))-1)&amp;"&amp;dropoff[longitude]="&amp;MID(SUBSTITUTE(F101," ",""),FIND(",",SUBSTITUTE(F101," ",""))+1,99),"🚕 Uber"),"")</f>
        <v/>
      </c>
      <c r="J101" s="8">
        <f>IF(F101&lt;&gt;"","https://api.qrserver.com/v1/create-qr-code/?size=200x200&amp;data="&amp;ENCODEURL("https://www.google.com/maps/search/?api=1&amp;query="&amp;SUBSTITUTE(F101," ","")),"")</f>
        <v/>
      </c>
      <c r="K101" s="8">
        <f>IF(C101&lt;&gt;"",HYPERLINK("https://wa.me/507"&amp;REGEXREPLACE(C101,"[^0-9]","")&amp;"?text="&amp;ENCODEURL("Ya llegue. Codigo: "&amp;A101&amp;". Ubicacion: "&amp;"https://www.google.com/maps/search/?api=1&amp;query="&amp;SUBSTITUTE(F101," ","")),"📲 Avisar al cliente"),"")</f>
        <v/>
      </c>
      <c r="L101" s="8">
        <f>IF(C101&lt;&gt;"","https://api.qrserver.com/v1/create-qr-code/?size=200x200&amp;data="&amp;ENCODEURL("https://wa.me/507"&amp;REGEXREPLACE(C101,"[^0-9]","")&amp;"?text="&amp;ENCODEURL("Ya llegue. Codigo: "&amp;A101&amp;". Ubicacion: "&amp;"https://www.google.com/maps/search/?api=1&amp;query="&amp;SUBSTITUTE(F101," ",""))),"")</f>
        <v/>
      </c>
      <c r="M101" s="8">
        <f>IF(B101&lt;&gt;"",TODAY(),"")</f>
        <v/>
      </c>
      <c r="N101" s="8">
        <f>IF(F101&lt;&gt;"",IFERROR(IF(AND(REGEXMATCH(SUBSTITUTE(TRIM(F101)," ",""),"^-?\d+(\.\d+)?,-?\d+(\.\d+)?$"),VALUE(REGEXEXTRACT(SUBSTITUTE(TRIM(F101)," ",""),"^-?\d+(\.\d+)?"))&gt;=-90,VALUE(REGEXEXTRACT(SUBSTITUTE(TRIM(F101)," ",""),"^-?\d+(\.\d+)?"))&lt;=90,VALUE(REGEXEXTRACT(SUBSTITUTE(TRIM(F101)," ",""),"-?\d+(\.\d+)?$"))&gt;=-180,VALUE(REGEXEXTRACT(SUBSTITUTE(TRIM(F101)," ",""),"-?\d+(\.\d+)?$"))&lt;=180),"OK","REVISAR"),"REVISAR"),"")</f>
        <v/>
      </c>
      <c r="O101">
        <f>IF(A101&lt;&gt;"","https://direcciones507.github.io/direcciones507/panel.html?codigo="&amp;A101&amp;"&amp;nombre="&amp;ENCODEURL(B101)&amp;"&amp;telefono="&amp;SUBSTITUTE(C101,"-","")&amp;"&amp;referencia="&amp;ENCODEURL(E101)&amp;"&amp;lat="&amp;IZQUIERDA(SUBSTITUTE(F101," ",""),ENCONTRAR(",",SUBSTITUTE(F101," ",""))-1)&amp;"&amp;lng="&amp;DERECHA(SUBSTITUTE(F101," ",""),LARGO(SUBSTITUTE(F101," ",""))-ENCONTRAR(",",SUBSTITUTE(F101," ",""))),"")</f>
        <v/>
      </c>
    </row>
    <row r="102" ht="15.75" customHeight="1" s="10">
      <c r="A102" s="8">
        <f>CONCAT("AD507-",TEXT(ROW()-2,"0000"))</f>
        <v/>
      </c>
      <c r="C102" s="8" t="n"/>
      <c r="F102" s="8" t="n"/>
      <c r="G102" s="8">
        <f>IF(F102&lt;&gt;"",HYPERLINK("https://www.google.com/maps/search/?api=1&amp;query="&amp;SUBSTITUTE(F102," ",""),"🗺 Google Maps"),"")</f>
        <v/>
      </c>
      <c r="H102" s="8">
        <f>IF(F102&lt;&gt;"",HYPERLINK("https://waze.com/ul?ll="&amp;SUBSTITUTE(F102," ","")&amp;"&amp;navigate=yes","🚗 Waze"),"")</f>
        <v/>
      </c>
      <c r="I102" s="8">
        <f>IF(F102&lt;&gt;"",HYPERLINK("https://m.uber.com/ul/?action=setPickup&amp;pickup=my_location&amp;dropoff[latitude]="&amp;LEFT(SUBSTITUTE(F102," ",""),FIND(",",SUBSTITUTE(F102," ",""))-1)&amp;"&amp;dropoff[longitude]="&amp;MID(SUBSTITUTE(F102," ",""),FIND(",",SUBSTITUTE(F102," ",""))+1,99),"🚕 Uber"),"")</f>
        <v/>
      </c>
      <c r="J102" s="8">
        <f>IF(F102&lt;&gt;"","https://api.qrserver.com/v1/create-qr-code/?size=200x200&amp;data="&amp;ENCODEURL("https://www.google.com/maps/search/?api=1&amp;query="&amp;SUBSTITUTE(F102," ","")),"")</f>
        <v/>
      </c>
      <c r="K102" s="8">
        <f>IF(C102&lt;&gt;"",HYPERLINK("https://wa.me/507"&amp;REGEXREPLACE(C102,"[^0-9]","")&amp;"?text="&amp;ENCODEURL("Ya llegue. Codigo: "&amp;A102&amp;". Ubicacion: "&amp;"https://www.google.com/maps/search/?api=1&amp;query="&amp;SUBSTITUTE(F102," ","")),"📲 Avisar al cliente"),"")</f>
        <v/>
      </c>
      <c r="L102" s="8">
        <f>IF(C102&lt;&gt;"","https://api.qrserver.com/v1/create-qr-code/?size=200x200&amp;data="&amp;ENCODEURL("https://wa.me/507"&amp;REGEXREPLACE(C102,"[^0-9]","")&amp;"?text="&amp;ENCODEURL("Ya llegue. Codigo: "&amp;A102&amp;". Ubicacion: "&amp;"https://www.google.com/maps/search/?api=1&amp;query="&amp;SUBSTITUTE(F102," ",""))),"")</f>
        <v/>
      </c>
      <c r="M102" s="8">
        <f>IF(B102&lt;&gt;"",TODAY(),"")</f>
        <v/>
      </c>
      <c r="N102" s="8">
        <f>IF(F102&lt;&gt;"",IFERROR(IF(AND(REGEXMATCH(SUBSTITUTE(TRIM(F102)," ",""),"^-?\d+(\.\d+)?,-?\d+(\.\d+)?$"),VALUE(REGEXEXTRACT(SUBSTITUTE(TRIM(F102)," ",""),"^-?\d+(\.\d+)?"))&gt;=-90,VALUE(REGEXEXTRACT(SUBSTITUTE(TRIM(F102)," ",""),"^-?\d+(\.\d+)?"))&lt;=90,VALUE(REGEXEXTRACT(SUBSTITUTE(TRIM(F102)," ",""),"-?\d+(\.\d+)?$"))&gt;=-180,VALUE(REGEXEXTRACT(SUBSTITUTE(TRIM(F102)," ",""),"-?\d+(\.\d+)?$"))&lt;=180),"OK","REVISAR"),"REVISAR"),"")</f>
        <v/>
      </c>
      <c r="O102">
        <f>IF(A102&lt;&gt;"","https://direcciones507.github.io/direcciones507/panel.html?codigo="&amp;A102&amp;"&amp;nombre="&amp;ENCODEURL(B102)&amp;"&amp;telefono="&amp;SUBSTITUTE(C102,"-","")&amp;"&amp;referencia="&amp;ENCODEURL(E102)&amp;"&amp;lat="&amp;IZQUIERDA(SUBSTITUTE(F102," ",""),ENCONTRAR(",",SUBSTITUTE(F102," ",""))-1)&amp;"&amp;lng="&amp;DERECHA(SUBSTITUTE(F102," ",""),LARGO(SUBSTITUTE(F102," ",""))-ENCONTRAR(",",SUBSTITUTE(F102," ",""))),"")</f>
        <v/>
      </c>
    </row>
    <row r="103" ht="15.75" customHeight="1" s="10">
      <c r="A103" s="8">
        <f>CONCAT("AD507-",TEXT(ROW()-2,"0000"))</f>
        <v/>
      </c>
      <c r="C103" s="8" t="n"/>
      <c r="F103" s="8" t="n"/>
      <c r="G103" s="8">
        <f>IF(F103&lt;&gt;"",HYPERLINK("https://www.google.com/maps/search/?api=1&amp;query="&amp;SUBSTITUTE(F103," ",""),"🗺 Google Maps"),"")</f>
        <v/>
      </c>
      <c r="H103" s="8">
        <f>IF(F103&lt;&gt;"",HYPERLINK("https://waze.com/ul?ll="&amp;SUBSTITUTE(F103," ","")&amp;"&amp;navigate=yes","🚗 Waze"),"")</f>
        <v/>
      </c>
      <c r="I103" s="8">
        <f>IF(F103&lt;&gt;"",HYPERLINK("https://m.uber.com/ul/?action=setPickup&amp;pickup=my_location&amp;dropoff[latitude]="&amp;LEFT(SUBSTITUTE(F103," ",""),FIND(",",SUBSTITUTE(F103," ",""))-1)&amp;"&amp;dropoff[longitude]="&amp;MID(SUBSTITUTE(F103," ",""),FIND(",",SUBSTITUTE(F103," ",""))+1,99),"🚕 Uber"),"")</f>
        <v/>
      </c>
      <c r="J103" s="8">
        <f>IF(F103&lt;&gt;"","https://api.qrserver.com/v1/create-qr-code/?size=200x200&amp;data="&amp;ENCODEURL("https://www.google.com/maps/search/?api=1&amp;query="&amp;SUBSTITUTE(F103," ","")),"")</f>
        <v/>
      </c>
      <c r="K103" s="8">
        <f>IF(C103&lt;&gt;"",HYPERLINK("https://wa.me/507"&amp;REGEXREPLACE(C103,"[^0-9]","")&amp;"?text="&amp;ENCODEURL("Ya llegue. Codigo: "&amp;A103&amp;". Ubicacion: "&amp;"https://www.google.com/maps/search/?api=1&amp;query="&amp;SUBSTITUTE(F103," ","")),"📲 Avisar al cliente"),"")</f>
        <v/>
      </c>
      <c r="L103" s="8">
        <f>IF(C103&lt;&gt;"","https://api.qrserver.com/v1/create-qr-code/?size=200x200&amp;data="&amp;ENCODEURL("https://wa.me/507"&amp;REGEXREPLACE(C103,"[^0-9]","")&amp;"?text="&amp;ENCODEURL("Ya llegue. Codigo: "&amp;A103&amp;". Ubicacion: "&amp;"https://www.google.com/maps/search/?api=1&amp;query="&amp;SUBSTITUTE(F103," ",""))),"")</f>
        <v/>
      </c>
      <c r="M103" s="8">
        <f>IF(B103&lt;&gt;"",TODAY(),"")</f>
        <v/>
      </c>
      <c r="N103" s="8">
        <f>IF(F103&lt;&gt;"",IFERROR(IF(AND(REGEXMATCH(SUBSTITUTE(TRIM(F103)," ",""),"^-?\d+(\.\d+)?,-?\d+(\.\d+)?$"),VALUE(REGEXEXTRACT(SUBSTITUTE(TRIM(F103)," ",""),"^-?\d+(\.\d+)?"))&gt;=-90,VALUE(REGEXEXTRACT(SUBSTITUTE(TRIM(F103)," ",""),"^-?\d+(\.\d+)?"))&lt;=90,VALUE(REGEXEXTRACT(SUBSTITUTE(TRIM(F103)," ",""),"-?\d+(\.\d+)?$"))&gt;=-180,VALUE(REGEXEXTRACT(SUBSTITUTE(TRIM(F103)," ",""),"-?\d+(\.\d+)?$"))&lt;=180),"OK","REVISAR"),"REVISAR"),"")</f>
        <v/>
      </c>
      <c r="O103">
        <f>IF(A103&lt;&gt;"","https://direcciones507.github.io/direcciones507/panel.html?codigo="&amp;A103&amp;"&amp;nombre="&amp;ENCODEURL(B103)&amp;"&amp;telefono="&amp;SUBSTITUTE(C103,"-","")&amp;"&amp;referencia="&amp;ENCODEURL(E103)&amp;"&amp;lat="&amp;IZQUIERDA(SUBSTITUTE(F103," ",""),ENCONTRAR(",",SUBSTITUTE(F103," ",""))-1)&amp;"&amp;lng="&amp;DERECHA(SUBSTITUTE(F103," ",""),LARGO(SUBSTITUTE(F103," ",""))-ENCONTRAR(",",SUBSTITUTE(F103," ",""))),"")</f>
        <v/>
      </c>
    </row>
    <row r="104" ht="15.75" customHeight="1" s="10">
      <c r="A104" s="8">
        <f>CONCAT("AD507-",TEXT(ROW()-2,"0000"))</f>
        <v/>
      </c>
      <c r="C104" s="8" t="n"/>
      <c r="F104" s="8" t="n"/>
      <c r="G104" s="8">
        <f>IF(F104&lt;&gt;"",HYPERLINK("https://www.google.com/maps/search/?api=1&amp;query="&amp;SUBSTITUTE(F104," ",""),"🗺 Google Maps"),"")</f>
        <v/>
      </c>
      <c r="H104" s="8">
        <f>IF(F104&lt;&gt;"",HYPERLINK("https://waze.com/ul?ll="&amp;SUBSTITUTE(F104," ","")&amp;"&amp;navigate=yes","🚗 Waze"),"")</f>
        <v/>
      </c>
      <c r="I104" s="8">
        <f>IF(F104&lt;&gt;"",HYPERLINK("https://m.uber.com/ul/?action=setPickup&amp;pickup=my_location&amp;dropoff[latitude]="&amp;LEFT(SUBSTITUTE(F104," ",""),FIND(",",SUBSTITUTE(F104," ",""))-1)&amp;"&amp;dropoff[longitude]="&amp;MID(SUBSTITUTE(F104," ",""),FIND(",",SUBSTITUTE(F104," ",""))+1,99),"🚕 Uber"),"")</f>
        <v/>
      </c>
      <c r="J104" s="8">
        <f>IF(F104&lt;&gt;"","https://api.qrserver.com/v1/create-qr-code/?size=200x200&amp;data="&amp;ENCODEURL("https://www.google.com/maps/search/?api=1&amp;query="&amp;SUBSTITUTE(F104," ","")),"")</f>
        <v/>
      </c>
      <c r="K104" s="8">
        <f>IF(C104&lt;&gt;"",HYPERLINK("https://wa.me/507"&amp;REGEXREPLACE(C104,"[^0-9]","")&amp;"?text="&amp;ENCODEURL("Ya llegue. Codigo: "&amp;A104&amp;". Ubicacion: "&amp;"https://www.google.com/maps/search/?api=1&amp;query="&amp;SUBSTITUTE(F104," ","")),"📲 Avisar al cliente"),"")</f>
        <v/>
      </c>
      <c r="L104" s="8">
        <f>IF(C104&lt;&gt;"","https://api.qrserver.com/v1/create-qr-code/?size=200x200&amp;data="&amp;ENCODEURL("https://wa.me/507"&amp;REGEXREPLACE(C104,"[^0-9]","")&amp;"?text="&amp;ENCODEURL("Ya llegue. Codigo: "&amp;A104&amp;". Ubicacion: "&amp;"https://www.google.com/maps/search/?api=1&amp;query="&amp;SUBSTITUTE(F104," ",""))),"")</f>
        <v/>
      </c>
      <c r="M104" s="8">
        <f>IF(B104&lt;&gt;"",TODAY(),"")</f>
        <v/>
      </c>
      <c r="N104" s="8">
        <f>IF(F104&lt;&gt;"",IFERROR(IF(AND(REGEXMATCH(SUBSTITUTE(TRIM(F104)," ",""),"^-?\d+(\.\d+)?,-?\d+(\.\d+)?$"),VALUE(REGEXEXTRACT(SUBSTITUTE(TRIM(F104)," ",""),"^-?\d+(\.\d+)?"))&gt;=-90,VALUE(REGEXEXTRACT(SUBSTITUTE(TRIM(F104)," ",""),"^-?\d+(\.\d+)?"))&lt;=90,VALUE(REGEXEXTRACT(SUBSTITUTE(TRIM(F104)," ",""),"-?\d+(\.\d+)?$"))&gt;=-180,VALUE(REGEXEXTRACT(SUBSTITUTE(TRIM(F104)," ",""),"-?\d+(\.\d+)?$"))&lt;=180),"OK","REVISAR"),"REVISAR"),"")</f>
        <v/>
      </c>
      <c r="O104">
        <f>IF(A104&lt;&gt;"","https://direcciones507.github.io/direcciones507/panel.html?codigo="&amp;A104&amp;"&amp;nombre="&amp;ENCODEURL(B104)&amp;"&amp;telefono="&amp;SUBSTITUTE(C104,"-","")&amp;"&amp;referencia="&amp;ENCODEURL(E104)&amp;"&amp;lat="&amp;IZQUIERDA(SUBSTITUTE(F104," ",""),ENCONTRAR(",",SUBSTITUTE(F104," ",""))-1)&amp;"&amp;lng="&amp;DERECHA(SUBSTITUTE(F104," ",""),LARGO(SUBSTITUTE(F104," ",""))-ENCONTRAR(",",SUBSTITUTE(F104," ",""))),"")</f>
        <v/>
      </c>
    </row>
    <row r="105" ht="15.75" customHeight="1" s="10">
      <c r="A105" s="8">
        <f>CONCAT("AD507-",TEXT(ROW()-2,"0000"))</f>
        <v/>
      </c>
      <c r="C105" s="8" t="n"/>
      <c r="F105" s="8" t="n"/>
      <c r="G105" s="8">
        <f>IF(F105&lt;&gt;"",HYPERLINK("https://www.google.com/maps/search/?api=1&amp;query="&amp;SUBSTITUTE(F105," ",""),"🗺 Google Maps"),"")</f>
        <v/>
      </c>
      <c r="H105" s="8">
        <f>IF(F105&lt;&gt;"",HYPERLINK("https://waze.com/ul?ll="&amp;SUBSTITUTE(F105," ","")&amp;"&amp;navigate=yes","🚗 Waze"),"")</f>
        <v/>
      </c>
      <c r="I105" s="8">
        <f>IF(F105&lt;&gt;"",HYPERLINK("https://m.uber.com/ul/?action=setPickup&amp;pickup=my_location&amp;dropoff[latitude]="&amp;LEFT(SUBSTITUTE(F105," ",""),FIND(",",SUBSTITUTE(F105," ",""))-1)&amp;"&amp;dropoff[longitude]="&amp;MID(SUBSTITUTE(F105," ",""),FIND(",",SUBSTITUTE(F105," ",""))+1,99),"🚕 Uber"),"")</f>
        <v/>
      </c>
      <c r="J105" s="8">
        <f>IF(F105&lt;&gt;"","https://api.qrserver.com/v1/create-qr-code/?size=200x200&amp;data="&amp;ENCODEURL("https://www.google.com/maps/search/?api=1&amp;query="&amp;SUBSTITUTE(F105," ","")),"")</f>
        <v/>
      </c>
      <c r="K105" s="8">
        <f>IF(C105&lt;&gt;"",HYPERLINK("https://wa.me/507"&amp;REGEXREPLACE(C105,"[^0-9]","")&amp;"?text="&amp;ENCODEURL("Ya llegue. Codigo: "&amp;A105&amp;". Ubicacion: "&amp;"https://www.google.com/maps/search/?api=1&amp;query="&amp;SUBSTITUTE(F105," ","")),"📲 Avisar al cliente"),"")</f>
        <v/>
      </c>
      <c r="L105" s="8">
        <f>IF(C105&lt;&gt;"","https://api.qrserver.com/v1/create-qr-code/?size=200x200&amp;data="&amp;ENCODEURL("https://wa.me/507"&amp;REGEXREPLACE(C105,"[^0-9]","")&amp;"?text="&amp;ENCODEURL("Ya llegue. Codigo: "&amp;A105&amp;". Ubicacion: "&amp;"https://www.google.com/maps/search/?api=1&amp;query="&amp;SUBSTITUTE(F105," ",""))),"")</f>
        <v/>
      </c>
      <c r="M105" s="8">
        <f>IF(B105&lt;&gt;"",TODAY(),"")</f>
        <v/>
      </c>
      <c r="N105" s="8">
        <f>IF(F105&lt;&gt;"",IFERROR(IF(AND(REGEXMATCH(SUBSTITUTE(TRIM(F105)," ",""),"^-?\d+(\.\d+)?,-?\d+(\.\d+)?$"),VALUE(REGEXEXTRACT(SUBSTITUTE(TRIM(F105)," ",""),"^-?\d+(\.\d+)?"))&gt;=-90,VALUE(REGEXEXTRACT(SUBSTITUTE(TRIM(F105)," ",""),"^-?\d+(\.\d+)?"))&lt;=90,VALUE(REGEXEXTRACT(SUBSTITUTE(TRIM(F105)," ",""),"-?\d+(\.\d+)?$"))&gt;=-180,VALUE(REGEXEXTRACT(SUBSTITUTE(TRIM(F105)," ",""),"-?\d+(\.\d+)?$"))&lt;=180),"OK","REVISAR"),"REVISAR"),"")</f>
        <v/>
      </c>
      <c r="O105">
        <f>IF(A105&lt;&gt;"","https://direcciones507.github.io/direcciones507/panel.html?codigo="&amp;A105&amp;"&amp;nombre="&amp;ENCODEURL(B105)&amp;"&amp;telefono="&amp;SUBSTITUTE(C105,"-","")&amp;"&amp;referencia="&amp;ENCODEURL(E105)&amp;"&amp;lat="&amp;IZQUIERDA(SUBSTITUTE(F105," ",""),ENCONTRAR(",",SUBSTITUTE(F105," ",""))-1)&amp;"&amp;lng="&amp;DERECHA(SUBSTITUTE(F105," ",""),LARGO(SUBSTITUTE(F105," ",""))-ENCONTRAR(",",SUBSTITUTE(F105," ",""))),"")</f>
        <v/>
      </c>
    </row>
    <row r="106" ht="15.75" customHeight="1" s="10">
      <c r="A106" s="8">
        <f>CONCAT("AD507-",TEXT(ROW()-2,"0000"))</f>
        <v/>
      </c>
      <c r="C106" s="8" t="n"/>
      <c r="F106" s="8" t="n"/>
      <c r="G106" s="8">
        <f>IF(F106&lt;&gt;"",HYPERLINK("https://www.google.com/maps/search/?api=1&amp;query="&amp;SUBSTITUTE(F106," ",""),"🗺 Google Maps"),"")</f>
        <v/>
      </c>
      <c r="H106" s="8">
        <f>IF(F106&lt;&gt;"",HYPERLINK("https://waze.com/ul?ll="&amp;SUBSTITUTE(F106," ","")&amp;"&amp;navigate=yes","🚗 Waze"),"")</f>
        <v/>
      </c>
      <c r="I106" s="8">
        <f>IF(F106&lt;&gt;"",HYPERLINK("https://m.uber.com/ul/?action=setPickup&amp;pickup=my_location&amp;dropoff[latitude]="&amp;LEFT(SUBSTITUTE(F106," ",""),FIND(",",SUBSTITUTE(F106," ",""))-1)&amp;"&amp;dropoff[longitude]="&amp;MID(SUBSTITUTE(F106," ",""),FIND(",",SUBSTITUTE(F106," ",""))+1,99),"🚕 Uber"),"")</f>
        <v/>
      </c>
      <c r="J106" s="8">
        <f>IF(F106&lt;&gt;"","https://api.qrserver.com/v1/create-qr-code/?size=200x200&amp;data="&amp;ENCODEURL("https://www.google.com/maps/search/?api=1&amp;query="&amp;SUBSTITUTE(F106," ","")),"")</f>
        <v/>
      </c>
      <c r="K106" s="8">
        <f>IF(C106&lt;&gt;"",HYPERLINK("https://wa.me/507"&amp;REGEXREPLACE(C106,"[^0-9]","")&amp;"?text="&amp;ENCODEURL("Ya llegue. Codigo: "&amp;A106&amp;". Ubicacion: "&amp;"https://www.google.com/maps/search/?api=1&amp;query="&amp;SUBSTITUTE(F106," ","")),"📲 Avisar al cliente"),"")</f>
        <v/>
      </c>
      <c r="L106" s="8">
        <f>IF(C106&lt;&gt;"","https://api.qrserver.com/v1/create-qr-code/?size=200x200&amp;data="&amp;ENCODEURL("https://wa.me/507"&amp;REGEXREPLACE(C106,"[^0-9]","")&amp;"?text="&amp;ENCODEURL("Ya llegue. Codigo: "&amp;A106&amp;". Ubicacion: "&amp;"https://www.google.com/maps/search/?api=1&amp;query="&amp;SUBSTITUTE(F106," ",""))),"")</f>
        <v/>
      </c>
      <c r="M106" s="8">
        <f>IF(B106&lt;&gt;"",TODAY(),"")</f>
        <v/>
      </c>
      <c r="N106" s="8">
        <f>IF(F106&lt;&gt;"",IFERROR(IF(AND(REGEXMATCH(SUBSTITUTE(TRIM(F106)," ",""),"^-?\d+(\.\d+)?,-?\d+(\.\d+)?$"),VALUE(REGEXEXTRACT(SUBSTITUTE(TRIM(F106)," ",""),"^-?\d+(\.\d+)?"))&gt;=-90,VALUE(REGEXEXTRACT(SUBSTITUTE(TRIM(F106)," ",""),"^-?\d+(\.\d+)?"))&lt;=90,VALUE(REGEXEXTRACT(SUBSTITUTE(TRIM(F106)," ",""),"-?\d+(\.\d+)?$"))&gt;=-180,VALUE(REGEXEXTRACT(SUBSTITUTE(TRIM(F106)," ",""),"-?\d+(\.\d+)?$"))&lt;=180),"OK","REVISAR"),"REVISAR"),"")</f>
        <v/>
      </c>
      <c r="O106">
        <f>IF(A106&lt;&gt;"","https://direcciones507.github.io/direcciones507/panel.html?codigo="&amp;A106&amp;"&amp;nombre="&amp;ENCODEURL(B106)&amp;"&amp;telefono="&amp;SUBSTITUTE(C106,"-","")&amp;"&amp;referencia="&amp;ENCODEURL(E106)&amp;"&amp;lat="&amp;IZQUIERDA(SUBSTITUTE(F106," ",""),ENCONTRAR(",",SUBSTITUTE(F106," ",""))-1)&amp;"&amp;lng="&amp;DERECHA(SUBSTITUTE(F106," ",""),LARGO(SUBSTITUTE(F106," ",""))-ENCONTRAR(",",SUBSTITUTE(F106," ",""))),"")</f>
        <v/>
      </c>
    </row>
    <row r="107" ht="15.75" customHeight="1" s="10">
      <c r="A107" s="8">
        <f>CONCAT("AD507-",TEXT(ROW()-2,"0000"))</f>
        <v/>
      </c>
      <c r="C107" s="8" t="n"/>
      <c r="F107" s="8" t="n"/>
      <c r="G107" s="8">
        <f>IF(F107&lt;&gt;"",HYPERLINK("https://www.google.com/maps/search/?api=1&amp;query="&amp;SUBSTITUTE(F107," ",""),"🗺 Google Maps"),"")</f>
        <v/>
      </c>
      <c r="H107" s="8">
        <f>IF(F107&lt;&gt;"",HYPERLINK("https://waze.com/ul?ll="&amp;SUBSTITUTE(F107," ","")&amp;"&amp;navigate=yes","🚗 Waze"),"")</f>
        <v/>
      </c>
      <c r="I107" s="8">
        <f>IF(F107&lt;&gt;"",HYPERLINK("https://m.uber.com/ul/?action=setPickup&amp;pickup=my_location&amp;dropoff[latitude]="&amp;LEFT(SUBSTITUTE(F107," ",""),FIND(",",SUBSTITUTE(F107," ",""))-1)&amp;"&amp;dropoff[longitude]="&amp;MID(SUBSTITUTE(F107," ",""),FIND(",",SUBSTITUTE(F107," ",""))+1,99),"🚕 Uber"),"")</f>
        <v/>
      </c>
      <c r="J107" s="8">
        <f>IF(F107&lt;&gt;"","https://api.qrserver.com/v1/create-qr-code/?size=200x200&amp;data="&amp;ENCODEURL("https://www.google.com/maps/search/?api=1&amp;query="&amp;SUBSTITUTE(F107," ","")),"")</f>
        <v/>
      </c>
      <c r="K107" s="8">
        <f>IF(C107&lt;&gt;"",HYPERLINK("https://wa.me/507"&amp;REGEXREPLACE(C107,"[^0-9]","")&amp;"?text="&amp;ENCODEURL("Ya llegue. Codigo: "&amp;A107&amp;". Ubicacion: "&amp;"https://www.google.com/maps/search/?api=1&amp;query="&amp;SUBSTITUTE(F107," ","")),"📲 Avisar al cliente"),"")</f>
        <v/>
      </c>
      <c r="L107" s="8">
        <f>IF(C107&lt;&gt;"","https://api.qrserver.com/v1/create-qr-code/?size=200x200&amp;data="&amp;ENCODEURL("https://wa.me/507"&amp;REGEXREPLACE(C107,"[^0-9]","")&amp;"?text="&amp;ENCODEURL("Ya llegue. Codigo: "&amp;A107&amp;". Ubicacion: "&amp;"https://www.google.com/maps/search/?api=1&amp;query="&amp;SUBSTITUTE(F107," ",""))),"")</f>
        <v/>
      </c>
      <c r="M107" s="8">
        <f>IF(B107&lt;&gt;"",TODAY(),"")</f>
        <v/>
      </c>
      <c r="N107" s="8">
        <f>IF(F107&lt;&gt;"",IFERROR(IF(AND(REGEXMATCH(SUBSTITUTE(TRIM(F107)," ",""),"^-?\d+(\.\d+)?,-?\d+(\.\d+)?$"),VALUE(REGEXEXTRACT(SUBSTITUTE(TRIM(F107)," ",""),"^-?\d+(\.\d+)?"))&gt;=-90,VALUE(REGEXEXTRACT(SUBSTITUTE(TRIM(F107)," ",""),"^-?\d+(\.\d+)?"))&lt;=90,VALUE(REGEXEXTRACT(SUBSTITUTE(TRIM(F107)," ",""),"-?\d+(\.\d+)?$"))&gt;=-180,VALUE(REGEXEXTRACT(SUBSTITUTE(TRIM(F107)," ",""),"-?\d+(\.\d+)?$"))&lt;=180),"OK","REVISAR"),"REVISAR"),"")</f>
        <v/>
      </c>
      <c r="O107">
        <f>IF(A107&lt;&gt;"","https://direcciones507.github.io/direcciones507/panel.html?codigo="&amp;A107&amp;"&amp;nombre="&amp;ENCODEURL(B107)&amp;"&amp;telefono="&amp;SUBSTITUTE(C107,"-","")&amp;"&amp;referencia="&amp;ENCODEURL(E107)&amp;"&amp;lat="&amp;IZQUIERDA(SUBSTITUTE(F107," ",""),ENCONTRAR(",",SUBSTITUTE(F107," ",""))-1)&amp;"&amp;lng="&amp;DERECHA(SUBSTITUTE(F107," ",""),LARGO(SUBSTITUTE(F107," ",""))-ENCONTRAR(",",SUBSTITUTE(F107," ",""))),"")</f>
        <v/>
      </c>
    </row>
    <row r="108" ht="15.75" customHeight="1" s="10">
      <c r="A108" s="8">
        <f>CONCAT("AD507-",TEXT(ROW()-2,"0000"))</f>
        <v/>
      </c>
      <c r="C108" s="8" t="n"/>
      <c r="F108" s="8" t="n"/>
      <c r="G108" s="8">
        <f>IF(F108&lt;&gt;"",HYPERLINK("https://www.google.com/maps/search/?api=1&amp;query="&amp;SUBSTITUTE(F108," ",""),"🗺 Google Maps"),"")</f>
        <v/>
      </c>
      <c r="H108" s="8">
        <f>IF(F108&lt;&gt;"",HYPERLINK("https://waze.com/ul?ll="&amp;SUBSTITUTE(F108," ","")&amp;"&amp;navigate=yes","🚗 Waze"),"")</f>
        <v/>
      </c>
      <c r="I108" s="8">
        <f>IF(F108&lt;&gt;"",HYPERLINK("https://m.uber.com/ul/?action=setPickup&amp;pickup=my_location&amp;dropoff[latitude]="&amp;LEFT(SUBSTITUTE(F108," ",""),FIND(",",SUBSTITUTE(F108," ",""))-1)&amp;"&amp;dropoff[longitude]="&amp;MID(SUBSTITUTE(F108," ",""),FIND(",",SUBSTITUTE(F108," ",""))+1,99),"🚕 Uber"),"")</f>
        <v/>
      </c>
      <c r="J108" s="8">
        <f>IF(F108&lt;&gt;"","https://api.qrserver.com/v1/create-qr-code/?size=200x200&amp;data="&amp;ENCODEURL("https://www.google.com/maps/search/?api=1&amp;query="&amp;SUBSTITUTE(F108," ","")),"")</f>
        <v/>
      </c>
      <c r="K108" s="8">
        <f>IF(C108&lt;&gt;"",HYPERLINK("https://wa.me/507"&amp;REGEXREPLACE(C108,"[^0-9]","")&amp;"?text="&amp;ENCODEURL("Ya llegue. Codigo: "&amp;A108&amp;". Ubicacion: "&amp;"https://www.google.com/maps/search/?api=1&amp;query="&amp;SUBSTITUTE(F108," ","")),"📲 Avisar al cliente"),"")</f>
        <v/>
      </c>
      <c r="L108" s="8">
        <f>IF(C108&lt;&gt;"","https://api.qrserver.com/v1/create-qr-code/?size=200x200&amp;data="&amp;ENCODEURL("https://wa.me/507"&amp;REGEXREPLACE(C108,"[^0-9]","")&amp;"?text="&amp;ENCODEURL("Ya llegue. Codigo: "&amp;A108&amp;". Ubicacion: "&amp;"https://www.google.com/maps/search/?api=1&amp;query="&amp;SUBSTITUTE(F108," ",""))),"")</f>
        <v/>
      </c>
      <c r="M108" s="8">
        <f>IF(B108&lt;&gt;"",TODAY(),"")</f>
        <v/>
      </c>
      <c r="N108" s="8">
        <f>IF(F108&lt;&gt;"",IFERROR(IF(AND(REGEXMATCH(SUBSTITUTE(TRIM(F108)," ",""),"^-?\d+(\.\d+)?,-?\d+(\.\d+)?$"),VALUE(REGEXEXTRACT(SUBSTITUTE(TRIM(F108)," ",""),"^-?\d+(\.\d+)?"))&gt;=-90,VALUE(REGEXEXTRACT(SUBSTITUTE(TRIM(F108)," ",""),"^-?\d+(\.\d+)?"))&lt;=90,VALUE(REGEXEXTRACT(SUBSTITUTE(TRIM(F108)," ",""),"-?\d+(\.\d+)?$"))&gt;=-180,VALUE(REGEXEXTRACT(SUBSTITUTE(TRIM(F108)," ",""),"-?\d+(\.\d+)?$"))&lt;=180),"OK","REVISAR"),"REVISAR"),"")</f>
        <v/>
      </c>
      <c r="O108">
        <f>IF(A108&lt;&gt;"","https://direcciones507.github.io/direcciones507/panel.html?codigo="&amp;A108&amp;"&amp;nombre="&amp;ENCODEURL(B108)&amp;"&amp;telefono="&amp;SUBSTITUTE(C108,"-","")&amp;"&amp;referencia="&amp;ENCODEURL(E108)&amp;"&amp;lat="&amp;IZQUIERDA(SUBSTITUTE(F108," ",""),ENCONTRAR(",",SUBSTITUTE(F108," ",""))-1)&amp;"&amp;lng="&amp;DERECHA(SUBSTITUTE(F108," ",""),LARGO(SUBSTITUTE(F108," ",""))-ENCONTRAR(",",SUBSTITUTE(F108," ",""))),"")</f>
        <v/>
      </c>
    </row>
    <row r="109" ht="15.75" customHeight="1" s="10">
      <c r="A109" s="8">
        <f>CONCAT("AD507-",TEXT(ROW()-2,"0000"))</f>
        <v/>
      </c>
      <c r="C109" s="8" t="n"/>
      <c r="F109" s="8" t="n"/>
      <c r="G109" s="8">
        <f>IF(F109&lt;&gt;"",HYPERLINK("https://www.google.com/maps/search/?api=1&amp;query="&amp;SUBSTITUTE(F109," ",""),"🗺 Google Maps"),"")</f>
        <v/>
      </c>
      <c r="H109" s="8">
        <f>IF(F109&lt;&gt;"",HYPERLINK("https://waze.com/ul?ll="&amp;SUBSTITUTE(F109," ","")&amp;"&amp;navigate=yes","🚗 Waze"),"")</f>
        <v/>
      </c>
      <c r="I109" s="8">
        <f>IF(F109&lt;&gt;"",HYPERLINK("https://m.uber.com/ul/?action=setPickup&amp;pickup=my_location&amp;dropoff[latitude]="&amp;LEFT(SUBSTITUTE(F109," ",""),FIND(",",SUBSTITUTE(F109," ",""))-1)&amp;"&amp;dropoff[longitude]="&amp;MID(SUBSTITUTE(F109," ",""),FIND(",",SUBSTITUTE(F109," ",""))+1,99),"🚕 Uber"),"")</f>
        <v/>
      </c>
      <c r="J109" s="8">
        <f>IF(F109&lt;&gt;"","https://api.qrserver.com/v1/create-qr-code/?size=200x200&amp;data="&amp;ENCODEURL("https://www.google.com/maps/search/?api=1&amp;query="&amp;SUBSTITUTE(F109," ","")),"")</f>
        <v/>
      </c>
      <c r="K109" s="8">
        <f>IF(C109&lt;&gt;"",HYPERLINK("https://wa.me/507"&amp;REGEXREPLACE(C109,"[^0-9]","")&amp;"?text="&amp;ENCODEURL("Ya llegue. Codigo: "&amp;A109&amp;". Ubicacion: "&amp;"https://www.google.com/maps/search/?api=1&amp;query="&amp;SUBSTITUTE(F109," ","")),"📲 Avisar al cliente"),"")</f>
        <v/>
      </c>
      <c r="L109" s="8">
        <f>IF(C109&lt;&gt;"","https://api.qrserver.com/v1/create-qr-code/?size=200x200&amp;data="&amp;ENCODEURL("https://wa.me/507"&amp;REGEXREPLACE(C109,"[^0-9]","")&amp;"?text="&amp;ENCODEURL("Ya llegue. Codigo: "&amp;A109&amp;". Ubicacion: "&amp;"https://www.google.com/maps/search/?api=1&amp;query="&amp;SUBSTITUTE(F109," ",""))),"")</f>
        <v/>
      </c>
      <c r="M109" s="8">
        <f>IF(B109&lt;&gt;"",TODAY(),"")</f>
        <v/>
      </c>
      <c r="N109" s="8">
        <f>IF(F109&lt;&gt;"",IFERROR(IF(AND(REGEXMATCH(SUBSTITUTE(TRIM(F109)," ",""),"^-?\d+(\.\d+)?,-?\d+(\.\d+)?$"),VALUE(REGEXEXTRACT(SUBSTITUTE(TRIM(F109)," ",""),"^-?\d+(\.\d+)?"))&gt;=-90,VALUE(REGEXEXTRACT(SUBSTITUTE(TRIM(F109)," ",""),"^-?\d+(\.\d+)?"))&lt;=90,VALUE(REGEXEXTRACT(SUBSTITUTE(TRIM(F109)," ",""),"-?\d+(\.\d+)?$"))&gt;=-180,VALUE(REGEXEXTRACT(SUBSTITUTE(TRIM(F109)," ",""),"-?\d+(\.\d+)?$"))&lt;=180),"OK","REVISAR"),"REVISAR"),"")</f>
        <v/>
      </c>
      <c r="O109">
        <f>IF(A109&lt;&gt;"","https://direcciones507.github.io/direcciones507/panel.html?codigo="&amp;A109&amp;"&amp;nombre="&amp;ENCODEURL(B109)&amp;"&amp;telefono="&amp;SUBSTITUTE(C109,"-","")&amp;"&amp;referencia="&amp;ENCODEURL(E109)&amp;"&amp;lat="&amp;IZQUIERDA(SUBSTITUTE(F109," ",""),ENCONTRAR(",",SUBSTITUTE(F109," ",""))-1)&amp;"&amp;lng="&amp;DERECHA(SUBSTITUTE(F109," ",""),LARGO(SUBSTITUTE(F109," ",""))-ENCONTRAR(",",SUBSTITUTE(F109," ",""))),"")</f>
        <v/>
      </c>
    </row>
    <row r="110" ht="15.75" customHeight="1" s="10">
      <c r="A110" s="8">
        <f>CONCAT("AD507-",TEXT(ROW()-2,"0000"))</f>
        <v/>
      </c>
      <c r="C110" s="8" t="n"/>
      <c r="F110" s="8" t="n"/>
      <c r="G110" s="8">
        <f>IF(F110&lt;&gt;"",HYPERLINK("https://www.google.com/maps/search/?api=1&amp;query="&amp;SUBSTITUTE(F110," ",""),"🗺 Google Maps"),"")</f>
        <v/>
      </c>
      <c r="H110" s="8">
        <f>IF(F110&lt;&gt;"",HYPERLINK("https://waze.com/ul?ll="&amp;SUBSTITUTE(F110," ","")&amp;"&amp;navigate=yes","🚗 Waze"),"")</f>
        <v/>
      </c>
      <c r="I110" s="8">
        <f>IF(F110&lt;&gt;"",HYPERLINK("https://m.uber.com/ul/?action=setPickup&amp;pickup=my_location&amp;dropoff[latitude]="&amp;LEFT(SUBSTITUTE(F110," ",""),FIND(",",SUBSTITUTE(F110," ",""))-1)&amp;"&amp;dropoff[longitude]="&amp;MID(SUBSTITUTE(F110," ",""),FIND(",",SUBSTITUTE(F110," ",""))+1,99),"🚕 Uber"),"")</f>
        <v/>
      </c>
      <c r="J110" s="8">
        <f>IF(F110&lt;&gt;"","https://api.qrserver.com/v1/create-qr-code/?size=200x200&amp;data="&amp;ENCODEURL("https://www.google.com/maps/search/?api=1&amp;query="&amp;SUBSTITUTE(F110," ","")),"")</f>
        <v/>
      </c>
      <c r="K110" s="8">
        <f>IF(C110&lt;&gt;"",HYPERLINK("https://wa.me/507"&amp;REGEXREPLACE(C110,"[^0-9]","")&amp;"?text="&amp;ENCODEURL("Ya llegue. Codigo: "&amp;A110&amp;". Ubicacion: "&amp;"https://www.google.com/maps/search/?api=1&amp;query="&amp;SUBSTITUTE(F110," ","")),"📲 Avisar al cliente"),"")</f>
        <v/>
      </c>
      <c r="L110" s="8">
        <f>IF(C110&lt;&gt;"","https://api.qrserver.com/v1/create-qr-code/?size=200x200&amp;data="&amp;ENCODEURL("https://wa.me/507"&amp;REGEXREPLACE(C110,"[^0-9]","")&amp;"?text="&amp;ENCODEURL("Ya llegue. Codigo: "&amp;A110&amp;". Ubicacion: "&amp;"https://www.google.com/maps/search/?api=1&amp;query="&amp;SUBSTITUTE(F110," ",""))),"")</f>
        <v/>
      </c>
      <c r="M110" s="8">
        <f>IF(B110&lt;&gt;"",TODAY(),"")</f>
        <v/>
      </c>
      <c r="N110" s="8">
        <f>IF(F110&lt;&gt;"",IFERROR(IF(AND(REGEXMATCH(SUBSTITUTE(TRIM(F110)," ",""),"^-?\d+(\.\d+)?,-?\d+(\.\d+)?$"),VALUE(REGEXEXTRACT(SUBSTITUTE(TRIM(F110)," ",""),"^-?\d+(\.\d+)?"))&gt;=-90,VALUE(REGEXEXTRACT(SUBSTITUTE(TRIM(F110)," ",""),"^-?\d+(\.\d+)?"))&lt;=90,VALUE(REGEXEXTRACT(SUBSTITUTE(TRIM(F110)," ",""),"-?\d+(\.\d+)?$"))&gt;=-180,VALUE(REGEXEXTRACT(SUBSTITUTE(TRIM(F110)," ",""),"-?\d+(\.\d+)?$"))&lt;=180),"OK","REVISAR"),"REVISAR"),"")</f>
        <v/>
      </c>
      <c r="O110">
        <f>IF(A110&lt;&gt;"","https://direcciones507.github.io/direcciones507/panel.html?codigo="&amp;A110&amp;"&amp;nombre="&amp;ENCODEURL(B110)&amp;"&amp;telefono="&amp;SUBSTITUTE(C110,"-","")&amp;"&amp;referencia="&amp;ENCODEURL(E110)&amp;"&amp;lat="&amp;IZQUIERDA(SUBSTITUTE(F110," ",""),ENCONTRAR(",",SUBSTITUTE(F110," ",""))-1)&amp;"&amp;lng="&amp;DERECHA(SUBSTITUTE(F110," ",""),LARGO(SUBSTITUTE(F110," ",""))-ENCONTRAR(",",SUBSTITUTE(F110," ",""))),"")</f>
        <v/>
      </c>
    </row>
    <row r="111" ht="15.75" customHeight="1" s="10">
      <c r="A111" s="8">
        <f>CONCAT("AD507-",TEXT(ROW()-2,"0000"))</f>
        <v/>
      </c>
      <c r="C111" s="8" t="n"/>
      <c r="F111" s="8" t="n"/>
      <c r="G111" s="8">
        <f>IF(F111&lt;&gt;"",HYPERLINK("https://www.google.com/maps/search/?api=1&amp;query="&amp;SUBSTITUTE(F111," ",""),"🗺 Google Maps"),"")</f>
        <v/>
      </c>
      <c r="H111" s="8">
        <f>IF(F111&lt;&gt;"",HYPERLINK("https://waze.com/ul?ll="&amp;SUBSTITUTE(F111," ","")&amp;"&amp;navigate=yes","🚗 Waze"),"")</f>
        <v/>
      </c>
      <c r="I111" s="8">
        <f>IF(F111&lt;&gt;"",HYPERLINK("https://m.uber.com/ul/?action=setPickup&amp;pickup=my_location&amp;dropoff[latitude]="&amp;LEFT(SUBSTITUTE(F111," ",""),FIND(",",SUBSTITUTE(F111," ",""))-1)&amp;"&amp;dropoff[longitude]="&amp;MID(SUBSTITUTE(F111," ",""),FIND(",",SUBSTITUTE(F111," ",""))+1,99),"🚕 Uber"),"")</f>
        <v/>
      </c>
      <c r="J111" s="8">
        <f>IF(F111&lt;&gt;"","https://api.qrserver.com/v1/create-qr-code/?size=200x200&amp;data="&amp;ENCODEURL("https://www.google.com/maps/search/?api=1&amp;query="&amp;SUBSTITUTE(F111," ","")),"")</f>
        <v/>
      </c>
      <c r="K111" s="8">
        <f>IF(C111&lt;&gt;"",HYPERLINK("https://wa.me/507"&amp;REGEXREPLACE(C111,"[^0-9]","")&amp;"?text="&amp;ENCODEURL("Ya llegue. Codigo: "&amp;A111&amp;". Ubicacion: "&amp;"https://www.google.com/maps/search/?api=1&amp;query="&amp;SUBSTITUTE(F111," ","")),"📲 Avisar al cliente"),"")</f>
        <v/>
      </c>
      <c r="L111" s="8">
        <f>IF(C111&lt;&gt;"","https://api.qrserver.com/v1/create-qr-code/?size=200x200&amp;data="&amp;ENCODEURL("https://wa.me/507"&amp;REGEXREPLACE(C111,"[^0-9]","")&amp;"?text="&amp;ENCODEURL("Ya llegue. Codigo: "&amp;A111&amp;". Ubicacion: "&amp;"https://www.google.com/maps/search/?api=1&amp;query="&amp;SUBSTITUTE(F111," ",""))),"")</f>
        <v/>
      </c>
      <c r="M111" s="8">
        <f>IF(B111&lt;&gt;"",TODAY(),"")</f>
        <v/>
      </c>
      <c r="N111" s="8">
        <f>IF(F111&lt;&gt;"",IFERROR(IF(AND(REGEXMATCH(SUBSTITUTE(TRIM(F111)," ",""),"^-?\d+(\.\d+)?,-?\d+(\.\d+)?$"),VALUE(REGEXEXTRACT(SUBSTITUTE(TRIM(F111)," ",""),"^-?\d+(\.\d+)?"))&gt;=-90,VALUE(REGEXEXTRACT(SUBSTITUTE(TRIM(F111)," ",""),"^-?\d+(\.\d+)?"))&lt;=90,VALUE(REGEXEXTRACT(SUBSTITUTE(TRIM(F111)," ",""),"-?\d+(\.\d+)?$"))&gt;=-180,VALUE(REGEXEXTRACT(SUBSTITUTE(TRIM(F111)," ",""),"-?\d+(\.\d+)?$"))&lt;=180),"OK","REVISAR"),"REVISAR"),"")</f>
        <v/>
      </c>
      <c r="O111">
        <f>IF(A111&lt;&gt;"","https://direcciones507.github.io/direcciones507/panel.html?codigo="&amp;A111&amp;"&amp;nombre="&amp;ENCODEURL(B111)&amp;"&amp;telefono="&amp;SUBSTITUTE(C111,"-","")&amp;"&amp;referencia="&amp;ENCODEURL(E111)&amp;"&amp;lat="&amp;IZQUIERDA(SUBSTITUTE(F111," ",""),ENCONTRAR(",",SUBSTITUTE(F111," ",""))-1)&amp;"&amp;lng="&amp;DERECHA(SUBSTITUTE(F111," ",""),LARGO(SUBSTITUTE(F111," ",""))-ENCONTRAR(",",SUBSTITUTE(F111," ",""))),"")</f>
        <v/>
      </c>
    </row>
    <row r="112" ht="15.75" customHeight="1" s="10">
      <c r="A112" s="8">
        <f>CONCAT("AD507-",TEXT(ROW()-2,"0000"))</f>
        <v/>
      </c>
      <c r="C112" s="8" t="n"/>
      <c r="F112" s="8" t="n"/>
      <c r="G112" s="8">
        <f>IF(F112&lt;&gt;"",HYPERLINK("https://www.google.com/maps/search/?api=1&amp;query="&amp;SUBSTITUTE(F112," ",""),"🗺 Google Maps"),"")</f>
        <v/>
      </c>
      <c r="H112" s="8">
        <f>IF(F112&lt;&gt;"",HYPERLINK("https://waze.com/ul?ll="&amp;SUBSTITUTE(F112," ","")&amp;"&amp;navigate=yes","🚗 Waze"),"")</f>
        <v/>
      </c>
      <c r="I112" s="8">
        <f>IF(F112&lt;&gt;"",HYPERLINK("https://m.uber.com/ul/?action=setPickup&amp;pickup=my_location&amp;dropoff[latitude]="&amp;LEFT(SUBSTITUTE(F112," ",""),FIND(",",SUBSTITUTE(F112," ",""))-1)&amp;"&amp;dropoff[longitude]="&amp;MID(SUBSTITUTE(F112," ",""),FIND(",",SUBSTITUTE(F112," ",""))+1,99),"🚕 Uber"),"")</f>
        <v/>
      </c>
      <c r="J112" s="8">
        <f>IF(F112&lt;&gt;"","https://api.qrserver.com/v1/create-qr-code/?size=200x200&amp;data="&amp;ENCODEURL("https://www.google.com/maps/search/?api=1&amp;query="&amp;SUBSTITUTE(F112," ","")),"")</f>
        <v/>
      </c>
      <c r="K112" s="8">
        <f>IF(C112&lt;&gt;"",HYPERLINK("https://wa.me/507"&amp;REGEXREPLACE(C112,"[^0-9]","")&amp;"?text="&amp;ENCODEURL("Ya llegue. Codigo: "&amp;A112&amp;". Ubicacion: "&amp;"https://www.google.com/maps/search/?api=1&amp;query="&amp;SUBSTITUTE(F112," ","")),"📲 Avisar al cliente"),"")</f>
        <v/>
      </c>
      <c r="L112" s="8">
        <f>IF(C112&lt;&gt;"","https://api.qrserver.com/v1/create-qr-code/?size=200x200&amp;data="&amp;ENCODEURL("https://wa.me/507"&amp;REGEXREPLACE(C112,"[^0-9]","")&amp;"?text="&amp;ENCODEURL("Ya llegue. Codigo: "&amp;A112&amp;". Ubicacion: "&amp;"https://www.google.com/maps/search/?api=1&amp;query="&amp;SUBSTITUTE(F112," ",""))),"")</f>
        <v/>
      </c>
      <c r="M112" s="8">
        <f>IF(B112&lt;&gt;"",TODAY(),"")</f>
        <v/>
      </c>
      <c r="N112" s="8">
        <f>IF(F112&lt;&gt;"",IFERROR(IF(AND(REGEXMATCH(SUBSTITUTE(TRIM(F112)," ",""),"^-?\d+(\.\d+)?,-?\d+(\.\d+)?$"),VALUE(REGEXEXTRACT(SUBSTITUTE(TRIM(F112)," ",""),"^-?\d+(\.\d+)?"))&gt;=-90,VALUE(REGEXEXTRACT(SUBSTITUTE(TRIM(F112)," ",""),"^-?\d+(\.\d+)?"))&lt;=90,VALUE(REGEXEXTRACT(SUBSTITUTE(TRIM(F112)," ",""),"-?\d+(\.\d+)?$"))&gt;=-180,VALUE(REGEXEXTRACT(SUBSTITUTE(TRIM(F112)," ",""),"-?\d+(\.\d+)?$"))&lt;=180),"OK","REVISAR"),"REVISAR"),"")</f>
        <v/>
      </c>
      <c r="O112">
        <f>IF(A112&lt;&gt;"","https://direcciones507.github.io/direcciones507/panel.html?codigo="&amp;A112&amp;"&amp;nombre="&amp;ENCODEURL(B112)&amp;"&amp;telefono="&amp;SUBSTITUTE(C112,"-","")&amp;"&amp;referencia="&amp;ENCODEURL(E112)&amp;"&amp;lat="&amp;IZQUIERDA(SUBSTITUTE(F112," ",""),ENCONTRAR(",",SUBSTITUTE(F112," ",""))-1)&amp;"&amp;lng="&amp;DERECHA(SUBSTITUTE(F112," ",""),LARGO(SUBSTITUTE(F112," ",""))-ENCONTRAR(",",SUBSTITUTE(F112," ",""))),"")</f>
        <v/>
      </c>
    </row>
    <row r="113" ht="15.75" customHeight="1" s="10">
      <c r="A113" s="8">
        <f>CONCAT("AD507-",TEXT(ROW()-2,"0000"))</f>
        <v/>
      </c>
      <c r="C113" s="8" t="n"/>
      <c r="F113" s="8" t="n"/>
      <c r="G113" s="8">
        <f>IF(F113&lt;&gt;"",HYPERLINK("https://www.google.com/maps/search/?api=1&amp;query="&amp;SUBSTITUTE(F113," ",""),"🗺 Google Maps"),"")</f>
        <v/>
      </c>
      <c r="H113" s="8">
        <f>IF(F113&lt;&gt;"",HYPERLINK("https://waze.com/ul?ll="&amp;SUBSTITUTE(F113," ","")&amp;"&amp;navigate=yes","🚗 Waze"),"")</f>
        <v/>
      </c>
      <c r="I113" s="8">
        <f>IF(F113&lt;&gt;"",HYPERLINK("https://m.uber.com/ul/?action=setPickup&amp;pickup=my_location&amp;dropoff[latitude]="&amp;LEFT(SUBSTITUTE(F113," ",""),FIND(",",SUBSTITUTE(F113," ",""))-1)&amp;"&amp;dropoff[longitude]="&amp;MID(SUBSTITUTE(F113," ",""),FIND(",",SUBSTITUTE(F113," ",""))+1,99),"🚕 Uber"),"")</f>
        <v/>
      </c>
      <c r="J113" s="8">
        <f>IF(F113&lt;&gt;"","https://api.qrserver.com/v1/create-qr-code/?size=200x200&amp;data="&amp;ENCODEURL("https://www.google.com/maps/search/?api=1&amp;query="&amp;SUBSTITUTE(F113," ","")),"")</f>
        <v/>
      </c>
      <c r="K113" s="8">
        <f>IF(C113&lt;&gt;"",HYPERLINK("https://wa.me/507"&amp;REGEXREPLACE(C113,"[^0-9]","")&amp;"?text="&amp;ENCODEURL("Ya llegue. Codigo: "&amp;A113&amp;". Ubicacion: "&amp;"https://www.google.com/maps/search/?api=1&amp;query="&amp;SUBSTITUTE(F113," ","")),"📲 Avisar al cliente"),"")</f>
        <v/>
      </c>
      <c r="L113" s="8">
        <f>IF(C113&lt;&gt;"","https://api.qrserver.com/v1/create-qr-code/?size=200x200&amp;data="&amp;ENCODEURL("https://wa.me/507"&amp;REGEXREPLACE(C113,"[^0-9]","")&amp;"?text="&amp;ENCODEURL("Ya llegue. Codigo: "&amp;A113&amp;". Ubicacion: "&amp;"https://www.google.com/maps/search/?api=1&amp;query="&amp;SUBSTITUTE(F113," ",""))),"")</f>
        <v/>
      </c>
      <c r="M113" s="8">
        <f>IF(B113&lt;&gt;"",TODAY(),"")</f>
        <v/>
      </c>
      <c r="N113" s="8">
        <f>IF(F113&lt;&gt;"",IFERROR(IF(AND(REGEXMATCH(SUBSTITUTE(TRIM(F113)," ",""),"^-?\d+(\.\d+)?,-?\d+(\.\d+)?$"),VALUE(REGEXEXTRACT(SUBSTITUTE(TRIM(F113)," ",""),"^-?\d+(\.\d+)?"))&gt;=-90,VALUE(REGEXEXTRACT(SUBSTITUTE(TRIM(F113)," ",""),"^-?\d+(\.\d+)?"))&lt;=90,VALUE(REGEXEXTRACT(SUBSTITUTE(TRIM(F113)," ",""),"-?\d+(\.\d+)?$"))&gt;=-180,VALUE(REGEXEXTRACT(SUBSTITUTE(TRIM(F113)," ",""),"-?\d+(\.\d+)?$"))&lt;=180),"OK","REVISAR"),"REVISAR"),"")</f>
        <v/>
      </c>
      <c r="O113">
        <f>IF(A113&lt;&gt;"","https://direcciones507.github.io/direcciones507/panel.html?codigo="&amp;A113&amp;"&amp;nombre="&amp;ENCODEURL(B113)&amp;"&amp;telefono="&amp;SUBSTITUTE(C113,"-","")&amp;"&amp;referencia="&amp;ENCODEURL(E113)&amp;"&amp;lat="&amp;IZQUIERDA(SUBSTITUTE(F113," ",""),ENCONTRAR(",",SUBSTITUTE(F113," ",""))-1)&amp;"&amp;lng="&amp;DERECHA(SUBSTITUTE(F113," ",""),LARGO(SUBSTITUTE(F113," ",""))-ENCONTRAR(",",SUBSTITUTE(F113," ",""))),"")</f>
        <v/>
      </c>
    </row>
    <row r="114" ht="15.75" customHeight="1" s="10">
      <c r="A114" s="8">
        <f>CONCAT("AD507-",TEXT(ROW()-2,"0000"))</f>
        <v/>
      </c>
      <c r="C114" s="8" t="n"/>
      <c r="F114" s="8" t="n"/>
      <c r="G114" s="8">
        <f>IF(F114&lt;&gt;"",HYPERLINK("https://www.google.com/maps/search/?api=1&amp;query="&amp;SUBSTITUTE(F114," ",""),"🗺 Google Maps"),"")</f>
        <v/>
      </c>
      <c r="H114" s="8">
        <f>IF(F114&lt;&gt;"",HYPERLINK("https://waze.com/ul?ll="&amp;SUBSTITUTE(F114," ","")&amp;"&amp;navigate=yes","🚗 Waze"),"")</f>
        <v/>
      </c>
      <c r="I114" s="8">
        <f>IF(F114&lt;&gt;"",HYPERLINK("https://m.uber.com/ul/?action=setPickup&amp;pickup=my_location&amp;dropoff[latitude]="&amp;LEFT(SUBSTITUTE(F114," ",""),FIND(",",SUBSTITUTE(F114," ",""))-1)&amp;"&amp;dropoff[longitude]="&amp;MID(SUBSTITUTE(F114," ",""),FIND(",",SUBSTITUTE(F114," ",""))+1,99),"🚕 Uber"),"")</f>
        <v/>
      </c>
      <c r="J114" s="8">
        <f>IF(F114&lt;&gt;"","https://api.qrserver.com/v1/create-qr-code/?size=200x200&amp;data="&amp;ENCODEURL("https://www.google.com/maps/search/?api=1&amp;query="&amp;SUBSTITUTE(F114," ","")),"")</f>
        <v/>
      </c>
      <c r="K114" s="8">
        <f>IF(C114&lt;&gt;"",HYPERLINK("https://wa.me/507"&amp;REGEXREPLACE(C114,"[^0-9]","")&amp;"?text="&amp;ENCODEURL("Ya llegue. Codigo: "&amp;A114&amp;". Ubicacion: "&amp;"https://www.google.com/maps/search/?api=1&amp;query="&amp;SUBSTITUTE(F114," ","")),"📲 Avisar al cliente"),"")</f>
        <v/>
      </c>
      <c r="L114" s="8">
        <f>IF(C114&lt;&gt;"","https://api.qrserver.com/v1/create-qr-code/?size=200x200&amp;data="&amp;ENCODEURL("https://wa.me/507"&amp;REGEXREPLACE(C114,"[^0-9]","")&amp;"?text="&amp;ENCODEURL("Ya llegue. Codigo: "&amp;A114&amp;". Ubicacion: "&amp;"https://www.google.com/maps/search/?api=1&amp;query="&amp;SUBSTITUTE(F114," ",""))),"")</f>
        <v/>
      </c>
      <c r="M114" s="8">
        <f>IF(B114&lt;&gt;"",TODAY(),"")</f>
        <v/>
      </c>
      <c r="N114" s="8">
        <f>IF(F114&lt;&gt;"",IFERROR(IF(AND(REGEXMATCH(SUBSTITUTE(TRIM(F114)," ",""),"^-?\d+(\.\d+)?,-?\d+(\.\d+)?$"),VALUE(REGEXEXTRACT(SUBSTITUTE(TRIM(F114)," ",""),"^-?\d+(\.\d+)?"))&gt;=-90,VALUE(REGEXEXTRACT(SUBSTITUTE(TRIM(F114)," ",""),"^-?\d+(\.\d+)?"))&lt;=90,VALUE(REGEXEXTRACT(SUBSTITUTE(TRIM(F114)," ",""),"-?\d+(\.\d+)?$"))&gt;=-180,VALUE(REGEXEXTRACT(SUBSTITUTE(TRIM(F114)," ",""),"-?\d+(\.\d+)?$"))&lt;=180),"OK","REVISAR"),"REVISAR"),"")</f>
        <v/>
      </c>
      <c r="O114">
        <f>IF(A114&lt;&gt;"","https://direcciones507.github.io/direcciones507/panel.html?codigo="&amp;A114&amp;"&amp;nombre="&amp;ENCODEURL(B114)&amp;"&amp;telefono="&amp;SUBSTITUTE(C114,"-","")&amp;"&amp;referencia="&amp;ENCODEURL(E114)&amp;"&amp;lat="&amp;IZQUIERDA(SUBSTITUTE(F114," ",""),ENCONTRAR(",",SUBSTITUTE(F114," ",""))-1)&amp;"&amp;lng="&amp;DERECHA(SUBSTITUTE(F114," ",""),LARGO(SUBSTITUTE(F114," ",""))-ENCONTRAR(",",SUBSTITUTE(F114," ",""))),"")</f>
        <v/>
      </c>
    </row>
    <row r="115" ht="15.75" customHeight="1" s="10">
      <c r="A115" s="8">
        <f>CONCAT("AD507-",TEXT(ROW()-2,"0000"))</f>
        <v/>
      </c>
      <c r="C115" s="8" t="n"/>
      <c r="F115" s="8" t="n"/>
      <c r="G115" s="8">
        <f>IF(F115&lt;&gt;"",HYPERLINK("https://www.google.com/maps/search/?api=1&amp;query="&amp;SUBSTITUTE(F115," ",""),"🗺 Google Maps"),"")</f>
        <v/>
      </c>
      <c r="H115" s="8">
        <f>IF(F115&lt;&gt;"",HYPERLINK("https://waze.com/ul?ll="&amp;SUBSTITUTE(F115," ","")&amp;"&amp;navigate=yes","🚗 Waze"),"")</f>
        <v/>
      </c>
      <c r="I115" s="8">
        <f>IF(F115&lt;&gt;"",HYPERLINK("https://m.uber.com/ul/?action=setPickup&amp;pickup=my_location&amp;dropoff[latitude]="&amp;LEFT(SUBSTITUTE(F115," ",""),FIND(",",SUBSTITUTE(F115," ",""))-1)&amp;"&amp;dropoff[longitude]="&amp;MID(SUBSTITUTE(F115," ",""),FIND(",",SUBSTITUTE(F115," ",""))+1,99),"🚕 Uber"),"")</f>
        <v/>
      </c>
      <c r="J115" s="8">
        <f>IF(F115&lt;&gt;"","https://api.qrserver.com/v1/create-qr-code/?size=200x200&amp;data="&amp;ENCODEURL("https://www.google.com/maps/search/?api=1&amp;query="&amp;SUBSTITUTE(F115," ","")),"")</f>
        <v/>
      </c>
      <c r="K115" s="8">
        <f>IF(C115&lt;&gt;"",HYPERLINK("https://wa.me/507"&amp;REGEXREPLACE(C115,"[^0-9]","")&amp;"?text="&amp;ENCODEURL("Ya llegue. Codigo: "&amp;A115&amp;". Ubicacion: "&amp;"https://www.google.com/maps/search/?api=1&amp;query="&amp;SUBSTITUTE(F115," ","")),"📲 Avisar al cliente"),"")</f>
        <v/>
      </c>
      <c r="L115" s="8">
        <f>IF(C115&lt;&gt;"","https://api.qrserver.com/v1/create-qr-code/?size=200x200&amp;data="&amp;ENCODEURL("https://wa.me/507"&amp;REGEXREPLACE(C115,"[^0-9]","")&amp;"?text="&amp;ENCODEURL("Ya llegue. Codigo: "&amp;A115&amp;". Ubicacion: "&amp;"https://www.google.com/maps/search/?api=1&amp;query="&amp;SUBSTITUTE(F115," ",""))),"")</f>
        <v/>
      </c>
      <c r="M115" s="8">
        <f>IF(B115&lt;&gt;"",TODAY(),"")</f>
        <v/>
      </c>
      <c r="N115" s="8">
        <f>IF(F115&lt;&gt;"",IFERROR(IF(AND(REGEXMATCH(SUBSTITUTE(TRIM(F115)," ",""),"^-?\d+(\.\d+)?,-?\d+(\.\d+)?$"),VALUE(REGEXEXTRACT(SUBSTITUTE(TRIM(F115)," ",""),"^-?\d+(\.\d+)?"))&gt;=-90,VALUE(REGEXEXTRACT(SUBSTITUTE(TRIM(F115)," ",""),"^-?\d+(\.\d+)?"))&lt;=90,VALUE(REGEXEXTRACT(SUBSTITUTE(TRIM(F115)," ",""),"-?\d+(\.\d+)?$"))&gt;=-180,VALUE(REGEXEXTRACT(SUBSTITUTE(TRIM(F115)," ",""),"-?\d+(\.\d+)?$"))&lt;=180),"OK","REVISAR"),"REVISAR"),"")</f>
        <v/>
      </c>
      <c r="O115">
        <f>IF(A115&lt;&gt;"","https://direcciones507.github.io/direcciones507/panel.html?codigo="&amp;A115&amp;"&amp;nombre="&amp;ENCODEURL(B115)&amp;"&amp;telefono="&amp;SUBSTITUTE(C115,"-","")&amp;"&amp;referencia="&amp;ENCODEURL(E115)&amp;"&amp;lat="&amp;IZQUIERDA(SUBSTITUTE(F115," ",""),ENCONTRAR(",",SUBSTITUTE(F115," ",""))-1)&amp;"&amp;lng="&amp;DERECHA(SUBSTITUTE(F115," ",""),LARGO(SUBSTITUTE(F115," ",""))-ENCONTRAR(",",SUBSTITUTE(F115," ",""))),"")</f>
        <v/>
      </c>
    </row>
    <row r="116" ht="15.75" customHeight="1" s="10">
      <c r="A116" s="8">
        <f>CONCAT("AD507-",TEXT(ROW()-2,"0000"))</f>
        <v/>
      </c>
      <c r="C116" s="8" t="n"/>
      <c r="F116" s="8" t="n"/>
      <c r="G116" s="8">
        <f>IF(F116&lt;&gt;"",HYPERLINK("https://www.google.com/maps/search/?api=1&amp;query="&amp;SUBSTITUTE(F116," ",""),"🗺 Google Maps"),"")</f>
        <v/>
      </c>
      <c r="H116" s="8">
        <f>IF(F116&lt;&gt;"",HYPERLINK("https://waze.com/ul?ll="&amp;SUBSTITUTE(F116," ","")&amp;"&amp;navigate=yes","🚗 Waze"),"")</f>
        <v/>
      </c>
      <c r="I116" s="8">
        <f>IF(F116&lt;&gt;"",HYPERLINK("https://m.uber.com/ul/?action=setPickup&amp;pickup=my_location&amp;dropoff[latitude]="&amp;LEFT(SUBSTITUTE(F116," ",""),FIND(",",SUBSTITUTE(F116," ",""))-1)&amp;"&amp;dropoff[longitude]="&amp;MID(SUBSTITUTE(F116," ",""),FIND(",",SUBSTITUTE(F116," ",""))+1,99),"🚕 Uber"),"")</f>
        <v/>
      </c>
      <c r="J116" s="8">
        <f>IF(F116&lt;&gt;"","https://api.qrserver.com/v1/create-qr-code/?size=200x200&amp;data="&amp;ENCODEURL("https://www.google.com/maps/search/?api=1&amp;query="&amp;SUBSTITUTE(F116," ","")),"")</f>
        <v/>
      </c>
      <c r="K116" s="8">
        <f>IF(C116&lt;&gt;"",HYPERLINK("https://wa.me/507"&amp;REGEXREPLACE(C116,"[^0-9]","")&amp;"?text="&amp;ENCODEURL("Ya llegue. Codigo: "&amp;A116&amp;". Ubicacion: "&amp;"https://www.google.com/maps/search/?api=1&amp;query="&amp;SUBSTITUTE(F116," ","")),"📲 Avisar al cliente"),"")</f>
        <v/>
      </c>
      <c r="L116" s="8">
        <f>IF(C116&lt;&gt;"","https://api.qrserver.com/v1/create-qr-code/?size=200x200&amp;data="&amp;ENCODEURL("https://wa.me/507"&amp;REGEXREPLACE(C116,"[^0-9]","")&amp;"?text="&amp;ENCODEURL("Ya llegue. Codigo: "&amp;A116&amp;". Ubicacion: "&amp;"https://www.google.com/maps/search/?api=1&amp;query="&amp;SUBSTITUTE(F116," ",""))),"")</f>
        <v/>
      </c>
      <c r="M116" s="8">
        <f>IF(B116&lt;&gt;"",TODAY(),"")</f>
        <v/>
      </c>
      <c r="N116" s="8">
        <f>IF(F116&lt;&gt;"",IFERROR(IF(AND(REGEXMATCH(SUBSTITUTE(TRIM(F116)," ",""),"^-?\d+(\.\d+)?,-?\d+(\.\d+)?$"),VALUE(REGEXEXTRACT(SUBSTITUTE(TRIM(F116)," ",""),"^-?\d+(\.\d+)?"))&gt;=-90,VALUE(REGEXEXTRACT(SUBSTITUTE(TRIM(F116)," ",""),"^-?\d+(\.\d+)?"))&lt;=90,VALUE(REGEXEXTRACT(SUBSTITUTE(TRIM(F116)," ",""),"-?\d+(\.\d+)?$"))&gt;=-180,VALUE(REGEXEXTRACT(SUBSTITUTE(TRIM(F116)," ",""),"-?\d+(\.\d+)?$"))&lt;=180),"OK","REVISAR"),"REVISAR"),"")</f>
        <v/>
      </c>
      <c r="O116">
        <f>IF(A116&lt;&gt;"","https://direcciones507.github.io/direcciones507/panel.html?codigo="&amp;A116&amp;"&amp;nombre="&amp;ENCODEURL(B116)&amp;"&amp;telefono="&amp;SUBSTITUTE(C116,"-","")&amp;"&amp;referencia="&amp;ENCODEURL(E116)&amp;"&amp;lat="&amp;IZQUIERDA(SUBSTITUTE(F116," ",""),ENCONTRAR(",",SUBSTITUTE(F116," ",""))-1)&amp;"&amp;lng="&amp;DERECHA(SUBSTITUTE(F116," ",""),LARGO(SUBSTITUTE(F116," ",""))-ENCONTRAR(",",SUBSTITUTE(F116," ",""))),"")</f>
        <v/>
      </c>
    </row>
    <row r="117" ht="15.75" customHeight="1" s="10">
      <c r="A117" s="8">
        <f>CONCAT("AD507-",TEXT(ROW()-2,"0000"))</f>
        <v/>
      </c>
      <c r="C117" s="8" t="n"/>
      <c r="F117" s="8" t="n"/>
      <c r="G117" s="8">
        <f>IF(F117&lt;&gt;"",HYPERLINK("https://www.google.com/maps/search/?api=1&amp;query="&amp;SUBSTITUTE(F117," ",""),"🗺 Google Maps"),"")</f>
        <v/>
      </c>
      <c r="H117" s="8">
        <f>IF(F117&lt;&gt;"",HYPERLINK("https://waze.com/ul?ll="&amp;SUBSTITUTE(F117," ","")&amp;"&amp;navigate=yes","🚗 Waze"),"")</f>
        <v/>
      </c>
      <c r="I117" s="8">
        <f>IF(F117&lt;&gt;"",HYPERLINK("https://m.uber.com/ul/?action=setPickup&amp;pickup=my_location&amp;dropoff[latitude]="&amp;LEFT(SUBSTITUTE(F117," ",""),FIND(",",SUBSTITUTE(F117," ",""))-1)&amp;"&amp;dropoff[longitude]="&amp;MID(SUBSTITUTE(F117," ",""),FIND(",",SUBSTITUTE(F117," ",""))+1,99),"🚕 Uber"),"")</f>
        <v/>
      </c>
      <c r="J117" s="8">
        <f>IF(F117&lt;&gt;"","https://api.qrserver.com/v1/create-qr-code/?size=200x200&amp;data="&amp;ENCODEURL("https://www.google.com/maps/search/?api=1&amp;query="&amp;SUBSTITUTE(F117," ","")),"")</f>
        <v/>
      </c>
      <c r="K117" s="8">
        <f>IF(C117&lt;&gt;"",HYPERLINK("https://wa.me/507"&amp;REGEXREPLACE(C117,"[^0-9]","")&amp;"?text="&amp;ENCODEURL("Ya llegue. Codigo: "&amp;A117&amp;". Ubicacion: "&amp;"https://www.google.com/maps/search/?api=1&amp;query="&amp;SUBSTITUTE(F117," ","")),"📲 Avisar al cliente"),"")</f>
        <v/>
      </c>
      <c r="L117" s="8">
        <f>IF(C117&lt;&gt;"","https://api.qrserver.com/v1/create-qr-code/?size=200x200&amp;data="&amp;ENCODEURL("https://wa.me/507"&amp;REGEXREPLACE(C117,"[^0-9]","")&amp;"?text="&amp;ENCODEURL("Ya llegue. Codigo: "&amp;A117&amp;". Ubicacion: "&amp;"https://www.google.com/maps/search/?api=1&amp;query="&amp;SUBSTITUTE(F117," ",""))),"")</f>
        <v/>
      </c>
      <c r="M117" s="8">
        <f>IF(B117&lt;&gt;"",TODAY(),"")</f>
        <v/>
      </c>
      <c r="N117" s="8">
        <f>IF(F117&lt;&gt;"",IFERROR(IF(AND(REGEXMATCH(SUBSTITUTE(TRIM(F117)," ",""),"^-?\d+(\.\d+)?,-?\d+(\.\d+)?$"),VALUE(REGEXEXTRACT(SUBSTITUTE(TRIM(F117)," ",""),"^-?\d+(\.\d+)?"))&gt;=-90,VALUE(REGEXEXTRACT(SUBSTITUTE(TRIM(F117)," ",""),"^-?\d+(\.\d+)?"))&lt;=90,VALUE(REGEXEXTRACT(SUBSTITUTE(TRIM(F117)," ",""),"-?\d+(\.\d+)?$"))&gt;=-180,VALUE(REGEXEXTRACT(SUBSTITUTE(TRIM(F117)," ",""),"-?\d+(\.\d+)?$"))&lt;=180),"OK","REVISAR"),"REVISAR"),"")</f>
        <v/>
      </c>
      <c r="O117">
        <f>IF(A117&lt;&gt;"","https://direcciones507.github.io/direcciones507/panel.html?codigo="&amp;A117&amp;"&amp;nombre="&amp;ENCODEURL(B117)&amp;"&amp;telefono="&amp;SUBSTITUTE(C117,"-","")&amp;"&amp;referencia="&amp;ENCODEURL(E117)&amp;"&amp;lat="&amp;IZQUIERDA(SUBSTITUTE(F117," ",""),ENCONTRAR(",",SUBSTITUTE(F117," ",""))-1)&amp;"&amp;lng="&amp;DERECHA(SUBSTITUTE(F117," ",""),LARGO(SUBSTITUTE(F117," ",""))-ENCONTRAR(",",SUBSTITUTE(F117," ",""))),"")</f>
        <v/>
      </c>
    </row>
    <row r="118" ht="15.75" customHeight="1" s="10">
      <c r="A118" s="8">
        <f>CONCAT("AD507-",TEXT(ROW()-2,"0000"))</f>
        <v/>
      </c>
      <c r="C118" s="8" t="n"/>
      <c r="F118" s="8" t="n"/>
      <c r="G118" s="8">
        <f>IF(F118&lt;&gt;"",HYPERLINK("https://www.google.com/maps/search/?api=1&amp;query="&amp;SUBSTITUTE(F118," ",""),"🗺 Google Maps"),"")</f>
        <v/>
      </c>
      <c r="H118" s="8">
        <f>IF(F118&lt;&gt;"",HYPERLINK("https://waze.com/ul?ll="&amp;SUBSTITUTE(F118," ","")&amp;"&amp;navigate=yes","🚗 Waze"),"")</f>
        <v/>
      </c>
      <c r="I118" s="8">
        <f>IF(F118&lt;&gt;"",HYPERLINK("https://m.uber.com/ul/?action=setPickup&amp;pickup=my_location&amp;dropoff[latitude]="&amp;LEFT(SUBSTITUTE(F118," ",""),FIND(",",SUBSTITUTE(F118," ",""))-1)&amp;"&amp;dropoff[longitude]="&amp;MID(SUBSTITUTE(F118," ",""),FIND(",",SUBSTITUTE(F118," ",""))+1,99),"🚕 Uber"),"")</f>
        <v/>
      </c>
      <c r="J118" s="8">
        <f>IF(F118&lt;&gt;"","https://api.qrserver.com/v1/create-qr-code/?size=200x200&amp;data="&amp;ENCODEURL("https://www.google.com/maps/search/?api=1&amp;query="&amp;SUBSTITUTE(F118," ","")),"")</f>
        <v/>
      </c>
      <c r="K118" s="8">
        <f>IF(C118&lt;&gt;"",HYPERLINK("https://wa.me/507"&amp;REGEXREPLACE(C118,"[^0-9]","")&amp;"?text="&amp;ENCODEURL("Ya llegue. Codigo: "&amp;A118&amp;". Ubicacion: "&amp;"https://www.google.com/maps/search/?api=1&amp;query="&amp;SUBSTITUTE(F118," ","")),"📲 Avisar al cliente"),"")</f>
        <v/>
      </c>
      <c r="L118" s="8">
        <f>IF(C118&lt;&gt;"","https://api.qrserver.com/v1/create-qr-code/?size=200x200&amp;data="&amp;ENCODEURL("https://wa.me/507"&amp;REGEXREPLACE(C118,"[^0-9]","")&amp;"?text="&amp;ENCODEURL("Ya llegue. Codigo: "&amp;A118&amp;". Ubicacion: "&amp;"https://www.google.com/maps/search/?api=1&amp;query="&amp;SUBSTITUTE(F118," ",""))),"")</f>
        <v/>
      </c>
      <c r="M118" s="8">
        <f>IF(B118&lt;&gt;"",TODAY(),"")</f>
        <v/>
      </c>
      <c r="N118" s="8">
        <f>IF(F118&lt;&gt;"",IFERROR(IF(AND(REGEXMATCH(SUBSTITUTE(TRIM(F118)," ",""),"^-?\d+(\.\d+)?,-?\d+(\.\d+)?$"),VALUE(REGEXEXTRACT(SUBSTITUTE(TRIM(F118)," ",""),"^-?\d+(\.\d+)?"))&gt;=-90,VALUE(REGEXEXTRACT(SUBSTITUTE(TRIM(F118)," ",""),"^-?\d+(\.\d+)?"))&lt;=90,VALUE(REGEXEXTRACT(SUBSTITUTE(TRIM(F118)," ",""),"-?\d+(\.\d+)?$"))&gt;=-180,VALUE(REGEXEXTRACT(SUBSTITUTE(TRIM(F118)," ",""),"-?\d+(\.\d+)?$"))&lt;=180),"OK","REVISAR"),"REVISAR"),"")</f>
        <v/>
      </c>
      <c r="O118">
        <f>IF(A118&lt;&gt;"","https://direcciones507.github.io/direcciones507/panel.html?codigo="&amp;A118&amp;"&amp;nombre="&amp;ENCODEURL(B118)&amp;"&amp;telefono="&amp;SUBSTITUTE(C118,"-","")&amp;"&amp;referencia="&amp;ENCODEURL(E118)&amp;"&amp;lat="&amp;IZQUIERDA(SUBSTITUTE(F118," ",""),ENCONTRAR(",",SUBSTITUTE(F118," ",""))-1)&amp;"&amp;lng="&amp;DERECHA(SUBSTITUTE(F118," ",""),LARGO(SUBSTITUTE(F118," ",""))-ENCONTRAR(",",SUBSTITUTE(F118," ",""))),"")</f>
        <v/>
      </c>
    </row>
    <row r="119" ht="15.75" customHeight="1" s="10">
      <c r="A119" s="8">
        <f>CONCAT("AD507-",TEXT(ROW()-2,"0000"))</f>
        <v/>
      </c>
      <c r="C119" s="8" t="n"/>
      <c r="F119" s="8" t="n"/>
      <c r="G119" s="8">
        <f>IF(F119&lt;&gt;"",HYPERLINK("https://www.google.com/maps/search/?api=1&amp;query="&amp;SUBSTITUTE(F119," ",""),"🗺 Google Maps"),"")</f>
        <v/>
      </c>
      <c r="H119" s="8">
        <f>IF(F119&lt;&gt;"",HYPERLINK("https://waze.com/ul?ll="&amp;SUBSTITUTE(F119," ","")&amp;"&amp;navigate=yes","🚗 Waze"),"")</f>
        <v/>
      </c>
      <c r="I119" s="8">
        <f>IF(F119&lt;&gt;"",HYPERLINK("https://m.uber.com/ul/?action=setPickup&amp;pickup=my_location&amp;dropoff[latitude]="&amp;LEFT(SUBSTITUTE(F119," ",""),FIND(",",SUBSTITUTE(F119," ",""))-1)&amp;"&amp;dropoff[longitude]="&amp;MID(SUBSTITUTE(F119," ",""),FIND(",",SUBSTITUTE(F119," ",""))+1,99),"🚕 Uber"),"")</f>
        <v/>
      </c>
      <c r="J119" s="8">
        <f>IF(F119&lt;&gt;"","https://api.qrserver.com/v1/create-qr-code/?size=200x200&amp;data="&amp;ENCODEURL("https://www.google.com/maps/search/?api=1&amp;query="&amp;SUBSTITUTE(F119," ","")),"")</f>
        <v/>
      </c>
      <c r="K119" s="8">
        <f>IF(C119&lt;&gt;"",HYPERLINK("https://wa.me/507"&amp;REGEXREPLACE(C119,"[^0-9]","")&amp;"?text="&amp;ENCODEURL("Ya llegue. Codigo: "&amp;A119&amp;". Ubicacion: "&amp;"https://www.google.com/maps/search/?api=1&amp;query="&amp;SUBSTITUTE(F119," ","")),"📲 Avisar al cliente"),"")</f>
        <v/>
      </c>
      <c r="L119" s="8">
        <f>IF(C119&lt;&gt;"","https://api.qrserver.com/v1/create-qr-code/?size=200x200&amp;data="&amp;ENCODEURL("https://wa.me/507"&amp;REGEXREPLACE(C119,"[^0-9]","")&amp;"?text="&amp;ENCODEURL("Ya llegue. Codigo: "&amp;A119&amp;". Ubicacion: "&amp;"https://www.google.com/maps/search/?api=1&amp;query="&amp;SUBSTITUTE(F119," ",""))),"")</f>
        <v/>
      </c>
      <c r="M119" s="8">
        <f>IF(B119&lt;&gt;"",TODAY(),"")</f>
        <v/>
      </c>
      <c r="N119" s="8">
        <f>IF(F119&lt;&gt;"",IFERROR(IF(AND(REGEXMATCH(SUBSTITUTE(TRIM(F119)," ",""),"^-?\d+(\.\d+)?,-?\d+(\.\d+)?$"),VALUE(REGEXEXTRACT(SUBSTITUTE(TRIM(F119)," ",""),"^-?\d+(\.\d+)?"))&gt;=-90,VALUE(REGEXEXTRACT(SUBSTITUTE(TRIM(F119)," ",""),"^-?\d+(\.\d+)?"))&lt;=90,VALUE(REGEXEXTRACT(SUBSTITUTE(TRIM(F119)," ",""),"-?\d+(\.\d+)?$"))&gt;=-180,VALUE(REGEXEXTRACT(SUBSTITUTE(TRIM(F119)," ",""),"-?\d+(\.\d+)?$"))&lt;=180),"OK","REVISAR"),"REVISAR"),"")</f>
        <v/>
      </c>
      <c r="O119">
        <f>IF(A119&lt;&gt;"","https://direcciones507.github.io/direcciones507/panel.html?codigo="&amp;A119&amp;"&amp;nombre="&amp;ENCODEURL(B119)&amp;"&amp;telefono="&amp;SUBSTITUTE(C119,"-","")&amp;"&amp;referencia="&amp;ENCODEURL(E119)&amp;"&amp;lat="&amp;IZQUIERDA(SUBSTITUTE(F119," ",""),ENCONTRAR(",",SUBSTITUTE(F119," ",""))-1)&amp;"&amp;lng="&amp;DERECHA(SUBSTITUTE(F119," ",""),LARGO(SUBSTITUTE(F119," ",""))-ENCONTRAR(",",SUBSTITUTE(F119," ",""))),"")</f>
        <v/>
      </c>
    </row>
    <row r="120" ht="15.75" customHeight="1" s="10">
      <c r="A120" s="8">
        <f>CONCAT("AD507-",TEXT(ROW()-2,"0000"))</f>
        <v/>
      </c>
      <c r="C120" s="8" t="n"/>
      <c r="F120" s="8" t="n"/>
      <c r="G120" s="8">
        <f>IF(F120&lt;&gt;"",HYPERLINK("https://www.google.com/maps/search/?api=1&amp;query="&amp;SUBSTITUTE(F120," ",""),"🗺 Google Maps"),"")</f>
        <v/>
      </c>
      <c r="H120" s="8">
        <f>IF(F120&lt;&gt;"",HYPERLINK("https://waze.com/ul?ll="&amp;SUBSTITUTE(F120," ","")&amp;"&amp;navigate=yes","🚗 Waze"),"")</f>
        <v/>
      </c>
      <c r="I120" s="8">
        <f>IF(F120&lt;&gt;"",HYPERLINK("https://m.uber.com/ul/?action=setPickup&amp;pickup=my_location&amp;dropoff[latitude]="&amp;LEFT(SUBSTITUTE(F120," ",""),FIND(",",SUBSTITUTE(F120," ",""))-1)&amp;"&amp;dropoff[longitude]="&amp;MID(SUBSTITUTE(F120," ",""),FIND(",",SUBSTITUTE(F120," ",""))+1,99),"🚕 Uber"),"")</f>
        <v/>
      </c>
      <c r="J120" s="8">
        <f>IF(F120&lt;&gt;"","https://api.qrserver.com/v1/create-qr-code/?size=200x200&amp;data="&amp;ENCODEURL("https://www.google.com/maps/search/?api=1&amp;query="&amp;SUBSTITUTE(F120," ","")),"")</f>
        <v/>
      </c>
      <c r="K120" s="8">
        <f>IF(C120&lt;&gt;"",HYPERLINK("https://wa.me/507"&amp;REGEXREPLACE(C120,"[^0-9]","")&amp;"?text="&amp;ENCODEURL("Ya llegue. Codigo: "&amp;A120&amp;". Ubicacion: "&amp;"https://www.google.com/maps/search/?api=1&amp;query="&amp;SUBSTITUTE(F120," ","")),"📲 Avisar al cliente"),"")</f>
        <v/>
      </c>
      <c r="L120" s="8">
        <f>IF(C120&lt;&gt;"","https://api.qrserver.com/v1/create-qr-code/?size=200x200&amp;data="&amp;ENCODEURL("https://wa.me/507"&amp;REGEXREPLACE(C120,"[^0-9]","")&amp;"?text="&amp;ENCODEURL("Ya llegue. Codigo: "&amp;A120&amp;". Ubicacion: "&amp;"https://www.google.com/maps/search/?api=1&amp;query="&amp;SUBSTITUTE(F120," ",""))),"")</f>
        <v/>
      </c>
      <c r="M120" s="8">
        <f>IF(B120&lt;&gt;"",TODAY(),"")</f>
        <v/>
      </c>
      <c r="N120" s="8">
        <f>IF(F120&lt;&gt;"",IFERROR(IF(AND(REGEXMATCH(SUBSTITUTE(TRIM(F120)," ",""),"^-?\d+(\.\d+)?,-?\d+(\.\d+)?$"),VALUE(REGEXEXTRACT(SUBSTITUTE(TRIM(F120)," ",""),"^-?\d+(\.\d+)?"))&gt;=-90,VALUE(REGEXEXTRACT(SUBSTITUTE(TRIM(F120)," ",""),"^-?\d+(\.\d+)?"))&lt;=90,VALUE(REGEXEXTRACT(SUBSTITUTE(TRIM(F120)," ",""),"-?\d+(\.\d+)?$"))&gt;=-180,VALUE(REGEXEXTRACT(SUBSTITUTE(TRIM(F120)," ",""),"-?\d+(\.\d+)?$"))&lt;=180),"OK","REVISAR"),"REVISAR"),"")</f>
        <v/>
      </c>
      <c r="O120">
        <f>IF(A120&lt;&gt;"","https://direcciones507.github.io/direcciones507/panel.html?codigo="&amp;A120&amp;"&amp;nombre="&amp;ENCODEURL(B120)&amp;"&amp;telefono="&amp;SUBSTITUTE(C120,"-","")&amp;"&amp;referencia="&amp;ENCODEURL(E120)&amp;"&amp;lat="&amp;IZQUIERDA(SUBSTITUTE(F120," ",""),ENCONTRAR(",",SUBSTITUTE(F120," ",""))-1)&amp;"&amp;lng="&amp;DERECHA(SUBSTITUTE(F120," ",""),LARGO(SUBSTITUTE(F120," ",""))-ENCONTRAR(",",SUBSTITUTE(F120," ",""))),"")</f>
        <v/>
      </c>
    </row>
    <row r="121" ht="15.75" customHeight="1" s="10">
      <c r="A121" s="8">
        <f>CONCAT("AD507-",TEXT(ROW()-2,"0000"))</f>
        <v/>
      </c>
      <c r="C121" s="8" t="n"/>
      <c r="F121" s="8" t="n"/>
      <c r="G121" s="8">
        <f>IF(F121&lt;&gt;"",HYPERLINK("https://www.google.com/maps/search/?api=1&amp;query="&amp;SUBSTITUTE(F121," ",""),"🗺 Google Maps"),"")</f>
        <v/>
      </c>
      <c r="H121" s="8">
        <f>IF(F121&lt;&gt;"",HYPERLINK("https://waze.com/ul?ll="&amp;SUBSTITUTE(F121," ","")&amp;"&amp;navigate=yes","🚗 Waze"),"")</f>
        <v/>
      </c>
      <c r="I121" s="8">
        <f>IF(F121&lt;&gt;"",HYPERLINK("https://m.uber.com/ul/?action=setPickup&amp;pickup=my_location&amp;dropoff[latitude]="&amp;LEFT(SUBSTITUTE(F121," ",""),FIND(",",SUBSTITUTE(F121," ",""))-1)&amp;"&amp;dropoff[longitude]="&amp;MID(SUBSTITUTE(F121," ",""),FIND(",",SUBSTITUTE(F121," ",""))+1,99),"🚕 Uber"),"")</f>
        <v/>
      </c>
      <c r="J121" s="8">
        <f>IF(F121&lt;&gt;"","https://api.qrserver.com/v1/create-qr-code/?size=200x200&amp;data="&amp;ENCODEURL("https://www.google.com/maps/search/?api=1&amp;query="&amp;SUBSTITUTE(F121," ","")),"")</f>
        <v/>
      </c>
      <c r="K121" s="8">
        <f>IF(C121&lt;&gt;"",HYPERLINK("https://wa.me/507"&amp;REGEXREPLACE(C121,"[^0-9]","")&amp;"?text="&amp;ENCODEURL("Ya llegue. Codigo: "&amp;A121&amp;". Ubicacion: "&amp;"https://www.google.com/maps/search/?api=1&amp;query="&amp;SUBSTITUTE(F121," ","")),"📲 Avisar al cliente"),"")</f>
        <v/>
      </c>
      <c r="L121" s="8">
        <f>IF(C121&lt;&gt;"","https://api.qrserver.com/v1/create-qr-code/?size=200x200&amp;data="&amp;ENCODEURL("https://wa.me/507"&amp;REGEXREPLACE(C121,"[^0-9]","")&amp;"?text="&amp;ENCODEURL("Ya llegue. Codigo: "&amp;A121&amp;". Ubicacion: "&amp;"https://www.google.com/maps/search/?api=1&amp;query="&amp;SUBSTITUTE(F121," ",""))),"")</f>
        <v/>
      </c>
      <c r="M121" s="8">
        <f>IF(B121&lt;&gt;"",TODAY(),"")</f>
        <v/>
      </c>
      <c r="N121" s="8">
        <f>IF(F121&lt;&gt;"",IFERROR(IF(AND(REGEXMATCH(SUBSTITUTE(TRIM(F121)," ",""),"^-?\d+(\.\d+)?,-?\d+(\.\d+)?$"),VALUE(REGEXEXTRACT(SUBSTITUTE(TRIM(F121)," ",""),"^-?\d+(\.\d+)?"))&gt;=-90,VALUE(REGEXEXTRACT(SUBSTITUTE(TRIM(F121)," ",""),"^-?\d+(\.\d+)?"))&lt;=90,VALUE(REGEXEXTRACT(SUBSTITUTE(TRIM(F121)," ",""),"-?\d+(\.\d+)?$"))&gt;=-180,VALUE(REGEXEXTRACT(SUBSTITUTE(TRIM(F121)," ",""),"-?\d+(\.\d+)?$"))&lt;=180),"OK","REVISAR"),"REVISAR"),"")</f>
        <v/>
      </c>
      <c r="O121">
        <f>IF(A121&lt;&gt;"","https://direcciones507.github.io/direcciones507/panel.html?codigo="&amp;A121&amp;"&amp;nombre="&amp;ENCODEURL(B121)&amp;"&amp;telefono="&amp;SUBSTITUTE(C121,"-","")&amp;"&amp;referencia="&amp;ENCODEURL(E121)&amp;"&amp;lat="&amp;IZQUIERDA(SUBSTITUTE(F121," ",""),ENCONTRAR(",",SUBSTITUTE(F121," ",""))-1)&amp;"&amp;lng="&amp;DERECHA(SUBSTITUTE(F121," ",""),LARGO(SUBSTITUTE(F121," ",""))-ENCONTRAR(",",SUBSTITUTE(F121," ",""))),"")</f>
        <v/>
      </c>
    </row>
    <row r="122" ht="15.75" customHeight="1" s="10">
      <c r="A122" s="8">
        <f>CONCAT("AD507-",TEXT(ROW()-2,"0000"))</f>
        <v/>
      </c>
      <c r="C122" s="8" t="n"/>
      <c r="F122" s="8" t="n"/>
      <c r="G122" s="8">
        <f>IF(F122&lt;&gt;"",HYPERLINK("https://www.google.com/maps/search/?api=1&amp;query="&amp;SUBSTITUTE(F122," ",""),"🗺 Google Maps"),"")</f>
        <v/>
      </c>
      <c r="H122" s="8">
        <f>IF(F122&lt;&gt;"",HYPERLINK("https://waze.com/ul?ll="&amp;SUBSTITUTE(F122," ","")&amp;"&amp;navigate=yes","🚗 Waze"),"")</f>
        <v/>
      </c>
      <c r="I122" s="8">
        <f>IF(F122&lt;&gt;"",HYPERLINK("https://m.uber.com/ul/?action=setPickup&amp;pickup=my_location&amp;dropoff[latitude]="&amp;LEFT(SUBSTITUTE(F122," ",""),FIND(",",SUBSTITUTE(F122," ",""))-1)&amp;"&amp;dropoff[longitude]="&amp;MID(SUBSTITUTE(F122," ",""),FIND(",",SUBSTITUTE(F122," ",""))+1,99),"🚕 Uber"),"")</f>
        <v/>
      </c>
      <c r="J122" s="8">
        <f>IF(F122&lt;&gt;"","https://api.qrserver.com/v1/create-qr-code/?size=200x200&amp;data="&amp;ENCODEURL("https://www.google.com/maps/search/?api=1&amp;query="&amp;SUBSTITUTE(F122," ","")),"")</f>
        <v/>
      </c>
      <c r="K122" s="8">
        <f>IF(C122&lt;&gt;"",HYPERLINK("https://wa.me/507"&amp;REGEXREPLACE(C122,"[^0-9]","")&amp;"?text="&amp;ENCODEURL("Ya llegue. Codigo: "&amp;A122&amp;". Ubicacion: "&amp;"https://www.google.com/maps/search/?api=1&amp;query="&amp;SUBSTITUTE(F122," ","")),"📲 Avisar al cliente"),"")</f>
        <v/>
      </c>
      <c r="L122" s="8">
        <f>IF(C122&lt;&gt;"","https://api.qrserver.com/v1/create-qr-code/?size=200x200&amp;data="&amp;ENCODEURL("https://wa.me/507"&amp;REGEXREPLACE(C122,"[^0-9]","")&amp;"?text="&amp;ENCODEURL("Ya llegue. Codigo: "&amp;A122&amp;". Ubicacion: "&amp;"https://www.google.com/maps/search/?api=1&amp;query="&amp;SUBSTITUTE(F122," ",""))),"")</f>
        <v/>
      </c>
      <c r="M122" s="8">
        <f>IF(B122&lt;&gt;"",TODAY(),"")</f>
        <v/>
      </c>
      <c r="N122" s="8">
        <f>IF(F122&lt;&gt;"",IFERROR(IF(AND(REGEXMATCH(SUBSTITUTE(TRIM(F122)," ",""),"^-?\d+(\.\d+)?,-?\d+(\.\d+)?$"),VALUE(REGEXEXTRACT(SUBSTITUTE(TRIM(F122)," ",""),"^-?\d+(\.\d+)?"))&gt;=-90,VALUE(REGEXEXTRACT(SUBSTITUTE(TRIM(F122)," ",""),"^-?\d+(\.\d+)?"))&lt;=90,VALUE(REGEXEXTRACT(SUBSTITUTE(TRIM(F122)," ",""),"-?\d+(\.\d+)?$"))&gt;=-180,VALUE(REGEXEXTRACT(SUBSTITUTE(TRIM(F122)," ",""),"-?\d+(\.\d+)?$"))&lt;=180),"OK","REVISAR"),"REVISAR"),"")</f>
        <v/>
      </c>
      <c r="O122">
        <f>IF(A122&lt;&gt;"","https://direcciones507.github.io/direcciones507/panel.html?codigo="&amp;A122&amp;"&amp;nombre="&amp;ENCODEURL(B122)&amp;"&amp;telefono="&amp;SUBSTITUTE(C122,"-","")&amp;"&amp;referencia="&amp;ENCODEURL(E122)&amp;"&amp;lat="&amp;IZQUIERDA(SUBSTITUTE(F122," ",""),ENCONTRAR(",",SUBSTITUTE(F122," ",""))-1)&amp;"&amp;lng="&amp;DERECHA(SUBSTITUTE(F122," ",""),LARGO(SUBSTITUTE(F122," ",""))-ENCONTRAR(",",SUBSTITUTE(F122," ",""))),"")</f>
        <v/>
      </c>
    </row>
    <row r="123" ht="15.75" customHeight="1" s="10">
      <c r="A123" s="8">
        <f>CONCAT("AD507-",TEXT(ROW()-2,"0000"))</f>
        <v/>
      </c>
      <c r="C123" s="8" t="n"/>
      <c r="F123" s="8" t="n"/>
      <c r="G123" s="8">
        <f>IF(F123&lt;&gt;"",HYPERLINK("https://www.google.com/maps/search/?api=1&amp;query="&amp;SUBSTITUTE(F123," ",""),"🗺 Google Maps"),"")</f>
        <v/>
      </c>
      <c r="H123" s="8">
        <f>IF(F123&lt;&gt;"",HYPERLINK("https://waze.com/ul?ll="&amp;SUBSTITUTE(F123," ","")&amp;"&amp;navigate=yes","🚗 Waze"),"")</f>
        <v/>
      </c>
      <c r="I123" s="8">
        <f>IF(F123&lt;&gt;"",HYPERLINK("https://m.uber.com/ul/?action=setPickup&amp;pickup=my_location&amp;dropoff[latitude]="&amp;LEFT(SUBSTITUTE(F123," ",""),FIND(",",SUBSTITUTE(F123," ",""))-1)&amp;"&amp;dropoff[longitude]="&amp;MID(SUBSTITUTE(F123," ",""),FIND(",",SUBSTITUTE(F123," ",""))+1,99),"🚕 Uber"),"")</f>
        <v/>
      </c>
      <c r="J123" s="8">
        <f>IF(F123&lt;&gt;"","https://api.qrserver.com/v1/create-qr-code/?size=200x200&amp;data="&amp;ENCODEURL("https://www.google.com/maps/search/?api=1&amp;query="&amp;SUBSTITUTE(F123," ","")),"")</f>
        <v/>
      </c>
      <c r="K123" s="8">
        <f>IF(C123&lt;&gt;"",HYPERLINK("https://wa.me/507"&amp;REGEXREPLACE(C123,"[^0-9]","")&amp;"?text="&amp;ENCODEURL("Ya llegue. Codigo: "&amp;A123&amp;". Ubicacion: "&amp;"https://www.google.com/maps/search/?api=1&amp;query="&amp;SUBSTITUTE(F123," ","")),"📲 Avisar al cliente"),"")</f>
        <v/>
      </c>
      <c r="L123" s="8">
        <f>IF(C123&lt;&gt;"","https://api.qrserver.com/v1/create-qr-code/?size=200x200&amp;data="&amp;ENCODEURL("https://wa.me/507"&amp;REGEXREPLACE(C123,"[^0-9]","")&amp;"?text="&amp;ENCODEURL("Ya llegue. Codigo: "&amp;A123&amp;". Ubicacion: "&amp;"https://www.google.com/maps/search/?api=1&amp;query="&amp;SUBSTITUTE(F123," ",""))),"")</f>
        <v/>
      </c>
      <c r="M123" s="8">
        <f>IF(B123&lt;&gt;"",TODAY(),"")</f>
        <v/>
      </c>
      <c r="N123" s="8">
        <f>IF(F123&lt;&gt;"",IFERROR(IF(AND(REGEXMATCH(SUBSTITUTE(TRIM(F123)," ",""),"^-?\d+(\.\d+)?,-?\d+(\.\d+)?$"),VALUE(REGEXEXTRACT(SUBSTITUTE(TRIM(F123)," ",""),"^-?\d+(\.\d+)?"))&gt;=-90,VALUE(REGEXEXTRACT(SUBSTITUTE(TRIM(F123)," ",""),"^-?\d+(\.\d+)?"))&lt;=90,VALUE(REGEXEXTRACT(SUBSTITUTE(TRIM(F123)," ",""),"-?\d+(\.\d+)?$"))&gt;=-180,VALUE(REGEXEXTRACT(SUBSTITUTE(TRIM(F123)," ",""),"-?\d+(\.\d+)?$"))&lt;=180),"OK","REVISAR"),"REVISAR"),"")</f>
        <v/>
      </c>
      <c r="O123">
        <f>IF(A123&lt;&gt;"","https://direcciones507.github.io/direcciones507/panel.html?codigo="&amp;A123&amp;"&amp;nombre="&amp;ENCODEURL(B123)&amp;"&amp;telefono="&amp;SUBSTITUTE(C123,"-","")&amp;"&amp;referencia="&amp;ENCODEURL(E123)&amp;"&amp;lat="&amp;IZQUIERDA(SUBSTITUTE(F123," ",""),ENCONTRAR(",",SUBSTITUTE(F123," ",""))-1)&amp;"&amp;lng="&amp;DERECHA(SUBSTITUTE(F123," ",""),LARGO(SUBSTITUTE(F123," ",""))-ENCONTRAR(",",SUBSTITUTE(F123," ",""))),"")</f>
        <v/>
      </c>
    </row>
    <row r="124" ht="15.75" customHeight="1" s="10">
      <c r="A124" s="8">
        <f>CONCAT("AD507-",TEXT(ROW()-2,"0000"))</f>
        <v/>
      </c>
      <c r="C124" s="8" t="n"/>
      <c r="F124" s="8" t="n"/>
      <c r="G124" s="8">
        <f>IF(F124&lt;&gt;"",HYPERLINK("https://www.google.com/maps/search/?api=1&amp;query="&amp;SUBSTITUTE(F124," ",""),"🗺 Google Maps"),"")</f>
        <v/>
      </c>
      <c r="H124" s="8">
        <f>IF(F124&lt;&gt;"",HYPERLINK("https://waze.com/ul?ll="&amp;SUBSTITUTE(F124," ","")&amp;"&amp;navigate=yes","🚗 Waze"),"")</f>
        <v/>
      </c>
      <c r="I124" s="8">
        <f>IF(F124&lt;&gt;"",HYPERLINK("https://m.uber.com/ul/?action=setPickup&amp;pickup=my_location&amp;dropoff[latitude]="&amp;LEFT(SUBSTITUTE(F124," ",""),FIND(",",SUBSTITUTE(F124," ",""))-1)&amp;"&amp;dropoff[longitude]="&amp;MID(SUBSTITUTE(F124," ",""),FIND(",",SUBSTITUTE(F124," ",""))+1,99),"🚕 Uber"),"")</f>
        <v/>
      </c>
      <c r="J124" s="8">
        <f>IF(F124&lt;&gt;"","https://api.qrserver.com/v1/create-qr-code/?size=200x200&amp;data="&amp;ENCODEURL("https://www.google.com/maps/search/?api=1&amp;query="&amp;SUBSTITUTE(F124," ","")),"")</f>
        <v/>
      </c>
      <c r="K124" s="8">
        <f>IF(C124&lt;&gt;"",HYPERLINK("https://wa.me/507"&amp;REGEXREPLACE(C124,"[^0-9]","")&amp;"?text="&amp;ENCODEURL("Ya llegue. Codigo: "&amp;A124&amp;". Ubicacion: "&amp;"https://www.google.com/maps/search/?api=1&amp;query="&amp;SUBSTITUTE(F124," ","")),"📲 Avisar al cliente"),"")</f>
        <v/>
      </c>
      <c r="L124" s="8">
        <f>IF(C124&lt;&gt;"","https://api.qrserver.com/v1/create-qr-code/?size=200x200&amp;data="&amp;ENCODEURL("https://wa.me/507"&amp;REGEXREPLACE(C124,"[^0-9]","")&amp;"?text="&amp;ENCODEURL("Ya llegue. Codigo: "&amp;A124&amp;". Ubicacion: "&amp;"https://www.google.com/maps/search/?api=1&amp;query="&amp;SUBSTITUTE(F124," ",""))),"")</f>
        <v/>
      </c>
      <c r="M124" s="8">
        <f>IF(B124&lt;&gt;"",TODAY(),"")</f>
        <v/>
      </c>
      <c r="N124" s="8">
        <f>IF(F124&lt;&gt;"",IFERROR(IF(AND(REGEXMATCH(SUBSTITUTE(TRIM(F124)," ",""),"^-?\d+(\.\d+)?,-?\d+(\.\d+)?$"),VALUE(REGEXEXTRACT(SUBSTITUTE(TRIM(F124)," ",""),"^-?\d+(\.\d+)?"))&gt;=-90,VALUE(REGEXEXTRACT(SUBSTITUTE(TRIM(F124)," ",""),"^-?\d+(\.\d+)?"))&lt;=90,VALUE(REGEXEXTRACT(SUBSTITUTE(TRIM(F124)," ",""),"-?\d+(\.\d+)?$"))&gt;=-180,VALUE(REGEXEXTRACT(SUBSTITUTE(TRIM(F124)," ",""),"-?\d+(\.\d+)?$"))&lt;=180),"OK","REVISAR"),"REVISAR"),"")</f>
        <v/>
      </c>
      <c r="O124">
        <f>IF(A124&lt;&gt;"","https://direcciones507.github.io/direcciones507/panel.html?codigo="&amp;A124&amp;"&amp;nombre="&amp;ENCODEURL(B124)&amp;"&amp;telefono="&amp;SUBSTITUTE(C124,"-","")&amp;"&amp;referencia="&amp;ENCODEURL(E124)&amp;"&amp;lat="&amp;IZQUIERDA(SUBSTITUTE(F124," ",""),ENCONTRAR(",",SUBSTITUTE(F124," ",""))-1)&amp;"&amp;lng="&amp;DERECHA(SUBSTITUTE(F124," ",""),LARGO(SUBSTITUTE(F124," ",""))-ENCONTRAR(",",SUBSTITUTE(F124," ",""))),"")</f>
        <v/>
      </c>
    </row>
    <row r="125" ht="15.75" customHeight="1" s="10">
      <c r="A125" s="8">
        <f>CONCAT("AD507-",TEXT(ROW()-2,"0000"))</f>
        <v/>
      </c>
      <c r="C125" s="8" t="n"/>
      <c r="F125" s="8" t="n"/>
      <c r="G125" s="8">
        <f>IF(F125&lt;&gt;"",HYPERLINK("https://www.google.com/maps/search/?api=1&amp;query="&amp;SUBSTITUTE(F125," ",""),"🗺 Google Maps"),"")</f>
        <v/>
      </c>
      <c r="H125" s="8">
        <f>IF(F125&lt;&gt;"",HYPERLINK("https://waze.com/ul?ll="&amp;SUBSTITUTE(F125," ","")&amp;"&amp;navigate=yes","🚗 Waze"),"")</f>
        <v/>
      </c>
      <c r="I125" s="8">
        <f>IF(F125&lt;&gt;"",HYPERLINK("https://m.uber.com/ul/?action=setPickup&amp;pickup=my_location&amp;dropoff[latitude]="&amp;LEFT(SUBSTITUTE(F125," ",""),FIND(",",SUBSTITUTE(F125," ",""))-1)&amp;"&amp;dropoff[longitude]="&amp;MID(SUBSTITUTE(F125," ",""),FIND(",",SUBSTITUTE(F125," ",""))+1,99),"🚕 Uber"),"")</f>
        <v/>
      </c>
      <c r="J125" s="8">
        <f>IF(F125&lt;&gt;"","https://api.qrserver.com/v1/create-qr-code/?size=200x200&amp;data="&amp;ENCODEURL("https://www.google.com/maps/search/?api=1&amp;query="&amp;SUBSTITUTE(F125," ","")),"")</f>
        <v/>
      </c>
      <c r="K125" s="8">
        <f>IF(C125&lt;&gt;"",HYPERLINK("https://wa.me/507"&amp;REGEXREPLACE(C125,"[^0-9]","")&amp;"?text="&amp;ENCODEURL("Ya llegue. Codigo: "&amp;A125&amp;". Ubicacion: "&amp;"https://www.google.com/maps/search/?api=1&amp;query="&amp;SUBSTITUTE(F125," ","")),"📲 Avisar al cliente"),"")</f>
        <v/>
      </c>
      <c r="L125" s="8">
        <f>IF(C125&lt;&gt;"","https://api.qrserver.com/v1/create-qr-code/?size=200x200&amp;data="&amp;ENCODEURL("https://wa.me/507"&amp;REGEXREPLACE(C125,"[^0-9]","")&amp;"?text="&amp;ENCODEURL("Ya llegue. Codigo: "&amp;A125&amp;". Ubicacion: "&amp;"https://www.google.com/maps/search/?api=1&amp;query="&amp;SUBSTITUTE(F125," ",""))),"")</f>
        <v/>
      </c>
      <c r="M125" s="8">
        <f>IF(B125&lt;&gt;"",TODAY(),"")</f>
        <v/>
      </c>
      <c r="N125" s="8">
        <f>IF(F125&lt;&gt;"",IFERROR(IF(AND(REGEXMATCH(SUBSTITUTE(TRIM(F125)," ",""),"^-?\d+(\.\d+)?,-?\d+(\.\d+)?$"),VALUE(REGEXEXTRACT(SUBSTITUTE(TRIM(F125)," ",""),"^-?\d+(\.\d+)?"))&gt;=-90,VALUE(REGEXEXTRACT(SUBSTITUTE(TRIM(F125)," ",""),"^-?\d+(\.\d+)?"))&lt;=90,VALUE(REGEXEXTRACT(SUBSTITUTE(TRIM(F125)," ",""),"-?\d+(\.\d+)?$"))&gt;=-180,VALUE(REGEXEXTRACT(SUBSTITUTE(TRIM(F125)," ",""),"-?\d+(\.\d+)?$"))&lt;=180),"OK","REVISAR"),"REVISAR"),"")</f>
        <v/>
      </c>
      <c r="O125">
        <f>IF(A125&lt;&gt;"","https://direcciones507.github.io/direcciones507/panel.html?codigo="&amp;A125&amp;"&amp;nombre="&amp;ENCODEURL(B125)&amp;"&amp;telefono="&amp;SUBSTITUTE(C125,"-","")&amp;"&amp;referencia="&amp;ENCODEURL(E125)&amp;"&amp;lat="&amp;IZQUIERDA(SUBSTITUTE(F125," ",""),ENCONTRAR(",",SUBSTITUTE(F125," ",""))-1)&amp;"&amp;lng="&amp;DERECHA(SUBSTITUTE(F125," ",""),LARGO(SUBSTITUTE(F125," ",""))-ENCONTRAR(",",SUBSTITUTE(F125," ",""))),"")</f>
        <v/>
      </c>
    </row>
    <row r="126" ht="15.75" customHeight="1" s="10">
      <c r="A126" s="8">
        <f>CONCAT("AD507-",TEXT(ROW()-2,"0000"))</f>
        <v/>
      </c>
      <c r="C126" s="8" t="n"/>
      <c r="F126" s="8" t="n"/>
      <c r="G126" s="8">
        <f>IF(F126&lt;&gt;"",HYPERLINK("https://www.google.com/maps/search/?api=1&amp;query="&amp;SUBSTITUTE(F126," ",""),"🗺 Google Maps"),"")</f>
        <v/>
      </c>
      <c r="H126" s="8">
        <f>IF(F126&lt;&gt;"",HYPERLINK("https://waze.com/ul?ll="&amp;SUBSTITUTE(F126," ","")&amp;"&amp;navigate=yes","🚗 Waze"),"")</f>
        <v/>
      </c>
      <c r="I126" s="8">
        <f>IF(F126&lt;&gt;"",HYPERLINK("https://m.uber.com/ul/?action=setPickup&amp;pickup=my_location&amp;dropoff[latitude]="&amp;LEFT(SUBSTITUTE(F126," ",""),FIND(",",SUBSTITUTE(F126," ",""))-1)&amp;"&amp;dropoff[longitude]="&amp;MID(SUBSTITUTE(F126," ",""),FIND(",",SUBSTITUTE(F126," ",""))+1,99),"🚕 Uber"),"")</f>
        <v/>
      </c>
      <c r="J126" s="8">
        <f>IF(F126&lt;&gt;"","https://api.qrserver.com/v1/create-qr-code/?size=200x200&amp;data="&amp;ENCODEURL("https://www.google.com/maps/search/?api=1&amp;query="&amp;SUBSTITUTE(F126," ","")),"")</f>
        <v/>
      </c>
      <c r="K126" s="8">
        <f>IF(C126&lt;&gt;"",HYPERLINK("https://wa.me/507"&amp;REGEXREPLACE(C126,"[^0-9]","")&amp;"?text="&amp;ENCODEURL("Ya llegue. Codigo: "&amp;A126&amp;". Ubicacion: "&amp;"https://www.google.com/maps/search/?api=1&amp;query="&amp;SUBSTITUTE(F126," ","")),"📲 Avisar al cliente"),"")</f>
        <v/>
      </c>
      <c r="L126" s="8">
        <f>IF(C126&lt;&gt;"","https://api.qrserver.com/v1/create-qr-code/?size=200x200&amp;data="&amp;ENCODEURL("https://wa.me/507"&amp;REGEXREPLACE(C126,"[^0-9]","")&amp;"?text="&amp;ENCODEURL("Ya llegue. Codigo: "&amp;A126&amp;". Ubicacion: "&amp;"https://www.google.com/maps/search/?api=1&amp;query="&amp;SUBSTITUTE(F126," ",""))),"")</f>
        <v/>
      </c>
      <c r="M126" s="8">
        <f>IF(B126&lt;&gt;"",TODAY(),"")</f>
        <v/>
      </c>
      <c r="N126" s="8">
        <f>IF(F126&lt;&gt;"",IFERROR(IF(AND(REGEXMATCH(SUBSTITUTE(TRIM(F126)," ",""),"^-?\d+(\.\d+)?,-?\d+(\.\d+)?$"),VALUE(REGEXEXTRACT(SUBSTITUTE(TRIM(F126)," ",""),"^-?\d+(\.\d+)?"))&gt;=-90,VALUE(REGEXEXTRACT(SUBSTITUTE(TRIM(F126)," ",""),"^-?\d+(\.\d+)?"))&lt;=90,VALUE(REGEXEXTRACT(SUBSTITUTE(TRIM(F126)," ",""),"-?\d+(\.\d+)?$"))&gt;=-180,VALUE(REGEXEXTRACT(SUBSTITUTE(TRIM(F126)," ",""),"-?\d+(\.\d+)?$"))&lt;=180),"OK","REVISAR"),"REVISAR"),"")</f>
        <v/>
      </c>
      <c r="O126">
        <f>IF(A126&lt;&gt;"","https://direcciones507.github.io/direcciones507/panel.html?codigo="&amp;A126&amp;"&amp;nombre="&amp;ENCODEURL(B126)&amp;"&amp;telefono="&amp;SUBSTITUTE(C126,"-","")&amp;"&amp;referencia="&amp;ENCODEURL(E126)&amp;"&amp;lat="&amp;IZQUIERDA(SUBSTITUTE(F126," ",""),ENCONTRAR(",",SUBSTITUTE(F126," ",""))-1)&amp;"&amp;lng="&amp;DERECHA(SUBSTITUTE(F126," ",""),LARGO(SUBSTITUTE(F126," ",""))-ENCONTRAR(",",SUBSTITUTE(F126," ",""))),"")</f>
        <v/>
      </c>
    </row>
    <row r="127" ht="15.75" customHeight="1" s="10">
      <c r="A127" s="8">
        <f>CONCAT("AD507-",TEXT(ROW()-2,"0000"))</f>
        <v/>
      </c>
      <c r="C127" s="8" t="n"/>
      <c r="F127" s="8" t="n"/>
      <c r="G127" s="8">
        <f>IF(F127&lt;&gt;"",HYPERLINK("https://www.google.com/maps/search/?api=1&amp;query="&amp;SUBSTITUTE(F127," ",""),"🗺 Google Maps"),"")</f>
        <v/>
      </c>
      <c r="H127" s="8">
        <f>IF(F127&lt;&gt;"",HYPERLINK("https://waze.com/ul?ll="&amp;SUBSTITUTE(F127," ","")&amp;"&amp;navigate=yes","🚗 Waze"),"")</f>
        <v/>
      </c>
      <c r="I127" s="8">
        <f>IF(F127&lt;&gt;"",HYPERLINK("https://m.uber.com/ul/?action=setPickup&amp;pickup=my_location&amp;dropoff[latitude]="&amp;LEFT(SUBSTITUTE(F127," ",""),FIND(",",SUBSTITUTE(F127," ",""))-1)&amp;"&amp;dropoff[longitude]="&amp;MID(SUBSTITUTE(F127," ",""),FIND(",",SUBSTITUTE(F127," ",""))+1,99),"🚕 Uber"),"")</f>
        <v/>
      </c>
      <c r="J127" s="8">
        <f>IF(F127&lt;&gt;"","https://api.qrserver.com/v1/create-qr-code/?size=200x200&amp;data="&amp;ENCODEURL("https://www.google.com/maps/search/?api=1&amp;query="&amp;SUBSTITUTE(F127," ","")),"")</f>
        <v/>
      </c>
      <c r="K127" s="8">
        <f>IF(C127&lt;&gt;"",HYPERLINK("https://wa.me/507"&amp;REGEXREPLACE(C127,"[^0-9]","")&amp;"?text="&amp;ENCODEURL("Ya llegue. Codigo: "&amp;A127&amp;". Ubicacion: "&amp;"https://www.google.com/maps/search/?api=1&amp;query="&amp;SUBSTITUTE(F127," ","")),"📲 Avisar al cliente"),"")</f>
        <v/>
      </c>
      <c r="L127" s="8">
        <f>IF(C127&lt;&gt;"","https://api.qrserver.com/v1/create-qr-code/?size=200x200&amp;data="&amp;ENCODEURL("https://wa.me/507"&amp;REGEXREPLACE(C127,"[^0-9]","")&amp;"?text="&amp;ENCODEURL("Ya llegue. Codigo: "&amp;A127&amp;". Ubicacion: "&amp;"https://www.google.com/maps/search/?api=1&amp;query="&amp;SUBSTITUTE(F127," ",""))),"")</f>
        <v/>
      </c>
      <c r="M127" s="8">
        <f>IF(B127&lt;&gt;"",TODAY(),"")</f>
        <v/>
      </c>
      <c r="N127" s="8">
        <f>IF(F127&lt;&gt;"",IFERROR(IF(AND(REGEXMATCH(SUBSTITUTE(TRIM(F127)," ",""),"^-?\d+(\.\d+)?,-?\d+(\.\d+)?$"),VALUE(REGEXEXTRACT(SUBSTITUTE(TRIM(F127)," ",""),"^-?\d+(\.\d+)?"))&gt;=-90,VALUE(REGEXEXTRACT(SUBSTITUTE(TRIM(F127)," ",""),"^-?\d+(\.\d+)?"))&lt;=90,VALUE(REGEXEXTRACT(SUBSTITUTE(TRIM(F127)," ",""),"-?\d+(\.\d+)?$"))&gt;=-180,VALUE(REGEXEXTRACT(SUBSTITUTE(TRIM(F127)," ",""),"-?\d+(\.\d+)?$"))&lt;=180),"OK","REVISAR"),"REVISAR"),"")</f>
        <v/>
      </c>
      <c r="O127">
        <f>IF(A127&lt;&gt;"","https://direcciones507.github.io/direcciones507/panel.html?codigo="&amp;A127&amp;"&amp;nombre="&amp;ENCODEURL(B127)&amp;"&amp;telefono="&amp;SUBSTITUTE(C127,"-","")&amp;"&amp;referencia="&amp;ENCODEURL(E127)&amp;"&amp;lat="&amp;IZQUIERDA(SUBSTITUTE(F127," ",""),ENCONTRAR(",",SUBSTITUTE(F127," ",""))-1)&amp;"&amp;lng="&amp;DERECHA(SUBSTITUTE(F127," ",""),LARGO(SUBSTITUTE(F127," ",""))-ENCONTRAR(",",SUBSTITUTE(F127," ",""))),"")</f>
        <v/>
      </c>
    </row>
    <row r="128" ht="15.75" customHeight="1" s="10">
      <c r="A128" s="8">
        <f>CONCAT("AD507-",TEXT(ROW()-2,"0000"))</f>
        <v/>
      </c>
      <c r="C128" s="8" t="n"/>
      <c r="F128" s="8" t="n"/>
      <c r="G128" s="8">
        <f>IF(F128&lt;&gt;"",HYPERLINK("https://www.google.com/maps/search/?api=1&amp;query="&amp;SUBSTITUTE(F128," ",""),"🗺 Google Maps"),"")</f>
        <v/>
      </c>
      <c r="H128" s="8">
        <f>IF(F128&lt;&gt;"",HYPERLINK("https://waze.com/ul?ll="&amp;SUBSTITUTE(F128," ","")&amp;"&amp;navigate=yes","🚗 Waze"),"")</f>
        <v/>
      </c>
      <c r="I128" s="8">
        <f>IF(F128&lt;&gt;"",HYPERLINK("https://m.uber.com/ul/?action=setPickup&amp;pickup=my_location&amp;dropoff[latitude]="&amp;LEFT(SUBSTITUTE(F128," ",""),FIND(",",SUBSTITUTE(F128," ",""))-1)&amp;"&amp;dropoff[longitude]="&amp;MID(SUBSTITUTE(F128," ",""),FIND(",",SUBSTITUTE(F128," ",""))+1,99),"🚕 Uber"),"")</f>
        <v/>
      </c>
      <c r="J128" s="8">
        <f>IF(F128&lt;&gt;"","https://api.qrserver.com/v1/create-qr-code/?size=200x200&amp;data="&amp;ENCODEURL("https://www.google.com/maps/search/?api=1&amp;query="&amp;SUBSTITUTE(F128," ","")),"")</f>
        <v/>
      </c>
      <c r="K128" s="8">
        <f>IF(C128&lt;&gt;"",HYPERLINK("https://wa.me/507"&amp;REGEXREPLACE(C128,"[^0-9]","")&amp;"?text="&amp;ENCODEURL("Ya llegue. Codigo: "&amp;A128&amp;". Ubicacion: "&amp;"https://www.google.com/maps/search/?api=1&amp;query="&amp;SUBSTITUTE(F128," ","")),"📲 Avisar al cliente"),"")</f>
        <v/>
      </c>
      <c r="L128" s="8">
        <f>IF(C128&lt;&gt;"","https://api.qrserver.com/v1/create-qr-code/?size=200x200&amp;data="&amp;ENCODEURL("https://wa.me/507"&amp;REGEXREPLACE(C128,"[^0-9]","")&amp;"?text="&amp;ENCODEURL("Ya llegue. Codigo: "&amp;A128&amp;". Ubicacion: "&amp;"https://www.google.com/maps/search/?api=1&amp;query="&amp;SUBSTITUTE(F128," ",""))),"")</f>
        <v/>
      </c>
      <c r="M128" s="8">
        <f>IF(B128&lt;&gt;"",TODAY(),"")</f>
        <v/>
      </c>
      <c r="N128" s="8">
        <f>IF(F128&lt;&gt;"",IFERROR(IF(AND(REGEXMATCH(SUBSTITUTE(TRIM(F128)," ",""),"^-?\d+(\.\d+)?,-?\d+(\.\d+)?$"),VALUE(REGEXEXTRACT(SUBSTITUTE(TRIM(F128)," ",""),"^-?\d+(\.\d+)?"))&gt;=-90,VALUE(REGEXEXTRACT(SUBSTITUTE(TRIM(F128)," ",""),"^-?\d+(\.\d+)?"))&lt;=90,VALUE(REGEXEXTRACT(SUBSTITUTE(TRIM(F128)," ",""),"-?\d+(\.\d+)?$"))&gt;=-180,VALUE(REGEXEXTRACT(SUBSTITUTE(TRIM(F128)," ",""),"-?\d+(\.\d+)?$"))&lt;=180),"OK","REVISAR"),"REVISAR"),"")</f>
        <v/>
      </c>
      <c r="O128">
        <f>IF(A128&lt;&gt;"","https://direcciones507.github.io/direcciones507/panel.html?codigo="&amp;A128&amp;"&amp;nombre="&amp;ENCODEURL(B128)&amp;"&amp;telefono="&amp;SUBSTITUTE(C128,"-","")&amp;"&amp;referencia="&amp;ENCODEURL(E128)&amp;"&amp;lat="&amp;IZQUIERDA(SUBSTITUTE(F128," ",""),ENCONTRAR(",",SUBSTITUTE(F128," ",""))-1)&amp;"&amp;lng="&amp;DERECHA(SUBSTITUTE(F128," ",""),LARGO(SUBSTITUTE(F128," ",""))-ENCONTRAR(",",SUBSTITUTE(F128," ",""))),"")</f>
        <v/>
      </c>
    </row>
    <row r="129" ht="15.75" customHeight="1" s="10">
      <c r="A129" s="8">
        <f>CONCAT("AD507-",TEXT(ROW()-2,"0000"))</f>
        <v/>
      </c>
      <c r="C129" s="8" t="n"/>
      <c r="F129" s="8" t="n"/>
      <c r="G129" s="8">
        <f>IF(F129&lt;&gt;"",HYPERLINK("https://www.google.com/maps/search/?api=1&amp;query="&amp;SUBSTITUTE(F129," ",""),"🗺 Google Maps"),"")</f>
        <v/>
      </c>
      <c r="H129" s="8">
        <f>IF(F129&lt;&gt;"",HYPERLINK("https://waze.com/ul?ll="&amp;SUBSTITUTE(F129," ","")&amp;"&amp;navigate=yes","🚗 Waze"),"")</f>
        <v/>
      </c>
      <c r="I129" s="8">
        <f>IF(F129&lt;&gt;"",HYPERLINK("https://m.uber.com/ul/?action=setPickup&amp;pickup=my_location&amp;dropoff[latitude]="&amp;LEFT(SUBSTITUTE(F129," ",""),FIND(",",SUBSTITUTE(F129," ",""))-1)&amp;"&amp;dropoff[longitude]="&amp;MID(SUBSTITUTE(F129," ",""),FIND(",",SUBSTITUTE(F129," ",""))+1,99),"🚕 Uber"),"")</f>
        <v/>
      </c>
      <c r="J129" s="8">
        <f>IF(F129&lt;&gt;"","https://api.qrserver.com/v1/create-qr-code/?size=200x200&amp;data="&amp;ENCODEURL("https://www.google.com/maps/search/?api=1&amp;query="&amp;SUBSTITUTE(F129," ","")),"")</f>
        <v/>
      </c>
      <c r="K129" s="8">
        <f>IF(C129&lt;&gt;"",HYPERLINK("https://wa.me/507"&amp;REGEXREPLACE(C129,"[^0-9]","")&amp;"?text="&amp;ENCODEURL("Ya llegue. Codigo: "&amp;A129&amp;". Ubicacion: "&amp;"https://www.google.com/maps/search/?api=1&amp;query="&amp;SUBSTITUTE(F129," ","")),"📲 Avisar al cliente"),"")</f>
        <v/>
      </c>
      <c r="L129" s="8">
        <f>IF(C129&lt;&gt;"","https://api.qrserver.com/v1/create-qr-code/?size=200x200&amp;data="&amp;ENCODEURL("https://wa.me/507"&amp;REGEXREPLACE(C129,"[^0-9]","")&amp;"?text="&amp;ENCODEURL("Ya llegue. Codigo: "&amp;A129&amp;". Ubicacion: "&amp;"https://www.google.com/maps/search/?api=1&amp;query="&amp;SUBSTITUTE(F129," ",""))),"")</f>
        <v/>
      </c>
      <c r="M129" s="8">
        <f>IF(B129&lt;&gt;"",TODAY(),"")</f>
        <v/>
      </c>
      <c r="N129" s="8">
        <f>IF(F129&lt;&gt;"",IFERROR(IF(AND(REGEXMATCH(SUBSTITUTE(TRIM(F129)," ",""),"^-?\d+(\.\d+)?,-?\d+(\.\d+)?$"),VALUE(REGEXEXTRACT(SUBSTITUTE(TRIM(F129)," ",""),"^-?\d+(\.\d+)?"))&gt;=-90,VALUE(REGEXEXTRACT(SUBSTITUTE(TRIM(F129)," ",""),"^-?\d+(\.\d+)?"))&lt;=90,VALUE(REGEXEXTRACT(SUBSTITUTE(TRIM(F129)," ",""),"-?\d+(\.\d+)?$"))&gt;=-180,VALUE(REGEXEXTRACT(SUBSTITUTE(TRIM(F129)," ",""),"-?\d+(\.\d+)?$"))&lt;=180),"OK","REVISAR"),"REVISAR"),"")</f>
        <v/>
      </c>
      <c r="O129">
        <f>IF(A129&lt;&gt;"","https://direcciones507.github.io/direcciones507/panel.html?codigo="&amp;A129&amp;"&amp;nombre="&amp;ENCODEURL(B129)&amp;"&amp;telefono="&amp;SUBSTITUTE(C129,"-","")&amp;"&amp;referencia="&amp;ENCODEURL(E129)&amp;"&amp;lat="&amp;IZQUIERDA(SUBSTITUTE(F129," ",""),ENCONTRAR(",",SUBSTITUTE(F129," ",""))-1)&amp;"&amp;lng="&amp;DERECHA(SUBSTITUTE(F129," ",""),LARGO(SUBSTITUTE(F129," ",""))-ENCONTRAR(",",SUBSTITUTE(F129," ",""))),"")</f>
        <v/>
      </c>
    </row>
    <row r="130" ht="15.75" customHeight="1" s="10">
      <c r="A130" s="8">
        <f>CONCAT("AD507-",TEXT(ROW()-2,"0000"))</f>
        <v/>
      </c>
      <c r="C130" s="8" t="n"/>
      <c r="F130" s="8" t="n"/>
      <c r="G130" s="8">
        <f>IF(F130&lt;&gt;"",HYPERLINK("https://www.google.com/maps/search/?api=1&amp;query="&amp;SUBSTITUTE(F130," ",""),"🗺 Google Maps"),"")</f>
        <v/>
      </c>
      <c r="H130" s="8">
        <f>IF(F130&lt;&gt;"",HYPERLINK("https://waze.com/ul?ll="&amp;SUBSTITUTE(F130," ","")&amp;"&amp;navigate=yes","🚗 Waze"),"")</f>
        <v/>
      </c>
      <c r="I130" s="8">
        <f>IF(F130&lt;&gt;"",HYPERLINK("https://m.uber.com/ul/?action=setPickup&amp;pickup=my_location&amp;dropoff[latitude]="&amp;LEFT(SUBSTITUTE(F130," ",""),FIND(",",SUBSTITUTE(F130," ",""))-1)&amp;"&amp;dropoff[longitude]="&amp;MID(SUBSTITUTE(F130," ",""),FIND(",",SUBSTITUTE(F130," ",""))+1,99),"🚕 Uber"),"")</f>
        <v/>
      </c>
      <c r="J130" s="8">
        <f>IF(F130&lt;&gt;"","https://api.qrserver.com/v1/create-qr-code/?size=200x200&amp;data="&amp;ENCODEURL("https://www.google.com/maps/search/?api=1&amp;query="&amp;SUBSTITUTE(F130," ","")),"")</f>
        <v/>
      </c>
      <c r="K130" s="8">
        <f>IF(C130&lt;&gt;"",HYPERLINK("https://wa.me/507"&amp;REGEXREPLACE(C130,"[^0-9]","")&amp;"?text="&amp;ENCODEURL("Ya llegue. Codigo: "&amp;A130&amp;". Ubicacion: "&amp;"https://www.google.com/maps/search/?api=1&amp;query="&amp;SUBSTITUTE(F130," ","")),"📲 Avisar al cliente"),"")</f>
        <v/>
      </c>
      <c r="L130" s="8">
        <f>IF(C130&lt;&gt;"","https://api.qrserver.com/v1/create-qr-code/?size=200x200&amp;data="&amp;ENCODEURL("https://wa.me/507"&amp;REGEXREPLACE(C130,"[^0-9]","")&amp;"?text="&amp;ENCODEURL("Ya llegue. Codigo: "&amp;A130&amp;". Ubicacion: "&amp;"https://www.google.com/maps/search/?api=1&amp;query="&amp;SUBSTITUTE(F130," ",""))),"")</f>
        <v/>
      </c>
      <c r="M130" s="8">
        <f>IF(B130&lt;&gt;"",TODAY(),"")</f>
        <v/>
      </c>
      <c r="N130" s="8">
        <f>IF(F130&lt;&gt;"",IFERROR(IF(AND(REGEXMATCH(SUBSTITUTE(TRIM(F130)," ",""),"^-?\d+(\.\d+)?,-?\d+(\.\d+)?$"),VALUE(REGEXEXTRACT(SUBSTITUTE(TRIM(F130)," ",""),"^-?\d+(\.\d+)?"))&gt;=-90,VALUE(REGEXEXTRACT(SUBSTITUTE(TRIM(F130)," ",""),"^-?\d+(\.\d+)?"))&lt;=90,VALUE(REGEXEXTRACT(SUBSTITUTE(TRIM(F130)," ",""),"-?\d+(\.\d+)?$"))&gt;=-180,VALUE(REGEXEXTRACT(SUBSTITUTE(TRIM(F130)," ",""),"-?\d+(\.\d+)?$"))&lt;=180),"OK","REVISAR"),"REVISAR"),"")</f>
        <v/>
      </c>
      <c r="O130">
        <f>IF(A130&lt;&gt;"","https://direcciones507.github.io/direcciones507/panel.html?codigo="&amp;A130&amp;"&amp;nombre="&amp;ENCODEURL(B130)&amp;"&amp;telefono="&amp;SUBSTITUTE(C130,"-","")&amp;"&amp;referencia="&amp;ENCODEURL(E130)&amp;"&amp;lat="&amp;IZQUIERDA(SUBSTITUTE(F130," ",""),ENCONTRAR(",",SUBSTITUTE(F130," ",""))-1)&amp;"&amp;lng="&amp;DERECHA(SUBSTITUTE(F130," ",""),LARGO(SUBSTITUTE(F130," ",""))-ENCONTRAR(",",SUBSTITUTE(F130," ",""))),"")</f>
        <v/>
      </c>
    </row>
    <row r="131" ht="15.75" customHeight="1" s="10">
      <c r="A131" s="8">
        <f>CONCAT("AD507-",TEXT(ROW()-2,"0000"))</f>
        <v/>
      </c>
      <c r="C131" s="8" t="n"/>
      <c r="F131" s="8" t="n"/>
      <c r="G131" s="8">
        <f>IF(F131&lt;&gt;"",HYPERLINK("https://www.google.com/maps/search/?api=1&amp;query="&amp;SUBSTITUTE(F131," ",""),"🗺 Google Maps"),"")</f>
        <v/>
      </c>
      <c r="H131" s="8">
        <f>IF(F131&lt;&gt;"",HYPERLINK("https://waze.com/ul?ll="&amp;SUBSTITUTE(F131," ","")&amp;"&amp;navigate=yes","🚗 Waze"),"")</f>
        <v/>
      </c>
      <c r="I131" s="8">
        <f>IF(F131&lt;&gt;"",HYPERLINK("https://m.uber.com/ul/?action=setPickup&amp;pickup=my_location&amp;dropoff[latitude]="&amp;LEFT(SUBSTITUTE(F131," ",""),FIND(",",SUBSTITUTE(F131," ",""))-1)&amp;"&amp;dropoff[longitude]="&amp;MID(SUBSTITUTE(F131," ",""),FIND(",",SUBSTITUTE(F131," ",""))+1,99),"🚕 Uber"),"")</f>
        <v/>
      </c>
      <c r="J131" s="8">
        <f>IF(F131&lt;&gt;"","https://api.qrserver.com/v1/create-qr-code/?size=200x200&amp;data="&amp;ENCODEURL("https://www.google.com/maps/search/?api=1&amp;query="&amp;SUBSTITUTE(F131," ","")),"")</f>
        <v/>
      </c>
      <c r="K131" s="8">
        <f>IF(C131&lt;&gt;"",HYPERLINK("https://wa.me/507"&amp;REGEXREPLACE(C131,"[^0-9]","")&amp;"?text="&amp;ENCODEURL("Ya llegue. Codigo: "&amp;A131&amp;". Ubicacion: "&amp;"https://www.google.com/maps/search/?api=1&amp;query="&amp;SUBSTITUTE(F131," ","")),"📲 Avisar al cliente"),"")</f>
        <v/>
      </c>
      <c r="L131" s="8">
        <f>IF(C131&lt;&gt;"","https://api.qrserver.com/v1/create-qr-code/?size=200x200&amp;data="&amp;ENCODEURL("https://wa.me/507"&amp;REGEXREPLACE(C131,"[^0-9]","")&amp;"?text="&amp;ENCODEURL("Ya llegue. Codigo: "&amp;A131&amp;". Ubicacion: "&amp;"https://www.google.com/maps/search/?api=1&amp;query="&amp;SUBSTITUTE(F131," ",""))),"")</f>
        <v/>
      </c>
      <c r="M131" s="8">
        <f>IF(B131&lt;&gt;"",TODAY(),"")</f>
        <v/>
      </c>
      <c r="N131" s="8">
        <f>IF(F131&lt;&gt;"",IFERROR(IF(AND(REGEXMATCH(SUBSTITUTE(TRIM(F131)," ",""),"^-?\d+(\.\d+)?,-?\d+(\.\d+)?$"),VALUE(REGEXEXTRACT(SUBSTITUTE(TRIM(F131)," ",""),"^-?\d+(\.\d+)?"))&gt;=-90,VALUE(REGEXEXTRACT(SUBSTITUTE(TRIM(F131)," ",""),"^-?\d+(\.\d+)?"))&lt;=90,VALUE(REGEXEXTRACT(SUBSTITUTE(TRIM(F131)," ",""),"-?\d+(\.\d+)?$"))&gt;=-180,VALUE(REGEXEXTRACT(SUBSTITUTE(TRIM(F131)," ",""),"-?\d+(\.\d+)?$"))&lt;=180),"OK","REVISAR"),"REVISAR"),"")</f>
        <v/>
      </c>
      <c r="O131">
        <f>IF(A131&lt;&gt;"","https://direcciones507.github.io/direcciones507/panel.html?codigo="&amp;A131&amp;"&amp;nombre="&amp;ENCODEURL(B131)&amp;"&amp;telefono="&amp;SUBSTITUTE(C131,"-","")&amp;"&amp;referencia="&amp;ENCODEURL(E131)&amp;"&amp;lat="&amp;IZQUIERDA(SUBSTITUTE(F131," ",""),ENCONTRAR(",",SUBSTITUTE(F131," ",""))-1)&amp;"&amp;lng="&amp;DERECHA(SUBSTITUTE(F131," ",""),LARGO(SUBSTITUTE(F131," ",""))-ENCONTRAR(",",SUBSTITUTE(F131," ",""))),"")</f>
        <v/>
      </c>
    </row>
    <row r="132" ht="15.75" customHeight="1" s="10">
      <c r="A132" s="8">
        <f>CONCAT("AD507-",TEXT(ROW()-2,"0000"))</f>
        <v/>
      </c>
      <c r="C132" s="8" t="n"/>
      <c r="F132" s="8" t="n"/>
      <c r="G132" s="8">
        <f>IF(F132&lt;&gt;"",HYPERLINK("https://www.google.com/maps/search/?api=1&amp;query="&amp;SUBSTITUTE(F132," ",""),"🗺 Google Maps"),"")</f>
        <v/>
      </c>
      <c r="H132" s="8">
        <f>IF(F132&lt;&gt;"",HYPERLINK("https://waze.com/ul?ll="&amp;SUBSTITUTE(F132," ","")&amp;"&amp;navigate=yes","🚗 Waze"),"")</f>
        <v/>
      </c>
      <c r="I132" s="8">
        <f>IF(F132&lt;&gt;"",HYPERLINK("https://m.uber.com/ul/?action=setPickup&amp;pickup=my_location&amp;dropoff[latitude]="&amp;LEFT(SUBSTITUTE(F132," ",""),FIND(",",SUBSTITUTE(F132," ",""))-1)&amp;"&amp;dropoff[longitude]="&amp;MID(SUBSTITUTE(F132," ",""),FIND(",",SUBSTITUTE(F132," ",""))+1,99),"🚕 Uber"),"")</f>
        <v/>
      </c>
      <c r="J132" s="8">
        <f>IF(F132&lt;&gt;"","https://api.qrserver.com/v1/create-qr-code/?size=200x200&amp;data="&amp;ENCODEURL("https://www.google.com/maps/search/?api=1&amp;query="&amp;SUBSTITUTE(F132," ","")),"")</f>
        <v/>
      </c>
      <c r="K132" s="8">
        <f>IF(C132&lt;&gt;"",HYPERLINK("https://wa.me/507"&amp;REGEXREPLACE(C132,"[^0-9]","")&amp;"?text="&amp;ENCODEURL("Ya llegue. Codigo: "&amp;A132&amp;". Ubicacion: "&amp;"https://www.google.com/maps/search/?api=1&amp;query="&amp;SUBSTITUTE(F132," ","")),"📲 Avisar al cliente"),"")</f>
        <v/>
      </c>
      <c r="L132" s="8">
        <f>IF(C132&lt;&gt;"","https://api.qrserver.com/v1/create-qr-code/?size=200x200&amp;data="&amp;ENCODEURL("https://wa.me/507"&amp;REGEXREPLACE(C132,"[^0-9]","")&amp;"?text="&amp;ENCODEURL("Ya llegue. Codigo: "&amp;A132&amp;". Ubicacion: "&amp;"https://www.google.com/maps/search/?api=1&amp;query="&amp;SUBSTITUTE(F132," ",""))),"")</f>
        <v/>
      </c>
      <c r="M132" s="8">
        <f>IF(B132&lt;&gt;"",TODAY(),"")</f>
        <v/>
      </c>
      <c r="N132" s="8">
        <f>IF(F132&lt;&gt;"",IFERROR(IF(AND(REGEXMATCH(SUBSTITUTE(TRIM(F132)," ",""),"^-?\d+(\.\d+)?,-?\d+(\.\d+)?$"),VALUE(REGEXEXTRACT(SUBSTITUTE(TRIM(F132)," ",""),"^-?\d+(\.\d+)?"))&gt;=-90,VALUE(REGEXEXTRACT(SUBSTITUTE(TRIM(F132)," ",""),"^-?\d+(\.\d+)?"))&lt;=90,VALUE(REGEXEXTRACT(SUBSTITUTE(TRIM(F132)," ",""),"-?\d+(\.\d+)?$"))&gt;=-180,VALUE(REGEXEXTRACT(SUBSTITUTE(TRIM(F132)," ",""),"-?\d+(\.\d+)?$"))&lt;=180),"OK","REVISAR"),"REVISAR"),"")</f>
        <v/>
      </c>
      <c r="O132">
        <f>IF(A132&lt;&gt;"","https://direcciones507.github.io/direcciones507/panel.html?codigo="&amp;A132&amp;"&amp;nombre="&amp;ENCODEURL(B132)&amp;"&amp;telefono="&amp;SUBSTITUTE(C132,"-","")&amp;"&amp;referencia="&amp;ENCODEURL(E132)&amp;"&amp;lat="&amp;IZQUIERDA(SUBSTITUTE(F132," ",""),ENCONTRAR(",",SUBSTITUTE(F132," ",""))-1)&amp;"&amp;lng="&amp;DERECHA(SUBSTITUTE(F132," ",""),LARGO(SUBSTITUTE(F132," ",""))-ENCONTRAR(",",SUBSTITUTE(F132," ",""))),"")</f>
        <v/>
      </c>
    </row>
    <row r="133" ht="15.75" customHeight="1" s="10">
      <c r="A133" s="8">
        <f>CONCAT("AD507-",TEXT(ROW()-2,"0000"))</f>
        <v/>
      </c>
      <c r="C133" s="8" t="n"/>
      <c r="F133" s="8" t="n"/>
      <c r="G133" s="8">
        <f>IF(F133&lt;&gt;"",HYPERLINK("https://www.google.com/maps/search/?api=1&amp;query="&amp;SUBSTITUTE(F133," ",""),"🗺 Google Maps"),"")</f>
        <v/>
      </c>
      <c r="H133" s="8">
        <f>IF(F133&lt;&gt;"",HYPERLINK("https://waze.com/ul?ll="&amp;SUBSTITUTE(F133," ","")&amp;"&amp;navigate=yes","🚗 Waze"),"")</f>
        <v/>
      </c>
      <c r="I133" s="8">
        <f>IF(F133&lt;&gt;"",HYPERLINK("https://m.uber.com/ul/?action=setPickup&amp;pickup=my_location&amp;dropoff[latitude]="&amp;LEFT(SUBSTITUTE(F133," ",""),FIND(",",SUBSTITUTE(F133," ",""))-1)&amp;"&amp;dropoff[longitude]="&amp;MID(SUBSTITUTE(F133," ",""),FIND(",",SUBSTITUTE(F133," ",""))+1,99),"🚕 Uber"),"")</f>
        <v/>
      </c>
      <c r="J133" s="8">
        <f>IF(F133&lt;&gt;"","https://api.qrserver.com/v1/create-qr-code/?size=200x200&amp;data="&amp;ENCODEURL("https://www.google.com/maps/search/?api=1&amp;query="&amp;SUBSTITUTE(F133," ","")),"")</f>
        <v/>
      </c>
      <c r="K133" s="8">
        <f>IF(C133&lt;&gt;"",HYPERLINK("https://wa.me/507"&amp;REGEXREPLACE(C133,"[^0-9]","")&amp;"?text="&amp;ENCODEURL("Ya llegue. Codigo: "&amp;A133&amp;". Ubicacion: "&amp;"https://www.google.com/maps/search/?api=1&amp;query="&amp;SUBSTITUTE(F133," ","")),"📲 Avisar al cliente"),"")</f>
        <v/>
      </c>
      <c r="L133" s="8">
        <f>IF(C133&lt;&gt;"","https://api.qrserver.com/v1/create-qr-code/?size=200x200&amp;data="&amp;ENCODEURL("https://wa.me/507"&amp;REGEXREPLACE(C133,"[^0-9]","")&amp;"?text="&amp;ENCODEURL("Ya llegue. Codigo: "&amp;A133&amp;". Ubicacion: "&amp;"https://www.google.com/maps/search/?api=1&amp;query="&amp;SUBSTITUTE(F133," ",""))),"")</f>
        <v/>
      </c>
      <c r="M133" s="8">
        <f>IF(B133&lt;&gt;"",TODAY(),"")</f>
        <v/>
      </c>
      <c r="N133" s="8">
        <f>IF(F133&lt;&gt;"",IFERROR(IF(AND(REGEXMATCH(SUBSTITUTE(TRIM(F133)," ",""),"^-?\d+(\.\d+)?,-?\d+(\.\d+)?$"),VALUE(REGEXEXTRACT(SUBSTITUTE(TRIM(F133)," ",""),"^-?\d+(\.\d+)?"))&gt;=-90,VALUE(REGEXEXTRACT(SUBSTITUTE(TRIM(F133)," ",""),"^-?\d+(\.\d+)?"))&lt;=90,VALUE(REGEXEXTRACT(SUBSTITUTE(TRIM(F133)," ",""),"-?\d+(\.\d+)?$"))&gt;=-180,VALUE(REGEXEXTRACT(SUBSTITUTE(TRIM(F133)," ",""),"-?\d+(\.\d+)?$"))&lt;=180),"OK","REVISAR"),"REVISAR"),"")</f>
        <v/>
      </c>
      <c r="O133">
        <f>IF(A133&lt;&gt;"","https://direcciones507.github.io/direcciones507/panel.html?codigo="&amp;A133&amp;"&amp;nombre="&amp;ENCODEURL(B133)&amp;"&amp;telefono="&amp;SUBSTITUTE(C133,"-","")&amp;"&amp;referencia="&amp;ENCODEURL(E133)&amp;"&amp;lat="&amp;IZQUIERDA(SUBSTITUTE(F133," ",""),ENCONTRAR(",",SUBSTITUTE(F133," ",""))-1)&amp;"&amp;lng="&amp;DERECHA(SUBSTITUTE(F133," ",""),LARGO(SUBSTITUTE(F133," ",""))-ENCONTRAR(",",SUBSTITUTE(F133," ",""))),"")</f>
        <v/>
      </c>
    </row>
    <row r="134" ht="15.75" customHeight="1" s="10">
      <c r="A134" s="8">
        <f>CONCAT("AD507-",TEXT(ROW()-2,"0000"))</f>
        <v/>
      </c>
      <c r="C134" s="8" t="n"/>
      <c r="F134" s="8" t="n"/>
      <c r="G134" s="8">
        <f>IF(F134&lt;&gt;"",HYPERLINK("https://www.google.com/maps/search/?api=1&amp;query="&amp;SUBSTITUTE(F134," ",""),"🗺 Google Maps"),"")</f>
        <v/>
      </c>
      <c r="H134" s="8">
        <f>IF(F134&lt;&gt;"",HYPERLINK("https://waze.com/ul?ll="&amp;SUBSTITUTE(F134," ","")&amp;"&amp;navigate=yes","🚗 Waze"),"")</f>
        <v/>
      </c>
      <c r="I134" s="8">
        <f>IF(F134&lt;&gt;"",HYPERLINK("https://m.uber.com/ul/?action=setPickup&amp;pickup=my_location&amp;dropoff[latitude]="&amp;LEFT(SUBSTITUTE(F134," ",""),FIND(",",SUBSTITUTE(F134," ",""))-1)&amp;"&amp;dropoff[longitude]="&amp;MID(SUBSTITUTE(F134," ",""),FIND(",",SUBSTITUTE(F134," ",""))+1,99),"🚕 Uber"),"")</f>
        <v/>
      </c>
      <c r="J134" s="8">
        <f>IF(F134&lt;&gt;"","https://api.qrserver.com/v1/create-qr-code/?size=200x200&amp;data="&amp;ENCODEURL("https://www.google.com/maps/search/?api=1&amp;query="&amp;SUBSTITUTE(F134," ","")),"")</f>
        <v/>
      </c>
      <c r="K134" s="8">
        <f>IF(C134&lt;&gt;"",HYPERLINK("https://wa.me/507"&amp;REGEXREPLACE(C134,"[^0-9]","")&amp;"?text="&amp;ENCODEURL("Ya llegue. Codigo: "&amp;A134&amp;". Ubicacion: "&amp;"https://www.google.com/maps/search/?api=1&amp;query="&amp;SUBSTITUTE(F134," ","")),"📲 Avisar al cliente"),"")</f>
        <v/>
      </c>
      <c r="L134" s="8">
        <f>IF(C134&lt;&gt;"","https://api.qrserver.com/v1/create-qr-code/?size=200x200&amp;data="&amp;ENCODEURL("https://wa.me/507"&amp;REGEXREPLACE(C134,"[^0-9]","")&amp;"?text="&amp;ENCODEURL("Ya llegue. Codigo: "&amp;A134&amp;". Ubicacion: "&amp;"https://www.google.com/maps/search/?api=1&amp;query="&amp;SUBSTITUTE(F134," ",""))),"")</f>
        <v/>
      </c>
      <c r="M134" s="8">
        <f>IF(B134&lt;&gt;"",TODAY(),"")</f>
        <v/>
      </c>
      <c r="N134" s="8">
        <f>IF(F134&lt;&gt;"",IFERROR(IF(AND(REGEXMATCH(SUBSTITUTE(TRIM(F134)," ",""),"^-?\d+(\.\d+)?,-?\d+(\.\d+)?$"),VALUE(REGEXEXTRACT(SUBSTITUTE(TRIM(F134)," ",""),"^-?\d+(\.\d+)?"))&gt;=-90,VALUE(REGEXEXTRACT(SUBSTITUTE(TRIM(F134)," ",""),"^-?\d+(\.\d+)?"))&lt;=90,VALUE(REGEXEXTRACT(SUBSTITUTE(TRIM(F134)," ",""),"-?\d+(\.\d+)?$"))&gt;=-180,VALUE(REGEXEXTRACT(SUBSTITUTE(TRIM(F134)," ",""),"-?\d+(\.\d+)?$"))&lt;=180),"OK","REVISAR"),"REVISAR"),"")</f>
        <v/>
      </c>
      <c r="O134">
        <f>IF(A134&lt;&gt;"","https://direcciones507.github.io/direcciones507/panel.html?codigo="&amp;A134&amp;"&amp;nombre="&amp;ENCODEURL(B134)&amp;"&amp;telefono="&amp;SUBSTITUTE(C134,"-","")&amp;"&amp;referencia="&amp;ENCODEURL(E134)&amp;"&amp;lat="&amp;IZQUIERDA(SUBSTITUTE(F134," ",""),ENCONTRAR(",",SUBSTITUTE(F134," ",""))-1)&amp;"&amp;lng="&amp;DERECHA(SUBSTITUTE(F134," ",""),LARGO(SUBSTITUTE(F134," ",""))-ENCONTRAR(",",SUBSTITUTE(F134," ",""))),"")</f>
        <v/>
      </c>
    </row>
    <row r="135" ht="15.75" customHeight="1" s="10">
      <c r="A135" s="8">
        <f>CONCAT("AD507-",TEXT(ROW()-2,"0000"))</f>
        <v/>
      </c>
      <c r="C135" s="8" t="n"/>
      <c r="F135" s="8" t="n"/>
      <c r="G135" s="8">
        <f>IF(F135&lt;&gt;"",HYPERLINK("https://www.google.com/maps/search/?api=1&amp;query="&amp;SUBSTITUTE(F135," ",""),"🗺 Google Maps"),"")</f>
        <v/>
      </c>
      <c r="H135" s="8">
        <f>IF(F135&lt;&gt;"",HYPERLINK("https://waze.com/ul?ll="&amp;SUBSTITUTE(F135," ","")&amp;"&amp;navigate=yes","🚗 Waze"),"")</f>
        <v/>
      </c>
      <c r="I135" s="8">
        <f>IF(F135&lt;&gt;"",HYPERLINK("https://m.uber.com/ul/?action=setPickup&amp;pickup=my_location&amp;dropoff[latitude]="&amp;LEFT(SUBSTITUTE(F135," ",""),FIND(",",SUBSTITUTE(F135," ",""))-1)&amp;"&amp;dropoff[longitude]="&amp;MID(SUBSTITUTE(F135," ",""),FIND(",",SUBSTITUTE(F135," ",""))+1,99),"🚕 Uber"),"")</f>
        <v/>
      </c>
      <c r="J135" s="8">
        <f>IF(F135&lt;&gt;"","https://api.qrserver.com/v1/create-qr-code/?size=200x200&amp;data="&amp;ENCODEURL("https://www.google.com/maps/search/?api=1&amp;query="&amp;SUBSTITUTE(F135," ","")),"")</f>
        <v/>
      </c>
      <c r="K135" s="8">
        <f>IF(C135&lt;&gt;"",HYPERLINK("https://wa.me/507"&amp;REGEXREPLACE(C135,"[^0-9]","")&amp;"?text="&amp;ENCODEURL("Ya llegue. Codigo: "&amp;A135&amp;". Ubicacion: "&amp;"https://www.google.com/maps/search/?api=1&amp;query="&amp;SUBSTITUTE(F135," ","")),"📲 Avisar al cliente"),"")</f>
        <v/>
      </c>
      <c r="L135" s="8">
        <f>IF(C135&lt;&gt;"","https://api.qrserver.com/v1/create-qr-code/?size=200x200&amp;data="&amp;ENCODEURL("https://wa.me/507"&amp;REGEXREPLACE(C135,"[^0-9]","")&amp;"?text="&amp;ENCODEURL("Ya llegue. Codigo: "&amp;A135&amp;". Ubicacion: "&amp;"https://www.google.com/maps/search/?api=1&amp;query="&amp;SUBSTITUTE(F135," ",""))),"")</f>
        <v/>
      </c>
      <c r="M135" s="8">
        <f>IF(B135&lt;&gt;"",TODAY(),"")</f>
        <v/>
      </c>
      <c r="N135" s="8">
        <f>IF(F135&lt;&gt;"",IFERROR(IF(AND(REGEXMATCH(SUBSTITUTE(TRIM(F135)," ",""),"^-?\d+(\.\d+)?,-?\d+(\.\d+)?$"),VALUE(REGEXEXTRACT(SUBSTITUTE(TRIM(F135)," ",""),"^-?\d+(\.\d+)?"))&gt;=-90,VALUE(REGEXEXTRACT(SUBSTITUTE(TRIM(F135)," ",""),"^-?\d+(\.\d+)?"))&lt;=90,VALUE(REGEXEXTRACT(SUBSTITUTE(TRIM(F135)," ",""),"-?\d+(\.\d+)?$"))&gt;=-180,VALUE(REGEXEXTRACT(SUBSTITUTE(TRIM(F135)," ",""),"-?\d+(\.\d+)?$"))&lt;=180),"OK","REVISAR"),"REVISAR"),"")</f>
        <v/>
      </c>
      <c r="O135">
        <f>IF(A135&lt;&gt;"","https://direcciones507.github.io/direcciones507/panel.html?codigo="&amp;A135&amp;"&amp;nombre="&amp;ENCODEURL(B135)&amp;"&amp;telefono="&amp;SUBSTITUTE(C135,"-","")&amp;"&amp;referencia="&amp;ENCODEURL(E135)&amp;"&amp;lat="&amp;IZQUIERDA(SUBSTITUTE(F135," ",""),ENCONTRAR(",",SUBSTITUTE(F135," ",""))-1)&amp;"&amp;lng="&amp;DERECHA(SUBSTITUTE(F135," ",""),LARGO(SUBSTITUTE(F135," ",""))-ENCONTRAR(",",SUBSTITUTE(F135," ",""))),"")</f>
        <v/>
      </c>
    </row>
    <row r="136" ht="15.75" customHeight="1" s="10">
      <c r="A136" s="8">
        <f>CONCAT("AD507-",TEXT(ROW()-2,"0000"))</f>
        <v/>
      </c>
      <c r="C136" s="8" t="n"/>
      <c r="F136" s="8" t="n"/>
      <c r="G136" s="8">
        <f>IF(F136&lt;&gt;"",HYPERLINK("https://www.google.com/maps/search/?api=1&amp;query="&amp;SUBSTITUTE(F136," ",""),"🗺 Google Maps"),"")</f>
        <v/>
      </c>
      <c r="H136" s="8">
        <f>IF(F136&lt;&gt;"",HYPERLINK("https://waze.com/ul?ll="&amp;SUBSTITUTE(F136," ","")&amp;"&amp;navigate=yes","🚗 Waze"),"")</f>
        <v/>
      </c>
      <c r="I136" s="8">
        <f>IF(F136&lt;&gt;"",HYPERLINK("https://m.uber.com/ul/?action=setPickup&amp;pickup=my_location&amp;dropoff[latitude]="&amp;LEFT(SUBSTITUTE(F136," ",""),FIND(",",SUBSTITUTE(F136," ",""))-1)&amp;"&amp;dropoff[longitude]="&amp;MID(SUBSTITUTE(F136," ",""),FIND(",",SUBSTITUTE(F136," ",""))+1,99),"🚕 Uber"),"")</f>
        <v/>
      </c>
      <c r="J136" s="8">
        <f>IF(F136&lt;&gt;"","https://api.qrserver.com/v1/create-qr-code/?size=200x200&amp;data="&amp;ENCODEURL("https://www.google.com/maps/search/?api=1&amp;query="&amp;SUBSTITUTE(F136," ","")),"")</f>
        <v/>
      </c>
      <c r="K136" s="8">
        <f>IF(C136&lt;&gt;"",HYPERLINK("https://wa.me/507"&amp;REGEXREPLACE(C136,"[^0-9]","")&amp;"?text="&amp;ENCODEURL("Ya llegue. Codigo: "&amp;A136&amp;". Ubicacion: "&amp;"https://www.google.com/maps/search/?api=1&amp;query="&amp;SUBSTITUTE(F136," ","")),"📲 Avisar al cliente"),"")</f>
        <v/>
      </c>
      <c r="L136" s="8">
        <f>IF(C136&lt;&gt;"","https://api.qrserver.com/v1/create-qr-code/?size=200x200&amp;data="&amp;ENCODEURL("https://wa.me/507"&amp;REGEXREPLACE(C136,"[^0-9]","")&amp;"?text="&amp;ENCODEURL("Ya llegue. Codigo: "&amp;A136&amp;". Ubicacion: "&amp;"https://www.google.com/maps/search/?api=1&amp;query="&amp;SUBSTITUTE(F136," ",""))),"")</f>
        <v/>
      </c>
      <c r="M136" s="8">
        <f>IF(B136&lt;&gt;"",TODAY(),"")</f>
        <v/>
      </c>
      <c r="N136" s="8">
        <f>IF(F136&lt;&gt;"",IFERROR(IF(AND(REGEXMATCH(SUBSTITUTE(TRIM(F136)," ",""),"^-?\d+(\.\d+)?,-?\d+(\.\d+)?$"),VALUE(REGEXEXTRACT(SUBSTITUTE(TRIM(F136)," ",""),"^-?\d+(\.\d+)?"))&gt;=-90,VALUE(REGEXEXTRACT(SUBSTITUTE(TRIM(F136)," ",""),"^-?\d+(\.\d+)?"))&lt;=90,VALUE(REGEXEXTRACT(SUBSTITUTE(TRIM(F136)," ",""),"-?\d+(\.\d+)?$"))&gt;=-180,VALUE(REGEXEXTRACT(SUBSTITUTE(TRIM(F136)," ",""),"-?\d+(\.\d+)?$"))&lt;=180),"OK","REVISAR"),"REVISAR"),"")</f>
        <v/>
      </c>
      <c r="O136">
        <f>IF(A136&lt;&gt;"","https://direcciones507.github.io/direcciones507/panel.html?codigo="&amp;A136&amp;"&amp;nombre="&amp;ENCODEURL(B136)&amp;"&amp;telefono="&amp;SUBSTITUTE(C136,"-","")&amp;"&amp;referencia="&amp;ENCODEURL(E136)&amp;"&amp;lat="&amp;IZQUIERDA(SUBSTITUTE(F136," ",""),ENCONTRAR(",",SUBSTITUTE(F136," ",""))-1)&amp;"&amp;lng="&amp;DERECHA(SUBSTITUTE(F136," ",""),LARGO(SUBSTITUTE(F136," ",""))-ENCONTRAR(",",SUBSTITUTE(F136," ",""))),"")</f>
        <v/>
      </c>
    </row>
    <row r="137" ht="15.75" customHeight="1" s="10">
      <c r="A137" s="8">
        <f>CONCAT("AD507-",TEXT(ROW()-2,"0000"))</f>
        <v/>
      </c>
      <c r="C137" s="8" t="n"/>
      <c r="F137" s="8" t="n"/>
      <c r="G137" s="8">
        <f>IF(F137&lt;&gt;"",HYPERLINK("https://www.google.com/maps/search/?api=1&amp;query="&amp;SUBSTITUTE(F137," ",""),"🗺 Google Maps"),"")</f>
        <v/>
      </c>
      <c r="H137" s="8">
        <f>IF(F137&lt;&gt;"",HYPERLINK("https://waze.com/ul?ll="&amp;SUBSTITUTE(F137," ","")&amp;"&amp;navigate=yes","🚗 Waze"),"")</f>
        <v/>
      </c>
      <c r="I137" s="8">
        <f>IF(F137&lt;&gt;"",HYPERLINK("https://m.uber.com/ul/?action=setPickup&amp;pickup=my_location&amp;dropoff[latitude]="&amp;LEFT(SUBSTITUTE(F137," ",""),FIND(",",SUBSTITUTE(F137," ",""))-1)&amp;"&amp;dropoff[longitude]="&amp;MID(SUBSTITUTE(F137," ",""),FIND(",",SUBSTITUTE(F137," ",""))+1,99),"🚕 Uber"),"")</f>
        <v/>
      </c>
      <c r="J137" s="8">
        <f>IF(F137&lt;&gt;"","https://api.qrserver.com/v1/create-qr-code/?size=200x200&amp;data="&amp;ENCODEURL("https://www.google.com/maps/search/?api=1&amp;query="&amp;SUBSTITUTE(F137," ","")),"")</f>
        <v/>
      </c>
      <c r="K137" s="8">
        <f>IF(C137&lt;&gt;"",HYPERLINK("https://wa.me/507"&amp;REGEXREPLACE(C137,"[^0-9]","")&amp;"?text="&amp;ENCODEURL("Ya llegue. Codigo: "&amp;A137&amp;". Ubicacion: "&amp;"https://www.google.com/maps/search/?api=1&amp;query="&amp;SUBSTITUTE(F137," ","")),"📲 Avisar al cliente"),"")</f>
        <v/>
      </c>
      <c r="L137" s="8">
        <f>IF(C137&lt;&gt;"","https://api.qrserver.com/v1/create-qr-code/?size=200x200&amp;data="&amp;ENCODEURL("https://wa.me/507"&amp;REGEXREPLACE(C137,"[^0-9]","")&amp;"?text="&amp;ENCODEURL("Ya llegue. Codigo: "&amp;A137&amp;". Ubicacion: "&amp;"https://www.google.com/maps/search/?api=1&amp;query="&amp;SUBSTITUTE(F137," ",""))),"")</f>
        <v/>
      </c>
      <c r="M137" s="8">
        <f>IF(B137&lt;&gt;"",TODAY(),"")</f>
        <v/>
      </c>
      <c r="N137" s="8">
        <f>IF(F137&lt;&gt;"",IFERROR(IF(AND(REGEXMATCH(SUBSTITUTE(TRIM(F137)," ",""),"^-?\d+(\.\d+)?,-?\d+(\.\d+)?$"),VALUE(REGEXEXTRACT(SUBSTITUTE(TRIM(F137)," ",""),"^-?\d+(\.\d+)?"))&gt;=-90,VALUE(REGEXEXTRACT(SUBSTITUTE(TRIM(F137)," ",""),"^-?\d+(\.\d+)?"))&lt;=90,VALUE(REGEXEXTRACT(SUBSTITUTE(TRIM(F137)," ",""),"-?\d+(\.\d+)?$"))&gt;=-180,VALUE(REGEXEXTRACT(SUBSTITUTE(TRIM(F137)," ",""),"-?\d+(\.\d+)?$"))&lt;=180),"OK","REVISAR"),"REVISAR"),"")</f>
        <v/>
      </c>
      <c r="O137">
        <f>IF(A137&lt;&gt;"","https://direcciones507.github.io/direcciones507/panel.html?codigo="&amp;A137&amp;"&amp;nombre="&amp;ENCODEURL(B137)&amp;"&amp;telefono="&amp;SUBSTITUTE(C137,"-","")&amp;"&amp;referencia="&amp;ENCODEURL(E137)&amp;"&amp;lat="&amp;IZQUIERDA(SUBSTITUTE(F137," ",""),ENCONTRAR(",",SUBSTITUTE(F137," ",""))-1)&amp;"&amp;lng="&amp;DERECHA(SUBSTITUTE(F137," ",""),LARGO(SUBSTITUTE(F137," ",""))-ENCONTRAR(",",SUBSTITUTE(F137," ",""))),"")</f>
        <v/>
      </c>
    </row>
    <row r="138" ht="15.75" customHeight="1" s="10">
      <c r="A138" s="8">
        <f>CONCAT("AD507-",TEXT(ROW()-2,"0000"))</f>
        <v/>
      </c>
      <c r="C138" s="8" t="n"/>
      <c r="F138" s="8" t="n"/>
      <c r="G138" s="8">
        <f>IF(F138&lt;&gt;"",HYPERLINK("https://www.google.com/maps/search/?api=1&amp;query="&amp;SUBSTITUTE(F138," ",""),"🗺 Google Maps"),"")</f>
        <v/>
      </c>
      <c r="H138" s="8">
        <f>IF(F138&lt;&gt;"",HYPERLINK("https://waze.com/ul?ll="&amp;SUBSTITUTE(F138," ","")&amp;"&amp;navigate=yes","🚗 Waze"),"")</f>
        <v/>
      </c>
      <c r="I138" s="8">
        <f>IF(F138&lt;&gt;"",HYPERLINK("https://m.uber.com/ul/?action=setPickup&amp;pickup=my_location&amp;dropoff[latitude]="&amp;LEFT(SUBSTITUTE(F138," ",""),FIND(",",SUBSTITUTE(F138," ",""))-1)&amp;"&amp;dropoff[longitude]="&amp;MID(SUBSTITUTE(F138," ",""),FIND(",",SUBSTITUTE(F138," ",""))+1,99),"🚕 Uber"),"")</f>
        <v/>
      </c>
      <c r="J138" s="8">
        <f>IF(F138&lt;&gt;"","https://api.qrserver.com/v1/create-qr-code/?size=200x200&amp;data="&amp;ENCODEURL("https://www.google.com/maps/search/?api=1&amp;query="&amp;SUBSTITUTE(F138," ","")),"")</f>
        <v/>
      </c>
      <c r="K138" s="8">
        <f>IF(C138&lt;&gt;"",HYPERLINK("https://wa.me/507"&amp;REGEXREPLACE(C138,"[^0-9]","")&amp;"?text="&amp;ENCODEURL("Ya llegue. Codigo: "&amp;A138&amp;". Ubicacion: "&amp;"https://www.google.com/maps/search/?api=1&amp;query="&amp;SUBSTITUTE(F138," ","")),"📲 Avisar al cliente"),"")</f>
        <v/>
      </c>
      <c r="L138" s="8">
        <f>IF(C138&lt;&gt;"","https://api.qrserver.com/v1/create-qr-code/?size=200x200&amp;data="&amp;ENCODEURL("https://wa.me/507"&amp;REGEXREPLACE(C138,"[^0-9]","")&amp;"?text="&amp;ENCODEURL("Ya llegue. Codigo: "&amp;A138&amp;". Ubicacion: "&amp;"https://www.google.com/maps/search/?api=1&amp;query="&amp;SUBSTITUTE(F138," ",""))),"")</f>
        <v/>
      </c>
      <c r="M138" s="8">
        <f>IF(B138&lt;&gt;"",TODAY(),"")</f>
        <v/>
      </c>
      <c r="N138" s="8">
        <f>IF(F138&lt;&gt;"",IFERROR(IF(AND(REGEXMATCH(SUBSTITUTE(TRIM(F138)," ",""),"^-?\d+(\.\d+)?,-?\d+(\.\d+)?$"),VALUE(REGEXEXTRACT(SUBSTITUTE(TRIM(F138)," ",""),"^-?\d+(\.\d+)?"))&gt;=-90,VALUE(REGEXEXTRACT(SUBSTITUTE(TRIM(F138)," ",""),"^-?\d+(\.\d+)?"))&lt;=90,VALUE(REGEXEXTRACT(SUBSTITUTE(TRIM(F138)," ",""),"-?\d+(\.\d+)?$"))&gt;=-180,VALUE(REGEXEXTRACT(SUBSTITUTE(TRIM(F138)," ",""),"-?\d+(\.\d+)?$"))&lt;=180),"OK","REVISAR"),"REVISAR"),"")</f>
        <v/>
      </c>
      <c r="O138">
        <f>IF(A138&lt;&gt;"","https://direcciones507.github.io/direcciones507/panel.html?codigo="&amp;A138&amp;"&amp;nombre="&amp;ENCODEURL(B138)&amp;"&amp;telefono="&amp;SUBSTITUTE(C138,"-","")&amp;"&amp;referencia="&amp;ENCODEURL(E138)&amp;"&amp;lat="&amp;IZQUIERDA(SUBSTITUTE(F138," ",""),ENCONTRAR(",",SUBSTITUTE(F138," ",""))-1)&amp;"&amp;lng="&amp;DERECHA(SUBSTITUTE(F138," ",""),LARGO(SUBSTITUTE(F138," ",""))-ENCONTRAR(",",SUBSTITUTE(F138," ",""))),"")</f>
        <v/>
      </c>
    </row>
    <row r="139" ht="15.75" customHeight="1" s="10">
      <c r="A139" s="8">
        <f>CONCAT("AD507-",TEXT(ROW()-2,"0000"))</f>
        <v/>
      </c>
      <c r="C139" s="8" t="n"/>
      <c r="F139" s="8" t="n"/>
      <c r="G139" s="8">
        <f>IF(F139&lt;&gt;"",HYPERLINK("https://www.google.com/maps/search/?api=1&amp;query="&amp;SUBSTITUTE(F139," ",""),"🗺 Google Maps"),"")</f>
        <v/>
      </c>
      <c r="H139" s="8">
        <f>IF(F139&lt;&gt;"",HYPERLINK("https://waze.com/ul?ll="&amp;SUBSTITUTE(F139," ","")&amp;"&amp;navigate=yes","🚗 Waze"),"")</f>
        <v/>
      </c>
      <c r="I139" s="8">
        <f>IF(F139&lt;&gt;"",HYPERLINK("https://m.uber.com/ul/?action=setPickup&amp;pickup=my_location&amp;dropoff[latitude]="&amp;LEFT(SUBSTITUTE(F139," ",""),FIND(",",SUBSTITUTE(F139," ",""))-1)&amp;"&amp;dropoff[longitude]="&amp;MID(SUBSTITUTE(F139," ",""),FIND(",",SUBSTITUTE(F139," ",""))+1,99),"🚕 Uber"),"")</f>
        <v/>
      </c>
      <c r="J139" s="8">
        <f>IF(F139&lt;&gt;"","https://api.qrserver.com/v1/create-qr-code/?size=200x200&amp;data="&amp;ENCODEURL("https://www.google.com/maps/search/?api=1&amp;query="&amp;SUBSTITUTE(F139," ","")),"")</f>
        <v/>
      </c>
      <c r="K139" s="8">
        <f>IF(C139&lt;&gt;"",HYPERLINK("https://wa.me/507"&amp;REGEXREPLACE(C139,"[^0-9]","")&amp;"?text="&amp;ENCODEURL("Ya llegue. Codigo: "&amp;A139&amp;". Ubicacion: "&amp;"https://www.google.com/maps/search/?api=1&amp;query="&amp;SUBSTITUTE(F139," ","")),"📲 Avisar al cliente"),"")</f>
        <v/>
      </c>
      <c r="L139" s="8">
        <f>IF(C139&lt;&gt;"","https://api.qrserver.com/v1/create-qr-code/?size=200x200&amp;data="&amp;ENCODEURL("https://wa.me/507"&amp;REGEXREPLACE(C139,"[^0-9]","")&amp;"?text="&amp;ENCODEURL("Ya llegue. Codigo: "&amp;A139&amp;". Ubicacion: "&amp;"https://www.google.com/maps/search/?api=1&amp;query="&amp;SUBSTITUTE(F139," ",""))),"")</f>
        <v/>
      </c>
      <c r="M139" s="8">
        <f>IF(B139&lt;&gt;"",TODAY(),"")</f>
        <v/>
      </c>
      <c r="N139" s="8">
        <f>IF(F139&lt;&gt;"",IFERROR(IF(AND(REGEXMATCH(SUBSTITUTE(TRIM(F139)," ",""),"^-?\d+(\.\d+)?,-?\d+(\.\d+)?$"),VALUE(REGEXEXTRACT(SUBSTITUTE(TRIM(F139)," ",""),"^-?\d+(\.\d+)?"))&gt;=-90,VALUE(REGEXEXTRACT(SUBSTITUTE(TRIM(F139)," ",""),"^-?\d+(\.\d+)?"))&lt;=90,VALUE(REGEXEXTRACT(SUBSTITUTE(TRIM(F139)," ",""),"-?\d+(\.\d+)?$"))&gt;=-180,VALUE(REGEXEXTRACT(SUBSTITUTE(TRIM(F139)," ",""),"-?\d+(\.\d+)?$"))&lt;=180),"OK","REVISAR"),"REVISAR"),"")</f>
        <v/>
      </c>
      <c r="O139">
        <f>IF(A139&lt;&gt;"","https://direcciones507.github.io/direcciones507/panel.html?codigo="&amp;A139&amp;"&amp;nombre="&amp;ENCODEURL(B139)&amp;"&amp;telefono="&amp;SUBSTITUTE(C139,"-","")&amp;"&amp;referencia="&amp;ENCODEURL(E139)&amp;"&amp;lat="&amp;IZQUIERDA(SUBSTITUTE(F139," ",""),ENCONTRAR(",",SUBSTITUTE(F139," ",""))-1)&amp;"&amp;lng="&amp;DERECHA(SUBSTITUTE(F139," ",""),LARGO(SUBSTITUTE(F139," ",""))-ENCONTRAR(",",SUBSTITUTE(F139," ",""))),"")</f>
        <v/>
      </c>
    </row>
    <row r="140" ht="15.75" customHeight="1" s="10">
      <c r="A140" s="8">
        <f>CONCAT("AD507-",TEXT(ROW()-2,"0000"))</f>
        <v/>
      </c>
      <c r="C140" s="8" t="n"/>
      <c r="F140" s="8" t="n"/>
      <c r="G140" s="8">
        <f>IF(F140&lt;&gt;"",HYPERLINK("https://www.google.com/maps/search/?api=1&amp;query="&amp;SUBSTITUTE(F140," ",""),"🗺 Google Maps"),"")</f>
        <v/>
      </c>
      <c r="H140" s="8">
        <f>IF(F140&lt;&gt;"",HYPERLINK("https://waze.com/ul?ll="&amp;SUBSTITUTE(F140," ","")&amp;"&amp;navigate=yes","🚗 Waze"),"")</f>
        <v/>
      </c>
      <c r="I140" s="8">
        <f>IF(F140&lt;&gt;"",HYPERLINK("https://m.uber.com/ul/?action=setPickup&amp;pickup=my_location&amp;dropoff[latitude]="&amp;LEFT(SUBSTITUTE(F140," ",""),FIND(",",SUBSTITUTE(F140," ",""))-1)&amp;"&amp;dropoff[longitude]="&amp;MID(SUBSTITUTE(F140," ",""),FIND(",",SUBSTITUTE(F140," ",""))+1,99),"🚕 Uber"),"")</f>
        <v/>
      </c>
      <c r="J140" s="8">
        <f>IF(F140&lt;&gt;"","https://api.qrserver.com/v1/create-qr-code/?size=200x200&amp;data="&amp;ENCODEURL("https://www.google.com/maps/search/?api=1&amp;query="&amp;SUBSTITUTE(F140," ","")),"")</f>
        <v/>
      </c>
      <c r="K140" s="8">
        <f>IF(C140&lt;&gt;"",HYPERLINK("https://wa.me/507"&amp;REGEXREPLACE(C140,"[^0-9]","")&amp;"?text="&amp;ENCODEURL("Ya llegue. Codigo: "&amp;A140&amp;". Ubicacion: "&amp;"https://www.google.com/maps/search/?api=1&amp;query="&amp;SUBSTITUTE(F140," ","")),"📲 Avisar al cliente"),"")</f>
        <v/>
      </c>
      <c r="L140" s="8">
        <f>IF(C140&lt;&gt;"","https://api.qrserver.com/v1/create-qr-code/?size=200x200&amp;data="&amp;ENCODEURL("https://wa.me/507"&amp;REGEXREPLACE(C140,"[^0-9]","")&amp;"?text="&amp;ENCODEURL("Ya llegue. Codigo: "&amp;A140&amp;". Ubicacion: "&amp;"https://www.google.com/maps/search/?api=1&amp;query="&amp;SUBSTITUTE(F140," ",""))),"")</f>
        <v/>
      </c>
      <c r="M140" s="8">
        <f>IF(B140&lt;&gt;"",TODAY(),"")</f>
        <v/>
      </c>
      <c r="N140" s="8">
        <f>IF(F140&lt;&gt;"",IFERROR(IF(AND(REGEXMATCH(SUBSTITUTE(TRIM(F140)," ",""),"^-?\d+(\.\d+)?,-?\d+(\.\d+)?$"),VALUE(REGEXEXTRACT(SUBSTITUTE(TRIM(F140)," ",""),"^-?\d+(\.\d+)?"))&gt;=-90,VALUE(REGEXEXTRACT(SUBSTITUTE(TRIM(F140)," ",""),"^-?\d+(\.\d+)?"))&lt;=90,VALUE(REGEXEXTRACT(SUBSTITUTE(TRIM(F140)," ",""),"-?\d+(\.\d+)?$"))&gt;=-180,VALUE(REGEXEXTRACT(SUBSTITUTE(TRIM(F140)," ",""),"-?\d+(\.\d+)?$"))&lt;=180),"OK","REVISAR"),"REVISAR"),"")</f>
        <v/>
      </c>
      <c r="O140">
        <f>IF(A140&lt;&gt;"","https://direcciones507.github.io/direcciones507/panel.html?codigo="&amp;A140&amp;"&amp;nombre="&amp;ENCODEURL(B140)&amp;"&amp;telefono="&amp;SUBSTITUTE(C140,"-","")&amp;"&amp;referencia="&amp;ENCODEURL(E140)&amp;"&amp;lat="&amp;IZQUIERDA(SUBSTITUTE(F140," ",""),ENCONTRAR(",",SUBSTITUTE(F140," ",""))-1)&amp;"&amp;lng="&amp;DERECHA(SUBSTITUTE(F140," ",""),LARGO(SUBSTITUTE(F140," ",""))-ENCONTRAR(",",SUBSTITUTE(F140," ",""))),"")</f>
        <v/>
      </c>
    </row>
    <row r="141" ht="15.75" customHeight="1" s="10">
      <c r="A141" s="8">
        <f>CONCAT("AD507-",TEXT(ROW()-2,"0000"))</f>
        <v/>
      </c>
      <c r="C141" s="8" t="n"/>
      <c r="F141" s="8" t="n"/>
      <c r="G141" s="8">
        <f>IF(F141&lt;&gt;"",HYPERLINK("https://www.google.com/maps/search/?api=1&amp;query="&amp;SUBSTITUTE(F141," ",""),"🗺 Google Maps"),"")</f>
        <v/>
      </c>
      <c r="H141" s="8">
        <f>IF(F141&lt;&gt;"",HYPERLINK("https://waze.com/ul?ll="&amp;SUBSTITUTE(F141," ","")&amp;"&amp;navigate=yes","🚗 Waze"),"")</f>
        <v/>
      </c>
      <c r="I141" s="8">
        <f>IF(F141&lt;&gt;"",HYPERLINK("https://m.uber.com/ul/?action=setPickup&amp;pickup=my_location&amp;dropoff[latitude]="&amp;LEFT(SUBSTITUTE(F141," ",""),FIND(",",SUBSTITUTE(F141," ",""))-1)&amp;"&amp;dropoff[longitude]="&amp;MID(SUBSTITUTE(F141," ",""),FIND(",",SUBSTITUTE(F141," ",""))+1,99),"🚕 Uber"),"")</f>
        <v/>
      </c>
      <c r="J141" s="8">
        <f>IF(F141&lt;&gt;"","https://api.qrserver.com/v1/create-qr-code/?size=200x200&amp;data="&amp;ENCODEURL("https://www.google.com/maps/search/?api=1&amp;query="&amp;SUBSTITUTE(F141," ","")),"")</f>
        <v/>
      </c>
      <c r="K141" s="8">
        <f>IF(C141&lt;&gt;"",HYPERLINK("https://wa.me/507"&amp;REGEXREPLACE(C141,"[^0-9]","")&amp;"?text="&amp;ENCODEURL("Ya llegue. Codigo: "&amp;A141&amp;". Ubicacion: "&amp;"https://www.google.com/maps/search/?api=1&amp;query="&amp;SUBSTITUTE(F141," ","")),"📲 Avisar al cliente"),"")</f>
        <v/>
      </c>
      <c r="L141" s="8">
        <f>IF(C141&lt;&gt;"","https://api.qrserver.com/v1/create-qr-code/?size=200x200&amp;data="&amp;ENCODEURL("https://wa.me/507"&amp;REGEXREPLACE(C141,"[^0-9]","")&amp;"?text="&amp;ENCODEURL("Ya llegue. Codigo: "&amp;A141&amp;". Ubicacion: "&amp;"https://www.google.com/maps/search/?api=1&amp;query="&amp;SUBSTITUTE(F141," ",""))),"")</f>
        <v/>
      </c>
      <c r="M141" s="8">
        <f>IF(B141&lt;&gt;"",TODAY(),"")</f>
        <v/>
      </c>
      <c r="N141" s="8">
        <f>IF(F141&lt;&gt;"",IFERROR(IF(AND(REGEXMATCH(SUBSTITUTE(TRIM(F141)," ",""),"^-?\d+(\.\d+)?,-?\d+(\.\d+)?$"),VALUE(REGEXEXTRACT(SUBSTITUTE(TRIM(F141)," ",""),"^-?\d+(\.\d+)?"))&gt;=-90,VALUE(REGEXEXTRACT(SUBSTITUTE(TRIM(F141)," ",""),"^-?\d+(\.\d+)?"))&lt;=90,VALUE(REGEXEXTRACT(SUBSTITUTE(TRIM(F141)," ",""),"-?\d+(\.\d+)?$"))&gt;=-180,VALUE(REGEXEXTRACT(SUBSTITUTE(TRIM(F141)," ",""),"-?\d+(\.\d+)?$"))&lt;=180),"OK","REVISAR"),"REVISAR"),"")</f>
        <v/>
      </c>
      <c r="O141">
        <f>IF(A141&lt;&gt;"","https://direcciones507.github.io/direcciones507/panel.html?codigo="&amp;A141&amp;"&amp;nombre="&amp;ENCODEURL(B141)&amp;"&amp;telefono="&amp;SUBSTITUTE(C141,"-","")&amp;"&amp;referencia="&amp;ENCODEURL(E141)&amp;"&amp;lat="&amp;IZQUIERDA(SUBSTITUTE(F141," ",""),ENCONTRAR(",",SUBSTITUTE(F141," ",""))-1)&amp;"&amp;lng="&amp;DERECHA(SUBSTITUTE(F141," ",""),LARGO(SUBSTITUTE(F141," ",""))-ENCONTRAR(",",SUBSTITUTE(F141," ",""))),"")</f>
        <v/>
      </c>
    </row>
    <row r="142" ht="15.75" customHeight="1" s="10">
      <c r="A142" s="8">
        <f>CONCAT("AD507-",TEXT(ROW()-2,"0000"))</f>
        <v/>
      </c>
      <c r="C142" s="8" t="n"/>
      <c r="F142" s="8" t="n"/>
      <c r="G142" s="8">
        <f>IF(F142&lt;&gt;"",HYPERLINK("https://www.google.com/maps/search/?api=1&amp;query="&amp;SUBSTITUTE(F142," ",""),"🗺 Google Maps"),"")</f>
        <v/>
      </c>
      <c r="H142" s="8">
        <f>IF(F142&lt;&gt;"",HYPERLINK("https://waze.com/ul?ll="&amp;SUBSTITUTE(F142," ","")&amp;"&amp;navigate=yes","🚗 Waze"),"")</f>
        <v/>
      </c>
      <c r="I142" s="8">
        <f>IF(F142&lt;&gt;"",HYPERLINK("https://m.uber.com/ul/?action=setPickup&amp;pickup=my_location&amp;dropoff[latitude]="&amp;LEFT(SUBSTITUTE(F142," ",""),FIND(",",SUBSTITUTE(F142," ",""))-1)&amp;"&amp;dropoff[longitude]="&amp;MID(SUBSTITUTE(F142," ",""),FIND(",",SUBSTITUTE(F142," ",""))+1,99),"🚕 Uber"),"")</f>
        <v/>
      </c>
      <c r="J142" s="8">
        <f>IF(F142&lt;&gt;"","https://api.qrserver.com/v1/create-qr-code/?size=200x200&amp;data="&amp;ENCODEURL("https://www.google.com/maps/search/?api=1&amp;query="&amp;SUBSTITUTE(F142," ","")),"")</f>
        <v/>
      </c>
      <c r="K142" s="8">
        <f>IF(C142&lt;&gt;"",HYPERLINK("https://wa.me/507"&amp;REGEXREPLACE(C142,"[^0-9]","")&amp;"?text="&amp;ENCODEURL("Ya llegue. Codigo: "&amp;A142&amp;". Ubicacion: "&amp;"https://www.google.com/maps/search/?api=1&amp;query="&amp;SUBSTITUTE(F142," ","")),"📲 Avisar al cliente"),"")</f>
        <v/>
      </c>
      <c r="L142" s="8">
        <f>IF(C142&lt;&gt;"","https://api.qrserver.com/v1/create-qr-code/?size=200x200&amp;data="&amp;ENCODEURL("https://wa.me/507"&amp;REGEXREPLACE(C142,"[^0-9]","")&amp;"?text="&amp;ENCODEURL("Ya llegue. Codigo: "&amp;A142&amp;". Ubicacion: "&amp;"https://www.google.com/maps/search/?api=1&amp;query="&amp;SUBSTITUTE(F142," ",""))),"")</f>
        <v/>
      </c>
      <c r="M142" s="8">
        <f>IF(B142&lt;&gt;"",TODAY(),"")</f>
        <v/>
      </c>
      <c r="N142" s="8">
        <f>IF(F142&lt;&gt;"",IFERROR(IF(AND(REGEXMATCH(SUBSTITUTE(TRIM(F142)," ",""),"^-?\d+(\.\d+)?,-?\d+(\.\d+)?$"),VALUE(REGEXEXTRACT(SUBSTITUTE(TRIM(F142)," ",""),"^-?\d+(\.\d+)?"))&gt;=-90,VALUE(REGEXEXTRACT(SUBSTITUTE(TRIM(F142)," ",""),"^-?\d+(\.\d+)?"))&lt;=90,VALUE(REGEXEXTRACT(SUBSTITUTE(TRIM(F142)," ",""),"-?\d+(\.\d+)?$"))&gt;=-180,VALUE(REGEXEXTRACT(SUBSTITUTE(TRIM(F142)," ",""),"-?\d+(\.\d+)?$"))&lt;=180),"OK","REVISAR"),"REVISAR"),"")</f>
        <v/>
      </c>
      <c r="O142">
        <f>IF(A142&lt;&gt;"","https://direcciones507.github.io/direcciones507/panel.html?codigo="&amp;A142&amp;"&amp;nombre="&amp;ENCODEURL(B142)&amp;"&amp;telefono="&amp;SUBSTITUTE(C142,"-","")&amp;"&amp;referencia="&amp;ENCODEURL(E142)&amp;"&amp;lat="&amp;IZQUIERDA(SUBSTITUTE(F142," ",""),ENCONTRAR(",",SUBSTITUTE(F142," ",""))-1)&amp;"&amp;lng="&amp;DERECHA(SUBSTITUTE(F142," ",""),LARGO(SUBSTITUTE(F142," ",""))-ENCONTRAR(",",SUBSTITUTE(F142," ",""))),"")</f>
        <v/>
      </c>
    </row>
    <row r="143" ht="15.75" customHeight="1" s="10">
      <c r="A143" s="8">
        <f>CONCAT("AD507-",TEXT(ROW()-2,"0000"))</f>
        <v/>
      </c>
      <c r="C143" s="8" t="n"/>
      <c r="F143" s="8" t="n"/>
      <c r="G143" s="8">
        <f>IF(F143&lt;&gt;"",HYPERLINK("https://www.google.com/maps/search/?api=1&amp;query="&amp;SUBSTITUTE(F143," ",""),"🗺 Google Maps"),"")</f>
        <v/>
      </c>
      <c r="H143" s="8">
        <f>IF(F143&lt;&gt;"",HYPERLINK("https://waze.com/ul?ll="&amp;SUBSTITUTE(F143," ","")&amp;"&amp;navigate=yes","🚗 Waze"),"")</f>
        <v/>
      </c>
      <c r="I143" s="8">
        <f>IF(F143&lt;&gt;"",HYPERLINK("https://m.uber.com/ul/?action=setPickup&amp;pickup=my_location&amp;dropoff[latitude]="&amp;LEFT(SUBSTITUTE(F143," ",""),FIND(",",SUBSTITUTE(F143," ",""))-1)&amp;"&amp;dropoff[longitude]="&amp;MID(SUBSTITUTE(F143," ",""),FIND(",",SUBSTITUTE(F143," ",""))+1,99),"🚕 Uber"),"")</f>
        <v/>
      </c>
      <c r="J143" s="8">
        <f>IF(F143&lt;&gt;"","https://api.qrserver.com/v1/create-qr-code/?size=200x200&amp;data="&amp;ENCODEURL("https://www.google.com/maps/search/?api=1&amp;query="&amp;SUBSTITUTE(F143," ","")),"")</f>
        <v/>
      </c>
      <c r="K143" s="8">
        <f>IF(C143&lt;&gt;"",HYPERLINK("https://wa.me/507"&amp;REGEXREPLACE(C143,"[^0-9]","")&amp;"?text="&amp;ENCODEURL("Ya llegue. Codigo: "&amp;A143&amp;". Ubicacion: "&amp;"https://www.google.com/maps/search/?api=1&amp;query="&amp;SUBSTITUTE(F143," ","")),"📲 Avisar al cliente"),"")</f>
        <v/>
      </c>
      <c r="L143" s="8">
        <f>IF(C143&lt;&gt;"","https://api.qrserver.com/v1/create-qr-code/?size=200x200&amp;data="&amp;ENCODEURL("https://wa.me/507"&amp;REGEXREPLACE(C143,"[^0-9]","")&amp;"?text="&amp;ENCODEURL("Ya llegue. Codigo: "&amp;A143&amp;". Ubicacion: "&amp;"https://www.google.com/maps/search/?api=1&amp;query="&amp;SUBSTITUTE(F143," ",""))),"")</f>
        <v/>
      </c>
      <c r="M143" s="8">
        <f>IF(B143&lt;&gt;"",TODAY(),"")</f>
        <v/>
      </c>
      <c r="N143" s="8">
        <f>IF(F143&lt;&gt;"",IFERROR(IF(AND(REGEXMATCH(SUBSTITUTE(TRIM(F143)," ",""),"^-?\d+(\.\d+)?,-?\d+(\.\d+)?$"),VALUE(REGEXEXTRACT(SUBSTITUTE(TRIM(F143)," ",""),"^-?\d+(\.\d+)?"))&gt;=-90,VALUE(REGEXEXTRACT(SUBSTITUTE(TRIM(F143)," ",""),"^-?\d+(\.\d+)?"))&lt;=90,VALUE(REGEXEXTRACT(SUBSTITUTE(TRIM(F143)," ",""),"-?\d+(\.\d+)?$"))&gt;=-180,VALUE(REGEXEXTRACT(SUBSTITUTE(TRIM(F143)," ",""),"-?\d+(\.\d+)?$"))&lt;=180),"OK","REVISAR"),"REVISAR"),"")</f>
        <v/>
      </c>
      <c r="O143">
        <f>IF(A143&lt;&gt;"","https://direcciones507.github.io/direcciones507/panel.html?codigo="&amp;A143&amp;"&amp;nombre="&amp;ENCODEURL(B143)&amp;"&amp;telefono="&amp;SUBSTITUTE(C143,"-","")&amp;"&amp;referencia="&amp;ENCODEURL(E143)&amp;"&amp;lat="&amp;IZQUIERDA(SUBSTITUTE(F143," ",""),ENCONTRAR(",",SUBSTITUTE(F143," ",""))-1)&amp;"&amp;lng="&amp;DERECHA(SUBSTITUTE(F143," ",""),LARGO(SUBSTITUTE(F143," ",""))-ENCONTRAR(",",SUBSTITUTE(F143," ",""))),"")</f>
        <v/>
      </c>
    </row>
    <row r="144" ht="15.75" customHeight="1" s="10">
      <c r="A144" s="8">
        <f>CONCAT("AD507-",TEXT(ROW()-2,"0000"))</f>
        <v/>
      </c>
      <c r="C144" s="8" t="n"/>
      <c r="F144" s="8" t="n"/>
      <c r="G144" s="8">
        <f>IF(F144&lt;&gt;"",HYPERLINK("https://www.google.com/maps/search/?api=1&amp;query="&amp;SUBSTITUTE(F144," ",""),"🗺 Google Maps"),"")</f>
        <v/>
      </c>
      <c r="H144" s="8">
        <f>IF(F144&lt;&gt;"",HYPERLINK("https://waze.com/ul?ll="&amp;SUBSTITUTE(F144," ","")&amp;"&amp;navigate=yes","🚗 Waze"),"")</f>
        <v/>
      </c>
      <c r="I144" s="8">
        <f>IF(F144&lt;&gt;"",HYPERLINK("https://m.uber.com/ul/?action=setPickup&amp;pickup=my_location&amp;dropoff[latitude]="&amp;LEFT(SUBSTITUTE(F144," ",""),FIND(",",SUBSTITUTE(F144," ",""))-1)&amp;"&amp;dropoff[longitude]="&amp;MID(SUBSTITUTE(F144," ",""),FIND(",",SUBSTITUTE(F144," ",""))+1,99),"🚕 Uber"),"")</f>
        <v/>
      </c>
      <c r="J144" s="8">
        <f>IF(F144&lt;&gt;"","https://api.qrserver.com/v1/create-qr-code/?size=200x200&amp;data="&amp;ENCODEURL("https://www.google.com/maps/search/?api=1&amp;query="&amp;SUBSTITUTE(F144," ","")),"")</f>
        <v/>
      </c>
      <c r="K144" s="8">
        <f>IF(C144&lt;&gt;"",HYPERLINK("https://wa.me/507"&amp;REGEXREPLACE(C144,"[^0-9]","")&amp;"?text="&amp;ENCODEURL("Ya llegue. Codigo: "&amp;A144&amp;". Ubicacion: "&amp;"https://www.google.com/maps/search/?api=1&amp;query="&amp;SUBSTITUTE(F144," ","")),"📲 Avisar al cliente"),"")</f>
        <v/>
      </c>
      <c r="L144" s="8">
        <f>IF(C144&lt;&gt;"","https://api.qrserver.com/v1/create-qr-code/?size=200x200&amp;data="&amp;ENCODEURL("https://wa.me/507"&amp;REGEXREPLACE(C144,"[^0-9]","")&amp;"?text="&amp;ENCODEURL("Ya llegue. Codigo: "&amp;A144&amp;". Ubicacion: "&amp;"https://www.google.com/maps/search/?api=1&amp;query="&amp;SUBSTITUTE(F144," ",""))),"")</f>
        <v/>
      </c>
      <c r="M144" s="8">
        <f>IF(B144&lt;&gt;"",TODAY(),"")</f>
        <v/>
      </c>
      <c r="N144" s="8">
        <f>IF(F144&lt;&gt;"",IFERROR(IF(AND(REGEXMATCH(SUBSTITUTE(TRIM(F144)," ",""),"^-?\d+(\.\d+)?,-?\d+(\.\d+)?$"),VALUE(REGEXEXTRACT(SUBSTITUTE(TRIM(F144)," ",""),"^-?\d+(\.\d+)?"))&gt;=-90,VALUE(REGEXEXTRACT(SUBSTITUTE(TRIM(F144)," ",""),"^-?\d+(\.\d+)?"))&lt;=90,VALUE(REGEXEXTRACT(SUBSTITUTE(TRIM(F144)," ",""),"-?\d+(\.\d+)?$"))&gt;=-180,VALUE(REGEXEXTRACT(SUBSTITUTE(TRIM(F144)," ",""),"-?\d+(\.\d+)?$"))&lt;=180),"OK","REVISAR"),"REVISAR"),"")</f>
        <v/>
      </c>
      <c r="O144">
        <f>IF(A144&lt;&gt;"","https://direcciones507.github.io/direcciones507/panel.html?codigo="&amp;A144&amp;"&amp;nombre="&amp;ENCODEURL(B144)&amp;"&amp;telefono="&amp;SUBSTITUTE(C144,"-","")&amp;"&amp;referencia="&amp;ENCODEURL(E144)&amp;"&amp;lat="&amp;IZQUIERDA(SUBSTITUTE(F144," ",""),ENCONTRAR(",",SUBSTITUTE(F144," ",""))-1)&amp;"&amp;lng="&amp;DERECHA(SUBSTITUTE(F144," ",""),LARGO(SUBSTITUTE(F144," ",""))-ENCONTRAR(",",SUBSTITUTE(F144," ",""))),"")</f>
        <v/>
      </c>
    </row>
    <row r="145" ht="15.75" customHeight="1" s="10">
      <c r="A145" s="8">
        <f>CONCAT("AD507-",TEXT(ROW()-2,"0000"))</f>
        <v/>
      </c>
      <c r="C145" s="8" t="n"/>
      <c r="F145" s="8" t="n"/>
      <c r="G145" s="8">
        <f>IF(F145&lt;&gt;"",HYPERLINK("https://www.google.com/maps/search/?api=1&amp;query="&amp;SUBSTITUTE(F145," ",""),"🗺 Google Maps"),"")</f>
        <v/>
      </c>
      <c r="H145" s="8">
        <f>IF(F145&lt;&gt;"",HYPERLINK("https://waze.com/ul?ll="&amp;SUBSTITUTE(F145," ","")&amp;"&amp;navigate=yes","🚗 Waze"),"")</f>
        <v/>
      </c>
      <c r="I145" s="8">
        <f>IF(F145&lt;&gt;"",HYPERLINK("https://m.uber.com/ul/?action=setPickup&amp;pickup=my_location&amp;dropoff[latitude]="&amp;LEFT(SUBSTITUTE(F145," ",""),FIND(",",SUBSTITUTE(F145," ",""))-1)&amp;"&amp;dropoff[longitude]="&amp;MID(SUBSTITUTE(F145," ",""),FIND(",",SUBSTITUTE(F145," ",""))+1,99),"🚕 Uber"),"")</f>
        <v/>
      </c>
      <c r="J145" s="8">
        <f>IF(F145&lt;&gt;"","https://api.qrserver.com/v1/create-qr-code/?size=200x200&amp;data="&amp;ENCODEURL("https://www.google.com/maps/search/?api=1&amp;query="&amp;SUBSTITUTE(F145," ","")),"")</f>
        <v/>
      </c>
      <c r="K145" s="8">
        <f>IF(C145&lt;&gt;"",HYPERLINK("https://wa.me/507"&amp;REGEXREPLACE(C145,"[^0-9]","")&amp;"?text="&amp;ENCODEURL("Ya llegue. Codigo: "&amp;A145&amp;". Ubicacion: "&amp;"https://www.google.com/maps/search/?api=1&amp;query="&amp;SUBSTITUTE(F145," ","")),"📲 Avisar al cliente"),"")</f>
        <v/>
      </c>
      <c r="L145" s="8">
        <f>IF(C145&lt;&gt;"","https://api.qrserver.com/v1/create-qr-code/?size=200x200&amp;data="&amp;ENCODEURL("https://wa.me/507"&amp;REGEXREPLACE(C145,"[^0-9]","")&amp;"?text="&amp;ENCODEURL("Ya llegue. Codigo: "&amp;A145&amp;". Ubicacion: "&amp;"https://www.google.com/maps/search/?api=1&amp;query="&amp;SUBSTITUTE(F145," ",""))),"")</f>
        <v/>
      </c>
      <c r="M145" s="8">
        <f>IF(B145&lt;&gt;"",TODAY(),"")</f>
        <v/>
      </c>
      <c r="N145" s="8">
        <f>IF(F145&lt;&gt;"",IFERROR(IF(AND(REGEXMATCH(SUBSTITUTE(TRIM(F145)," ",""),"^-?\d+(\.\d+)?,-?\d+(\.\d+)?$"),VALUE(REGEXEXTRACT(SUBSTITUTE(TRIM(F145)," ",""),"^-?\d+(\.\d+)?"))&gt;=-90,VALUE(REGEXEXTRACT(SUBSTITUTE(TRIM(F145)," ",""),"^-?\d+(\.\d+)?"))&lt;=90,VALUE(REGEXEXTRACT(SUBSTITUTE(TRIM(F145)," ",""),"-?\d+(\.\d+)?$"))&gt;=-180,VALUE(REGEXEXTRACT(SUBSTITUTE(TRIM(F145)," ",""),"-?\d+(\.\d+)?$"))&lt;=180),"OK","REVISAR"),"REVISAR"),"")</f>
        <v/>
      </c>
      <c r="O145">
        <f>IF(A145&lt;&gt;"","https://direcciones507.github.io/direcciones507/panel.html?codigo="&amp;A145&amp;"&amp;nombre="&amp;ENCODEURL(B145)&amp;"&amp;telefono="&amp;SUBSTITUTE(C145,"-","")&amp;"&amp;referencia="&amp;ENCODEURL(E145)&amp;"&amp;lat="&amp;IZQUIERDA(SUBSTITUTE(F145," ",""),ENCONTRAR(",",SUBSTITUTE(F145," ",""))-1)&amp;"&amp;lng="&amp;DERECHA(SUBSTITUTE(F145," ",""),LARGO(SUBSTITUTE(F145," ",""))-ENCONTRAR(",",SUBSTITUTE(F145," ",""))),"")</f>
        <v/>
      </c>
    </row>
    <row r="146" ht="15.75" customHeight="1" s="10">
      <c r="A146" s="8">
        <f>CONCAT("AD507-",TEXT(ROW()-2,"0000"))</f>
        <v/>
      </c>
      <c r="C146" s="8" t="n"/>
      <c r="F146" s="8" t="n"/>
      <c r="G146" s="8">
        <f>IF(F146&lt;&gt;"",HYPERLINK("https://www.google.com/maps/search/?api=1&amp;query="&amp;SUBSTITUTE(F146," ",""),"🗺 Google Maps"),"")</f>
        <v/>
      </c>
      <c r="H146" s="8">
        <f>IF(F146&lt;&gt;"",HYPERLINK("https://waze.com/ul?ll="&amp;SUBSTITUTE(F146," ","")&amp;"&amp;navigate=yes","🚗 Waze"),"")</f>
        <v/>
      </c>
      <c r="I146" s="8">
        <f>IF(F146&lt;&gt;"",HYPERLINK("https://m.uber.com/ul/?action=setPickup&amp;pickup=my_location&amp;dropoff[latitude]="&amp;LEFT(SUBSTITUTE(F146," ",""),FIND(",",SUBSTITUTE(F146," ",""))-1)&amp;"&amp;dropoff[longitude]="&amp;MID(SUBSTITUTE(F146," ",""),FIND(",",SUBSTITUTE(F146," ",""))+1,99),"🚕 Uber"),"")</f>
        <v/>
      </c>
      <c r="J146" s="8">
        <f>IF(F146&lt;&gt;"","https://api.qrserver.com/v1/create-qr-code/?size=200x200&amp;data="&amp;ENCODEURL("https://www.google.com/maps/search/?api=1&amp;query="&amp;SUBSTITUTE(F146," ","")),"")</f>
        <v/>
      </c>
      <c r="K146" s="8">
        <f>IF(C146&lt;&gt;"",HYPERLINK("https://wa.me/507"&amp;REGEXREPLACE(C146,"[^0-9]","")&amp;"?text="&amp;ENCODEURL("Ya llegue. Codigo: "&amp;A146&amp;". Ubicacion: "&amp;"https://www.google.com/maps/search/?api=1&amp;query="&amp;SUBSTITUTE(F146," ","")),"📲 Avisar al cliente"),"")</f>
        <v/>
      </c>
      <c r="L146" s="8">
        <f>IF(C146&lt;&gt;"","https://api.qrserver.com/v1/create-qr-code/?size=200x200&amp;data="&amp;ENCODEURL("https://wa.me/507"&amp;REGEXREPLACE(C146,"[^0-9]","")&amp;"?text="&amp;ENCODEURL("Ya llegue. Codigo: "&amp;A146&amp;". Ubicacion: "&amp;"https://www.google.com/maps/search/?api=1&amp;query="&amp;SUBSTITUTE(F146," ",""))),"")</f>
        <v/>
      </c>
      <c r="M146" s="8">
        <f>IF(B146&lt;&gt;"",TODAY(),"")</f>
        <v/>
      </c>
      <c r="N146" s="8">
        <f>IF(F146&lt;&gt;"",IFERROR(IF(AND(REGEXMATCH(SUBSTITUTE(TRIM(F146)," ",""),"^-?\d+(\.\d+)?,-?\d+(\.\d+)?$"),VALUE(REGEXEXTRACT(SUBSTITUTE(TRIM(F146)," ",""),"^-?\d+(\.\d+)?"))&gt;=-90,VALUE(REGEXEXTRACT(SUBSTITUTE(TRIM(F146)," ",""),"^-?\d+(\.\d+)?"))&lt;=90,VALUE(REGEXEXTRACT(SUBSTITUTE(TRIM(F146)," ",""),"-?\d+(\.\d+)?$"))&gt;=-180,VALUE(REGEXEXTRACT(SUBSTITUTE(TRIM(F146)," ",""),"-?\d+(\.\d+)?$"))&lt;=180),"OK","REVISAR"),"REVISAR"),"")</f>
        <v/>
      </c>
      <c r="O146">
        <f>IF(A146&lt;&gt;"","https://direcciones507.github.io/direcciones507/panel.html?codigo="&amp;A146&amp;"&amp;nombre="&amp;ENCODEURL(B146)&amp;"&amp;telefono="&amp;SUBSTITUTE(C146,"-","")&amp;"&amp;referencia="&amp;ENCODEURL(E146)&amp;"&amp;lat="&amp;IZQUIERDA(SUBSTITUTE(F146," ",""),ENCONTRAR(",",SUBSTITUTE(F146," ",""))-1)&amp;"&amp;lng="&amp;DERECHA(SUBSTITUTE(F146," ",""),LARGO(SUBSTITUTE(F146," ",""))-ENCONTRAR(",",SUBSTITUTE(F146," ",""))),"")</f>
        <v/>
      </c>
    </row>
    <row r="147" ht="15.75" customHeight="1" s="10">
      <c r="A147" s="8">
        <f>CONCAT("AD507-",TEXT(ROW()-2,"0000"))</f>
        <v/>
      </c>
      <c r="C147" s="8" t="n"/>
      <c r="F147" s="8" t="n"/>
      <c r="G147" s="8">
        <f>IF(F147&lt;&gt;"",HYPERLINK("https://www.google.com/maps/search/?api=1&amp;query="&amp;SUBSTITUTE(F147," ",""),"🗺 Google Maps"),"")</f>
        <v/>
      </c>
      <c r="H147" s="8">
        <f>IF(F147&lt;&gt;"",HYPERLINK("https://waze.com/ul?ll="&amp;SUBSTITUTE(F147," ","")&amp;"&amp;navigate=yes","🚗 Waze"),"")</f>
        <v/>
      </c>
      <c r="I147" s="8">
        <f>IF(F147&lt;&gt;"",HYPERLINK("https://m.uber.com/ul/?action=setPickup&amp;pickup=my_location&amp;dropoff[latitude]="&amp;LEFT(SUBSTITUTE(F147," ",""),FIND(",",SUBSTITUTE(F147," ",""))-1)&amp;"&amp;dropoff[longitude]="&amp;MID(SUBSTITUTE(F147," ",""),FIND(",",SUBSTITUTE(F147," ",""))+1,99),"🚕 Uber"),"")</f>
        <v/>
      </c>
      <c r="J147" s="8">
        <f>IF(F147&lt;&gt;"","https://api.qrserver.com/v1/create-qr-code/?size=200x200&amp;data="&amp;ENCODEURL("https://www.google.com/maps/search/?api=1&amp;query="&amp;SUBSTITUTE(F147," ","")),"")</f>
        <v/>
      </c>
      <c r="K147" s="8">
        <f>IF(C147&lt;&gt;"",HYPERLINK("https://wa.me/507"&amp;REGEXREPLACE(C147,"[^0-9]","")&amp;"?text="&amp;ENCODEURL("Ya llegue. Codigo: "&amp;A147&amp;". Ubicacion: "&amp;"https://www.google.com/maps/search/?api=1&amp;query="&amp;SUBSTITUTE(F147," ","")),"📲 Avisar al cliente"),"")</f>
        <v/>
      </c>
      <c r="L147" s="8">
        <f>IF(C147&lt;&gt;"","https://api.qrserver.com/v1/create-qr-code/?size=200x200&amp;data="&amp;ENCODEURL("https://wa.me/507"&amp;REGEXREPLACE(C147,"[^0-9]","")&amp;"?text="&amp;ENCODEURL("Ya llegue. Codigo: "&amp;A147&amp;". Ubicacion: "&amp;"https://www.google.com/maps/search/?api=1&amp;query="&amp;SUBSTITUTE(F147," ",""))),"")</f>
        <v/>
      </c>
      <c r="M147" s="8">
        <f>IF(B147&lt;&gt;"",TODAY(),"")</f>
        <v/>
      </c>
      <c r="N147" s="8">
        <f>IF(F147&lt;&gt;"",IFERROR(IF(AND(REGEXMATCH(SUBSTITUTE(TRIM(F147)," ",""),"^-?\d+(\.\d+)?,-?\d+(\.\d+)?$"),VALUE(REGEXEXTRACT(SUBSTITUTE(TRIM(F147)," ",""),"^-?\d+(\.\d+)?"))&gt;=-90,VALUE(REGEXEXTRACT(SUBSTITUTE(TRIM(F147)," ",""),"^-?\d+(\.\d+)?"))&lt;=90,VALUE(REGEXEXTRACT(SUBSTITUTE(TRIM(F147)," ",""),"-?\d+(\.\d+)?$"))&gt;=-180,VALUE(REGEXEXTRACT(SUBSTITUTE(TRIM(F147)," ",""),"-?\d+(\.\d+)?$"))&lt;=180),"OK","REVISAR"),"REVISAR"),"")</f>
        <v/>
      </c>
      <c r="O147">
        <f>IF(A147&lt;&gt;"","https://direcciones507.github.io/direcciones507/panel.html?codigo="&amp;A147&amp;"&amp;nombre="&amp;ENCODEURL(B147)&amp;"&amp;telefono="&amp;SUBSTITUTE(C147,"-","")&amp;"&amp;referencia="&amp;ENCODEURL(E147)&amp;"&amp;lat="&amp;IZQUIERDA(SUBSTITUTE(F147," ",""),ENCONTRAR(",",SUBSTITUTE(F147," ",""))-1)&amp;"&amp;lng="&amp;DERECHA(SUBSTITUTE(F147," ",""),LARGO(SUBSTITUTE(F147," ",""))-ENCONTRAR(",",SUBSTITUTE(F147," ",""))),"")</f>
        <v/>
      </c>
    </row>
    <row r="148" ht="15.75" customHeight="1" s="10">
      <c r="A148" s="8">
        <f>CONCAT("AD507-",TEXT(ROW()-2,"0000"))</f>
        <v/>
      </c>
      <c r="C148" s="8" t="n"/>
      <c r="F148" s="8" t="n"/>
      <c r="G148" s="8">
        <f>IF(F148&lt;&gt;"",HYPERLINK("https://www.google.com/maps/search/?api=1&amp;query="&amp;SUBSTITUTE(F148," ",""),"🗺 Google Maps"),"")</f>
        <v/>
      </c>
      <c r="H148" s="8">
        <f>IF(F148&lt;&gt;"",HYPERLINK("https://waze.com/ul?ll="&amp;SUBSTITUTE(F148," ","")&amp;"&amp;navigate=yes","🚗 Waze"),"")</f>
        <v/>
      </c>
      <c r="I148" s="8">
        <f>IF(F148&lt;&gt;"",HYPERLINK("https://m.uber.com/ul/?action=setPickup&amp;pickup=my_location&amp;dropoff[latitude]="&amp;LEFT(SUBSTITUTE(F148," ",""),FIND(",",SUBSTITUTE(F148," ",""))-1)&amp;"&amp;dropoff[longitude]="&amp;MID(SUBSTITUTE(F148," ",""),FIND(",",SUBSTITUTE(F148," ",""))+1,99),"🚕 Uber"),"")</f>
        <v/>
      </c>
      <c r="J148" s="8">
        <f>IF(F148&lt;&gt;"","https://api.qrserver.com/v1/create-qr-code/?size=200x200&amp;data="&amp;ENCODEURL("https://www.google.com/maps/search/?api=1&amp;query="&amp;SUBSTITUTE(F148," ","")),"")</f>
        <v/>
      </c>
      <c r="K148" s="8">
        <f>IF(C148&lt;&gt;"",HYPERLINK("https://wa.me/507"&amp;REGEXREPLACE(C148,"[^0-9]","")&amp;"?text="&amp;ENCODEURL("Ya llegue. Codigo: "&amp;A148&amp;". Ubicacion: "&amp;"https://www.google.com/maps/search/?api=1&amp;query="&amp;SUBSTITUTE(F148," ","")),"📲 Avisar al cliente"),"")</f>
        <v/>
      </c>
      <c r="L148" s="8">
        <f>IF(C148&lt;&gt;"","https://api.qrserver.com/v1/create-qr-code/?size=200x200&amp;data="&amp;ENCODEURL("https://wa.me/507"&amp;REGEXREPLACE(C148,"[^0-9]","")&amp;"?text="&amp;ENCODEURL("Ya llegue. Codigo: "&amp;A148&amp;". Ubicacion: "&amp;"https://www.google.com/maps/search/?api=1&amp;query="&amp;SUBSTITUTE(F148," ",""))),"")</f>
        <v/>
      </c>
      <c r="M148" s="8">
        <f>IF(B148&lt;&gt;"",TODAY(),"")</f>
        <v/>
      </c>
      <c r="N148" s="8">
        <f>IF(F148&lt;&gt;"",IFERROR(IF(AND(REGEXMATCH(SUBSTITUTE(TRIM(F148)," ",""),"^-?\d+(\.\d+)?,-?\d+(\.\d+)?$"),VALUE(REGEXEXTRACT(SUBSTITUTE(TRIM(F148)," ",""),"^-?\d+(\.\d+)?"))&gt;=-90,VALUE(REGEXEXTRACT(SUBSTITUTE(TRIM(F148)," ",""),"^-?\d+(\.\d+)?"))&lt;=90,VALUE(REGEXEXTRACT(SUBSTITUTE(TRIM(F148)," ",""),"-?\d+(\.\d+)?$"))&gt;=-180,VALUE(REGEXEXTRACT(SUBSTITUTE(TRIM(F148)," ",""),"-?\d+(\.\d+)?$"))&lt;=180),"OK","REVISAR"),"REVISAR"),"")</f>
        <v/>
      </c>
      <c r="O148">
        <f>IF(A148&lt;&gt;"","https://direcciones507.github.io/direcciones507/panel.html?codigo="&amp;A148&amp;"&amp;nombre="&amp;ENCODEURL(B148)&amp;"&amp;telefono="&amp;SUBSTITUTE(C148,"-","")&amp;"&amp;referencia="&amp;ENCODEURL(E148)&amp;"&amp;lat="&amp;IZQUIERDA(SUBSTITUTE(F148," ",""),ENCONTRAR(",",SUBSTITUTE(F148," ",""))-1)&amp;"&amp;lng="&amp;DERECHA(SUBSTITUTE(F148," ",""),LARGO(SUBSTITUTE(F148," ",""))-ENCONTRAR(",",SUBSTITUTE(F148," ",""))),"")</f>
        <v/>
      </c>
    </row>
    <row r="149" ht="15.75" customHeight="1" s="10">
      <c r="A149" s="8">
        <f>CONCAT("AD507-",TEXT(ROW()-2,"0000"))</f>
        <v/>
      </c>
      <c r="C149" s="8" t="n"/>
      <c r="F149" s="8" t="n"/>
      <c r="G149" s="8">
        <f>IF(F149&lt;&gt;"",HYPERLINK("https://www.google.com/maps/search/?api=1&amp;query="&amp;SUBSTITUTE(F149," ",""),"🗺 Google Maps"),"")</f>
        <v/>
      </c>
      <c r="H149" s="8">
        <f>IF(F149&lt;&gt;"",HYPERLINK("https://waze.com/ul?ll="&amp;SUBSTITUTE(F149," ","")&amp;"&amp;navigate=yes","🚗 Waze"),"")</f>
        <v/>
      </c>
      <c r="I149" s="8">
        <f>IF(F149&lt;&gt;"",HYPERLINK("https://m.uber.com/ul/?action=setPickup&amp;pickup=my_location&amp;dropoff[latitude]="&amp;LEFT(SUBSTITUTE(F149," ",""),FIND(",",SUBSTITUTE(F149," ",""))-1)&amp;"&amp;dropoff[longitude]="&amp;MID(SUBSTITUTE(F149," ",""),FIND(",",SUBSTITUTE(F149," ",""))+1,99),"🚕 Uber"),"")</f>
        <v/>
      </c>
      <c r="J149" s="8">
        <f>IF(F149&lt;&gt;"","https://api.qrserver.com/v1/create-qr-code/?size=200x200&amp;data="&amp;ENCODEURL("https://www.google.com/maps/search/?api=1&amp;query="&amp;SUBSTITUTE(F149," ","")),"")</f>
        <v/>
      </c>
      <c r="K149" s="8">
        <f>IF(C149&lt;&gt;"",HYPERLINK("https://wa.me/507"&amp;REGEXREPLACE(C149,"[^0-9]","")&amp;"?text="&amp;ENCODEURL("Ya llegue. Codigo: "&amp;A149&amp;". Ubicacion: "&amp;"https://www.google.com/maps/search/?api=1&amp;query="&amp;SUBSTITUTE(F149," ","")),"📲 Avisar al cliente"),"")</f>
        <v/>
      </c>
      <c r="L149" s="8">
        <f>IF(C149&lt;&gt;"","https://api.qrserver.com/v1/create-qr-code/?size=200x200&amp;data="&amp;ENCODEURL("https://wa.me/507"&amp;REGEXREPLACE(C149,"[^0-9]","")&amp;"?text="&amp;ENCODEURL("Ya llegue. Codigo: "&amp;A149&amp;". Ubicacion: "&amp;"https://www.google.com/maps/search/?api=1&amp;query="&amp;SUBSTITUTE(F149," ",""))),"")</f>
        <v/>
      </c>
      <c r="M149" s="8">
        <f>IF(B149&lt;&gt;"",TODAY(),"")</f>
        <v/>
      </c>
      <c r="N149" s="8">
        <f>IF(F149&lt;&gt;"",IFERROR(IF(AND(REGEXMATCH(SUBSTITUTE(TRIM(F149)," ",""),"^-?\d+(\.\d+)?,-?\d+(\.\d+)?$"),VALUE(REGEXEXTRACT(SUBSTITUTE(TRIM(F149)," ",""),"^-?\d+(\.\d+)?"))&gt;=-90,VALUE(REGEXEXTRACT(SUBSTITUTE(TRIM(F149)," ",""),"^-?\d+(\.\d+)?"))&lt;=90,VALUE(REGEXEXTRACT(SUBSTITUTE(TRIM(F149)," ",""),"-?\d+(\.\d+)?$"))&gt;=-180,VALUE(REGEXEXTRACT(SUBSTITUTE(TRIM(F149)," ",""),"-?\d+(\.\d+)?$"))&lt;=180),"OK","REVISAR"),"REVISAR"),"")</f>
        <v/>
      </c>
      <c r="O149">
        <f>IF(A149&lt;&gt;"","https://direcciones507.github.io/direcciones507/panel.html?codigo="&amp;A149&amp;"&amp;nombre="&amp;ENCODEURL(B149)&amp;"&amp;telefono="&amp;SUBSTITUTE(C149,"-","")&amp;"&amp;referencia="&amp;ENCODEURL(E149)&amp;"&amp;lat="&amp;IZQUIERDA(SUBSTITUTE(F149," ",""),ENCONTRAR(",",SUBSTITUTE(F149," ",""))-1)&amp;"&amp;lng="&amp;DERECHA(SUBSTITUTE(F149," ",""),LARGO(SUBSTITUTE(F149," ",""))-ENCONTRAR(",",SUBSTITUTE(F149," ",""))),"")</f>
        <v/>
      </c>
    </row>
    <row r="150" ht="15.75" customHeight="1" s="10">
      <c r="A150" s="8">
        <f>CONCAT("AD507-",TEXT(ROW()-2,"0000"))</f>
        <v/>
      </c>
      <c r="C150" s="8" t="n"/>
      <c r="F150" s="8" t="n"/>
      <c r="G150" s="8">
        <f>IF(F150&lt;&gt;"",HYPERLINK("https://www.google.com/maps/search/?api=1&amp;query="&amp;SUBSTITUTE(F150," ",""),"🗺 Google Maps"),"")</f>
        <v/>
      </c>
      <c r="H150" s="8">
        <f>IF(F150&lt;&gt;"",HYPERLINK("https://waze.com/ul?ll="&amp;SUBSTITUTE(F150," ","")&amp;"&amp;navigate=yes","🚗 Waze"),"")</f>
        <v/>
      </c>
      <c r="I150" s="8">
        <f>IF(F150&lt;&gt;"",HYPERLINK("https://m.uber.com/ul/?action=setPickup&amp;pickup=my_location&amp;dropoff[latitude]="&amp;LEFT(SUBSTITUTE(F150," ",""),FIND(",",SUBSTITUTE(F150," ",""))-1)&amp;"&amp;dropoff[longitude]="&amp;MID(SUBSTITUTE(F150," ",""),FIND(",",SUBSTITUTE(F150," ",""))+1,99),"🚕 Uber"),"")</f>
        <v/>
      </c>
      <c r="J150" s="8">
        <f>IF(F150&lt;&gt;"","https://api.qrserver.com/v1/create-qr-code/?size=200x200&amp;data="&amp;ENCODEURL("https://www.google.com/maps/search/?api=1&amp;query="&amp;SUBSTITUTE(F150," ","")),"")</f>
        <v/>
      </c>
      <c r="K150" s="8">
        <f>IF(C150&lt;&gt;"",HYPERLINK("https://wa.me/507"&amp;REGEXREPLACE(C150,"[^0-9]","")&amp;"?text="&amp;ENCODEURL("Ya llegue. Codigo: "&amp;A150&amp;". Ubicacion: "&amp;"https://www.google.com/maps/search/?api=1&amp;query="&amp;SUBSTITUTE(F150," ","")),"📲 Avisar al cliente"),"")</f>
        <v/>
      </c>
      <c r="L150" s="8">
        <f>IF(C150&lt;&gt;"","https://api.qrserver.com/v1/create-qr-code/?size=200x200&amp;data="&amp;ENCODEURL("https://wa.me/507"&amp;REGEXREPLACE(C150,"[^0-9]","")&amp;"?text="&amp;ENCODEURL("Ya llegue. Codigo: "&amp;A150&amp;". Ubicacion: "&amp;"https://www.google.com/maps/search/?api=1&amp;query="&amp;SUBSTITUTE(F150," ",""))),"")</f>
        <v/>
      </c>
      <c r="M150" s="8">
        <f>IF(B150&lt;&gt;"",TODAY(),"")</f>
        <v/>
      </c>
      <c r="N150" s="8">
        <f>IF(F150&lt;&gt;"",IFERROR(IF(AND(REGEXMATCH(SUBSTITUTE(TRIM(F150)," ",""),"^-?\d+(\.\d+)?,-?\d+(\.\d+)?$"),VALUE(REGEXEXTRACT(SUBSTITUTE(TRIM(F150)," ",""),"^-?\d+(\.\d+)?"))&gt;=-90,VALUE(REGEXEXTRACT(SUBSTITUTE(TRIM(F150)," ",""),"^-?\d+(\.\d+)?"))&lt;=90,VALUE(REGEXEXTRACT(SUBSTITUTE(TRIM(F150)," ",""),"-?\d+(\.\d+)?$"))&gt;=-180,VALUE(REGEXEXTRACT(SUBSTITUTE(TRIM(F150)," ",""),"-?\d+(\.\d+)?$"))&lt;=180),"OK","REVISAR"),"REVISAR"),"")</f>
        <v/>
      </c>
      <c r="O150">
        <f>IF(A150&lt;&gt;"","https://direcciones507.github.io/direcciones507/panel.html?codigo="&amp;A150&amp;"&amp;nombre="&amp;ENCODEURL(B150)&amp;"&amp;telefono="&amp;SUBSTITUTE(C150,"-","")&amp;"&amp;referencia="&amp;ENCODEURL(E150)&amp;"&amp;lat="&amp;IZQUIERDA(SUBSTITUTE(F150," ",""),ENCONTRAR(",",SUBSTITUTE(F150," ",""))-1)&amp;"&amp;lng="&amp;DERECHA(SUBSTITUTE(F150," ",""),LARGO(SUBSTITUTE(F150," ",""))-ENCONTRAR(",",SUBSTITUTE(F150," ",""))),"")</f>
        <v/>
      </c>
    </row>
    <row r="151" ht="15.75" customHeight="1" s="10">
      <c r="A151" s="8">
        <f>CONCAT("AD507-",TEXT(ROW()-2,"0000"))</f>
        <v/>
      </c>
      <c r="C151" s="8" t="n"/>
      <c r="F151" s="8" t="n"/>
      <c r="G151" s="8">
        <f>IF(F151&lt;&gt;"",HYPERLINK("https://www.google.com/maps/search/?api=1&amp;query="&amp;SUBSTITUTE(F151," ",""),"🗺 Google Maps"),"")</f>
        <v/>
      </c>
      <c r="H151" s="8">
        <f>IF(F151&lt;&gt;"",HYPERLINK("https://waze.com/ul?ll="&amp;SUBSTITUTE(F151," ","")&amp;"&amp;navigate=yes","🚗 Waze"),"")</f>
        <v/>
      </c>
      <c r="I151" s="8">
        <f>IF(F151&lt;&gt;"",HYPERLINK("https://m.uber.com/ul/?action=setPickup&amp;pickup=my_location&amp;dropoff[latitude]="&amp;LEFT(SUBSTITUTE(F151," ",""),FIND(",",SUBSTITUTE(F151," ",""))-1)&amp;"&amp;dropoff[longitude]="&amp;MID(SUBSTITUTE(F151," ",""),FIND(",",SUBSTITUTE(F151," ",""))+1,99),"🚕 Uber"),"")</f>
        <v/>
      </c>
      <c r="J151" s="8">
        <f>IF(F151&lt;&gt;"","https://api.qrserver.com/v1/create-qr-code/?size=200x200&amp;data="&amp;ENCODEURL("https://www.google.com/maps/search/?api=1&amp;query="&amp;SUBSTITUTE(F151," ","")),"")</f>
        <v/>
      </c>
      <c r="K151" s="8">
        <f>IF(C151&lt;&gt;"",HYPERLINK("https://wa.me/507"&amp;REGEXREPLACE(C151,"[^0-9]","")&amp;"?text="&amp;ENCODEURL("Ya llegue. Codigo: "&amp;A151&amp;". Ubicacion: "&amp;"https://www.google.com/maps/search/?api=1&amp;query="&amp;SUBSTITUTE(F151," ","")),"📲 Avisar al cliente"),"")</f>
        <v/>
      </c>
      <c r="L151" s="8">
        <f>IF(C151&lt;&gt;"","https://api.qrserver.com/v1/create-qr-code/?size=200x200&amp;data="&amp;ENCODEURL("https://wa.me/507"&amp;REGEXREPLACE(C151,"[^0-9]","")&amp;"?text="&amp;ENCODEURL("Ya llegue. Codigo: "&amp;A151&amp;". Ubicacion: "&amp;"https://www.google.com/maps/search/?api=1&amp;query="&amp;SUBSTITUTE(F151," ",""))),"")</f>
        <v/>
      </c>
      <c r="M151" s="8">
        <f>IF(B151&lt;&gt;"",TODAY(),"")</f>
        <v/>
      </c>
      <c r="N151" s="8">
        <f>IF(F151&lt;&gt;"",IFERROR(IF(AND(REGEXMATCH(SUBSTITUTE(TRIM(F151)," ",""),"^-?\d+(\.\d+)?,-?\d+(\.\d+)?$"),VALUE(REGEXEXTRACT(SUBSTITUTE(TRIM(F151)," ",""),"^-?\d+(\.\d+)?"))&gt;=-90,VALUE(REGEXEXTRACT(SUBSTITUTE(TRIM(F151)," ",""),"^-?\d+(\.\d+)?"))&lt;=90,VALUE(REGEXEXTRACT(SUBSTITUTE(TRIM(F151)," ",""),"-?\d+(\.\d+)?$"))&gt;=-180,VALUE(REGEXEXTRACT(SUBSTITUTE(TRIM(F151)," ",""),"-?\d+(\.\d+)?$"))&lt;=180),"OK","REVISAR"),"REVISAR"),"")</f>
        <v/>
      </c>
      <c r="O151">
        <f>IF(A151&lt;&gt;"","https://direcciones507.github.io/direcciones507/panel.html?codigo="&amp;A151&amp;"&amp;nombre="&amp;ENCODEURL(B151)&amp;"&amp;telefono="&amp;SUBSTITUTE(C151,"-","")&amp;"&amp;referencia="&amp;ENCODEURL(E151)&amp;"&amp;lat="&amp;IZQUIERDA(SUBSTITUTE(F151," ",""),ENCONTRAR(",",SUBSTITUTE(F151," ",""))-1)&amp;"&amp;lng="&amp;DERECHA(SUBSTITUTE(F151," ",""),LARGO(SUBSTITUTE(F151," ",""))-ENCONTRAR(",",SUBSTITUTE(F151," ",""))),"")</f>
        <v/>
      </c>
    </row>
    <row r="152" ht="15.75" customHeight="1" s="10">
      <c r="A152" s="8">
        <f>CONCAT("AD507-",TEXT(ROW()-2,"0000"))</f>
        <v/>
      </c>
      <c r="C152" s="8" t="n"/>
      <c r="F152" s="8" t="n"/>
      <c r="G152" s="8">
        <f>IF(F152&lt;&gt;"",HYPERLINK("https://www.google.com/maps/search/?api=1&amp;query="&amp;SUBSTITUTE(F152," ",""),"🗺 Google Maps"),"")</f>
        <v/>
      </c>
      <c r="H152" s="8">
        <f>IF(F152&lt;&gt;"",HYPERLINK("https://waze.com/ul?ll="&amp;SUBSTITUTE(F152," ","")&amp;"&amp;navigate=yes","🚗 Waze"),"")</f>
        <v/>
      </c>
      <c r="I152" s="8">
        <f>IF(F152&lt;&gt;"",HYPERLINK("https://m.uber.com/ul/?action=setPickup&amp;pickup=my_location&amp;dropoff[latitude]="&amp;LEFT(SUBSTITUTE(F152," ",""),FIND(",",SUBSTITUTE(F152," ",""))-1)&amp;"&amp;dropoff[longitude]="&amp;MID(SUBSTITUTE(F152," ",""),FIND(",",SUBSTITUTE(F152," ",""))+1,99),"🚕 Uber"),"")</f>
        <v/>
      </c>
      <c r="J152" s="8">
        <f>IF(F152&lt;&gt;"","https://api.qrserver.com/v1/create-qr-code/?size=200x200&amp;data="&amp;ENCODEURL("https://www.google.com/maps/search/?api=1&amp;query="&amp;SUBSTITUTE(F152," ","")),"")</f>
        <v/>
      </c>
      <c r="K152" s="8">
        <f>IF(C152&lt;&gt;"",HYPERLINK("https://wa.me/507"&amp;REGEXREPLACE(C152,"[^0-9]","")&amp;"?text="&amp;ENCODEURL("Ya llegue. Codigo: "&amp;A152&amp;". Ubicacion: "&amp;"https://www.google.com/maps/search/?api=1&amp;query="&amp;SUBSTITUTE(F152," ","")),"📲 Avisar al cliente"),"")</f>
        <v/>
      </c>
      <c r="L152" s="8">
        <f>IF(C152&lt;&gt;"","https://api.qrserver.com/v1/create-qr-code/?size=200x200&amp;data="&amp;ENCODEURL("https://wa.me/507"&amp;REGEXREPLACE(C152,"[^0-9]","")&amp;"?text="&amp;ENCODEURL("Ya llegue. Codigo: "&amp;A152&amp;". Ubicacion: "&amp;"https://www.google.com/maps/search/?api=1&amp;query="&amp;SUBSTITUTE(F152," ",""))),"")</f>
        <v/>
      </c>
      <c r="M152" s="8">
        <f>IF(B152&lt;&gt;"",TODAY(),"")</f>
        <v/>
      </c>
      <c r="N152" s="8">
        <f>IF(F152&lt;&gt;"",IFERROR(IF(AND(REGEXMATCH(SUBSTITUTE(TRIM(F152)," ",""),"^-?\d+(\.\d+)?,-?\d+(\.\d+)?$"),VALUE(REGEXEXTRACT(SUBSTITUTE(TRIM(F152)," ",""),"^-?\d+(\.\d+)?"))&gt;=-90,VALUE(REGEXEXTRACT(SUBSTITUTE(TRIM(F152)," ",""),"^-?\d+(\.\d+)?"))&lt;=90,VALUE(REGEXEXTRACT(SUBSTITUTE(TRIM(F152)," ",""),"-?\d+(\.\d+)?$"))&gt;=-180,VALUE(REGEXEXTRACT(SUBSTITUTE(TRIM(F152)," ",""),"-?\d+(\.\d+)?$"))&lt;=180),"OK","REVISAR"),"REVISAR"),"")</f>
        <v/>
      </c>
      <c r="O152">
        <f>IF(A152&lt;&gt;"","https://direcciones507.github.io/direcciones507/panel.html?codigo="&amp;A152&amp;"&amp;nombre="&amp;ENCODEURL(B152)&amp;"&amp;telefono="&amp;SUBSTITUTE(C152,"-","")&amp;"&amp;referencia="&amp;ENCODEURL(E152)&amp;"&amp;lat="&amp;IZQUIERDA(SUBSTITUTE(F152," ",""),ENCONTRAR(",",SUBSTITUTE(F152," ",""))-1)&amp;"&amp;lng="&amp;DERECHA(SUBSTITUTE(F152," ",""),LARGO(SUBSTITUTE(F152," ",""))-ENCONTRAR(",",SUBSTITUTE(F152," ",""))),"")</f>
        <v/>
      </c>
    </row>
    <row r="153" ht="15.75" customHeight="1" s="10">
      <c r="A153" s="8">
        <f>CONCAT("AD507-",TEXT(ROW()-2,"0000"))</f>
        <v/>
      </c>
      <c r="C153" s="8" t="n"/>
      <c r="F153" s="8" t="n"/>
      <c r="G153" s="8">
        <f>IF(F153&lt;&gt;"",HYPERLINK("https://www.google.com/maps/search/?api=1&amp;query="&amp;SUBSTITUTE(F153," ",""),"🗺 Google Maps"),"")</f>
        <v/>
      </c>
      <c r="H153" s="8">
        <f>IF(F153&lt;&gt;"",HYPERLINK("https://waze.com/ul?ll="&amp;SUBSTITUTE(F153," ","")&amp;"&amp;navigate=yes","🚗 Waze"),"")</f>
        <v/>
      </c>
      <c r="I153" s="8">
        <f>IF(F153&lt;&gt;"",HYPERLINK("https://m.uber.com/ul/?action=setPickup&amp;pickup=my_location&amp;dropoff[latitude]="&amp;LEFT(SUBSTITUTE(F153," ",""),FIND(",",SUBSTITUTE(F153," ",""))-1)&amp;"&amp;dropoff[longitude]="&amp;MID(SUBSTITUTE(F153," ",""),FIND(",",SUBSTITUTE(F153," ",""))+1,99),"🚕 Uber"),"")</f>
        <v/>
      </c>
      <c r="J153" s="8">
        <f>IF(F153&lt;&gt;"","https://api.qrserver.com/v1/create-qr-code/?size=200x200&amp;data="&amp;ENCODEURL("https://www.google.com/maps/search/?api=1&amp;query="&amp;SUBSTITUTE(F153," ","")),"")</f>
        <v/>
      </c>
      <c r="K153" s="8">
        <f>IF(C153&lt;&gt;"",HYPERLINK("https://wa.me/507"&amp;REGEXREPLACE(C153,"[^0-9]","")&amp;"?text="&amp;ENCODEURL("Ya llegue. Codigo: "&amp;A153&amp;". Ubicacion: "&amp;"https://www.google.com/maps/search/?api=1&amp;query="&amp;SUBSTITUTE(F153," ","")),"📲 Avisar al cliente"),"")</f>
        <v/>
      </c>
      <c r="L153" s="8">
        <f>IF(C153&lt;&gt;"","https://api.qrserver.com/v1/create-qr-code/?size=200x200&amp;data="&amp;ENCODEURL("https://wa.me/507"&amp;REGEXREPLACE(C153,"[^0-9]","")&amp;"?text="&amp;ENCODEURL("Ya llegue. Codigo: "&amp;A153&amp;". Ubicacion: "&amp;"https://www.google.com/maps/search/?api=1&amp;query="&amp;SUBSTITUTE(F153," ",""))),"")</f>
        <v/>
      </c>
      <c r="M153" s="8">
        <f>IF(B153&lt;&gt;"",TODAY(),"")</f>
        <v/>
      </c>
      <c r="N153" s="8">
        <f>IF(F153&lt;&gt;"",IFERROR(IF(AND(REGEXMATCH(SUBSTITUTE(TRIM(F153)," ",""),"^-?\d+(\.\d+)?,-?\d+(\.\d+)?$"),VALUE(REGEXEXTRACT(SUBSTITUTE(TRIM(F153)," ",""),"^-?\d+(\.\d+)?"))&gt;=-90,VALUE(REGEXEXTRACT(SUBSTITUTE(TRIM(F153)," ",""),"^-?\d+(\.\d+)?"))&lt;=90,VALUE(REGEXEXTRACT(SUBSTITUTE(TRIM(F153)," ",""),"-?\d+(\.\d+)?$"))&gt;=-180,VALUE(REGEXEXTRACT(SUBSTITUTE(TRIM(F153)," ",""),"-?\d+(\.\d+)?$"))&lt;=180),"OK","REVISAR"),"REVISAR"),"")</f>
        <v/>
      </c>
      <c r="O153">
        <f>IF(A153&lt;&gt;"","https://direcciones507.github.io/direcciones507/panel.html?codigo="&amp;A153&amp;"&amp;nombre="&amp;ENCODEURL(B153)&amp;"&amp;telefono="&amp;SUBSTITUTE(C153,"-","")&amp;"&amp;referencia="&amp;ENCODEURL(E153)&amp;"&amp;lat="&amp;IZQUIERDA(SUBSTITUTE(F153," ",""),ENCONTRAR(",",SUBSTITUTE(F153," ",""))-1)&amp;"&amp;lng="&amp;DERECHA(SUBSTITUTE(F153," ",""),LARGO(SUBSTITUTE(F153," ",""))-ENCONTRAR(",",SUBSTITUTE(F153," ",""))),"")</f>
        <v/>
      </c>
    </row>
    <row r="154" ht="15.75" customHeight="1" s="10">
      <c r="A154" s="8">
        <f>CONCAT("AD507-",TEXT(ROW()-2,"0000"))</f>
        <v/>
      </c>
      <c r="C154" s="8" t="n"/>
      <c r="F154" s="8" t="n"/>
      <c r="G154" s="8">
        <f>IF(F154&lt;&gt;"",HYPERLINK("https://www.google.com/maps/search/?api=1&amp;query="&amp;SUBSTITUTE(F154," ",""),"🗺 Google Maps"),"")</f>
        <v/>
      </c>
      <c r="H154" s="8">
        <f>IF(F154&lt;&gt;"",HYPERLINK("https://waze.com/ul?ll="&amp;SUBSTITUTE(F154," ","")&amp;"&amp;navigate=yes","🚗 Waze"),"")</f>
        <v/>
      </c>
      <c r="I154" s="8">
        <f>IF(F154&lt;&gt;"",HYPERLINK("https://m.uber.com/ul/?action=setPickup&amp;pickup=my_location&amp;dropoff[latitude]="&amp;LEFT(SUBSTITUTE(F154," ",""),FIND(",",SUBSTITUTE(F154," ",""))-1)&amp;"&amp;dropoff[longitude]="&amp;MID(SUBSTITUTE(F154," ",""),FIND(",",SUBSTITUTE(F154," ",""))+1,99),"🚕 Uber"),"")</f>
        <v/>
      </c>
      <c r="J154" s="8">
        <f>IF(F154&lt;&gt;"","https://api.qrserver.com/v1/create-qr-code/?size=200x200&amp;data="&amp;ENCODEURL("https://www.google.com/maps/search/?api=1&amp;query="&amp;SUBSTITUTE(F154," ","")),"")</f>
        <v/>
      </c>
      <c r="K154" s="8">
        <f>IF(C154&lt;&gt;"",HYPERLINK("https://wa.me/507"&amp;REGEXREPLACE(C154,"[^0-9]","")&amp;"?text="&amp;ENCODEURL("Ya llegue. Codigo: "&amp;A154&amp;". Ubicacion: "&amp;"https://www.google.com/maps/search/?api=1&amp;query="&amp;SUBSTITUTE(F154," ","")),"📲 Avisar al cliente"),"")</f>
        <v/>
      </c>
      <c r="L154" s="8">
        <f>IF(C154&lt;&gt;"","https://api.qrserver.com/v1/create-qr-code/?size=200x200&amp;data="&amp;ENCODEURL("https://wa.me/507"&amp;REGEXREPLACE(C154,"[^0-9]","")&amp;"?text="&amp;ENCODEURL("Ya llegue. Codigo: "&amp;A154&amp;". Ubicacion: "&amp;"https://www.google.com/maps/search/?api=1&amp;query="&amp;SUBSTITUTE(F154," ",""))),"")</f>
        <v/>
      </c>
      <c r="M154" s="8">
        <f>IF(B154&lt;&gt;"",TODAY(),"")</f>
        <v/>
      </c>
      <c r="N154" s="8">
        <f>IF(F154&lt;&gt;"",IFERROR(IF(AND(REGEXMATCH(SUBSTITUTE(TRIM(F154)," ",""),"^-?\d+(\.\d+)?,-?\d+(\.\d+)?$"),VALUE(REGEXEXTRACT(SUBSTITUTE(TRIM(F154)," ",""),"^-?\d+(\.\d+)?"))&gt;=-90,VALUE(REGEXEXTRACT(SUBSTITUTE(TRIM(F154)," ",""),"^-?\d+(\.\d+)?"))&lt;=90,VALUE(REGEXEXTRACT(SUBSTITUTE(TRIM(F154)," ",""),"-?\d+(\.\d+)?$"))&gt;=-180,VALUE(REGEXEXTRACT(SUBSTITUTE(TRIM(F154)," ",""),"-?\d+(\.\d+)?$"))&lt;=180),"OK","REVISAR"),"REVISAR"),"")</f>
        <v/>
      </c>
      <c r="O154">
        <f>IF(A154&lt;&gt;"","https://direcciones507.github.io/direcciones507/panel.html?codigo="&amp;A154&amp;"&amp;nombre="&amp;ENCODEURL(B154)&amp;"&amp;telefono="&amp;SUBSTITUTE(C154,"-","")&amp;"&amp;referencia="&amp;ENCODEURL(E154)&amp;"&amp;lat="&amp;IZQUIERDA(SUBSTITUTE(F154," ",""),ENCONTRAR(",",SUBSTITUTE(F154," ",""))-1)&amp;"&amp;lng="&amp;DERECHA(SUBSTITUTE(F154," ",""),LARGO(SUBSTITUTE(F154," ",""))-ENCONTRAR(",",SUBSTITUTE(F154," ",""))),"")</f>
        <v/>
      </c>
    </row>
    <row r="155" ht="15.75" customHeight="1" s="10">
      <c r="A155" s="8">
        <f>CONCAT("AD507-",TEXT(ROW()-2,"0000"))</f>
        <v/>
      </c>
      <c r="C155" s="8" t="n"/>
      <c r="F155" s="8" t="n"/>
      <c r="G155" s="8">
        <f>IF(F155&lt;&gt;"",HYPERLINK("https://www.google.com/maps/search/?api=1&amp;query="&amp;SUBSTITUTE(F155," ",""),"🗺 Google Maps"),"")</f>
        <v/>
      </c>
      <c r="H155" s="8">
        <f>IF(F155&lt;&gt;"",HYPERLINK("https://waze.com/ul?ll="&amp;SUBSTITUTE(F155," ","")&amp;"&amp;navigate=yes","🚗 Waze"),"")</f>
        <v/>
      </c>
      <c r="I155" s="8">
        <f>IF(F155&lt;&gt;"",HYPERLINK("https://m.uber.com/ul/?action=setPickup&amp;pickup=my_location&amp;dropoff[latitude]="&amp;LEFT(SUBSTITUTE(F155," ",""),FIND(",",SUBSTITUTE(F155," ",""))-1)&amp;"&amp;dropoff[longitude]="&amp;MID(SUBSTITUTE(F155," ",""),FIND(",",SUBSTITUTE(F155," ",""))+1,99),"🚕 Uber"),"")</f>
        <v/>
      </c>
      <c r="J155" s="8">
        <f>IF(F155&lt;&gt;"","https://api.qrserver.com/v1/create-qr-code/?size=200x200&amp;data="&amp;ENCODEURL("https://www.google.com/maps/search/?api=1&amp;query="&amp;SUBSTITUTE(F155," ","")),"")</f>
        <v/>
      </c>
      <c r="K155" s="8">
        <f>IF(C155&lt;&gt;"",HYPERLINK("https://wa.me/507"&amp;REGEXREPLACE(C155,"[^0-9]","")&amp;"?text="&amp;ENCODEURL("Ya llegue. Codigo: "&amp;A155&amp;". Ubicacion: "&amp;"https://www.google.com/maps/search/?api=1&amp;query="&amp;SUBSTITUTE(F155," ","")),"📲 Avisar al cliente"),"")</f>
        <v/>
      </c>
      <c r="L155" s="8">
        <f>IF(C155&lt;&gt;"","https://api.qrserver.com/v1/create-qr-code/?size=200x200&amp;data="&amp;ENCODEURL("https://wa.me/507"&amp;REGEXREPLACE(C155,"[^0-9]","")&amp;"?text="&amp;ENCODEURL("Ya llegue. Codigo: "&amp;A155&amp;". Ubicacion: "&amp;"https://www.google.com/maps/search/?api=1&amp;query="&amp;SUBSTITUTE(F155," ",""))),"")</f>
        <v/>
      </c>
      <c r="M155" s="8">
        <f>IF(B155&lt;&gt;"",TODAY(),"")</f>
        <v/>
      </c>
      <c r="N155" s="8">
        <f>IF(F155&lt;&gt;"",IFERROR(IF(AND(REGEXMATCH(SUBSTITUTE(TRIM(F155)," ",""),"^-?\d+(\.\d+)?,-?\d+(\.\d+)?$"),VALUE(REGEXEXTRACT(SUBSTITUTE(TRIM(F155)," ",""),"^-?\d+(\.\d+)?"))&gt;=-90,VALUE(REGEXEXTRACT(SUBSTITUTE(TRIM(F155)," ",""),"^-?\d+(\.\d+)?"))&lt;=90,VALUE(REGEXEXTRACT(SUBSTITUTE(TRIM(F155)," ",""),"-?\d+(\.\d+)?$"))&gt;=-180,VALUE(REGEXEXTRACT(SUBSTITUTE(TRIM(F155)," ",""),"-?\d+(\.\d+)?$"))&lt;=180),"OK","REVISAR"),"REVISAR"),"")</f>
        <v/>
      </c>
      <c r="O155">
        <f>IF(A155&lt;&gt;"","https://direcciones507.github.io/direcciones507/panel.html?codigo="&amp;A155&amp;"&amp;nombre="&amp;ENCODEURL(B155)&amp;"&amp;telefono="&amp;SUBSTITUTE(C155,"-","")&amp;"&amp;referencia="&amp;ENCODEURL(E155)&amp;"&amp;lat="&amp;IZQUIERDA(SUBSTITUTE(F155," ",""),ENCONTRAR(",",SUBSTITUTE(F155," ",""))-1)&amp;"&amp;lng="&amp;DERECHA(SUBSTITUTE(F155," ",""),LARGO(SUBSTITUTE(F155," ",""))-ENCONTRAR(",",SUBSTITUTE(F155," ",""))),"")</f>
        <v/>
      </c>
    </row>
    <row r="156" ht="15.75" customHeight="1" s="10">
      <c r="A156" s="8">
        <f>CONCAT("AD507-",TEXT(ROW()-2,"0000"))</f>
        <v/>
      </c>
      <c r="C156" s="8" t="n"/>
      <c r="F156" s="8" t="n"/>
      <c r="G156" s="8">
        <f>IF(F156&lt;&gt;"",HYPERLINK("https://www.google.com/maps/search/?api=1&amp;query="&amp;SUBSTITUTE(F156," ",""),"🗺 Google Maps"),"")</f>
        <v/>
      </c>
      <c r="H156" s="8">
        <f>IF(F156&lt;&gt;"",HYPERLINK("https://waze.com/ul?ll="&amp;SUBSTITUTE(F156," ","")&amp;"&amp;navigate=yes","🚗 Waze"),"")</f>
        <v/>
      </c>
      <c r="I156" s="8">
        <f>IF(F156&lt;&gt;"",HYPERLINK("https://m.uber.com/ul/?action=setPickup&amp;pickup=my_location&amp;dropoff[latitude]="&amp;LEFT(SUBSTITUTE(F156," ",""),FIND(",",SUBSTITUTE(F156," ",""))-1)&amp;"&amp;dropoff[longitude]="&amp;MID(SUBSTITUTE(F156," ",""),FIND(",",SUBSTITUTE(F156," ",""))+1,99),"🚕 Uber"),"")</f>
        <v/>
      </c>
      <c r="J156" s="8">
        <f>IF(F156&lt;&gt;"","https://api.qrserver.com/v1/create-qr-code/?size=200x200&amp;data="&amp;ENCODEURL("https://www.google.com/maps/search/?api=1&amp;query="&amp;SUBSTITUTE(F156," ","")),"")</f>
        <v/>
      </c>
      <c r="K156" s="8">
        <f>IF(C156&lt;&gt;"",HYPERLINK("https://wa.me/507"&amp;REGEXREPLACE(C156,"[^0-9]","")&amp;"?text="&amp;ENCODEURL("Ya llegue. Codigo: "&amp;A156&amp;". Ubicacion: "&amp;"https://www.google.com/maps/search/?api=1&amp;query="&amp;SUBSTITUTE(F156," ","")),"📲 Avisar al cliente"),"")</f>
        <v/>
      </c>
      <c r="L156" s="8">
        <f>IF(C156&lt;&gt;"","https://api.qrserver.com/v1/create-qr-code/?size=200x200&amp;data="&amp;ENCODEURL("https://wa.me/507"&amp;REGEXREPLACE(C156,"[^0-9]","")&amp;"?text="&amp;ENCODEURL("Ya llegue. Codigo: "&amp;A156&amp;". Ubicacion: "&amp;"https://www.google.com/maps/search/?api=1&amp;query="&amp;SUBSTITUTE(F156," ",""))),"")</f>
        <v/>
      </c>
      <c r="M156" s="8">
        <f>IF(B156&lt;&gt;"",TODAY(),"")</f>
        <v/>
      </c>
      <c r="N156" s="8">
        <f>IF(F156&lt;&gt;"",IFERROR(IF(AND(REGEXMATCH(SUBSTITUTE(TRIM(F156)," ",""),"^-?\d+(\.\d+)?,-?\d+(\.\d+)?$"),VALUE(REGEXEXTRACT(SUBSTITUTE(TRIM(F156)," ",""),"^-?\d+(\.\d+)?"))&gt;=-90,VALUE(REGEXEXTRACT(SUBSTITUTE(TRIM(F156)," ",""),"^-?\d+(\.\d+)?"))&lt;=90,VALUE(REGEXEXTRACT(SUBSTITUTE(TRIM(F156)," ",""),"-?\d+(\.\d+)?$"))&gt;=-180,VALUE(REGEXEXTRACT(SUBSTITUTE(TRIM(F156)," ",""),"-?\d+(\.\d+)?$"))&lt;=180),"OK","REVISAR"),"REVISAR"),"")</f>
        <v/>
      </c>
      <c r="O156">
        <f>IF(A156&lt;&gt;"","https://direcciones507.github.io/direcciones507/panel.html?codigo="&amp;A156&amp;"&amp;nombre="&amp;ENCODEURL(B156)&amp;"&amp;telefono="&amp;SUBSTITUTE(C156,"-","")&amp;"&amp;referencia="&amp;ENCODEURL(E156)&amp;"&amp;lat="&amp;IZQUIERDA(SUBSTITUTE(F156," ",""),ENCONTRAR(",",SUBSTITUTE(F156," ",""))-1)&amp;"&amp;lng="&amp;DERECHA(SUBSTITUTE(F156," ",""),LARGO(SUBSTITUTE(F156," ",""))-ENCONTRAR(",",SUBSTITUTE(F156," ",""))),"")</f>
        <v/>
      </c>
    </row>
    <row r="157" ht="15.75" customHeight="1" s="10">
      <c r="A157" s="8">
        <f>CONCAT("AD507-",TEXT(ROW()-2,"0000"))</f>
        <v/>
      </c>
      <c r="C157" s="8" t="n"/>
      <c r="F157" s="8" t="n"/>
      <c r="G157" s="8">
        <f>IF(F157&lt;&gt;"",HYPERLINK("https://www.google.com/maps/search/?api=1&amp;query="&amp;SUBSTITUTE(F157," ",""),"🗺 Google Maps"),"")</f>
        <v/>
      </c>
      <c r="H157" s="8">
        <f>IF(F157&lt;&gt;"",HYPERLINK("https://waze.com/ul?ll="&amp;SUBSTITUTE(F157," ","")&amp;"&amp;navigate=yes","🚗 Waze"),"")</f>
        <v/>
      </c>
      <c r="I157" s="8">
        <f>IF(F157&lt;&gt;"",HYPERLINK("https://m.uber.com/ul/?action=setPickup&amp;pickup=my_location&amp;dropoff[latitude]="&amp;LEFT(SUBSTITUTE(F157," ",""),FIND(",",SUBSTITUTE(F157," ",""))-1)&amp;"&amp;dropoff[longitude]="&amp;MID(SUBSTITUTE(F157," ",""),FIND(",",SUBSTITUTE(F157," ",""))+1,99),"🚕 Uber"),"")</f>
        <v/>
      </c>
      <c r="J157" s="8">
        <f>IF(F157&lt;&gt;"","https://api.qrserver.com/v1/create-qr-code/?size=200x200&amp;data="&amp;ENCODEURL("https://www.google.com/maps/search/?api=1&amp;query="&amp;SUBSTITUTE(F157," ","")),"")</f>
        <v/>
      </c>
      <c r="K157" s="8">
        <f>IF(C157&lt;&gt;"",HYPERLINK("https://wa.me/507"&amp;REGEXREPLACE(C157,"[^0-9]","")&amp;"?text="&amp;ENCODEURL("Ya llegue. Codigo: "&amp;A157&amp;". Ubicacion: "&amp;"https://www.google.com/maps/search/?api=1&amp;query="&amp;SUBSTITUTE(F157," ","")),"📲 Avisar al cliente"),"")</f>
        <v/>
      </c>
      <c r="L157" s="8">
        <f>IF(C157&lt;&gt;"","https://api.qrserver.com/v1/create-qr-code/?size=200x200&amp;data="&amp;ENCODEURL("https://wa.me/507"&amp;REGEXREPLACE(C157,"[^0-9]","")&amp;"?text="&amp;ENCODEURL("Ya llegue. Codigo: "&amp;A157&amp;". Ubicacion: "&amp;"https://www.google.com/maps/search/?api=1&amp;query="&amp;SUBSTITUTE(F157," ",""))),"")</f>
        <v/>
      </c>
      <c r="M157" s="8">
        <f>IF(B157&lt;&gt;"",TODAY(),"")</f>
        <v/>
      </c>
      <c r="N157" s="8">
        <f>IF(F157&lt;&gt;"",IFERROR(IF(AND(REGEXMATCH(SUBSTITUTE(TRIM(F157)," ",""),"^-?\d+(\.\d+)?,-?\d+(\.\d+)?$"),VALUE(REGEXEXTRACT(SUBSTITUTE(TRIM(F157)," ",""),"^-?\d+(\.\d+)?"))&gt;=-90,VALUE(REGEXEXTRACT(SUBSTITUTE(TRIM(F157)," ",""),"^-?\d+(\.\d+)?"))&lt;=90,VALUE(REGEXEXTRACT(SUBSTITUTE(TRIM(F157)," ",""),"-?\d+(\.\d+)?$"))&gt;=-180,VALUE(REGEXEXTRACT(SUBSTITUTE(TRIM(F157)," ",""),"-?\d+(\.\d+)?$"))&lt;=180),"OK","REVISAR"),"REVISAR"),"")</f>
        <v/>
      </c>
      <c r="O157">
        <f>IF(A157&lt;&gt;"","https://direcciones507.github.io/direcciones507/panel.html?codigo="&amp;A157&amp;"&amp;nombre="&amp;ENCODEURL(B157)&amp;"&amp;telefono="&amp;SUBSTITUTE(C157,"-","")&amp;"&amp;referencia="&amp;ENCODEURL(E157)&amp;"&amp;lat="&amp;IZQUIERDA(SUBSTITUTE(F157," ",""),ENCONTRAR(",",SUBSTITUTE(F157," ",""))-1)&amp;"&amp;lng="&amp;DERECHA(SUBSTITUTE(F157," ",""),LARGO(SUBSTITUTE(F157," ",""))-ENCONTRAR(",",SUBSTITUTE(F157," ",""))),"")</f>
        <v/>
      </c>
    </row>
    <row r="158" ht="15.75" customHeight="1" s="10">
      <c r="A158" s="8">
        <f>CONCAT("AD507-",TEXT(ROW()-2,"0000"))</f>
        <v/>
      </c>
      <c r="C158" s="8" t="n"/>
      <c r="F158" s="8" t="n"/>
      <c r="G158" s="8">
        <f>IF(F158&lt;&gt;"",HYPERLINK("https://www.google.com/maps/search/?api=1&amp;query="&amp;SUBSTITUTE(F158," ",""),"🗺 Google Maps"),"")</f>
        <v/>
      </c>
      <c r="H158" s="8">
        <f>IF(F158&lt;&gt;"",HYPERLINK("https://waze.com/ul?ll="&amp;SUBSTITUTE(F158," ","")&amp;"&amp;navigate=yes","🚗 Waze"),"")</f>
        <v/>
      </c>
      <c r="I158" s="8">
        <f>IF(F158&lt;&gt;"",HYPERLINK("https://m.uber.com/ul/?action=setPickup&amp;pickup=my_location&amp;dropoff[latitude]="&amp;LEFT(SUBSTITUTE(F158," ",""),FIND(",",SUBSTITUTE(F158," ",""))-1)&amp;"&amp;dropoff[longitude]="&amp;MID(SUBSTITUTE(F158," ",""),FIND(",",SUBSTITUTE(F158," ",""))+1,99),"🚕 Uber"),"")</f>
        <v/>
      </c>
      <c r="J158" s="8">
        <f>IF(F158&lt;&gt;"","https://api.qrserver.com/v1/create-qr-code/?size=200x200&amp;data="&amp;ENCODEURL("https://www.google.com/maps/search/?api=1&amp;query="&amp;SUBSTITUTE(F158," ","")),"")</f>
        <v/>
      </c>
      <c r="K158" s="8">
        <f>IF(C158&lt;&gt;"",HYPERLINK("https://wa.me/507"&amp;REGEXREPLACE(C158,"[^0-9]","")&amp;"?text="&amp;ENCODEURL("Ya llegue. Codigo: "&amp;A158&amp;". Ubicacion: "&amp;"https://www.google.com/maps/search/?api=1&amp;query="&amp;SUBSTITUTE(F158," ","")),"📲 Avisar al cliente"),"")</f>
        <v/>
      </c>
      <c r="L158" s="8">
        <f>IF(C158&lt;&gt;"","https://api.qrserver.com/v1/create-qr-code/?size=200x200&amp;data="&amp;ENCODEURL("https://wa.me/507"&amp;REGEXREPLACE(C158,"[^0-9]","")&amp;"?text="&amp;ENCODEURL("Ya llegue. Codigo: "&amp;A158&amp;". Ubicacion: "&amp;"https://www.google.com/maps/search/?api=1&amp;query="&amp;SUBSTITUTE(F158," ",""))),"")</f>
        <v/>
      </c>
      <c r="M158" s="8">
        <f>IF(B158&lt;&gt;"",TODAY(),"")</f>
        <v/>
      </c>
      <c r="N158" s="8">
        <f>IF(F158&lt;&gt;"",IFERROR(IF(AND(REGEXMATCH(SUBSTITUTE(TRIM(F158)," ",""),"^-?\d+(\.\d+)?,-?\d+(\.\d+)?$"),VALUE(REGEXEXTRACT(SUBSTITUTE(TRIM(F158)," ",""),"^-?\d+(\.\d+)?"))&gt;=-90,VALUE(REGEXEXTRACT(SUBSTITUTE(TRIM(F158)," ",""),"^-?\d+(\.\d+)?"))&lt;=90,VALUE(REGEXEXTRACT(SUBSTITUTE(TRIM(F158)," ",""),"-?\d+(\.\d+)?$"))&gt;=-180,VALUE(REGEXEXTRACT(SUBSTITUTE(TRIM(F158)," ",""),"-?\d+(\.\d+)?$"))&lt;=180),"OK","REVISAR"),"REVISAR"),"")</f>
        <v/>
      </c>
      <c r="O158">
        <f>IF(A158&lt;&gt;"","https://direcciones507.github.io/direcciones507/panel.html?codigo="&amp;A158&amp;"&amp;nombre="&amp;ENCODEURL(B158)&amp;"&amp;telefono="&amp;SUBSTITUTE(C158,"-","")&amp;"&amp;referencia="&amp;ENCODEURL(E158)&amp;"&amp;lat="&amp;IZQUIERDA(SUBSTITUTE(F158," ",""),ENCONTRAR(",",SUBSTITUTE(F158," ",""))-1)&amp;"&amp;lng="&amp;DERECHA(SUBSTITUTE(F158," ",""),LARGO(SUBSTITUTE(F158," ",""))-ENCONTRAR(",",SUBSTITUTE(F158," ",""))),"")</f>
        <v/>
      </c>
    </row>
    <row r="159" ht="15.75" customHeight="1" s="10">
      <c r="A159" s="8">
        <f>CONCAT("AD507-",TEXT(ROW()-2,"0000"))</f>
        <v/>
      </c>
      <c r="C159" s="8" t="n"/>
      <c r="F159" s="8" t="n"/>
      <c r="G159" s="8">
        <f>IF(F159&lt;&gt;"",HYPERLINK("https://www.google.com/maps/search/?api=1&amp;query="&amp;SUBSTITUTE(F159," ",""),"🗺 Google Maps"),"")</f>
        <v/>
      </c>
      <c r="H159" s="8">
        <f>IF(F159&lt;&gt;"",HYPERLINK("https://waze.com/ul?ll="&amp;SUBSTITUTE(F159," ","")&amp;"&amp;navigate=yes","🚗 Waze"),"")</f>
        <v/>
      </c>
      <c r="I159" s="8">
        <f>IF(F159&lt;&gt;"",HYPERLINK("https://m.uber.com/ul/?action=setPickup&amp;pickup=my_location&amp;dropoff[latitude]="&amp;LEFT(SUBSTITUTE(F159," ",""),FIND(",",SUBSTITUTE(F159," ",""))-1)&amp;"&amp;dropoff[longitude]="&amp;MID(SUBSTITUTE(F159," ",""),FIND(",",SUBSTITUTE(F159," ",""))+1,99),"🚕 Uber"),"")</f>
        <v/>
      </c>
      <c r="J159" s="8">
        <f>IF(F159&lt;&gt;"","https://api.qrserver.com/v1/create-qr-code/?size=200x200&amp;data="&amp;ENCODEURL("https://www.google.com/maps/search/?api=1&amp;query="&amp;SUBSTITUTE(F159," ","")),"")</f>
        <v/>
      </c>
      <c r="K159" s="8">
        <f>IF(C159&lt;&gt;"",HYPERLINK("https://wa.me/507"&amp;REGEXREPLACE(C159,"[^0-9]","")&amp;"?text="&amp;ENCODEURL("Ya llegue. Codigo: "&amp;A159&amp;". Ubicacion: "&amp;"https://www.google.com/maps/search/?api=1&amp;query="&amp;SUBSTITUTE(F159," ","")),"📲 Avisar al cliente"),"")</f>
        <v/>
      </c>
      <c r="L159" s="8">
        <f>IF(C159&lt;&gt;"","https://api.qrserver.com/v1/create-qr-code/?size=200x200&amp;data="&amp;ENCODEURL("https://wa.me/507"&amp;REGEXREPLACE(C159,"[^0-9]","")&amp;"?text="&amp;ENCODEURL("Ya llegue. Codigo: "&amp;A159&amp;". Ubicacion: "&amp;"https://www.google.com/maps/search/?api=1&amp;query="&amp;SUBSTITUTE(F159," ",""))),"")</f>
        <v/>
      </c>
      <c r="M159" s="8">
        <f>IF(B159&lt;&gt;"",TODAY(),"")</f>
        <v/>
      </c>
      <c r="N159" s="8">
        <f>IF(F159&lt;&gt;"",IFERROR(IF(AND(REGEXMATCH(SUBSTITUTE(TRIM(F159)," ",""),"^-?\d+(\.\d+)?,-?\d+(\.\d+)?$"),VALUE(REGEXEXTRACT(SUBSTITUTE(TRIM(F159)," ",""),"^-?\d+(\.\d+)?"))&gt;=-90,VALUE(REGEXEXTRACT(SUBSTITUTE(TRIM(F159)," ",""),"^-?\d+(\.\d+)?"))&lt;=90,VALUE(REGEXEXTRACT(SUBSTITUTE(TRIM(F159)," ",""),"-?\d+(\.\d+)?$"))&gt;=-180,VALUE(REGEXEXTRACT(SUBSTITUTE(TRIM(F159)," ",""),"-?\d+(\.\d+)?$"))&lt;=180),"OK","REVISAR"),"REVISAR"),"")</f>
        <v/>
      </c>
      <c r="O159">
        <f>IF(A159&lt;&gt;"","https://direcciones507.github.io/direcciones507/panel.html?codigo="&amp;A159&amp;"&amp;nombre="&amp;ENCODEURL(B159)&amp;"&amp;telefono="&amp;SUBSTITUTE(C159,"-","")&amp;"&amp;referencia="&amp;ENCODEURL(E159)&amp;"&amp;lat="&amp;IZQUIERDA(SUBSTITUTE(F159," ",""),ENCONTRAR(",",SUBSTITUTE(F159," ",""))-1)&amp;"&amp;lng="&amp;DERECHA(SUBSTITUTE(F159," ",""),LARGO(SUBSTITUTE(F159," ",""))-ENCONTRAR(",",SUBSTITUTE(F159," ",""))),"")</f>
        <v/>
      </c>
    </row>
    <row r="160" ht="15.75" customHeight="1" s="10">
      <c r="A160" s="8">
        <f>CONCAT("AD507-",TEXT(ROW()-2,"0000"))</f>
        <v/>
      </c>
      <c r="C160" s="8" t="n"/>
      <c r="F160" s="8" t="n"/>
      <c r="G160" s="8">
        <f>IF(F160&lt;&gt;"",HYPERLINK("https://www.google.com/maps/search/?api=1&amp;query="&amp;SUBSTITUTE(F160," ",""),"🗺 Google Maps"),"")</f>
        <v/>
      </c>
      <c r="H160" s="8">
        <f>IF(F160&lt;&gt;"",HYPERLINK("https://waze.com/ul?ll="&amp;SUBSTITUTE(F160," ","")&amp;"&amp;navigate=yes","🚗 Waze"),"")</f>
        <v/>
      </c>
      <c r="I160" s="8">
        <f>IF(F160&lt;&gt;"",HYPERLINK("https://m.uber.com/ul/?action=setPickup&amp;pickup=my_location&amp;dropoff[latitude]="&amp;LEFT(SUBSTITUTE(F160," ",""),FIND(",",SUBSTITUTE(F160," ",""))-1)&amp;"&amp;dropoff[longitude]="&amp;MID(SUBSTITUTE(F160," ",""),FIND(",",SUBSTITUTE(F160," ",""))+1,99),"🚕 Uber"),"")</f>
        <v/>
      </c>
      <c r="J160" s="8">
        <f>IF(F160&lt;&gt;"","https://api.qrserver.com/v1/create-qr-code/?size=200x200&amp;data="&amp;ENCODEURL("https://www.google.com/maps/search/?api=1&amp;query="&amp;SUBSTITUTE(F160," ","")),"")</f>
        <v/>
      </c>
      <c r="K160" s="8">
        <f>IF(C160&lt;&gt;"",HYPERLINK("https://wa.me/507"&amp;REGEXREPLACE(C160,"[^0-9]","")&amp;"?text="&amp;ENCODEURL("Ya llegue. Codigo: "&amp;A160&amp;". Ubicacion: "&amp;"https://www.google.com/maps/search/?api=1&amp;query="&amp;SUBSTITUTE(F160," ","")),"📲 Avisar al cliente"),"")</f>
        <v/>
      </c>
      <c r="L160" s="8">
        <f>IF(C160&lt;&gt;"","https://api.qrserver.com/v1/create-qr-code/?size=200x200&amp;data="&amp;ENCODEURL("https://wa.me/507"&amp;REGEXREPLACE(C160,"[^0-9]","")&amp;"?text="&amp;ENCODEURL("Ya llegue. Codigo: "&amp;A160&amp;". Ubicacion: "&amp;"https://www.google.com/maps/search/?api=1&amp;query="&amp;SUBSTITUTE(F160," ",""))),"")</f>
        <v/>
      </c>
      <c r="M160" s="8">
        <f>IF(B160&lt;&gt;"",TODAY(),"")</f>
        <v/>
      </c>
      <c r="N160" s="8">
        <f>IF(F160&lt;&gt;"",IFERROR(IF(AND(REGEXMATCH(SUBSTITUTE(TRIM(F160)," ",""),"^-?\d+(\.\d+)?,-?\d+(\.\d+)?$"),VALUE(REGEXEXTRACT(SUBSTITUTE(TRIM(F160)," ",""),"^-?\d+(\.\d+)?"))&gt;=-90,VALUE(REGEXEXTRACT(SUBSTITUTE(TRIM(F160)," ",""),"^-?\d+(\.\d+)?"))&lt;=90,VALUE(REGEXEXTRACT(SUBSTITUTE(TRIM(F160)," ",""),"-?\d+(\.\d+)?$"))&gt;=-180,VALUE(REGEXEXTRACT(SUBSTITUTE(TRIM(F160)," ",""),"-?\d+(\.\d+)?$"))&lt;=180),"OK","REVISAR"),"REVISAR"),"")</f>
        <v/>
      </c>
      <c r="O160">
        <f>IF(A160&lt;&gt;"","https://direcciones507.github.io/direcciones507/panel.html?codigo="&amp;A160&amp;"&amp;nombre="&amp;ENCODEURL(B160)&amp;"&amp;telefono="&amp;SUBSTITUTE(C160,"-","")&amp;"&amp;referencia="&amp;ENCODEURL(E160)&amp;"&amp;lat="&amp;IZQUIERDA(SUBSTITUTE(F160," ",""),ENCONTRAR(",",SUBSTITUTE(F160," ",""))-1)&amp;"&amp;lng="&amp;DERECHA(SUBSTITUTE(F160," ",""),LARGO(SUBSTITUTE(F160," ",""))-ENCONTRAR(",",SUBSTITUTE(F160," ",""))),"")</f>
        <v/>
      </c>
    </row>
    <row r="161" ht="15.75" customHeight="1" s="10">
      <c r="A161" s="8">
        <f>CONCAT("AD507-",TEXT(ROW()-2,"0000"))</f>
        <v/>
      </c>
      <c r="C161" s="8" t="n"/>
      <c r="F161" s="8" t="n"/>
      <c r="G161" s="8">
        <f>IF(F161&lt;&gt;"",HYPERLINK("https://www.google.com/maps/search/?api=1&amp;query="&amp;SUBSTITUTE(F161," ",""),"🗺 Google Maps"),"")</f>
        <v/>
      </c>
      <c r="H161" s="8">
        <f>IF(F161&lt;&gt;"",HYPERLINK("https://waze.com/ul?ll="&amp;SUBSTITUTE(F161," ","")&amp;"&amp;navigate=yes","🚗 Waze"),"")</f>
        <v/>
      </c>
      <c r="I161" s="8">
        <f>IF(F161&lt;&gt;"",HYPERLINK("https://m.uber.com/ul/?action=setPickup&amp;pickup=my_location&amp;dropoff[latitude]="&amp;LEFT(SUBSTITUTE(F161," ",""),FIND(",",SUBSTITUTE(F161," ",""))-1)&amp;"&amp;dropoff[longitude]="&amp;MID(SUBSTITUTE(F161," ",""),FIND(",",SUBSTITUTE(F161," ",""))+1,99),"🚕 Uber"),"")</f>
        <v/>
      </c>
      <c r="J161" s="8">
        <f>IF(F161&lt;&gt;"","https://api.qrserver.com/v1/create-qr-code/?size=200x200&amp;data="&amp;ENCODEURL("https://www.google.com/maps/search/?api=1&amp;query="&amp;SUBSTITUTE(F161," ","")),"")</f>
        <v/>
      </c>
      <c r="K161" s="8">
        <f>IF(C161&lt;&gt;"",HYPERLINK("https://wa.me/507"&amp;REGEXREPLACE(C161,"[^0-9]","")&amp;"?text="&amp;ENCODEURL("Ya llegue. Codigo: "&amp;A161&amp;". Ubicacion: "&amp;"https://www.google.com/maps/search/?api=1&amp;query="&amp;SUBSTITUTE(F161," ","")),"📲 Avisar al cliente"),"")</f>
        <v/>
      </c>
      <c r="L161" s="8">
        <f>IF(C161&lt;&gt;"","https://api.qrserver.com/v1/create-qr-code/?size=200x200&amp;data="&amp;ENCODEURL("https://wa.me/507"&amp;REGEXREPLACE(C161,"[^0-9]","")&amp;"?text="&amp;ENCODEURL("Ya llegue. Codigo: "&amp;A161&amp;". Ubicacion: "&amp;"https://www.google.com/maps/search/?api=1&amp;query="&amp;SUBSTITUTE(F161," ",""))),"")</f>
        <v/>
      </c>
      <c r="M161" s="8">
        <f>IF(B161&lt;&gt;"",TODAY(),"")</f>
        <v/>
      </c>
      <c r="N161" s="8">
        <f>IF(F161&lt;&gt;"",IFERROR(IF(AND(REGEXMATCH(SUBSTITUTE(TRIM(F161)," ",""),"^-?\d+(\.\d+)?,-?\d+(\.\d+)?$"),VALUE(REGEXEXTRACT(SUBSTITUTE(TRIM(F161)," ",""),"^-?\d+(\.\d+)?"))&gt;=-90,VALUE(REGEXEXTRACT(SUBSTITUTE(TRIM(F161)," ",""),"^-?\d+(\.\d+)?"))&lt;=90,VALUE(REGEXEXTRACT(SUBSTITUTE(TRIM(F161)," ",""),"-?\d+(\.\d+)?$"))&gt;=-180,VALUE(REGEXEXTRACT(SUBSTITUTE(TRIM(F161)," ",""),"-?\d+(\.\d+)?$"))&lt;=180),"OK","REVISAR"),"REVISAR"),"")</f>
        <v/>
      </c>
      <c r="O161">
        <f>IF(A161&lt;&gt;"","https://direcciones507.github.io/direcciones507/panel.html?codigo="&amp;A161&amp;"&amp;nombre="&amp;ENCODEURL(B161)&amp;"&amp;telefono="&amp;SUBSTITUTE(C161,"-","")&amp;"&amp;referencia="&amp;ENCODEURL(E161)&amp;"&amp;lat="&amp;IZQUIERDA(SUBSTITUTE(F161," ",""),ENCONTRAR(",",SUBSTITUTE(F161," ",""))-1)&amp;"&amp;lng="&amp;DERECHA(SUBSTITUTE(F161," ",""),LARGO(SUBSTITUTE(F161," ",""))-ENCONTRAR(",",SUBSTITUTE(F161," ",""))),"")</f>
        <v/>
      </c>
    </row>
    <row r="162" ht="15.75" customHeight="1" s="10">
      <c r="A162" s="8">
        <f>CONCAT("AD507-",TEXT(ROW()-2,"0000"))</f>
        <v/>
      </c>
      <c r="C162" s="8" t="n"/>
      <c r="F162" s="8" t="n"/>
      <c r="G162" s="8">
        <f>IF(F162&lt;&gt;"",HYPERLINK("https://www.google.com/maps/search/?api=1&amp;query="&amp;SUBSTITUTE(F162," ",""),"🗺 Google Maps"),"")</f>
        <v/>
      </c>
      <c r="H162" s="8">
        <f>IF(F162&lt;&gt;"",HYPERLINK("https://waze.com/ul?ll="&amp;SUBSTITUTE(F162," ","")&amp;"&amp;navigate=yes","🚗 Waze"),"")</f>
        <v/>
      </c>
      <c r="I162" s="8">
        <f>IF(F162&lt;&gt;"",HYPERLINK("https://m.uber.com/ul/?action=setPickup&amp;pickup=my_location&amp;dropoff[latitude]="&amp;LEFT(SUBSTITUTE(F162," ",""),FIND(",",SUBSTITUTE(F162," ",""))-1)&amp;"&amp;dropoff[longitude]="&amp;MID(SUBSTITUTE(F162," ",""),FIND(",",SUBSTITUTE(F162," ",""))+1,99),"🚕 Uber"),"")</f>
        <v/>
      </c>
      <c r="J162" s="8">
        <f>IF(F162&lt;&gt;"","https://api.qrserver.com/v1/create-qr-code/?size=200x200&amp;data="&amp;ENCODEURL("https://www.google.com/maps/search/?api=1&amp;query="&amp;SUBSTITUTE(F162," ","")),"")</f>
        <v/>
      </c>
      <c r="K162" s="8">
        <f>IF(C162&lt;&gt;"",HYPERLINK("https://wa.me/507"&amp;REGEXREPLACE(C162,"[^0-9]","")&amp;"?text="&amp;ENCODEURL("Ya llegue. Codigo: "&amp;A162&amp;". Ubicacion: "&amp;"https://www.google.com/maps/search/?api=1&amp;query="&amp;SUBSTITUTE(F162," ","")),"📲 Avisar al cliente"),"")</f>
        <v/>
      </c>
      <c r="L162" s="8">
        <f>IF(C162&lt;&gt;"","https://api.qrserver.com/v1/create-qr-code/?size=200x200&amp;data="&amp;ENCODEURL("https://wa.me/507"&amp;REGEXREPLACE(C162,"[^0-9]","")&amp;"?text="&amp;ENCODEURL("Ya llegue. Codigo: "&amp;A162&amp;". Ubicacion: "&amp;"https://www.google.com/maps/search/?api=1&amp;query="&amp;SUBSTITUTE(F162," ",""))),"")</f>
        <v/>
      </c>
      <c r="M162" s="8">
        <f>IF(B162&lt;&gt;"",TODAY(),"")</f>
        <v/>
      </c>
      <c r="N162" s="8">
        <f>IF(F162&lt;&gt;"",IFERROR(IF(AND(REGEXMATCH(SUBSTITUTE(TRIM(F162)," ",""),"^-?\d+(\.\d+)?,-?\d+(\.\d+)?$"),VALUE(REGEXEXTRACT(SUBSTITUTE(TRIM(F162)," ",""),"^-?\d+(\.\d+)?"))&gt;=-90,VALUE(REGEXEXTRACT(SUBSTITUTE(TRIM(F162)," ",""),"^-?\d+(\.\d+)?"))&lt;=90,VALUE(REGEXEXTRACT(SUBSTITUTE(TRIM(F162)," ",""),"-?\d+(\.\d+)?$"))&gt;=-180,VALUE(REGEXEXTRACT(SUBSTITUTE(TRIM(F162)," ",""),"-?\d+(\.\d+)?$"))&lt;=180),"OK","REVISAR"),"REVISAR"),"")</f>
        <v/>
      </c>
      <c r="O162">
        <f>IF(A162&lt;&gt;"","https://direcciones507.github.io/direcciones507/panel.html?codigo="&amp;A162&amp;"&amp;nombre="&amp;ENCODEURL(B162)&amp;"&amp;telefono="&amp;SUBSTITUTE(C162,"-","")&amp;"&amp;referencia="&amp;ENCODEURL(E162)&amp;"&amp;lat="&amp;IZQUIERDA(SUBSTITUTE(F162," ",""),ENCONTRAR(",",SUBSTITUTE(F162," ",""))-1)&amp;"&amp;lng="&amp;DERECHA(SUBSTITUTE(F162," ",""),LARGO(SUBSTITUTE(F162," ",""))-ENCONTRAR(",",SUBSTITUTE(F162," ",""))),"")</f>
        <v/>
      </c>
    </row>
    <row r="163" ht="15.75" customHeight="1" s="10">
      <c r="A163" s="8">
        <f>CONCAT("AD507-",TEXT(ROW()-2,"0000"))</f>
        <v/>
      </c>
      <c r="C163" s="8" t="n"/>
      <c r="F163" s="8" t="n"/>
      <c r="G163" s="8">
        <f>IF(F163&lt;&gt;"",HYPERLINK("https://www.google.com/maps/search/?api=1&amp;query="&amp;SUBSTITUTE(F163," ",""),"🗺 Google Maps"),"")</f>
        <v/>
      </c>
      <c r="H163" s="8">
        <f>IF(F163&lt;&gt;"",HYPERLINK("https://waze.com/ul?ll="&amp;SUBSTITUTE(F163," ","")&amp;"&amp;navigate=yes","🚗 Waze"),"")</f>
        <v/>
      </c>
      <c r="I163" s="8">
        <f>IF(F163&lt;&gt;"",HYPERLINK("https://m.uber.com/ul/?action=setPickup&amp;pickup=my_location&amp;dropoff[latitude]="&amp;LEFT(SUBSTITUTE(F163," ",""),FIND(",",SUBSTITUTE(F163," ",""))-1)&amp;"&amp;dropoff[longitude]="&amp;MID(SUBSTITUTE(F163," ",""),FIND(",",SUBSTITUTE(F163," ",""))+1,99),"🚕 Uber"),"")</f>
        <v/>
      </c>
      <c r="J163" s="8">
        <f>IF(F163&lt;&gt;"","https://api.qrserver.com/v1/create-qr-code/?size=200x200&amp;data="&amp;ENCODEURL("https://www.google.com/maps/search/?api=1&amp;query="&amp;SUBSTITUTE(F163," ","")),"")</f>
        <v/>
      </c>
      <c r="K163" s="8">
        <f>IF(C163&lt;&gt;"",HYPERLINK("https://wa.me/507"&amp;REGEXREPLACE(C163,"[^0-9]","")&amp;"?text="&amp;ENCODEURL("Ya llegue. Codigo: "&amp;A163&amp;". Ubicacion: "&amp;"https://www.google.com/maps/search/?api=1&amp;query="&amp;SUBSTITUTE(F163," ","")),"📲 Avisar al cliente"),"")</f>
        <v/>
      </c>
      <c r="L163" s="8">
        <f>IF(C163&lt;&gt;"","https://api.qrserver.com/v1/create-qr-code/?size=200x200&amp;data="&amp;ENCODEURL("https://wa.me/507"&amp;REGEXREPLACE(C163,"[^0-9]","")&amp;"?text="&amp;ENCODEURL("Ya llegue. Codigo: "&amp;A163&amp;". Ubicacion: "&amp;"https://www.google.com/maps/search/?api=1&amp;query="&amp;SUBSTITUTE(F163," ",""))),"")</f>
        <v/>
      </c>
      <c r="M163" s="8">
        <f>IF(B163&lt;&gt;"",TODAY(),"")</f>
        <v/>
      </c>
      <c r="N163" s="8">
        <f>IF(F163&lt;&gt;"",IFERROR(IF(AND(REGEXMATCH(SUBSTITUTE(TRIM(F163)," ",""),"^-?\d+(\.\d+)?,-?\d+(\.\d+)?$"),VALUE(REGEXEXTRACT(SUBSTITUTE(TRIM(F163)," ",""),"^-?\d+(\.\d+)?"))&gt;=-90,VALUE(REGEXEXTRACT(SUBSTITUTE(TRIM(F163)," ",""),"^-?\d+(\.\d+)?"))&lt;=90,VALUE(REGEXEXTRACT(SUBSTITUTE(TRIM(F163)," ",""),"-?\d+(\.\d+)?$"))&gt;=-180,VALUE(REGEXEXTRACT(SUBSTITUTE(TRIM(F163)," ",""),"-?\d+(\.\d+)?$"))&lt;=180),"OK","REVISAR"),"REVISAR"),"")</f>
        <v/>
      </c>
      <c r="O163">
        <f>IF(A163&lt;&gt;"","https://direcciones507.github.io/direcciones507/panel.html?codigo="&amp;A163&amp;"&amp;nombre="&amp;ENCODEURL(B163)&amp;"&amp;telefono="&amp;SUBSTITUTE(C163,"-","")&amp;"&amp;referencia="&amp;ENCODEURL(E163)&amp;"&amp;lat="&amp;IZQUIERDA(SUBSTITUTE(F163," ",""),ENCONTRAR(",",SUBSTITUTE(F163," ",""))-1)&amp;"&amp;lng="&amp;DERECHA(SUBSTITUTE(F163," ",""),LARGO(SUBSTITUTE(F163," ",""))-ENCONTRAR(",",SUBSTITUTE(F163," ",""))),"")</f>
        <v/>
      </c>
    </row>
    <row r="164" ht="15.75" customHeight="1" s="10">
      <c r="A164" s="8">
        <f>CONCAT("AD507-",TEXT(ROW()-2,"0000"))</f>
        <v/>
      </c>
      <c r="C164" s="8" t="n"/>
      <c r="F164" s="8" t="n"/>
      <c r="G164" s="8">
        <f>IF(F164&lt;&gt;"",HYPERLINK("https://www.google.com/maps/search/?api=1&amp;query="&amp;SUBSTITUTE(F164," ",""),"🗺 Google Maps"),"")</f>
        <v/>
      </c>
      <c r="H164" s="8">
        <f>IF(F164&lt;&gt;"",HYPERLINK("https://waze.com/ul?ll="&amp;SUBSTITUTE(F164," ","")&amp;"&amp;navigate=yes","🚗 Waze"),"")</f>
        <v/>
      </c>
      <c r="I164" s="8">
        <f>IF(F164&lt;&gt;"",HYPERLINK("https://m.uber.com/ul/?action=setPickup&amp;pickup=my_location&amp;dropoff[latitude]="&amp;LEFT(SUBSTITUTE(F164," ",""),FIND(",",SUBSTITUTE(F164," ",""))-1)&amp;"&amp;dropoff[longitude]="&amp;MID(SUBSTITUTE(F164," ",""),FIND(",",SUBSTITUTE(F164," ",""))+1,99),"🚕 Uber"),"")</f>
        <v/>
      </c>
      <c r="J164" s="8">
        <f>IF(F164&lt;&gt;"","https://api.qrserver.com/v1/create-qr-code/?size=200x200&amp;data="&amp;ENCODEURL("https://www.google.com/maps/search/?api=1&amp;query="&amp;SUBSTITUTE(F164," ","")),"")</f>
        <v/>
      </c>
      <c r="K164" s="8">
        <f>IF(C164&lt;&gt;"",HYPERLINK("https://wa.me/507"&amp;REGEXREPLACE(C164,"[^0-9]","")&amp;"?text="&amp;ENCODEURL("Ya llegue. Codigo: "&amp;A164&amp;". Ubicacion: "&amp;"https://www.google.com/maps/search/?api=1&amp;query="&amp;SUBSTITUTE(F164," ","")),"📲 Avisar al cliente"),"")</f>
        <v/>
      </c>
      <c r="L164" s="8">
        <f>IF(C164&lt;&gt;"","https://api.qrserver.com/v1/create-qr-code/?size=200x200&amp;data="&amp;ENCODEURL("https://wa.me/507"&amp;REGEXREPLACE(C164,"[^0-9]","")&amp;"?text="&amp;ENCODEURL("Ya llegue. Codigo: "&amp;A164&amp;". Ubicacion: "&amp;"https://www.google.com/maps/search/?api=1&amp;query="&amp;SUBSTITUTE(F164," ",""))),"")</f>
        <v/>
      </c>
      <c r="M164" s="8">
        <f>IF(B164&lt;&gt;"",TODAY(),"")</f>
        <v/>
      </c>
      <c r="N164" s="8">
        <f>IF(F164&lt;&gt;"",IFERROR(IF(AND(REGEXMATCH(SUBSTITUTE(TRIM(F164)," ",""),"^-?\d+(\.\d+)?,-?\d+(\.\d+)?$"),VALUE(REGEXEXTRACT(SUBSTITUTE(TRIM(F164)," ",""),"^-?\d+(\.\d+)?"))&gt;=-90,VALUE(REGEXEXTRACT(SUBSTITUTE(TRIM(F164)," ",""),"^-?\d+(\.\d+)?"))&lt;=90,VALUE(REGEXEXTRACT(SUBSTITUTE(TRIM(F164)," ",""),"-?\d+(\.\d+)?$"))&gt;=-180,VALUE(REGEXEXTRACT(SUBSTITUTE(TRIM(F164)," ",""),"-?\d+(\.\d+)?$"))&lt;=180),"OK","REVISAR"),"REVISAR"),"")</f>
        <v/>
      </c>
      <c r="O164">
        <f>IF(A164&lt;&gt;"","https://direcciones507.github.io/direcciones507/panel.html?codigo="&amp;A164&amp;"&amp;nombre="&amp;ENCODEURL(B164)&amp;"&amp;telefono="&amp;SUBSTITUTE(C164,"-","")&amp;"&amp;referencia="&amp;ENCODEURL(E164)&amp;"&amp;lat="&amp;IZQUIERDA(SUBSTITUTE(F164," ",""),ENCONTRAR(",",SUBSTITUTE(F164," ",""))-1)&amp;"&amp;lng="&amp;DERECHA(SUBSTITUTE(F164," ",""),LARGO(SUBSTITUTE(F164," ",""))-ENCONTRAR(",",SUBSTITUTE(F164," ",""))),"")</f>
        <v/>
      </c>
    </row>
    <row r="165" ht="15.75" customHeight="1" s="10">
      <c r="A165" s="8">
        <f>CONCAT("AD507-",TEXT(ROW()-2,"0000"))</f>
        <v/>
      </c>
      <c r="C165" s="8" t="n"/>
      <c r="F165" s="8" t="n"/>
      <c r="G165" s="8">
        <f>IF(F165&lt;&gt;"",HYPERLINK("https://www.google.com/maps/search/?api=1&amp;query="&amp;SUBSTITUTE(F165," ",""),"🗺 Google Maps"),"")</f>
        <v/>
      </c>
      <c r="H165" s="8">
        <f>IF(F165&lt;&gt;"",HYPERLINK("https://waze.com/ul?ll="&amp;SUBSTITUTE(F165," ","")&amp;"&amp;navigate=yes","🚗 Waze"),"")</f>
        <v/>
      </c>
      <c r="I165" s="8">
        <f>IF(F165&lt;&gt;"",HYPERLINK("https://m.uber.com/ul/?action=setPickup&amp;pickup=my_location&amp;dropoff[latitude]="&amp;LEFT(SUBSTITUTE(F165," ",""),FIND(",",SUBSTITUTE(F165," ",""))-1)&amp;"&amp;dropoff[longitude]="&amp;MID(SUBSTITUTE(F165," ",""),FIND(",",SUBSTITUTE(F165," ",""))+1,99),"🚕 Uber"),"")</f>
        <v/>
      </c>
      <c r="J165" s="8">
        <f>IF(F165&lt;&gt;"","https://api.qrserver.com/v1/create-qr-code/?size=200x200&amp;data="&amp;ENCODEURL("https://www.google.com/maps/search/?api=1&amp;query="&amp;SUBSTITUTE(F165," ","")),"")</f>
        <v/>
      </c>
      <c r="K165" s="8">
        <f>IF(C165&lt;&gt;"",HYPERLINK("https://wa.me/507"&amp;REGEXREPLACE(C165,"[^0-9]","")&amp;"?text="&amp;ENCODEURL("Ya llegue. Codigo: "&amp;A165&amp;". Ubicacion: "&amp;"https://www.google.com/maps/search/?api=1&amp;query="&amp;SUBSTITUTE(F165," ","")),"📲 Avisar al cliente"),"")</f>
        <v/>
      </c>
      <c r="L165" s="8">
        <f>IF(C165&lt;&gt;"","https://api.qrserver.com/v1/create-qr-code/?size=200x200&amp;data="&amp;ENCODEURL("https://wa.me/507"&amp;REGEXREPLACE(C165,"[^0-9]","")&amp;"?text="&amp;ENCODEURL("Ya llegue. Codigo: "&amp;A165&amp;". Ubicacion: "&amp;"https://www.google.com/maps/search/?api=1&amp;query="&amp;SUBSTITUTE(F165," ",""))),"")</f>
        <v/>
      </c>
      <c r="M165" s="8">
        <f>IF(B165&lt;&gt;"",TODAY(),"")</f>
        <v/>
      </c>
      <c r="N165" s="8">
        <f>IF(F165&lt;&gt;"",IFERROR(IF(AND(REGEXMATCH(SUBSTITUTE(TRIM(F165)," ",""),"^-?\d+(\.\d+)?,-?\d+(\.\d+)?$"),VALUE(REGEXEXTRACT(SUBSTITUTE(TRIM(F165)," ",""),"^-?\d+(\.\d+)?"))&gt;=-90,VALUE(REGEXEXTRACT(SUBSTITUTE(TRIM(F165)," ",""),"^-?\d+(\.\d+)?"))&lt;=90,VALUE(REGEXEXTRACT(SUBSTITUTE(TRIM(F165)," ",""),"-?\d+(\.\d+)?$"))&gt;=-180,VALUE(REGEXEXTRACT(SUBSTITUTE(TRIM(F165)," ",""),"-?\d+(\.\d+)?$"))&lt;=180),"OK","REVISAR"),"REVISAR"),"")</f>
        <v/>
      </c>
      <c r="O165">
        <f>IF(A165&lt;&gt;"","https://direcciones507.github.io/direcciones507/panel.html?codigo="&amp;A165&amp;"&amp;nombre="&amp;ENCODEURL(B165)&amp;"&amp;telefono="&amp;SUBSTITUTE(C165,"-","")&amp;"&amp;referencia="&amp;ENCODEURL(E165)&amp;"&amp;lat="&amp;IZQUIERDA(SUBSTITUTE(F165," ",""),ENCONTRAR(",",SUBSTITUTE(F165," ",""))-1)&amp;"&amp;lng="&amp;DERECHA(SUBSTITUTE(F165," ",""),LARGO(SUBSTITUTE(F165," ",""))-ENCONTRAR(",",SUBSTITUTE(F165," ",""))),"")</f>
        <v/>
      </c>
    </row>
    <row r="166" ht="15.75" customHeight="1" s="10">
      <c r="A166" s="8">
        <f>CONCAT("AD507-",TEXT(ROW()-2,"0000"))</f>
        <v/>
      </c>
      <c r="C166" s="8" t="n"/>
      <c r="F166" s="8" t="n"/>
      <c r="G166" s="8">
        <f>IF(F166&lt;&gt;"",HYPERLINK("https://www.google.com/maps/search/?api=1&amp;query="&amp;SUBSTITUTE(F166," ",""),"🗺 Google Maps"),"")</f>
        <v/>
      </c>
      <c r="H166" s="8">
        <f>IF(F166&lt;&gt;"",HYPERLINK("https://waze.com/ul?ll="&amp;SUBSTITUTE(F166," ","")&amp;"&amp;navigate=yes","🚗 Waze"),"")</f>
        <v/>
      </c>
      <c r="I166" s="8">
        <f>IF(F166&lt;&gt;"",HYPERLINK("https://m.uber.com/ul/?action=setPickup&amp;pickup=my_location&amp;dropoff[latitude]="&amp;LEFT(SUBSTITUTE(F166," ",""),FIND(",",SUBSTITUTE(F166," ",""))-1)&amp;"&amp;dropoff[longitude]="&amp;MID(SUBSTITUTE(F166," ",""),FIND(",",SUBSTITUTE(F166," ",""))+1,99),"🚕 Uber"),"")</f>
        <v/>
      </c>
      <c r="J166" s="8">
        <f>IF(F166&lt;&gt;"","https://api.qrserver.com/v1/create-qr-code/?size=200x200&amp;data="&amp;ENCODEURL("https://www.google.com/maps/search/?api=1&amp;query="&amp;SUBSTITUTE(F166," ","")),"")</f>
        <v/>
      </c>
      <c r="K166" s="8">
        <f>IF(C166&lt;&gt;"",HYPERLINK("https://wa.me/507"&amp;REGEXREPLACE(C166,"[^0-9]","")&amp;"?text="&amp;ENCODEURL("Ya llegue. Codigo: "&amp;A166&amp;". Ubicacion: "&amp;"https://www.google.com/maps/search/?api=1&amp;query="&amp;SUBSTITUTE(F166," ","")),"📲 Avisar al cliente"),"")</f>
        <v/>
      </c>
      <c r="L166" s="8">
        <f>IF(C166&lt;&gt;"","https://api.qrserver.com/v1/create-qr-code/?size=200x200&amp;data="&amp;ENCODEURL("https://wa.me/507"&amp;REGEXREPLACE(C166,"[^0-9]","")&amp;"?text="&amp;ENCODEURL("Ya llegue. Codigo: "&amp;A166&amp;". Ubicacion: "&amp;"https://www.google.com/maps/search/?api=1&amp;query="&amp;SUBSTITUTE(F166," ",""))),"")</f>
        <v/>
      </c>
      <c r="M166" s="8">
        <f>IF(B166&lt;&gt;"",TODAY(),"")</f>
        <v/>
      </c>
      <c r="N166" s="8">
        <f>IF(F166&lt;&gt;"",IFERROR(IF(AND(REGEXMATCH(SUBSTITUTE(TRIM(F166)," ",""),"^-?\d+(\.\d+)?,-?\d+(\.\d+)?$"),VALUE(REGEXEXTRACT(SUBSTITUTE(TRIM(F166)," ",""),"^-?\d+(\.\d+)?"))&gt;=-90,VALUE(REGEXEXTRACT(SUBSTITUTE(TRIM(F166)," ",""),"^-?\d+(\.\d+)?"))&lt;=90,VALUE(REGEXEXTRACT(SUBSTITUTE(TRIM(F166)," ",""),"-?\d+(\.\d+)?$"))&gt;=-180,VALUE(REGEXEXTRACT(SUBSTITUTE(TRIM(F166)," ",""),"-?\d+(\.\d+)?$"))&lt;=180),"OK","REVISAR"),"REVISAR"),"")</f>
        <v/>
      </c>
      <c r="O166">
        <f>IF(A166&lt;&gt;"","https://direcciones507.github.io/direcciones507/panel.html?codigo="&amp;A166&amp;"&amp;nombre="&amp;ENCODEURL(B166)&amp;"&amp;telefono="&amp;SUBSTITUTE(C166,"-","")&amp;"&amp;referencia="&amp;ENCODEURL(E166)&amp;"&amp;lat="&amp;IZQUIERDA(SUBSTITUTE(F166," ",""),ENCONTRAR(",",SUBSTITUTE(F166," ",""))-1)&amp;"&amp;lng="&amp;DERECHA(SUBSTITUTE(F166," ",""),LARGO(SUBSTITUTE(F166," ",""))-ENCONTRAR(",",SUBSTITUTE(F166," ",""))),"")</f>
        <v/>
      </c>
    </row>
    <row r="167" ht="15.75" customHeight="1" s="10">
      <c r="A167" s="8">
        <f>CONCAT("AD507-",TEXT(ROW()-2,"0000"))</f>
        <v/>
      </c>
      <c r="C167" s="8" t="n"/>
      <c r="F167" s="8" t="n"/>
      <c r="G167" s="8">
        <f>IF(F167&lt;&gt;"",HYPERLINK("https://www.google.com/maps/search/?api=1&amp;query="&amp;SUBSTITUTE(F167," ",""),"🗺 Google Maps"),"")</f>
        <v/>
      </c>
      <c r="H167" s="8">
        <f>IF(F167&lt;&gt;"",HYPERLINK("https://waze.com/ul?ll="&amp;SUBSTITUTE(F167," ","")&amp;"&amp;navigate=yes","🚗 Waze"),"")</f>
        <v/>
      </c>
      <c r="I167" s="8">
        <f>IF(F167&lt;&gt;"",HYPERLINK("https://m.uber.com/ul/?action=setPickup&amp;pickup=my_location&amp;dropoff[latitude]="&amp;LEFT(SUBSTITUTE(F167," ",""),FIND(",",SUBSTITUTE(F167," ",""))-1)&amp;"&amp;dropoff[longitude]="&amp;MID(SUBSTITUTE(F167," ",""),FIND(",",SUBSTITUTE(F167," ",""))+1,99),"🚕 Uber"),"")</f>
        <v/>
      </c>
      <c r="J167" s="8">
        <f>IF(F167&lt;&gt;"","https://api.qrserver.com/v1/create-qr-code/?size=200x200&amp;data="&amp;ENCODEURL("https://www.google.com/maps/search/?api=1&amp;query="&amp;SUBSTITUTE(F167," ","")),"")</f>
        <v/>
      </c>
      <c r="K167" s="8">
        <f>IF(C167&lt;&gt;"",HYPERLINK("https://wa.me/507"&amp;REGEXREPLACE(C167,"[^0-9]","")&amp;"?text="&amp;ENCODEURL("Ya llegue. Codigo: "&amp;A167&amp;". Ubicacion: "&amp;"https://www.google.com/maps/search/?api=1&amp;query="&amp;SUBSTITUTE(F167," ","")),"📲 Avisar al cliente"),"")</f>
        <v/>
      </c>
      <c r="L167" s="8">
        <f>IF(C167&lt;&gt;"","https://api.qrserver.com/v1/create-qr-code/?size=200x200&amp;data="&amp;ENCODEURL("https://wa.me/507"&amp;REGEXREPLACE(C167,"[^0-9]","")&amp;"?text="&amp;ENCODEURL("Ya llegue. Codigo: "&amp;A167&amp;". Ubicacion: "&amp;"https://www.google.com/maps/search/?api=1&amp;query="&amp;SUBSTITUTE(F167," ",""))),"")</f>
        <v/>
      </c>
      <c r="M167" s="8">
        <f>IF(B167&lt;&gt;"",TODAY(),"")</f>
        <v/>
      </c>
      <c r="N167" s="8">
        <f>IF(F167&lt;&gt;"",IFERROR(IF(AND(REGEXMATCH(SUBSTITUTE(TRIM(F167)," ",""),"^-?\d+(\.\d+)?,-?\d+(\.\d+)?$"),VALUE(REGEXEXTRACT(SUBSTITUTE(TRIM(F167)," ",""),"^-?\d+(\.\d+)?"))&gt;=-90,VALUE(REGEXEXTRACT(SUBSTITUTE(TRIM(F167)," ",""),"^-?\d+(\.\d+)?"))&lt;=90,VALUE(REGEXEXTRACT(SUBSTITUTE(TRIM(F167)," ",""),"-?\d+(\.\d+)?$"))&gt;=-180,VALUE(REGEXEXTRACT(SUBSTITUTE(TRIM(F167)," ",""),"-?\d+(\.\d+)?$"))&lt;=180),"OK","REVISAR"),"REVISAR"),"")</f>
        <v/>
      </c>
      <c r="O167">
        <f>IF(A167&lt;&gt;"","https://direcciones507.github.io/direcciones507/panel.html?codigo="&amp;A167&amp;"&amp;nombre="&amp;ENCODEURL(B167)&amp;"&amp;telefono="&amp;SUBSTITUTE(C167,"-","")&amp;"&amp;referencia="&amp;ENCODEURL(E167)&amp;"&amp;lat="&amp;IZQUIERDA(SUBSTITUTE(F167," ",""),ENCONTRAR(",",SUBSTITUTE(F167," ",""))-1)&amp;"&amp;lng="&amp;DERECHA(SUBSTITUTE(F167," ",""),LARGO(SUBSTITUTE(F167," ",""))-ENCONTRAR(",",SUBSTITUTE(F167," ",""))),"")</f>
        <v/>
      </c>
    </row>
    <row r="168" ht="15.75" customHeight="1" s="10">
      <c r="A168" s="8">
        <f>CONCAT("AD507-",TEXT(ROW()-2,"0000"))</f>
        <v/>
      </c>
      <c r="C168" s="8" t="n"/>
      <c r="F168" s="8" t="n"/>
      <c r="G168" s="8">
        <f>IF(F168&lt;&gt;"",HYPERLINK("https://www.google.com/maps/search/?api=1&amp;query="&amp;SUBSTITUTE(F168," ",""),"🗺 Google Maps"),"")</f>
        <v/>
      </c>
      <c r="H168" s="8">
        <f>IF(F168&lt;&gt;"",HYPERLINK("https://waze.com/ul?ll="&amp;SUBSTITUTE(F168," ","")&amp;"&amp;navigate=yes","🚗 Waze"),"")</f>
        <v/>
      </c>
      <c r="I168" s="8">
        <f>IF(F168&lt;&gt;"",HYPERLINK("https://m.uber.com/ul/?action=setPickup&amp;pickup=my_location&amp;dropoff[latitude]="&amp;LEFT(SUBSTITUTE(F168," ",""),FIND(",",SUBSTITUTE(F168," ",""))-1)&amp;"&amp;dropoff[longitude]="&amp;MID(SUBSTITUTE(F168," ",""),FIND(",",SUBSTITUTE(F168," ",""))+1,99),"🚕 Uber"),"")</f>
        <v/>
      </c>
      <c r="J168" s="8">
        <f>IF(F168&lt;&gt;"","https://api.qrserver.com/v1/create-qr-code/?size=200x200&amp;data="&amp;ENCODEURL("https://www.google.com/maps/search/?api=1&amp;query="&amp;SUBSTITUTE(F168," ","")),"")</f>
        <v/>
      </c>
      <c r="K168" s="8">
        <f>IF(C168&lt;&gt;"",HYPERLINK("https://wa.me/507"&amp;REGEXREPLACE(C168,"[^0-9]","")&amp;"?text="&amp;ENCODEURL("Ya llegue. Codigo: "&amp;A168&amp;". Ubicacion: "&amp;"https://www.google.com/maps/search/?api=1&amp;query="&amp;SUBSTITUTE(F168," ","")),"📲 Avisar al cliente"),"")</f>
        <v/>
      </c>
      <c r="L168" s="8">
        <f>IF(C168&lt;&gt;"","https://api.qrserver.com/v1/create-qr-code/?size=200x200&amp;data="&amp;ENCODEURL("https://wa.me/507"&amp;REGEXREPLACE(C168,"[^0-9]","")&amp;"?text="&amp;ENCODEURL("Ya llegue. Codigo: "&amp;A168&amp;". Ubicacion: "&amp;"https://www.google.com/maps/search/?api=1&amp;query="&amp;SUBSTITUTE(F168," ",""))),"")</f>
        <v/>
      </c>
      <c r="M168" s="8">
        <f>IF(B168&lt;&gt;"",TODAY(),"")</f>
        <v/>
      </c>
      <c r="N168" s="8">
        <f>IF(F168&lt;&gt;"",IFERROR(IF(AND(REGEXMATCH(SUBSTITUTE(TRIM(F168)," ",""),"^-?\d+(\.\d+)?,-?\d+(\.\d+)?$"),VALUE(REGEXEXTRACT(SUBSTITUTE(TRIM(F168)," ",""),"^-?\d+(\.\d+)?"))&gt;=-90,VALUE(REGEXEXTRACT(SUBSTITUTE(TRIM(F168)," ",""),"^-?\d+(\.\d+)?"))&lt;=90,VALUE(REGEXEXTRACT(SUBSTITUTE(TRIM(F168)," ",""),"-?\d+(\.\d+)?$"))&gt;=-180,VALUE(REGEXEXTRACT(SUBSTITUTE(TRIM(F168)," ",""),"-?\d+(\.\d+)?$"))&lt;=180),"OK","REVISAR"),"REVISAR"),"")</f>
        <v/>
      </c>
      <c r="O168">
        <f>IF(A168&lt;&gt;"","https://direcciones507.github.io/direcciones507/panel.html?codigo="&amp;A168&amp;"&amp;nombre="&amp;ENCODEURL(B168)&amp;"&amp;telefono="&amp;SUBSTITUTE(C168,"-","")&amp;"&amp;referencia="&amp;ENCODEURL(E168)&amp;"&amp;lat="&amp;IZQUIERDA(SUBSTITUTE(F168," ",""),ENCONTRAR(",",SUBSTITUTE(F168," ",""))-1)&amp;"&amp;lng="&amp;DERECHA(SUBSTITUTE(F168," ",""),LARGO(SUBSTITUTE(F168," ",""))-ENCONTRAR(",",SUBSTITUTE(F168," ",""))),"")</f>
        <v/>
      </c>
    </row>
    <row r="169" ht="15.75" customHeight="1" s="10">
      <c r="A169" s="8">
        <f>CONCAT("AD507-",TEXT(ROW()-2,"0000"))</f>
        <v/>
      </c>
      <c r="C169" s="8" t="n"/>
      <c r="F169" s="8" t="n"/>
      <c r="G169" s="8">
        <f>IF(F169&lt;&gt;"",HYPERLINK("https://www.google.com/maps/search/?api=1&amp;query="&amp;SUBSTITUTE(F169," ",""),"🗺 Google Maps"),"")</f>
        <v/>
      </c>
      <c r="H169" s="8">
        <f>IF(F169&lt;&gt;"",HYPERLINK("https://waze.com/ul?ll="&amp;SUBSTITUTE(F169," ","")&amp;"&amp;navigate=yes","🚗 Waze"),"")</f>
        <v/>
      </c>
      <c r="I169" s="8">
        <f>IF(F169&lt;&gt;"",HYPERLINK("https://m.uber.com/ul/?action=setPickup&amp;pickup=my_location&amp;dropoff[latitude]="&amp;LEFT(SUBSTITUTE(F169," ",""),FIND(",",SUBSTITUTE(F169," ",""))-1)&amp;"&amp;dropoff[longitude]="&amp;MID(SUBSTITUTE(F169," ",""),FIND(",",SUBSTITUTE(F169," ",""))+1,99),"🚕 Uber"),"")</f>
        <v/>
      </c>
      <c r="J169" s="8">
        <f>IF(F169&lt;&gt;"","https://api.qrserver.com/v1/create-qr-code/?size=200x200&amp;data="&amp;ENCODEURL("https://www.google.com/maps/search/?api=1&amp;query="&amp;SUBSTITUTE(F169," ","")),"")</f>
        <v/>
      </c>
      <c r="K169" s="8">
        <f>IF(C169&lt;&gt;"",HYPERLINK("https://wa.me/507"&amp;REGEXREPLACE(C169,"[^0-9]","")&amp;"?text="&amp;ENCODEURL("Ya llegue. Codigo: "&amp;A169&amp;". Ubicacion: "&amp;"https://www.google.com/maps/search/?api=1&amp;query="&amp;SUBSTITUTE(F169," ","")),"📲 Avisar al cliente"),"")</f>
        <v/>
      </c>
      <c r="L169" s="8">
        <f>IF(C169&lt;&gt;"","https://api.qrserver.com/v1/create-qr-code/?size=200x200&amp;data="&amp;ENCODEURL("https://wa.me/507"&amp;REGEXREPLACE(C169,"[^0-9]","")&amp;"?text="&amp;ENCODEURL("Ya llegue. Codigo: "&amp;A169&amp;". Ubicacion: "&amp;"https://www.google.com/maps/search/?api=1&amp;query="&amp;SUBSTITUTE(F169," ",""))),"")</f>
        <v/>
      </c>
      <c r="M169" s="8">
        <f>IF(B169&lt;&gt;"",TODAY(),"")</f>
        <v/>
      </c>
      <c r="N169" s="8">
        <f>IF(F169&lt;&gt;"",IFERROR(IF(AND(REGEXMATCH(SUBSTITUTE(TRIM(F169)," ",""),"^-?\d+(\.\d+)?,-?\d+(\.\d+)?$"),VALUE(REGEXEXTRACT(SUBSTITUTE(TRIM(F169)," ",""),"^-?\d+(\.\d+)?"))&gt;=-90,VALUE(REGEXEXTRACT(SUBSTITUTE(TRIM(F169)," ",""),"^-?\d+(\.\d+)?"))&lt;=90,VALUE(REGEXEXTRACT(SUBSTITUTE(TRIM(F169)," ",""),"-?\d+(\.\d+)?$"))&gt;=-180,VALUE(REGEXEXTRACT(SUBSTITUTE(TRIM(F169)," ",""),"-?\d+(\.\d+)?$"))&lt;=180),"OK","REVISAR"),"REVISAR"),"")</f>
        <v/>
      </c>
      <c r="O169">
        <f>IF(A169&lt;&gt;"","https://direcciones507.github.io/direcciones507/panel.html?codigo="&amp;A169&amp;"&amp;nombre="&amp;ENCODEURL(B169)&amp;"&amp;telefono="&amp;SUBSTITUTE(C169,"-","")&amp;"&amp;referencia="&amp;ENCODEURL(E169)&amp;"&amp;lat="&amp;IZQUIERDA(SUBSTITUTE(F169," ",""),ENCONTRAR(",",SUBSTITUTE(F169," ",""))-1)&amp;"&amp;lng="&amp;DERECHA(SUBSTITUTE(F169," ",""),LARGO(SUBSTITUTE(F169," ",""))-ENCONTRAR(",",SUBSTITUTE(F169," ",""))),"")</f>
        <v/>
      </c>
    </row>
    <row r="170" ht="15.75" customHeight="1" s="10">
      <c r="A170" s="8">
        <f>CONCAT("AD507-",TEXT(ROW()-2,"0000"))</f>
        <v/>
      </c>
      <c r="C170" s="8" t="n"/>
      <c r="F170" s="8" t="n"/>
      <c r="G170" s="8">
        <f>IF(F170&lt;&gt;"",HYPERLINK("https://www.google.com/maps/search/?api=1&amp;query="&amp;SUBSTITUTE(F170," ",""),"🗺 Google Maps"),"")</f>
        <v/>
      </c>
      <c r="H170" s="8">
        <f>IF(F170&lt;&gt;"",HYPERLINK("https://waze.com/ul?ll="&amp;SUBSTITUTE(F170," ","")&amp;"&amp;navigate=yes","🚗 Waze"),"")</f>
        <v/>
      </c>
      <c r="I170" s="8">
        <f>IF(F170&lt;&gt;"",HYPERLINK("https://m.uber.com/ul/?action=setPickup&amp;pickup=my_location&amp;dropoff[latitude]="&amp;LEFT(SUBSTITUTE(F170," ",""),FIND(",",SUBSTITUTE(F170," ",""))-1)&amp;"&amp;dropoff[longitude]="&amp;MID(SUBSTITUTE(F170," ",""),FIND(",",SUBSTITUTE(F170," ",""))+1,99),"🚕 Uber"),"")</f>
        <v/>
      </c>
      <c r="J170" s="8">
        <f>IF(F170&lt;&gt;"","https://api.qrserver.com/v1/create-qr-code/?size=200x200&amp;data="&amp;ENCODEURL("https://www.google.com/maps/search/?api=1&amp;query="&amp;SUBSTITUTE(F170," ","")),"")</f>
        <v/>
      </c>
      <c r="K170" s="8">
        <f>IF(C170&lt;&gt;"",HYPERLINK("https://wa.me/507"&amp;REGEXREPLACE(C170,"[^0-9]","")&amp;"?text="&amp;ENCODEURL("Ya llegue. Codigo: "&amp;A170&amp;". Ubicacion: "&amp;"https://www.google.com/maps/search/?api=1&amp;query="&amp;SUBSTITUTE(F170," ","")),"📲 Avisar al cliente"),"")</f>
        <v/>
      </c>
      <c r="L170" s="8">
        <f>IF(C170&lt;&gt;"","https://api.qrserver.com/v1/create-qr-code/?size=200x200&amp;data="&amp;ENCODEURL("https://wa.me/507"&amp;REGEXREPLACE(C170,"[^0-9]","")&amp;"?text="&amp;ENCODEURL("Ya llegue. Codigo: "&amp;A170&amp;". Ubicacion: "&amp;"https://www.google.com/maps/search/?api=1&amp;query="&amp;SUBSTITUTE(F170," ",""))),"")</f>
        <v/>
      </c>
      <c r="M170" s="8">
        <f>IF(B170&lt;&gt;"",TODAY(),"")</f>
        <v/>
      </c>
      <c r="N170" s="8">
        <f>IF(F170&lt;&gt;"",IFERROR(IF(AND(REGEXMATCH(SUBSTITUTE(TRIM(F170)," ",""),"^-?\d+(\.\d+)?,-?\d+(\.\d+)?$"),VALUE(REGEXEXTRACT(SUBSTITUTE(TRIM(F170)," ",""),"^-?\d+(\.\d+)?"))&gt;=-90,VALUE(REGEXEXTRACT(SUBSTITUTE(TRIM(F170)," ",""),"^-?\d+(\.\d+)?"))&lt;=90,VALUE(REGEXEXTRACT(SUBSTITUTE(TRIM(F170)," ",""),"-?\d+(\.\d+)?$"))&gt;=-180,VALUE(REGEXEXTRACT(SUBSTITUTE(TRIM(F170)," ",""),"-?\d+(\.\d+)?$"))&lt;=180),"OK","REVISAR"),"REVISAR"),"")</f>
        <v/>
      </c>
      <c r="O170">
        <f>IF(A170&lt;&gt;"","https://direcciones507.github.io/direcciones507/panel.html?codigo="&amp;A170&amp;"&amp;nombre="&amp;ENCODEURL(B170)&amp;"&amp;telefono="&amp;SUBSTITUTE(C170,"-","")&amp;"&amp;referencia="&amp;ENCODEURL(E170)&amp;"&amp;lat="&amp;IZQUIERDA(SUBSTITUTE(F170," ",""),ENCONTRAR(",",SUBSTITUTE(F170," ",""))-1)&amp;"&amp;lng="&amp;DERECHA(SUBSTITUTE(F170," ",""),LARGO(SUBSTITUTE(F170," ",""))-ENCONTRAR(",",SUBSTITUTE(F170," ",""))),"")</f>
        <v/>
      </c>
    </row>
    <row r="171" ht="15.75" customHeight="1" s="10">
      <c r="A171" s="8">
        <f>CONCAT("AD507-",TEXT(ROW()-2,"0000"))</f>
        <v/>
      </c>
      <c r="C171" s="8" t="n"/>
      <c r="F171" s="8" t="n"/>
      <c r="G171" s="8">
        <f>IF(F171&lt;&gt;"",HYPERLINK("https://www.google.com/maps/search/?api=1&amp;query="&amp;SUBSTITUTE(F171," ",""),"🗺 Google Maps"),"")</f>
        <v/>
      </c>
      <c r="H171" s="8">
        <f>IF(F171&lt;&gt;"",HYPERLINK("https://waze.com/ul?ll="&amp;SUBSTITUTE(F171," ","")&amp;"&amp;navigate=yes","🚗 Waze"),"")</f>
        <v/>
      </c>
      <c r="I171" s="8">
        <f>IF(F171&lt;&gt;"",HYPERLINK("https://m.uber.com/ul/?action=setPickup&amp;pickup=my_location&amp;dropoff[latitude]="&amp;LEFT(SUBSTITUTE(F171," ",""),FIND(",",SUBSTITUTE(F171," ",""))-1)&amp;"&amp;dropoff[longitude]="&amp;MID(SUBSTITUTE(F171," ",""),FIND(",",SUBSTITUTE(F171," ",""))+1,99),"🚕 Uber"),"")</f>
        <v/>
      </c>
      <c r="J171" s="8">
        <f>IF(F171&lt;&gt;"","https://api.qrserver.com/v1/create-qr-code/?size=200x200&amp;data="&amp;ENCODEURL("https://www.google.com/maps/search/?api=1&amp;query="&amp;SUBSTITUTE(F171," ","")),"")</f>
        <v/>
      </c>
      <c r="K171" s="8">
        <f>IF(C171&lt;&gt;"",HYPERLINK("https://wa.me/507"&amp;REGEXREPLACE(C171,"[^0-9]","")&amp;"?text="&amp;ENCODEURL("Ya llegue. Codigo: "&amp;A171&amp;". Ubicacion: "&amp;"https://www.google.com/maps/search/?api=1&amp;query="&amp;SUBSTITUTE(F171," ","")),"📲 Avisar al cliente"),"")</f>
        <v/>
      </c>
      <c r="L171" s="8">
        <f>IF(C171&lt;&gt;"","https://api.qrserver.com/v1/create-qr-code/?size=200x200&amp;data="&amp;ENCODEURL("https://wa.me/507"&amp;REGEXREPLACE(C171,"[^0-9]","")&amp;"?text="&amp;ENCODEURL("Ya llegue. Codigo: "&amp;A171&amp;". Ubicacion: "&amp;"https://www.google.com/maps/search/?api=1&amp;query="&amp;SUBSTITUTE(F171," ",""))),"")</f>
        <v/>
      </c>
      <c r="M171" s="8">
        <f>IF(B171&lt;&gt;"",TODAY(),"")</f>
        <v/>
      </c>
      <c r="N171" s="8">
        <f>IF(F171&lt;&gt;"",IFERROR(IF(AND(REGEXMATCH(SUBSTITUTE(TRIM(F171)," ",""),"^-?\d+(\.\d+)?,-?\d+(\.\d+)?$"),VALUE(REGEXEXTRACT(SUBSTITUTE(TRIM(F171)," ",""),"^-?\d+(\.\d+)?"))&gt;=-90,VALUE(REGEXEXTRACT(SUBSTITUTE(TRIM(F171)," ",""),"^-?\d+(\.\d+)?"))&lt;=90,VALUE(REGEXEXTRACT(SUBSTITUTE(TRIM(F171)," ",""),"-?\d+(\.\d+)?$"))&gt;=-180,VALUE(REGEXEXTRACT(SUBSTITUTE(TRIM(F171)," ",""),"-?\d+(\.\d+)?$"))&lt;=180),"OK","REVISAR"),"REVISAR"),"")</f>
        <v/>
      </c>
      <c r="O171">
        <f>IF(A171&lt;&gt;"","https://direcciones507.github.io/direcciones507/panel.html?codigo="&amp;A171&amp;"&amp;nombre="&amp;ENCODEURL(B171)&amp;"&amp;telefono="&amp;SUBSTITUTE(C171,"-","")&amp;"&amp;referencia="&amp;ENCODEURL(E171)&amp;"&amp;lat="&amp;IZQUIERDA(SUBSTITUTE(F171," ",""),ENCONTRAR(",",SUBSTITUTE(F171," ",""))-1)&amp;"&amp;lng="&amp;DERECHA(SUBSTITUTE(F171," ",""),LARGO(SUBSTITUTE(F171," ",""))-ENCONTRAR(",",SUBSTITUTE(F171," ",""))),"")</f>
        <v/>
      </c>
    </row>
    <row r="172" ht="15.75" customHeight="1" s="10">
      <c r="A172" s="8">
        <f>CONCAT("AD507-",TEXT(ROW()-2,"0000"))</f>
        <v/>
      </c>
      <c r="C172" s="8" t="n"/>
      <c r="F172" s="8" t="n"/>
      <c r="G172" s="8">
        <f>IF(F172&lt;&gt;"",HYPERLINK("https://www.google.com/maps/search/?api=1&amp;query="&amp;SUBSTITUTE(F172," ",""),"🗺 Google Maps"),"")</f>
        <v/>
      </c>
      <c r="H172" s="8">
        <f>IF(F172&lt;&gt;"",HYPERLINK("https://waze.com/ul?ll="&amp;SUBSTITUTE(F172," ","")&amp;"&amp;navigate=yes","🚗 Waze"),"")</f>
        <v/>
      </c>
      <c r="I172" s="8">
        <f>IF(F172&lt;&gt;"",HYPERLINK("https://m.uber.com/ul/?action=setPickup&amp;pickup=my_location&amp;dropoff[latitude]="&amp;LEFT(SUBSTITUTE(F172," ",""),FIND(",",SUBSTITUTE(F172," ",""))-1)&amp;"&amp;dropoff[longitude]="&amp;MID(SUBSTITUTE(F172," ",""),FIND(",",SUBSTITUTE(F172," ",""))+1,99),"🚕 Uber"),"")</f>
        <v/>
      </c>
      <c r="J172" s="8">
        <f>IF(F172&lt;&gt;"","https://api.qrserver.com/v1/create-qr-code/?size=200x200&amp;data="&amp;ENCODEURL("https://www.google.com/maps/search/?api=1&amp;query="&amp;SUBSTITUTE(F172," ","")),"")</f>
        <v/>
      </c>
      <c r="K172" s="8">
        <f>IF(C172&lt;&gt;"",HYPERLINK("https://wa.me/507"&amp;REGEXREPLACE(C172,"[^0-9]","")&amp;"?text="&amp;ENCODEURL("Ya llegue. Codigo: "&amp;A172&amp;". Ubicacion: "&amp;"https://www.google.com/maps/search/?api=1&amp;query="&amp;SUBSTITUTE(F172," ","")),"📲 Avisar al cliente"),"")</f>
        <v/>
      </c>
      <c r="L172" s="8">
        <f>IF(C172&lt;&gt;"","https://api.qrserver.com/v1/create-qr-code/?size=200x200&amp;data="&amp;ENCODEURL("https://wa.me/507"&amp;REGEXREPLACE(C172,"[^0-9]","")&amp;"?text="&amp;ENCODEURL("Ya llegue. Codigo: "&amp;A172&amp;". Ubicacion: "&amp;"https://www.google.com/maps/search/?api=1&amp;query="&amp;SUBSTITUTE(F172," ",""))),"")</f>
        <v/>
      </c>
      <c r="M172" s="8">
        <f>IF(B172&lt;&gt;"",TODAY(),"")</f>
        <v/>
      </c>
      <c r="N172" s="8">
        <f>IF(F172&lt;&gt;"",IFERROR(IF(AND(REGEXMATCH(SUBSTITUTE(TRIM(F172)," ",""),"^-?\d+(\.\d+)?,-?\d+(\.\d+)?$"),VALUE(REGEXEXTRACT(SUBSTITUTE(TRIM(F172)," ",""),"^-?\d+(\.\d+)?"))&gt;=-90,VALUE(REGEXEXTRACT(SUBSTITUTE(TRIM(F172)," ",""),"^-?\d+(\.\d+)?"))&lt;=90,VALUE(REGEXEXTRACT(SUBSTITUTE(TRIM(F172)," ",""),"-?\d+(\.\d+)?$"))&gt;=-180,VALUE(REGEXEXTRACT(SUBSTITUTE(TRIM(F172)," ",""),"-?\d+(\.\d+)?$"))&lt;=180),"OK","REVISAR"),"REVISAR"),"")</f>
        <v/>
      </c>
      <c r="O172">
        <f>IF(A172&lt;&gt;"","https://direcciones507.github.io/direcciones507/panel.html?codigo="&amp;A172&amp;"&amp;nombre="&amp;ENCODEURL(B172)&amp;"&amp;telefono="&amp;SUBSTITUTE(C172,"-","")&amp;"&amp;referencia="&amp;ENCODEURL(E172)&amp;"&amp;lat="&amp;IZQUIERDA(SUBSTITUTE(F172," ",""),ENCONTRAR(",",SUBSTITUTE(F172," ",""))-1)&amp;"&amp;lng="&amp;DERECHA(SUBSTITUTE(F172," ",""),LARGO(SUBSTITUTE(F172," ",""))-ENCONTRAR(",",SUBSTITUTE(F172," ",""))),"")</f>
        <v/>
      </c>
    </row>
    <row r="173" ht="15.75" customHeight="1" s="10">
      <c r="A173" s="8">
        <f>CONCAT("AD507-",TEXT(ROW()-2,"0000"))</f>
        <v/>
      </c>
      <c r="C173" s="8" t="n"/>
      <c r="F173" s="8" t="n"/>
      <c r="G173" s="8">
        <f>IF(F173&lt;&gt;"",HYPERLINK("https://www.google.com/maps/search/?api=1&amp;query="&amp;SUBSTITUTE(F173," ",""),"🗺 Google Maps"),"")</f>
        <v/>
      </c>
      <c r="H173" s="8">
        <f>IF(F173&lt;&gt;"",HYPERLINK("https://waze.com/ul?ll="&amp;SUBSTITUTE(F173," ","")&amp;"&amp;navigate=yes","🚗 Waze"),"")</f>
        <v/>
      </c>
      <c r="I173" s="8">
        <f>IF(F173&lt;&gt;"",HYPERLINK("https://m.uber.com/ul/?action=setPickup&amp;pickup=my_location&amp;dropoff[latitude]="&amp;LEFT(SUBSTITUTE(F173," ",""),FIND(",",SUBSTITUTE(F173," ",""))-1)&amp;"&amp;dropoff[longitude]="&amp;MID(SUBSTITUTE(F173," ",""),FIND(",",SUBSTITUTE(F173," ",""))+1,99),"🚕 Uber"),"")</f>
        <v/>
      </c>
      <c r="J173" s="8">
        <f>IF(F173&lt;&gt;"","https://api.qrserver.com/v1/create-qr-code/?size=200x200&amp;data="&amp;ENCODEURL("https://www.google.com/maps/search/?api=1&amp;query="&amp;SUBSTITUTE(F173," ","")),"")</f>
        <v/>
      </c>
      <c r="K173" s="8">
        <f>IF(C173&lt;&gt;"",HYPERLINK("https://wa.me/507"&amp;REGEXREPLACE(C173,"[^0-9]","")&amp;"?text="&amp;ENCODEURL("Ya llegue. Codigo: "&amp;A173&amp;". Ubicacion: "&amp;"https://www.google.com/maps/search/?api=1&amp;query="&amp;SUBSTITUTE(F173," ","")),"📲 Avisar al cliente"),"")</f>
        <v/>
      </c>
      <c r="L173" s="8">
        <f>IF(C173&lt;&gt;"","https://api.qrserver.com/v1/create-qr-code/?size=200x200&amp;data="&amp;ENCODEURL("https://wa.me/507"&amp;REGEXREPLACE(C173,"[^0-9]","")&amp;"?text="&amp;ENCODEURL("Ya llegue. Codigo: "&amp;A173&amp;". Ubicacion: "&amp;"https://www.google.com/maps/search/?api=1&amp;query="&amp;SUBSTITUTE(F173," ",""))),"")</f>
        <v/>
      </c>
      <c r="M173" s="8">
        <f>IF(B173&lt;&gt;"",TODAY(),"")</f>
        <v/>
      </c>
      <c r="N173" s="8">
        <f>IF(F173&lt;&gt;"",IFERROR(IF(AND(REGEXMATCH(SUBSTITUTE(TRIM(F173)," ",""),"^-?\d+(\.\d+)?,-?\d+(\.\d+)?$"),VALUE(REGEXEXTRACT(SUBSTITUTE(TRIM(F173)," ",""),"^-?\d+(\.\d+)?"))&gt;=-90,VALUE(REGEXEXTRACT(SUBSTITUTE(TRIM(F173)," ",""),"^-?\d+(\.\d+)?"))&lt;=90,VALUE(REGEXEXTRACT(SUBSTITUTE(TRIM(F173)," ",""),"-?\d+(\.\d+)?$"))&gt;=-180,VALUE(REGEXEXTRACT(SUBSTITUTE(TRIM(F173)," ",""),"-?\d+(\.\d+)?$"))&lt;=180),"OK","REVISAR"),"REVISAR"),"")</f>
        <v/>
      </c>
      <c r="O173">
        <f>IF(A173&lt;&gt;"","https://direcciones507.github.io/direcciones507/panel.html?codigo="&amp;A173&amp;"&amp;nombre="&amp;ENCODEURL(B173)&amp;"&amp;telefono="&amp;SUBSTITUTE(C173,"-","")&amp;"&amp;referencia="&amp;ENCODEURL(E173)&amp;"&amp;lat="&amp;IZQUIERDA(SUBSTITUTE(F173," ",""),ENCONTRAR(",",SUBSTITUTE(F173," ",""))-1)&amp;"&amp;lng="&amp;DERECHA(SUBSTITUTE(F173," ",""),LARGO(SUBSTITUTE(F173," ",""))-ENCONTRAR(",",SUBSTITUTE(F173," ",""))),"")</f>
        <v/>
      </c>
    </row>
    <row r="174" ht="15.75" customHeight="1" s="10">
      <c r="A174" s="8">
        <f>CONCAT("AD507-",TEXT(ROW()-2,"0000"))</f>
        <v/>
      </c>
      <c r="C174" s="8" t="n"/>
      <c r="F174" s="8" t="n"/>
      <c r="G174" s="8">
        <f>IF(F174&lt;&gt;"",HYPERLINK("https://www.google.com/maps/search/?api=1&amp;query="&amp;SUBSTITUTE(F174," ",""),"🗺 Google Maps"),"")</f>
        <v/>
      </c>
      <c r="H174" s="8">
        <f>IF(F174&lt;&gt;"",HYPERLINK("https://waze.com/ul?ll="&amp;SUBSTITUTE(F174," ","")&amp;"&amp;navigate=yes","🚗 Waze"),"")</f>
        <v/>
      </c>
      <c r="I174" s="8">
        <f>IF(F174&lt;&gt;"",HYPERLINK("https://m.uber.com/ul/?action=setPickup&amp;pickup=my_location&amp;dropoff[latitude]="&amp;LEFT(SUBSTITUTE(F174," ",""),FIND(",",SUBSTITUTE(F174," ",""))-1)&amp;"&amp;dropoff[longitude]="&amp;MID(SUBSTITUTE(F174," ",""),FIND(",",SUBSTITUTE(F174," ",""))+1,99),"🚕 Uber"),"")</f>
        <v/>
      </c>
      <c r="J174" s="8">
        <f>IF(F174&lt;&gt;"","https://api.qrserver.com/v1/create-qr-code/?size=200x200&amp;data="&amp;ENCODEURL("https://www.google.com/maps/search/?api=1&amp;query="&amp;SUBSTITUTE(F174," ","")),"")</f>
        <v/>
      </c>
      <c r="K174" s="8">
        <f>IF(C174&lt;&gt;"",HYPERLINK("https://wa.me/507"&amp;REGEXREPLACE(C174,"[^0-9]","")&amp;"?text="&amp;ENCODEURL("Ya llegue. Codigo: "&amp;A174&amp;". Ubicacion: "&amp;"https://www.google.com/maps/search/?api=1&amp;query="&amp;SUBSTITUTE(F174," ","")),"📲 Avisar al cliente"),"")</f>
        <v/>
      </c>
      <c r="L174" s="8">
        <f>IF(C174&lt;&gt;"","https://api.qrserver.com/v1/create-qr-code/?size=200x200&amp;data="&amp;ENCODEURL("https://wa.me/507"&amp;REGEXREPLACE(C174,"[^0-9]","")&amp;"?text="&amp;ENCODEURL("Ya llegue. Codigo: "&amp;A174&amp;". Ubicacion: "&amp;"https://www.google.com/maps/search/?api=1&amp;query="&amp;SUBSTITUTE(F174," ",""))),"")</f>
        <v/>
      </c>
      <c r="M174" s="8">
        <f>IF(B174&lt;&gt;"",TODAY(),"")</f>
        <v/>
      </c>
      <c r="N174" s="8">
        <f>IF(F174&lt;&gt;"",IFERROR(IF(AND(REGEXMATCH(SUBSTITUTE(TRIM(F174)," ",""),"^-?\d+(\.\d+)?,-?\d+(\.\d+)?$"),VALUE(REGEXEXTRACT(SUBSTITUTE(TRIM(F174)," ",""),"^-?\d+(\.\d+)?"))&gt;=-90,VALUE(REGEXEXTRACT(SUBSTITUTE(TRIM(F174)," ",""),"^-?\d+(\.\d+)?"))&lt;=90,VALUE(REGEXEXTRACT(SUBSTITUTE(TRIM(F174)," ",""),"-?\d+(\.\d+)?$"))&gt;=-180,VALUE(REGEXEXTRACT(SUBSTITUTE(TRIM(F174)," ",""),"-?\d+(\.\d+)?$"))&lt;=180),"OK","REVISAR"),"REVISAR"),"")</f>
        <v/>
      </c>
      <c r="O174">
        <f>IF(A174&lt;&gt;"","https://direcciones507.github.io/direcciones507/panel.html?codigo="&amp;A174&amp;"&amp;nombre="&amp;ENCODEURL(B174)&amp;"&amp;telefono="&amp;SUBSTITUTE(C174,"-","")&amp;"&amp;referencia="&amp;ENCODEURL(E174)&amp;"&amp;lat="&amp;IZQUIERDA(SUBSTITUTE(F174," ",""),ENCONTRAR(",",SUBSTITUTE(F174," ",""))-1)&amp;"&amp;lng="&amp;DERECHA(SUBSTITUTE(F174," ",""),LARGO(SUBSTITUTE(F174," ",""))-ENCONTRAR(",",SUBSTITUTE(F174," ",""))),"")</f>
        <v/>
      </c>
    </row>
    <row r="175" ht="15.75" customHeight="1" s="10">
      <c r="A175" s="8">
        <f>CONCAT("AD507-",TEXT(ROW()-2,"0000"))</f>
        <v/>
      </c>
      <c r="C175" s="8" t="n"/>
      <c r="F175" s="8" t="n"/>
      <c r="G175" s="8">
        <f>IF(F175&lt;&gt;"",HYPERLINK("https://www.google.com/maps/search/?api=1&amp;query="&amp;SUBSTITUTE(F175," ",""),"🗺 Google Maps"),"")</f>
        <v/>
      </c>
      <c r="H175" s="8">
        <f>IF(F175&lt;&gt;"",HYPERLINK("https://waze.com/ul?ll="&amp;SUBSTITUTE(F175," ","")&amp;"&amp;navigate=yes","🚗 Waze"),"")</f>
        <v/>
      </c>
      <c r="I175" s="8">
        <f>IF(F175&lt;&gt;"",HYPERLINK("https://m.uber.com/ul/?action=setPickup&amp;pickup=my_location&amp;dropoff[latitude]="&amp;LEFT(SUBSTITUTE(F175," ",""),FIND(",",SUBSTITUTE(F175," ",""))-1)&amp;"&amp;dropoff[longitude]="&amp;MID(SUBSTITUTE(F175," ",""),FIND(",",SUBSTITUTE(F175," ",""))+1,99),"🚕 Uber"),"")</f>
        <v/>
      </c>
      <c r="J175" s="8">
        <f>IF(F175&lt;&gt;"","https://api.qrserver.com/v1/create-qr-code/?size=200x200&amp;data="&amp;ENCODEURL("https://www.google.com/maps/search/?api=1&amp;query="&amp;SUBSTITUTE(F175," ","")),"")</f>
        <v/>
      </c>
      <c r="K175" s="8">
        <f>IF(C175&lt;&gt;"",HYPERLINK("https://wa.me/507"&amp;REGEXREPLACE(C175,"[^0-9]","")&amp;"?text="&amp;ENCODEURL("Ya llegue. Codigo: "&amp;A175&amp;". Ubicacion: "&amp;"https://www.google.com/maps/search/?api=1&amp;query="&amp;SUBSTITUTE(F175," ","")),"📲 Avisar al cliente"),"")</f>
        <v/>
      </c>
      <c r="L175" s="8">
        <f>IF(C175&lt;&gt;"","https://api.qrserver.com/v1/create-qr-code/?size=200x200&amp;data="&amp;ENCODEURL("https://wa.me/507"&amp;REGEXREPLACE(C175,"[^0-9]","")&amp;"?text="&amp;ENCODEURL("Ya llegue. Codigo: "&amp;A175&amp;". Ubicacion: "&amp;"https://www.google.com/maps/search/?api=1&amp;query="&amp;SUBSTITUTE(F175," ",""))),"")</f>
        <v/>
      </c>
      <c r="M175" s="8">
        <f>IF(B175&lt;&gt;"",TODAY(),"")</f>
        <v/>
      </c>
      <c r="N175" s="8">
        <f>IF(F175&lt;&gt;"",IFERROR(IF(AND(REGEXMATCH(SUBSTITUTE(TRIM(F175)," ",""),"^-?\d+(\.\d+)?,-?\d+(\.\d+)?$"),VALUE(REGEXEXTRACT(SUBSTITUTE(TRIM(F175)," ",""),"^-?\d+(\.\d+)?"))&gt;=-90,VALUE(REGEXEXTRACT(SUBSTITUTE(TRIM(F175)," ",""),"^-?\d+(\.\d+)?"))&lt;=90,VALUE(REGEXEXTRACT(SUBSTITUTE(TRIM(F175)," ",""),"-?\d+(\.\d+)?$"))&gt;=-180,VALUE(REGEXEXTRACT(SUBSTITUTE(TRIM(F175)," ",""),"-?\d+(\.\d+)?$"))&lt;=180),"OK","REVISAR"),"REVISAR"),"")</f>
        <v/>
      </c>
      <c r="O175">
        <f>IF(A175&lt;&gt;"","https://direcciones507.github.io/direcciones507/panel.html?codigo="&amp;A175&amp;"&amp;nombre="&amp;ENCODEURL(B175)&amp;"&amp;telefono="&amp;SUBSTITUTE(C175,"-","")&amp;"&amp;referencia="&amp;ENCODEURL(E175)&amp;"&amp;lat="&amp;IZQUIERDA(SUBSTITUTE(F175," ",""),ENCONTRAR(",",SUBSTITUTE(F175," ",""))-1)&amp;"&amp;lng="&amp;DERECHA(SUBSTITUTE(F175," ",""),LARGO(SUBSTITUTE(F175," ",""))-ENCONTRAR(",",SUBSTITUTE(F175," ",""))),"")</f>
        <v/>
      </c>
    </row>
    <row r="176" ht="15.75" customHeight="1" s="10">
      <c r="A176" s="8">
        <f>CONCAT("AD507-",TEXT(ROW()-2,"0000"))</f>
        <v/>
      </c>
      <c r="C176" s="8" t="n"/>
      <c r="F176" s="8" t="n"/>
      <c r="G176" s="8">
        <f>IF(F176&lt;&gt;"",HYPERLINK("https://www.google.com/maps/search/?api=1&amp;query="&amp;SUBSTITUTE(F176," ",""),"🗺 Google Maps"),"")</f>
        <v/>
      </c>
      <c r="H176" s="8">
        <f>IF(F176&lt;&gt;"",HYPERLINK("https://waze.com/ul?ll="&amp;SUBSTITUTE(F176," ","")&amp;"&amp;navigate=yes","🚗 Waze"),"")</f>
        <v/>
      </c>
      <c r="I176" s="8">
        <f>IF(F176&lt;&gt;"",HYPERLINK("https://m.uber.com/ul/?action=setPickup&amp;pickup=my_location&amp;dropoff[latitude]="&amp;LEFT(SUBSTITUTE(F176," ",""),FIND(",",SUBSTITUTE(F176," ",""))-1)&amp;"&amp;dropoff[longitude]="&amp;MID(SUBSTITUTE(F176," ",""),FIND(",",SUBSTITUTE(F176," ",""))+1,99),"🚕 Uber"),"")</f>
        <v/>
      </c>
      <c r="J176" s="8">
        <f>IF(F176&lt;&gt;"","https://api.qrserver.com/v1/create-qr-code/?size=200x200&amp;data="&amp;ENCODEURL("https://www.google.com/maps/search/?api=1&amp;query="&amp;SUBSTITUTE(F176," ","")),"")</f>
        <v/>
      </c>
      <c r="K176" s="8">
        <f>IF(C176&lt;&gt;"",HYPERLINK("https://wa.me/507"&amp;REGEXREPLACE(C176,"[^0-9]","")&amp;"?text="&amp;ENCODEURL("Ya llegue. Codigo: "&amp;A176&amp;". Ubicacion: "&amp;"https://www.google.com/maps/search/?api=1&amp;query="&amp;SUBSTITUTE(F176," ","")),"📲 Avisar al cliente"),"")</f>
        <v/>
      </c>
      <c r="L176" s="8">
        <f>IF(C176&lt;&gt;"","https://api.qrserver.com/v1/create-qr-code/?size=200x200&amp;data="&amp;ENCODEURL("https://wa.me/507"&amp;REGEXREPLACE(C176,"[^0-9]","")&amp;"?text="&amp;ENCODEURL("Ya llegue. Codigo: "&amp;A176&amp;". Ubicacion: "&amp;"https://www.google.com/maps/search/?api=1&amp;query="&amp;SUBSTITUTE(F176," ",""))),"")</f>
        <v/>
      </c>
      <c r="M176" s="8">
        <f>IF(B176&lt;&gt;"",TODAY(),"")</f>
        <v/>
      </c>
      <c r="N176" s="8">
        <f>IF(F176&lt;&gt;"",IFERROR(IF(AND(REGEXMATCH(SUBSTITUTE(TRIM(F176)," ",""),"^-?\d+(\.\d+)?,-?\d+(\.\d+)?$"),VALUE(REGEXEXTRACT(SUBSTITUTE(TRIM(F176)," ",""),"^-?\d+(\.\d+)?"))&gt;=-90,VALUE(REGEXEXTRACT(SUBSTITUTE(TRIM(F176)," ",""),"^-?\d+(\.\d+)?"))&lt;=90,VALUE(REGEXEXTRACT(SUBSTITUTE(TRIM(F176)," ",""),"-?\d+(\.\d+)?$"))&gt;=-180,VALUE(REGEXEXTRACT(SUBSTITUTE(TRIM(F176)," ",""),"-?\d+(\.\d+)?$"))&lt;=180),"OK","REVISAR"),"REVISAR"),"")</f>
        <v/>
      </c>
      <c r="O176">
        <f>IF(A176&lt;&gt;"","https://direcciones507.github.io/direcciones507/panel.html?codigo="&amp;A176&amp;"&amp;nombre="&amp;ENCODEURL(B176)&amp;"&amp;telefono="&amp;SUBSTITUTE(C176,"-","")&amp;"&amp;referencia="&amp;ENCODEURL(E176)&amp;"&amp;lat="&amp;IZQUIERDA(SUBSTITUTE(F176," ",""),ENCONTRAR(",",SUBSTITUTE(F176," ",""))-1)&amp;"&amp;lng="&amp;DERECHA(SUBSTITUTE(F176," ",""),LARGO(SUBSTITUTE(F176," ",""))-ENCONTRAR(",",SUBSTITUTE(F176," ",""))),"")</f>
        <v/>
      </c>
    </row>
    <row r="177" ht="15.75" customHeight="1" s="10">
      <c r="A177" s="8">
        <f>CONCAT("AD507-",TEXT(ROW()-2,"0000"))</f>
        <v/>
      </c>
      <c r="C177" s="8" t="n"/>
      <c r="F177" s="8" t="n"/>
      <c r="G177" s="8">
        <f>IF(F177&lt;&gt;"",HYPERLINK("https://www.google.com/maps/search/?api=1&amp;query="&amp;SUBSTITUTE(F177," ",""),"🗺 Google Maps"),"")</f>
        <v/>
      </c>
      <c r="H177" s="8">
        <f>IF(F177&lt;&gt;"",HYPERLINK("https://waze.com/ul?ll="&amp;SUBSTITUTE(F177," ","")&amp;"&amp;navigate=yes","🚗 Waze"),"")</f>
        <v/>
      </c>
      <c r="I177" s="8">
        <f>IF(F177&lt;&gt;"",HYPERLINK("https://m.uber.com/ul/?action=setPickup&amp;pickup=my_location&amp;dropoff[latitude]="&amp;LEFT(SUBSTITUTE(F177," ",""),FIND(",",SUBSTITUTE(F177," ",""))-1)&amp;"&amp;dropoff[longitude]="&amp;MID(SUBSTITUTE(F177," ",""),FIND(",",SUBSTITUTE(F177," ",""))+1,99),"🚕 Uber"),"")</f>
        <v/>
      </c>
      <c r="J177" s="8">
        <f>IF(F177&lt;&gt;"","https://api.qrserver.com/v1/create-qr-code/?size=200x200&amp;data="&amp;ENCODEURL("https://www.google.com/maps/search/?api=1&amp;query="&amp;SUBSTITUTE(F177," ","")),"")</f>
        <v/>
      </c>
      <c r="K177" s="8">
        <f>IF(C177&lt;&gt;"",HYPERLINK("https://wa.me/507"&amp;REGEXREPLACE(C177,"[^0-9]","")&amp;"?text="&amp;ENCODEURL("Ya llegue. Codigo: "&amp;A177&amp;". Ubicacion: "&amp;"https://www.google.com/maps/search/?api=1&amp;query="&amp;SUBSTITUTE(F177," ","")),"📲 Avisar al cliente"),"")</f>
        <v/>
      </c>
      <c r="L177" s="8">
        <f>IF(C177&lt;&gt;"","https://api.qrserver.com/v1/create-qr-code/?size=200x200&amp;data="&amp;ENCODEURL("https://wa.me/507"&amp;REGEXREPLACE(C177,"[^0-9]","")&amp;"?text="&amp;ENCODEURL("Ya llegue. Codigo: "&amp;A177&amp;". Ubicacion: "&amp;"https://www.google.com/maps/search/?api=1&amp;query="&amp;SUBSTITUTE(F177," ",""))),"")</f>
        <v/>
      </c>
      <c r="M177" s="8">
        <f>IF(B177&lt;&gt;"",TODAY(),"")</f>
        <v/>
      </c>
      <c r="N177" s="8">
        <f>IF(F177&lt;&gt;"",IFERROR(IF(AND(REGEXMATCH(SUBSTITUTE(TRIM(F177)," ",""),"^-?\d+(\.\d+)?,-?\d+(\.\d+)?$"),VALUE(REGEXEXTRACT(SUBSTITUTE(TRIM(F177)," ",""),"^-?\d+(\.\d+)?"))&gt;=-90,VALUE(REGEXEXTRACT(SUBSTITUTE(TRIM(F177)," ",""),"^-?\d+(\.\d+)?"))&lt;=90,VALUE(REGEXEXTRACT(SUBSTITUTE(TRIM(F177)," ",""),"-?\d+(\.\d+)?$"))&gt;=-180,VALUE(REGEXEXTRACT(SUBSTITUTE(TRIM(F177)," ",""),"-?\d+(\.\d+)?$"))&lt;=180),"OK","REVISAR"),"REVISAR"),"")</f>
        <v/>
      </c>
      <c r="O177">
        <f>IF(A177&lt;&gt;"","https://direcciones507.github.io/direcciones507/panel.html?codigo="&amp;A177&amp;"&amp;nombre="&amp;ENCODEURL(B177)&amp;"&amp;telefono="&amp;SUBSTITUTE(C177,"-","")&amp;"&amp;referencia="&amp;ENCODEURL(E177)&amp;"&amp;lat="&amp;IZQUIERDA(SUBSTITUTE(F177," ",""),ENCONTRAR(",",SUBSTITUTE(F177," ",""))-1)&amp;"&amp;lng="&amp;DERECHA(SUBSTITUTE(F177," ",""),LARGO(SUBSTITUTE(F177," ",""))-ENCONTRAR(",",SUBSTITUTE(F177," ",""))),"")</f>
        <v/>
      </c>
    </row>
    <row r="178" ht="15.75" customHeight="1" s="10">
      <c r="A178" s="8">
        <f>CONCAT("AD507-",TEXT(ROW()-2,"0000"))</f>
        <v/>
      </c>
      <c r="C178" s="8" t="n"/>
      <c r="F178" s="8" t="n"/>
      <c r="G178" s="8">
        <f>IF(F178&lt;&gt;"",HYPERLINK("https://www.google.com/maps/search/?api=1&amp;query="&amp;SUBSTITUTE(F178," ",""),"🗺 Google Maps"),"")</f>
        <v/>
      </c>
      <c r="H178" s="8">
        <f>IF(F178&lt;&gt;"",HYPERLINK("https://waze.com/ul?ll="&amp;SUBSTITUTE(F178," ","")&amp;"&amp;navigate=yes","🚗 Waze"),"")</f>
        <v/>
      </c>
      <c r="I178" s="8">
        <f>IF(F178&lt;&gt;"",HYPERLINK("https://m.uber.com/ul/?action=setPickup&amp;pickup=my_location&amp;dropoff[latitude]="&amp;LEFT(SUBSTITUTE(F178," ",""),FIND(",",SUBSTITUTE(F178," ",""))-1)&amp;"&amp;dropoff[longitude]="&amp;MID(SUBSTITUTE(F178," ",""),FIND(",",SUBSTITUTE(F178," ",""))+1,99),"🚕 Uber"),"")</f>
        <v/>
      </c>
      <c r="J178" s="8">
        <f>IF(F178&lt;&gt;"","https://api.qrserver.com/v1/create-qr-code/?size=200x200&amp;data="&amp;ENCODEURL("https://www.google.com/maps/search/?api=1&amp;query="&amp;SUBSTITUTE(F178," ","")),"")</f>
        <v/>
      </c>
      <c r="K178" s="8">
        <f>IF(C178&lt;&gt;"",HYPERLINK("https://wa.me/507"&amp;REGEXREPLACE(C178,"[^0-9]","")&amp;"?text="&amp;ENCODEURL("Ya llegue. Codigo: "&amp;A178&amp;". Ubicacion: "&amp;"https://www.google.com/maps/search/?api=1&amp;query="&amp;SUBSTITUTE(F178," ","")),"📲 Avisar al cliente"),"")</f>
        <v/>
      </c>
      <c r="L178" s="8">
        <f>IF(C178&lt;&gt;"","https://api.qrserver.com/v1/create-qr-code/?size=200x200&amp;data="&amp;ENCODEURL("https://wa.me/507"&amp;REGEXREPLACE(C178,"[^0-9]","")&amp;"?text="&amp;ENCODEURL("Ya llegue. Codigo: "&amp;A178&amp;". Ubicacion: "&amp;"https://www.google.com/maps/search/?api=1&amp;query="&amp;SUBSTITUTE(F178," ",""))),"")</f>
        <v/>
      </c>
      <c r="M178" s="8">
        <f>IF(B178&lt;&gt;"",TODAY(),"")</f>
        <v/>
      </c>
      <c r="N178" s="8">
        <f>IF(F178&lt;&gt;"",IFERROR(IF(AND(REGEXMATCH(SUBSTITUTE(TRIM(F178)," ",""),"^-?\d+(\.\d+)?,-?\d+(\.\d+)?$"),VALUE(REGEXEXTRACT(SUBSTITUTE(TRIM(F178)," ",""),"^-?\d+(\.\d+)?"))&gt;=-90,VALUE(REGEXEXTRACT(SUBSTITUTE(TRIM(F178)," ",""),"^-?\d+(\.\d+)?"))&lt;=90,VALUE(REGEXEXTRACT(SUBSTITUTE(TRIM(F178)," ",""),"-?\d+(\.\d+)?$"))&gt;=-180,VALUE(REGEXEXTRACT(SUBSTITUTE(TRIM(F178)," ",""),"-?\d+(\.\d+)?$"))&lt;=180),"OK","REVISAR"),"REVISAR"),"")</f>
        <v/>
      </c>
      <c r="O178">
        <f>IF(A178&lt;&gt;"","https://direcciones507.github.io/direcciones507/panel.html?codigo="&amp;A178&amp;"&amp;nombre="&amp;ENCODEURL(B178)&amp;"&amp;telefono="&amp;SUBSTITUTE(C178,"-","")&amp;"&amp;referencia="&amp;ENCODEURL(E178)&amp;"&amp;lat="&amp;IZQUIERDA(SUBSTITUTE(F178," ",""),ENCONTRAR(",",SUBSTITUTE(F178," ",""))-1)&amp;"&amp;lng="&amp;DERECHA(SUBSTITUTE(F178," ",""),LARGO(SUBSTITUTE(F178," ",""))-ENCONTRAR(",",SUBSTITUTE(F178," ",""))),"")</f>
        <v/>
      </c>
    </row>
    <row r="179" ht="15.75" customHeight="1" s="10">
      <c r="A179" s="8">
        <f>CONCAT("AD507-",TEXT(ROW()-2,"0000"))</f>
        <v/>
      </c>
      <c r="C179" s="8" t="n"/>
      <c r="F179" s="8" t="n"/>
      <c r="G179" s="8">
        <f>IF(F179&lt;&gt;"",HYPERLINK("https://www.google.com/maps/search/?api=1&amp;query="&amp;SUBSTITUTE(F179," ",""),"🗺 Google Maps"),"")</f>
        <v/>
      </c>
      <c r="H179" s="8">
        <f>IF(F179&lt;&gt;"",HYPERLINK("https://waze.com/ul?ll="&amp;SUBSTITUTE(F179," ","")&amp;"&amp;navigate=yes","🚗 Waze"),"")</f>
        <v/>
      </c>
      <c r="I179" s="8">
        <f>IF(F179&lt;&gt;"",HYPERLINK("https://m.uber.com/ul/?action=setPickup&amp;pickup=my_location&amp;dropoff[latitude]="&amp;LEFT(SUBSTITUTE(F179," ",""),FIND(",",SUBSTITUTE(F179," ",""))-1)&amp;"&amp;dropoff[longitude]="&amp;MID(SUBSTITUTE(F179," ",""),FIND(",",SUBSTITUTE(F179," ",""))+1,99),"🚕 Uber"),"")</f>
        <v/>
      </c>
      <c r="J179" s="8">
        <f>IF(F179&lt;&gt;"","https://api.qrserver.com/v1/create-qr-code/?size=200x200&amp;data="&amp;ENCODEURL("https://www.google.com/maps/search/?api=1&amp;query="&amp;SUBSTITUTE(F179," ","")),"")</f>
        <v/>
      </c>
      <c r="K179" s="8">
        <f>IF(C179&lt;&gt;"",HYPERLINK("https://wa.me/507"&amp;REGEXREPLACE(C179,"[^0-9]","")&amp;"?text="&amp;ENCODEURL("Ya llegue. Codigo: "&amp;A179&amp;". Ubicacion: "&amp;"https://www.google.com/maps/search/?api=1&amp;query="&amp;SUBSTITUTE(F179," ","")),"📲 Avisar al cliente"),"")</f>
        <v/>
      </c>
      <c r="L179" s="8">
        <f>IF(C179&lt;&gt;"","https://api.qrserver.com/v1/create-qr-code/?size=200x200&amp;data="&amp;ENCODEURL("https://wa.me/507"&amp;REGEXREPLACE(C179,"[^0-9]","")&amp;"?text="&amp;ENCODEURL("Ya llegue. Codigo: "&amp;A179&amp;". Ubicacion: "&amp;"https://www.google.com/maps/search/?api=1&amp;query="&amp;SUBSTITUTE(F179," ",""))),"")</f>
        <v/>
      </c>
      <c r="M179" s="8">
        <f>IF(B179&lt;&gt;"",TODAY(),"")</f>
        <v/>
      </c>
      <c r="N179" s="8">
        <f>IF(F179&lt;&gt;"",IFERROR(IF(AND(REGEXMATCH(SUBSTITUTE(TRIM(F179)," ",""),"^-?\d+(\.\d+)?,-?\d+(\.\d+)?$"),VALUE(REGEXEXTRACT(SUBSTITUTE(TRIM(F179)," ",""),"^-?\d+(\.\d+)?"))&gt;=-90,VALUE(REGEXEXTRACT(SUBSTITUTE(TRIM(F179)," ",""),"^-?\d+(\.\d+)?"))&lt;=90,VALUE(REGEXEXTRACT(SUBSTITUTE(TRIM(F179)," ",""),"-?\d+(\.\d+)?$"))&gt;=-180,VALUE(REGEXEXTRACT(SUBSTITUTE(TRIM(F179)," ",""),"-?\d+(\.\d+)?$"))&lt;=180),"OK","REVISAR"),"REVISAR"),"")</f>
        <v/>
      </c>
      <c r="O179">
        <f>IF(A179&lt;&gt;"","https://direcciones507.github.io/direcciones507/panel.html?codigo="&amp;A179&amp;"&amp;nombre="&amp;ENCODEURL(B179)&amp;"&amp;telefono="&amp;SUBSTITUTE(C179,"-","")&amp;"&amp;referencia="&amp;ENCODEURL(E179)&amp;"&amp;lat="&amp;IZQUIERDA(SUBSTITUTE(F179," ",""),ENCONTRAR(",",SUBSTITUTE(F179," ",""))-1)&amp;"&amp;lng="&amp;DERECHA(SUBSTITUTE(F179," ",""),LARGO(SUBSTITUTE(F179," ",""))-ENCONTRAR(",",SUBSTITUTE(F179," ",""))),"")</f>
        <v/>
      </c>
    </row>
    <row r="180" ht="15.75" customHeight="1" s="10">
      <c r="A180" s="8">
        <f>CONCAT("AD507-",TEXT(ROW()-2,"0000"))</f>
        <v/>
      </c>
      <c r="C180" s="8" t="n"/>
      <c r="F180" s="8" t="n"/>
      <c r="G180" s="8">
        <f>IF(F180&lt;&gt;"",HYPERLINK("https://www.google.com/maps/search/?api=1&amp;query="&amp;SUBSTITUTE(F180," ",""),"🗺 Google Maps"),"")</f>
        <v/>
      </c>
      <c r="H180" s="8">
        <f>IF(F180&lt;&gt;"",HYPERLINK("https://waze.com/ul?ll="&amp;SUBSTITUTE(F180," ","")&amp;"&amp;navigate=yes","🚗 Waze"),"")</f>
        <v/>
      </c>
      <c r="I180" s="8">
        <f>IF(F180&lt;&gt;"",HYPERLINK("https://m.uber.com/ul/?action=setPickup&amp;pickup=my_location&amp;dropoff[latitude]="&amp;LEFT(SUBSTITUTE(F180," ",""),FIND(",",SUBSTITUTE(F180," ",""))-1)&amp;"&amp;dropoff[longitude]="&amp;MID(SUBSTITUTE(F180," ",""),FIND(",",SUBSTITUTE(F180," ",""))+1,99),"🚕 Uber"),"")</f>
        <v/>
      </c>
      <c r="J180" s="8">
        <f>IF(F180&lt;&gt;"","https://api.qrserver.com/v1/create-qr-code/?size=200x200&amp;data="&amp;ENCODEURL("https://www.google.com/maps/search/?api=1&amp;query="&amp;SUBSTITUTE(F180," ","")),"")</f>
        <v/>
      </c>
      <c r="K180" s="8">
        <f>IF(C180&lt;&gt;"",HYPERLINK("https://wa.me/507"&amp;REGEXREPLACE(C180,"[^0-9]","")&amp;"?text="&amp;ENCODEURL("Ya llegue. Codigo: "&amp;A180&amp;". Ubicacion: "&amp;"https://www.google.com/maps/search/?api=1&amp;query="&amp;SUBSTITUTE(F180," ","")),"📲 Avisar al cliente"),"")</f>
        <v/>
      </c>
      <c r="L180" s="8">
        <f>IF(C180&lt;&gt;"","https://api.qrserver.com/v1/create-qr-code/?size=200x200&amp;data="&amp;ENCODEURL("https://wa.me/507"&amp;REGEXREPLACE(C180,"[^0-9]","")&amp;"?text="&amp;ENCODEURL("Ya llegue. Codigo: "&amp;A180&amp;". Ubicacion: "&amp;"https://www.google.com/maps/search/?api=1&amp;query="&amp;SUBSTITUTE(F180," ",""))),"")</f>
        <v/>
      </c>
      <c r="M180" s="8">
        <f>IF(B180&lt;&gt;"",TODAY(),"")</f>
        <v/>
      </c>
      <c r="N180" s="8">
        <f>IF(F180&lt;&gt;"",IFERROR(IF(AND(REGEXMATCH(SUBSTITUTE(TRIM(F180)," ",""),"^-?\d+(\.\d+)?,-?\d+(\.\d+)?$"),VALUE(REGEXEXTRACT(SUBSTITUTE(TRIM(F180)," ",""),"^-?\d+(\.\d+)?"))&gt;=-90,VALUE(REGEXEXTRACT(SUBSTITUTE(TRIM(F180)," ",""),"^-?\d+(\.\d+)?"))&lt;=90,VALUE(REGEXEXTRACT(SUBSTITUTE(TRIM(F180)," ",""),"-?\d+(\.\d+)?$"))&gt;=-180,VALUE(REGEXEXTRACT(SUBSTITUTE(TRIM(F180)," ",""),"-?\d+(\.\d+)?$"))&lt;=180),"OK","REVISAR"),"REVISAR"),"")</f>
        <v/>
      </c>
      <c r="O180">
        <f>IF(A180&lt;&gt;"","https://direcciones507.github.io/direcciones507/panel.html?codigo="&amp;A180&amp;"&amp;nombre="&amp;ENCODEURL(B180)&amp;"&amp;telefono="&amp;SUBSTITUTE(C180,"-","")&amp;"&amp;referencia="&amp;ENCODEURL(E180)&amp;"&amp;lat="&amp;IZQUIERDA(SUBSTITUTE(F180," ",""),ENCONTRAR(",",SUBSTITUTE(F180," ",""))-1)&amp;"&amp;lng="&amp;DERECHA(SUBSTITUTE(F180," ",""),LARGO(SUBSTITUTE(F180," ",""))-ENCONTRAR(",",SUBSTITUTE(F180," ",""))),"")</f>
        <v/>
      </c>
    </row>
    <row r="181" ht="15.75" customHeight="1" s="10">
      <c r="A181" s="8">
        <f>CONCAT("AD507-",TEXT(ROW()-2,"0000"))</f>
        <v/>
      </c>
      <c r="C181" s="8" t="n"/>
      <c r="F181" s="8" t="n"/>
      <c r="G181" s="8">
        <f>IF(F181&lt;&gt;"",HYPERLINK("https://www.google.com/maps/search/?api=1&amp;query="&amp;SUBSTITUTE(F181," ",""),"🗺 Google Maps"),"")</f>
        <v/>
      </c>
      <c r="H181" s="8">
        <f>IF(F181&lt;&gt;"",HYPERLINK("https://waze.com/ul?ll="&amp;SUBSTITUTE(F181," ","")&amp;"&amp;navigate=yes","🚗 Waze"),"")</f>
        <v/>
      </c>
      <c r="I181" s="8">
        <f>IF(F181&lt;&gt;"",HYPERLINK("https://m.uber.com/ul/?action=setPickup&amp;pickup=my_location&amp;dropoff[latitude]="&amp;LEFT(SUBSTITUTE(F181," ",""),FIND(",",SUBSTITUTE(F181," ",""))-1)&amp;"&amp;dropoff[longitude]="&amp;MID(SUBSTITUTE(F181," ",""),FIND(",",SUBSTITUTE(F181," ",""))+1,99),"🚕 Uber"),"")</f>
        <v/>
      </c>
      <c r="J181" s="8">
        <f>IF(F181&lt;&gt;"","https://api.qrserver.com/v1/create-qr-code/?size=200x200&amp;data="&amp;ENCODEURL("https://www.google.com/maps/search/?api=1&amp;query="&amp;SUBSTITUTE(F181," ","")),"")</f>
        <v/>
      </c>
      <c r="K181" s="8">
        <f>IF(C181&lt;&gt;"",HYPERLINK("https://wa.me/507"&amp;REGEXREPLACE(C181,"[^0-9]","")&amp;"?text="&amp;ENCODEURL("Ya llegue. Codigo: "&amp;A181&amp;". Ubicacion: "&amp;"https://www.google.com/maps/search/?api=1&amp;query="&amp;SUBSTITUTE(F181," ","")),"📲 Avisar al cliente"),"")</f>
        <v/>
      </c>
      <c r="L181" s="8">
        <f>IF(C181&lt;&gt;"","https://api.qrserver.com/v1/create-qr-code/?size=200x200&amp;data="&amp;ENCODEURL("https://wa.me/507"&amp;REGEXREPLACE(C181,"[^0-9]","")&amp;"?text="&amp;ENCODEURL("Ya llegue. Codigo: "&amp;A181&amp;". Ubicacion: "&amp;"https://www.google.com/maps/search/?api=1&amp;query="&amp;SUBSTITUTE(F181," ",""))),"")</f>
        <v/>
      </c>
      <c r="M181" s="8">
        <f>IF(B181&lt;&gt;"",TODAY(),"")</f>
        <v/>
      </c>
      <c r="N181" s="8">
        <f>IF(F181&lt;&gt;"",IFERROR(IF(AND(REGEXMATCH(SUBSTITUTE(TRIM(F181)," ",""),"^-?\d+(\.\d+)?,-?\d+(\.\d+)?$"),VALUE(REGEXEXTRACT(SUBSTITUTE(TRIM(F181)," ",""),"^-?\d+(\.\d+)?"))&gt;=-90,VALUE(REGEXEXTRACT(SUBSTITUTE(TRIM(F181)," ",""),"^-?\d+(\.\d+)?"))&lt;=90,VALUE(REGEXEXTRACT(SUBSTITUTE(TRIM(F181)," ",""),"-?\d+(\.\d+)?$"))&gt;=-180,VALUE(REGEXEXTRACT(SUBSTITUTE(TRIM(F181)," ",""),"-?\d+(\.\d+)?$"))&lt;=180),"OK","REVISAR"),"REVISAR"),"")</f>
        <v/>
      </c>
      <c r="O181">
        <f>IF(A181&lt;&gt;"","https://direcciones507.github.io/direcciones507/panel.html?codigo="&amp;A181&amp;"&amp;nombre="&amp;ENCODEURL(B181)&amp;"&amp;telefono="&amp;SUBSTITUTE(C181,"-","")&amp;"&amp;referencia="&amp;ENCODEURL(E181)&amp;"&amp;lat="&amp;IZQUIERDA(SUBSTITUTE(F181," ",""),ENCONTRAR(",",SUBSTITUTE(F181," ",""))-1)&amp;"&amp;lng="&amp;DERECHA(SUBSTITUTE(F181," ",""),LARGO(SUBSTITUTE(F181," ",""))-ENCONTRAR(",",SUBSTITUTE(F181," ",""))),"")</f>
        <v/>
      </c>
    </row>
    <row r="182" ht="15.75" customHeight="1" s="10">
      <c r="A182" s="8">
        <f>CONCAT("AD507-",TEXT(ROW()-2,"0000"))</f>
        <v/>
      </c>
      <c r="C182" s="8" t="n"/>
      <c r="F182" s="8" t="n"/>
      <c r="G182" s="8">
        <f>IF(F182&lt;&gt;"",HYPERLINK("https://www.google.com/maps/search/?api=1&amp;query="&amp;SUBSTITUTE(F182," ",""),"🗺 Google Maps"),"")</f>
        <v/>
      </c>
      <c r="H182" s="8">
        <f>IF(F182&lt;&gt;"",HYPERLINK("https://waze.com/ul?ll="&amp;SUBSTITUTE(F182," ","")&amp;"&amp;navigate=yes","🚗 Waze"),"")</f>
        <v/>
      </c>
      <c r="I182" s="8">
        <f>IF(F182&lt;&gt;"",HYPERLINK("https://m.uber.com/ul/?action=setPickup&amp;pickup=my_location&amp;dropoff[latitude]="&amp;LEFT(SUBSTITUTE(F182," ",""),FIND(",",SUBSTITUTE(F182," ",""))-1)&amp;"&amp;dropoff[longitude]="&amp;MID(SUBSTITUTE(F182," ",""),FIND(",",SUBSTITUTE(F182," ",""))+1,99),"🚕 Uber"),"")</f>
        <v/>
      </c>
      <c r="J182" s="8">
        <f>IF(F182&lt;&gt;"","https://api.qrserver.com/v1/create-qr-code/?size=200x200&amp;data="&amp;ENCODEURL("https://www.google.com/maps/search/?api=1&amp;query="&amp;SUBSTITUTE(F182," ","")),"")</f>
        <v/>
      </c>
      <c r="K182" s="8">
        <f>IF(C182&lt;&gt;"",HYPERLINK("https://wa.me/507"&amp;REGEXREPLACE(C182,"[^0-9]","")&amp;"?text="&amp;ENCODEURL("Ya llegue. Codigo: "&amp;A182&amp;". Ubicacion: "&amp;"https://www.google.com/maps/search/?api=1&amp;query="&amp;SUBSTITUTE(F182," ","")),"📲 Avisar al cliente"),"")</f>
        <v/>
      </c>
      <c r="L182" s="8">
        <f>IF(C182&lt;&gt;"","https://api.qrserver.com/v1/create-qr-code/?size=200x200&amp;data="&amp;ENCODEURL("https://wa.me/507"&amp;REGEXREPLACE(C182,"[^0-9]","")&amp;"?text="&amp;ENCODEURL("Ya llegue. Codigo: "&amp;A182&amp;". Ubicacion: "&amp;"https://www.google.com/maps/search/?api=1&amp;query="&amp;SUBSTITUTE(F182," ",""))),"")</f>
        <v/>
      </c>
      <c r="M182" s="8">
        <f>IF(B182&lt;&gt;"",TODAY(),"")</f>
        <v/>
      </c>
      <c r="N182" s="8">
        <f>IF(F182&lt;&gt;"",IFERROR(IF(AND(REGEXMATCH(SUBSTITUTE(TRIM(F182)," ",""),"^-?\d+(\.\d+)?,-?\d+(\.\d+)?$"),VALUE(REGEXEXTRACT(SUBSTITUTE(TRIM(F182)," ",""),"^-?\d+(\.\d+)?"))&gt;=-90,VALUE(REGEXEXTRACT(SUBSTITUTE(TRIM(F182)," ",""),"^-?\d+(\.\d+)?"))&lt;=90,VALUE(REGEXEXTRACT(SUBSTITUTE(TRIM(F182)," ",""),"-?\d+(\.\d+)?$"))&gt;=-180,VALUE(REGEXEXTRACT(SUBSTITUTE(TRIM(F182)," ",""),"-?\d+(\.\d+)?$"))&lt;=180),"OK","REVISAR"),"REVISAR"),"")</f>
        <v/>
      </c>
      <c r="O182">
        <f>IF(A182&lt;&gt;"","https://direcciones507.github.io/direcciones507/panel.html?codigo="&amp;A182&amp;"&amp;nombre="&amp;ENCODEURL(B182)&amp;"&amp;telefono="&amp;SUBSTITUTE(C182,"-","")&amp;"&amp;referencia="&amp;ENCODEURL(E182)&amp;"&amp;lat="&amp;IZQUIERDA(SUBSTITUTE(F182," ",""),ENCONTRAR(",",SUBSTITUTE(F182," ",""))-1)&amp;"&amp;lng="&amp;DERECHA(SUBSTITUTE(F182," ",""),LARGO(SUBSTITUTE(F182," ",""))-ENCONTRAR(",",SUBSTITUTE(F182," ",""))),"")</f>
        <v/>
      </c>
    </row>
    <row r="183" ht="15.75" customHeight="1" s="10">
      <c r="A183" s="8">
        <f>CONCAT("AD507-",TEXT(ROW()-2,"0000"))</f>
        <v/>
      </c>
      <c r="C183" s="8" t="n"/>
      <c r="F183" s="8" t="n"/>
      <c r="G183" s="8">
        <f>IF(F183&lt;&gt;"",HYPERLINK("https://www.google.com/maps/search/?api=1&amp;query="&amp;SUBSTITUTE(F183," ",""),"🗺 Google Maps"),"")</f>
        <v/>
      </c>
      <c r="H183" s="8">
        <f>IF(F183&lt;&gt;"",HYPERLINK("https://waze.com/ul?ll="&amp;SUBSTITUTE(F183," ","")&amp;"&amp;navigate=yes","🚗 Waze"),"")</f>
        <v/>
      </c>
      <c r="I183" s="8">
        <f>IF(F183&lt;&gt;"",HYPERLINK("https://m.uber.com/ul/?action=setPickup&amp;pickup=my_location&amp;dropoff[latitude]="&amp;LEFT(SUBSTITUTE(F183," ",""),FIND(",",SUBSTITUTE(F183," ",""))-1)&amp;"&amp;dropoff[longitude]="&amp;MID(SUBSTITUTE(F183," ",""),FIND(",",SUBSTITUTE(F183," ",""))+1,99),"🚕 Uber"),"")</f>
        <v/>
      </c>
      <c r="J183" s="8">
        <f>IF(F183&lt;&gt;"","https://api.qrserver.com/v1/create-qr-code/?size=200x200&amp;data="&amp;ENCODEURL("https://www.google.com/maps/search/?api=1&amp;query="&amp;SUBSTITUTE(F183," ","")),"")</f>
        <v/>
      </c>
      <c r="K183" s="8">
        <f>IF(C183&lt;&gt;"",HYPERLINK("https://wa.me/507"&amp;REGEXREPLACE(C183,"[^0-9]","")&amp;"?text="&amp;ENCODEURL("Ya llegue. Codigo: "&amp;A183&amp;". Ubicacion: "&amp;"https://www.google.com/maps/search/?api=1&amp;query="&amp;SUBSTITUTE(F183," ","")),"📲 Avisar al cliente"),"")</f>
        <v/>
      </c>
      <c r="L183" s="8">
        <f>IF(C183&lt;&gt;"","https://api.qrserver.com/v1/create-qr-code/?size=200x200&amp;data="&amp;ENCODEURL("https://wa.me/507"&amp;REGEXREPLACE(C183,"[^0-9]","")&amp;"?text="&amp;ENCODEURL("Ya llegue. Codigo: "&amp;A183&amp;". Ubicacion: "&amp;"https://www.google.com/maps/search/?api=1&amp;query="&amp;SUBSTITUTE(F183," ",""))),"")</f>
        <v/>
      </c>
      <c r="M183" s="8">
        <f>IF(B183&lt;&gt;"",TODAY(),"")</f>
        <v/>
      </c>
      <c r="N183" s="8">
        <f>IF(F183&lt;&gt;"",IFERROR(IF(AND(REGEXMATCH(SUBSTITUTE(TRIM(F183)," ",""),"^-?\d+(\.\d+)?,-?\d+(\.\d+)?$"),VALUE(REGEXEXTRACT(SUBSTITUTE(TRIM(F183)," ",""),"^-?\d+(\.\d+)?"))&gt;=-90,VALUE(REGEXEXTRACT(SUBSTITUTE(TRIM(F183)," ",""),"^-?\d+(\.\d+)?"))&lt;=90,VALUE(REGEXEXTRACT(SUBSTITUTE(TRIM(F183)," ",""),"-?\d+(\.\d+)?$"))&gt;=-180,VALUE(REGEXEXTRACT(SUBSTITUTE(TRIM(F183)," ",""),"-?\d+(\.\d+)?$"))&lt;=180),"OK","REVISAR"),"REVISAR"),"")</f>
        <v/>
      </c>
      <c r="O183">
        <f>IF(A183&lt;&gt;"","https://direcciones507.github.io/direcciones507/panel.html?codigo="&amp;A183&amp;"&amp;nombre="&amp;ENCODEURL(B183)&amp;"&amp;telefono="&amp;SUBSTITUTE(C183,"-","")&amp;"&amp;referencia="&amp;ENCODEURL(E183)&amp;"&amp;lat="&amp;IZQUIERDA(SUBSTITUTE(F183," ",""),ENCONTRAR(",",SUBSTITUTE(F183," ",""))-1)&amp;"&amp;lng="&amp;DERECHA(SUBSTITUTE(F183," ",""),LARGO(SUBSTITUTE(F183," ",""))-ENCONTRAR(",",SUBSTITUTE(F183," ",""))),"")</f>
        <v/>
      </c>
    </row>
    <row r="184" ht="15.75" customHeight="1" s="10">
      <c r="A184" s="8">
        <f>CONCAT("AD507-",TEXT(ROW()-2,"0000"))</f>
        <v/>
      </c>
      <c r="C184" s="8" t="n"/>
      <c r="F184" s="8" t="n"/>
      <c r="G184" s="8">
        <f>IF(F184&lt;&gt;"",HYPERLINK("https://www.google.com/maps/search/?api=1&amp;query="&amp;SUBSTITUTE(F184," ",""),"🗺 Google Maps"),"")</f>
        <v/>
      </c>
      <c r="H184" s="8">
        <f>IF(F184&lt;&gt;"",HYPERLINK("https://waze.com/ul?ll="&amp;SUBSTITUTE(F184," ","")&amp;"&amp;navigate=yes","🚗 Waze"),"")</f>
        <v/>
      </c>
      <c r="I184" s="8">
        <f>IF(F184&lt;&gt;"",HYPERLINK("https://m.uber.com/ul/?action=setPickup&amp;pickup=my_location&amp;dropoff[latitude]="&amp;LEFT(SUBSTITUTE(F184," ",""),FIND(",",SUBSTITUTE(F184," ",""))-1)&amp;"&amp;dropoff[longitude]="&amp;MID(SUBSTITUTE(F184," ",""),FIND(",",SUBSTITUTE(F184," ",""))+1,99),"🚕 Uber"),"")</f>
        <v/>
      </c>
      <c r="J184" s="8">
        <f>IF(F184&lt;&gt;"","https://api.qrserver.com/v1/create-qr-code/?size=200x200&amp;data="&amp;ENCODEURL("https://www.google.com/maps/search/?api=1&amp;query="&amp;SUBSTITUTE(F184," ","")),"")</f>
        <v/>
      </c>
      <c r="K184" s="8">
        <f>IF(C184&lt;&gt;"",HYPERLINK("https://wa.me/507"&amp;REGEXREPLACE(C184,"[^0-9]","")&amp;"?text="&amp;ENCODEURL("Ya llegue. Codigo: "&amp;A184&amp;". Ubicacion: "&amp;"https://www.google.com/maps/search/?api=1&amp;query="&amp;SUBSTITUTE(F184," ","")),"📲 Avisar al cliente"),"")</f>
        <v/>
      </c>
      <c r="L184" s="8">
        <f>IF(C184&lt;&gt;"","https://api.qrserver.com/v1/create-qr-code/?size=200x200&amp;data="&amp;ENCODEURL("https://wa.me/507"&amp;REGEXREPLACE(C184,"[^0-9]","")&amp;"?text="&amp;ENCODEURL("Ya llegue. Codigo: "&amp;A184&amp;". Ubicacion: "&amp;"https://www.google.com/maps/search/?api=1&amp;query="&amp;SUBSTITUTE(F184," ",""))),"")</f>
        <v/>
      </c>
      <c r="M184" s="8">
        <f>IF(B184&lt;&gt;"",TODAY(),"")</f>
        <v/>
      </c>
      <c r="N184" s="8">
        <f>IF(F184&lt;&gt;"",IFERROR(IF(AND(REGEXMATCH(SUBSTITUTE(TRIM(F184)," ",""),"^-?\d+(\.\d+)?,-?\d+(\.\d+)?$"),VALUE(REGEXEXTRACT(SUBSTITUTE(TRIM(F184)," ",""),"^-?\d+(\.\d+)?"))&gt;=-90,VALUE(REGEXEXTRACT(SUBSTITUTE(TRIM(F184)," ",""),"^-?\d+(\.\d+)?"))&lt;=90,VALUE(REGEXEXTRACT(SUBSTITUTE(TRIM(F184)," ",""),"-?\d+(\.\d+)?$"))&gt;=-180,VALUE(REGEXEXTRACT(SUBSTITUTE(TRIM(F184)," ",""),"-?\d+(\.\d+)?$"))&lt;=180),"OK","REVISAR"),"REVISAR"),"")</f>
        <v/>
      </c>
      <c r="O184">
        <f>IF(A184&lt;&gt;"","https://direcciones507.github.io/direcciones507/panel.html?codigo="&amp;A184&amp;"&amp;nombre="&amp;ENCODEURL(B184)&amp;"&amp;telefono="&amp;SUBSTITUTE(C184,"-","")&amp;"&amp;referencia="&amp;ENCODEURL(E184)&amp;"&amp;lat="&amp;IZQUIERDA(SUBSTITUTE(F184," ",""),ENCONTRAR(",",SUBSTITUTE(F184," ",""))-1)&amp;"&amp;lng="&amp;DERECHA(SUBSTITUTE(F184," ",""),LARGO(SUBSTITUTE(F184," ",""))-ENCONTRAR(",",SUBSTITUTE(F184," ",""))),"")</f>
        <v/>
      </c>
    </row>
    <row r="185" ht="15.75" customHeight="1" s="10">
      <c r="A185" s="8">
        <f>CONCAT("AD507-",TEXT(ROW()-2,"0000"))</f>
        <v/>
      </c>
      <c r="C185" s="8" t="n"/>
      <c r="F185" s="8" t="n"/>
      <c r="G185" s="8">
        <f>IF(F185&lt;&gt;"",HYPERLINK("https://www.google.com/maps/search/?api=1&amp;query="&amp;SUBSTITUTE(F185," ",""),"🗺 Google Maps"),"")</f>
        <v/>
      </c>
      <c r="H185" s="8">
        <f>IF(F185&lt;&gt;"",HYPERLINK("https://waze.com/ul?ll="&amp;SUBSTITUTE(F185," ","")&amp;"&amp;navigate=yes","🚗 Waze"),"")</f>
        <v/>
      </c>
      <c r="I185" s="8">
        <f>IF(F185&lt;&gt;"",HYPERLINK("https://m.uber.com/ul/?action=setPickup&amp;pickup=my_location&amp;dropoff[latitude]="&amp;LEFT(SUBSTITUTE(F185," ",""),FIND(",",SUBSTITUTE(F185," ",""))-1)&amp;"&amp;dropoff[longitude]="&amp;MID(SUBSTITUTE(F185," ",""),FIND(",",SUBSTITUTE(F185," ",""))+1,99),"🚕 Uber"),"")</f>
        <v/>
      </c>
      <c r="J185" s="8">
        <f>IF(F185&lt;&gt;"","https://api.qrserver.com/v1/create-qr-code/?size=200x200&amp;data="&amp;ENCODEURL("https://www.google.com/maps/search/?api=1&amp;query="&amp;SUBSTITUTE(F185," ","")),"")</f>
        <v/>
      </c>
      <c r="K185" s="8">
        <f>IF(C185&lt;&gt;"",HYPERLINK("https://wa.me/507"&amp;REGEXREPLACE(C185,"[^0-9]","")&amp;"?text="&amp;ENCODEURL("Ya llegue. Codigo: "&amp;A185&amp;". Ubicacion: "&amp;"https://www.google.com/maps/search/?api=1&amp;query="&amp;SUBSTITUTE(F185," ","")),"📲 Avisar al cliente"),"")</f>
        <v/>
      </c>
      <c r="L185" s="8">
        <f>IF(C185&lt;&gt;"","https://api.qrserver.com/v1/create-qr-code/?size=200x200&amp;data="&amp;ENCODEURL("https://wa.me/507"&amp;REGEXREPLACE(C185,"[^0-9]","")&amp;"?text="&amp;ENCODEURL("Ya llegue. Codigo: "&amp;A185&amp;". Ubicacion: "&amp;"https://www.google.com/maps/search/?api=1&amp;query="&amp;SUBSTITUTE(F185," ",""))),"")</f>
        <v/>
      </c>
      <c r="M185" s="8">
        <f>IF(B185&lt;&gt;"",TODAY(),"")</f>
        <v/>
      </c>
      <c r="N185" s="8">
        <f>IF(F185&lt;&gt;"",IFERROR(IF(AND(REGEXMATCH(SUBSTITUTE(TRIM(F185)," ",""),"^-?\d+(\.\d+)?,-?\d+(\.\d+)?$"),VALUE(REGEXEXTRACT(SUBSTITUTE(TRIM(F185)," ",""),"^-?\d+(\.\d+)?"))&gt;=-90,VALUE(REGEXEXTRACT(SUBSTITUTE(TRIM(F185)," ",""),"^-?\d+(\.\d+)?"))&lt;=90,VALUE(REGEXEXTRACT(SUBSTITUTE(TRIM(F185)," ",""),"-?\d+(\.\d+)?$"))&gt;=-180,VALUE(REGEXEXTRACT(SUBSTITUTE(TRIM(F185)," ",""),"-?\d+(\.\d+)?$"))&lt;=180),"OK","REVISAR"),"REVISAR"),"")</f>
        <v/>
      </c>
      <c r="O185">
        <f>IF(A185&lt;&gt;"","https://direcciones507.github.io/direcciones507/panel.html?codigo="&amp;A185&amp;"&amp;nombre="&amp;ENCODEURL(B185)&amp;"&amp;telefono="&amp;SUBSTITUTE(C185,"-","")&amp;"&amp;referencia="&amp;ENCODEURL(E185)&amp;"&amp;lat="&amp;IZQUIERDA(SUBSTITUTE(F185," ",""),ENCONTRAR(",",SUBSTITUTE(F185," ",""))-1)&amp;"&amp;lng="&amp;DERECHA(SUBSTITUTE(F185," ",""),LARGO(SUBSTITUTE(F185," ",""))-ENCONTRAR(",",SUBSTITUTE(F185," ",""))),"")</f>
        <v/>
      </c>
    </row>
    <row r="186" ht="15.75" customHeight="1" s="10">
      <c r="A186" s="8">
        <f>CONCAT("AD507-",TEXT(ROW()-2,"0000"))</f>
        <v/>
      </c>
      <c r="C186" s="8" t="n"/>
      <c r="F186" s="8" t="n"/>
      <c r="G186" s="8">
        <f>IF(F186&lt;&gt;"",HYPERLINK("https://www.google.com/maps/search/?api=1&amp;query="&amp;SUBSTITUTE(F186," ",""),"🗺 Google Maps"),"")</f>
        <v/>
      </c>
      <c r="H186" s="8">
        <f>IF(F186&lt;&gt;"",HYPERLINK("https://waze.com/ul?ll="&amp;SUBSTITUTE(F186," ","")&amp;"&amp;navigate=yes","🚗 Waze"),"")</f>
        <v/>
      </c>
      <c r="I186" s="8">
        <f>IF(F186&lt;&gt;"",HYPERLINK("https://m.uber.com/ul/?action=setPickup&amp;pickup=my_location&amp;dropoff[latitude]="&amp;LEFT(SUBSTITUTE(F186," ",""),FIND(",",SUBSTITUTE(F186," ",""))-1)&amp;"&amp;dropoff[longitude]="&amp;MID(SUBSTITUTE(F186," ",""),FIND(",",SUBSTITUTE(F186," ",""))+1,99),"🚕 Uber"),"")</f>
        <v/>
      </c>
      <c r="J186" s="8">
        <f>IF(F186&lt;&gt;"","https://api.qrserver.com/v1/create-qr-code/?size=200x200&amp;data="&amp;ENCODEURL("https://www.google.com/maps/search/?api=1&amp;query="&amp;SUBSTITUTE(F186," ","")),"")</f>
        <v/>
      </c>
      <c r="K186" s="8">
        <f>IF(C186&lt;&gt;"",HYPERLINK("https://wa.me/507"&amp;REGEXREPLACE(C186,"[^0-9]","")&amp;"?text="&amp;ENCODEURL("Ya llegue. Codigo: "&amp;A186&amp;". Ubicacion: "&amp;"https://www.google.com/maps/search/?api=1&amp;query="&amp;SUBSTITUTE(F186," ","")),"📲 Avisar al cliente"),"")</f>
        <v/>
      </c>
      <c r="L186" s="8">
        <f>IF(C186&lt;&gt;"","https://api.qrserver.com/v1/create-qr-code/?size=200x200&amp;data="&amp;ENCODEURL("https://wa.me/507"&amp;REGEXREPLACE(C186,"[^0-9]","")&amp;"?text="&amp;ENCODEURL("Ya llegue. Codigo: "&amp;A186&amp;". Ubicacion: "&amp;"https://www.google.com/maps/search/?api=1&amp;query="&amp;SUBSTITUTE(F186," ",""))),"")</f>
        <v/>
      </c>
      <c r="M186" s="8">
        <f>IF(B186&lt;&gt;"",TODAY(),"")</f>
        <v/>
      </c>
      <c r="N186" s="8">
        <f>IF(F186&lt;&gt;"",IFERROR(IF(AND(REGEXMATCH(SUBSTITUTE(TRIM(F186)," ",""),"^-?\d+(\.\d+)?,-?\d+(\.\d+)?$"),VALUE(REGEXEXTRACT(SUBSTITUTE(TRIM(F186)," ",""),"^-?\d+(\.\d+)?"))&gt;=-90,VALUE(REGEXEXTRACT(SUBSTITUTE(TRIM(F186)," ",""),"^-?\d+(\.\d+)?"))&lt;=90,VALUE(REGEXEXTRACT(SUBSTITUTE(TRIM(F186)," ",""),"-?\d+(\.\d+)?$"))&gt;=-180,VALUE(REGEXEXTRACT(SUBSTITUTE(TRIM(F186)," ",""),"-?\d+(\.\d+)?$"))&lt;=180),"OK","REVISAR"),"REVISAR"),"")</f>
        <v/>
      </c>
      <c r="O186">
        <f>IF(A186&lt;&gt;"","https://direcciones507.github.io/direcciones507/panel.html?codigo="&amp;A186&amp;"&amp;nombre="&amp;ENCODEURL(B186)&amp;"&amp;telefono="&amp;SUBSTITUTE(C186,"-","")&amp;"&amp;referencia="&amp;ENCODEURL(E186)&amp;"&amp;lat="&amp;IZQUIERDA(SUBSTITUTE(F186," ",""),ENCONTRAR(",",SUBSTITUTE(F186," ",""))-1)&amp;"&amp;lng="&amp;DERECHA(SUBSTITUTE(F186," ",""),LARGO(SUBSTITUTE(F186," ",""))-ENCONTRAR(",",SUBSTITUTE(F186," ",""))),"")</f>
        <v/>
      </c>
    </row>
    <row r="187" ht="15.75" customHeight="1" s="10">
      <c r="A187" s="8">
        <f>CONCAT("AD507-",TEXT(ROW()-2,"0000"))</f>
        <v/>
      </c>
      <c r="C187" s="8" t="n"/>
      <c r="F187" s="8" t="n"/>
      <c r="G187" s="8">
        <f>IF(F187&lt;&gt;"",HYPERLINK("https://www.google.com/maps/search/?api=1&amp;query="&amp;SUBSTITUTE(F187," ",""),"🗺 Google Maps"),"")</f>
        <v/>
      </c>
      <c r="H187" s="8">
        <f>IF(F187&lt;&gt;"",HYPERLINK("https://waze.com/ul?ll="&amp;SUBSTITUTE(F187," ","")&amp;"&amp;navigate=yes","🚗 Waze"),"")</f>
        <v/>
      </c>
      <c r="I187" s="8">
        <f>IF(F187&lt;&gt;"",HYPERLINK("https://m.uber.com/ul/?action=setPickup&amp;pickup=my_location&amp;dropoff[latitude]="&amp;LEFT(SUBSTITUTE(F187," ",""),FIND(",",SUBSTITUTE(F187," ",""))-1)&amp;"&amp;dropoff[longitude]="&amp;MID(SUBSTITUTE(F187," ",""),FIND(",",SUBSTITUTE(F187," ",""))+1,99),"🚕 Uber"),"")</f>
        <v/>
      </c>
      <c r="J187" s="8">
        <f>IF(F187&lt;&gt;"","https://api.qrserver.com/v1/create-qr-code/?size=200x200&amp;data="&amp;ENCODEURL("https://www.google.com/maps/search/?api=1&amp;query="&amp;SUBSTITUTE(F187," ","")),"")</f>
        <v/>
      </c>
      <c r="K187" s="8">
        <f>IF(C187&lt;&gt;"",HYPERLINK("https://wa.me/507"&amp;REGEXREPLACE(C187,"[^0-9]","")&amp;"?text="&amp;ENCODEURL("Ya llegue. Codigo: "&amp;A187&amp;". Ubicacion: "&amp;"https://www.google.com/maps/search/?api=1&amp;query="&amp;SUBSTITUTE(F187," ","")),"📲 Avisar al cliente"),"")</f>
        <v/>
      </c>
      <c r="L187" s="8">
        <f>IF(C187&lt;&gt;"","https://api.qrserver.com/v1/create-qr-code/?size=200x200&amp;data="&amp;ENCODEURL("https://wa.me/507"&amp;REGEXREPLACE(C187,"[^0-9]","")&amp;"?text="&amp;ENCODEURL("Ya llegue. Codigo: "&amp;A187&amp;". Ubicacion: "&amp;"https://www.google.com/maps/search/?api=1&amp;query="&amp;SUBSTITUTE(F187," ",""))),"")</f>
        <v/>
      </c>
      <c r="M187" s="8">
        <f>IF(B187&lt;&gt;"",TODAY(),"")</f>
        <v/>
      </c>
      <c r="N187" s="8">
        <f>IF(F187&lt;&gt;"",IFERROR(IF(AND(REGEXMATCH(SUBSTITUTE(TRIM(F187)," ",""),"^-?\d+(\.\d+)?,-?\d+(\.\d+)?$"),VALUE(REGEXEXTRACT(SUBSTITUTE(TRIM(F187)," ",""),"^-?\d+(\.\d+)?"))&gt;=-90,VALUE(REGEXEXTRACT(SUBSTITUTE(TRIM(F187)," ",""),"^-?\d+(\.\d+)?"))&lt;=90,VALUE(REGEXEXTRACT(SUBSTITUTE(TRIM(F187)," ",""),"-?\d+(\.\d+)?$"))&gt;=-180,VALUE(REGEXEXTRACT(SUBSTITUTE(TRIM(F187)," ",""),"-?\d+(\.\d+)?$"))&lt;=180),"OK","REVISAR"),"REVISAR"),"")</f>
        <v/>
      </c>
      <c r="O187">
        <f>IF(A187&lt;&gt;"","https://direcciones507.github.io/direcciones507/panel.html?codigo="&amp;A187&amp;"&amp;nombre="&amp;ENCODEURL(B187)&amp;"&amp;telefono="&amp;SUBSTITUTE(C187,"-","")&amp;"&amp;referencia="&amp;ENCODEURL(E187)&amp;"&amp;lat="&amp;IZQUIERDA(SUBSTITUTE(F187," ",""),ENCONTRAR(",",SUBSTITUTE(F187," ",""))-1)&amp;"&amp;lng="&amp;DERECHA(SUBSTITUTE(F187," ",""),LARGO(SUBSTITUTE(F187," ",""))-ENCONTRAR(",",SUBSTITUTE(F187," ",""))),"")</f>
        <v/>
      </c>
    </row>
    <row r="188" ht="15.75" customHeight="1" s="10">
      <c r="A188" s="8">
        <f>CONCAT("AD507-",TEXT(ROW()-2,"0000"))</f>
        <v/>
      </c>
      <c r="C188" s="8" t="n"/>
      <c r="F188" s="8" t="n"/>
      <c r="G188" s="8">
        <f>IF(F188&lt;&gt;"",HYPERLINK("https://www.google.com/maps/search/?api=1&amp;query="&amp;SUBSTITUTE(F188," ",""),"🗺 Google Maps"),"")</f>
        <v/>
      </c>
      <c r="H188" s="8">
        <f>IF(F188&lt;&gt;"",HYPERLINK("https://waze.com/ul?ll="&amp;SUBSTITUTE(F188," ","")&amp;"&amp;navigate=yes","🚗 Waze"),"")</f>
        <v/>
      </c>
      <c r="I188" s="8">
        <f>IF(F188&lt;&gt;"",HYPERLINK("https://m.uber.com/ul/?action=setPickup&amp;pickup=my_location&amp;dropoff[latitude]="&amp;LEFT(SUBSTITUTE(F188," ",""),FIND(",",SUBSTITUTE(F188," ",""))-1)&amp;"&amp;dropoff[longitude]="&amp;MID(SUBSTITUTE(F188," ",""),FIND(",",SUBSTITUTE(F188," ",""))+1,99),"🚕 Uber"),"")</f>
        <v/>
      </c>
      <c r="J188" s="8">
        <f>IF(F188&lt;&gt;"","https://api.qrserver.com/v1/create-qr-code/?size=200x200&amp;data="&amp;ENCODEURL("https://www.google.com/maps/search/?api=1&amp;query="&amp;SUBSTITUTE(F188," ","")),"")</f>
        <v/>
      </c>
      <c r="K188" s="8">
        <f>IF(C188&lt;&gt;"",HYPERLINK("https://wa.me/507"&amp;REGEXREPLACE(C188,"[^0-9]","")&amp;"?text="&amp;ENCODEURL("Ya llegue. Codigo: "&amp;A188&amp;". Ubicacion: "&amp;"https://www.google.com/maps/search/?api=1&amp;query="&amp;SUBSTITUTE(F188," ","")),"📲 Avisar al cliente"),"")</f>
        <v/>
      </c>
      <c r="L188" s="8">
        <f>IF(C188&lt;&gt;"","https://api.qrserver.com/v1/create-qr-code/?size=200x200&amp;data="&amp;ENCODEURL("https://wa.me/507"&amp;REGEXREPLACE(C188,"[^0-9]","")&amp;"?text="&amp;ENCODEURL("Ya llegue. Codigo: "&amp;A188&amp;". Ubicacion: "&amp;"https://www.google.com/maps/search/?api=1&amp;query="&amp;SUBSTITUTE(F188," ",""))),"")</f>
        <v/>
      </c>
      <c r="M188" s="8">
        <f>IF(B188&lt;&gt;"",TODAY(),"")</f>
        <v/>
      </c>
      <c r="N188" s="8">
        <f>IF(F188&lt;&gt;"",IFERROR(IF(AND(REGEXMATCH(SUBSTITUTE(TRIM(F188)," ",""),"^-?\d+(\.\d+)?,-?\d+(\.\d+)?$"),VALUE(REGEXEXTRACT(SUBSTITUTE(TRIM(F188)," ",""),"^-?\d+(\.\d+)?"))&gt;=-90,VALUE(REGEXEXTRACT(SUBSTITUTE(TRIM(F188)," ",""),"^-?\d+(\.\d+)?"))&lt;=90,VALUE(REGEXEXTRACT(SUBSTITUTE(TRIM(F188)," ",""),"-?\d+(\.\d+)?$"))&gt;=-180,VALUE(REGEXEXTRACT(SUBSTITUTE(TRIM(F188)," ",""),"-?\d+(\.\d+)?$"))&lt;=180),"OK","REVISAR"),"REVISAR"),"")</f>
        <v/>
      </c>
      <c r="O188">
        <f>IF(A188&lt;&gt;"","https://direcciones507.github.io/direcciones507/panel.html?codigo="&amp;A188&amp;"&amp;nombre="&amp;ENCODEURL(B188)&amp;"&amp;telefono="&amp;SUBSTITUTE(C188,"-","")&amp;"&amp;referencia="&amp;ENCODEURL(E188)&amp;"&amp;lat="&amp;IZQUIERDA(SUBSTITUTE(F188," ",""),ENCONTRAR(",",SUBSTITUTE(F188," ",""))-1)&amp;"&amp;lng="&amp;DERECHA(SUBSTITUTE(F188," ",""),LARGO(SUBSTITUTE(F188," ",""))-ENCONTRAR(",",SUBSTITUTE(F188," ",""))),"")</f>
        <v/>
      </c>
    </row>
    <row r="189" ht="15.75" customHeight="1" s="10">
      <c r="A189" s="8">
        <f>CONCAT("AD507-",TEXT(ROW()-2,"0000"))</f>
        <v/>
      </c>
      <c r="C189" s="8" t="n"/>
      <c r="F189" s="8" t="n"/>
      <c r="G189" s="8">
        <f>IF(F189&lt;&gt;"",HYPERLINK("https://www.google.com/maps/search/?api=1&amp;query="&amp;SUBSTITUTE(F189," ",""),"🗺 Google Maps"),"")</f>
        <v/>
      </c>
      <c r="H189" s="8">
        <f>IF(F189&lt;&gt;"",HYPERLINK("https://waze.com/ul?ll="&amp;SUBSTITUTE(F189," ","")&amp;"&amp;navigate=yes","🚗 Waze"),"")</f>
        <v/>
      </c>
      <c r="I189" s="8">
        <f>IF(F189&lt;&gt;"",HYPERLINK("https://m.uber.com/ul/?action=setPickup&amp;pickup=my_location&amp;dropoff[latitude]="&amp;LEFT(SUBSTITUTE(F189," ",""),FIND(",",SUBSTITUTE(F189," ",""))-1)&amp;"&amp;dropoff[longitude]="&amp;MID(SUBSTITUTE(F189," ",""),FIND(",",SUBSTITUTE(F189," ",""))+1,99),"🚕 Uber"),"")</f>
        <v/>
      </c>
      <c r="J189" s="8">
        <f>IF(F189&lt;&gt;"","https://api.qrserver.com/v1/create-qr-code/?size=200x200&amp;data="&amp;ENCODEURL("https://www.google.com/maps/search/?api=1&amp;query="&amp;SUBSTITUTE(F189," ","")),"")</f>
        <v/>
      </c>
      <c r="K189" s="8">
        <f>IF(C189&lt;&gt;"",HYPERLINK("https://wa.me/507"&amp;REGEXREPLACE(C189,"[^0-9]","")&amp;"?text="&amp;ENCODEURL("Ya llegue. Codigo: "&amp;A189&amp;". Ubicacion: "&amp;"https://www.google.com/maps/search/?api=1&amp;query="&amp;SUBSTITUTE(F189," ","")),"📲 Avisar al cliente"),"")</f>
        <v/>
      </c>
      <c r="L189" s="8">
        <f>IF(C189&lt;&gt;"","https://api.qrserver.com/v1/create-qr-code/?size=200x200&amp;data="&amp;ENCODEURL("https://wa.me/507"&amp;REGEXREPLACE(C189,"[^0-9]","")&amp;"?text="&amp;ENCODEURL("Ya llegue. Codigo: "&amp;A189&amp;". Ubicacion: "&amp;"https://www.google.com/maps/search/?api=1&amp;query="&amp;SUBSTITUTE(F189," ",""))),"")</f>
        <v/>
      </c>
      <c r="M189" s="8">
        <f>IF(B189&lt;&gt;"",TODAY(),"")</f>
        <v/>
      </c>
      <c r="N189" s="8">
        <f>IF(F189&lt;&gt;"",IFERROR(IF(AND(REGEXMATCH(SUBSTITUTE(TRIM(F189)," ",""),"^-?\d+(\.\d+)?,-?\d+(\.\d+)?$"),VALUE(REGEXEXTRACT(SUBSTITUTE(TRIM(F189)," ",""),"^-?\d+(\.\d+)?"))&gt;=-90,VALUE(REGEXEXTRACT(SUBSTITUTE(TRIM(F189)," ",""),"^-?\d+(\.\d+)?"))&lt;=90,VALUE(REGEXEXTRACT(SUBSTITUTE(TRIM(F189)," ",""),"-?\d+(\.\d+)?$"))&gt;=-180,VALUE(REGEXEXTRACT(SUBSTITUTE(TRIM(F189)," ",""),"-?\d+(\.\d+)?$"))&lt;=180),"OK","REVISAR"),"REVISAR"),"")</f>
        <v/>
      </c>
      <c r="O189">
        <f>IF(A189&lt;&gt;"","https://direcciones507.github.io/direcciones507/panel.html?codigo="&amp;A189&amp;"&amp;nombre="&amp;ENCODEURL(B189)&amp;"&amp;telefono="&amp;SUBSTITUTE(C189,"-","")&amp;"&amp;referencia="&amp;ENCODEURL(E189)&amp;"&amp;lat="&amp;IZQUIERDA(SUBSTITUTE(F189," ",""),ENCONTRAR(",",SUBSTITUTE(F189," ",""))-1)&amp;"&amp;lng="&amp;DERECHA(SUBSTITUTE(F189," ",""),LARGO(SUBSTITUTE(F189," ",""))-ENCONTRAR(",",SUBSTITUTE(F189," ",""))),"")</f>
        <v/>
      </c>
    </row>
    <row r="190" ht="15.75" customHeight="1" s="10">
      <c r="A190" s="8">
        <f>CONCAT("AD507-",TEXT(ROW()-2,"0000"))</f>
        <v/>
      </c>
      <c r="C190" s="8" t="n"/>
      <c r="F190" s="8" t="n"/>
      <c r="G190" s="8">
        <f>IF(F190&lt;&gt;"",HYPERLINK("https://www.google.com/maps/search/?api=1&amp;query="&amp;SUBSTITUTE(F190," ",""),"🗺 Google Maps"),"")</f>
        <v/>
      </c>
      <c r="H190" s="8">
        <f>IF(F190&lt;&gt;"",HYPERLINK("https://waze.com/ul?ll="&amp;SUBSTITUTE(F190," ","")&amp;"&amp;navigate=yes","🚗 Waze"),"")</f>
        <v/>
      </c>
      <c r="I190" s="8">
        <f>IF(F190&lt;&gt;"",HYPERLINK("https://m.uber.com/ul/?action=setPickup&amp;pickup=my_location&amp;dropoff[latitude]="&amp;LEFT(SUBSTITUTE(F190," ",""),FIND(",",SUBSTITUTE(F190," ",""))-1)&amp;"&amp;dropoff[longitude]="&amp;MID(SUBSTITUTE(F190," ",""),FIND(",",SUBSTITUTE(F190," ",""))+1,99),"🚕 Uber"),"")</f>
        <v/>
      </c>
      <c r="J190" s="8">
        <f>IF(F190&lt;&gt;"","https://api.qrserver.com/v1/create-qr-code/?size=200x200&amp;data="&amp;ENCODEURL("https://www.google.com/maps/search/?api=1&amp;query="&amp;SUBSTITUTE(F190," ","")),"")</f>
        <v/>
      </c>
      <c r="K190" s="8">
        <f>IF(C190&lt;&gt;"",HYPERLINK("https://wa.me/507"&amp;REGEXREPLACE(C190,"[^0-9]","")&amp;"?text="&amp;ENCODEURL("Ya llegue. Codigo: "&amp;A190&amp;". Ubicacion: "&amp;"https://www.google.com/maps/search/?api=1&amp;query="&amp;SUBSTITUTE(F190," ","")),"📲 Avisar al cliente"),"")</f>
        <v/>
      </c>
      <c r="L190" s="8">
        <f>IF(C190&lt;&gt;"","https://api.qrserver.com/v1/create-qr-code/?size=200x200&amp;data="&amp;ENCODEURL("https://wa.me/507"&amp;REGEXREPLACE(C190,"[^0-9]","")&amp;"?text="&amp;ENCODEURL("Ya llegue. Codigo: "&amp;A190&amp;". Ubicacion: "&amp;"https://www.google.com/maps/search/?api=1&amp;query="&amp;SUBSTITUTE(F190," ",""))),"")</f>
        <v/>
      </c>
      <c r="M190" s="8">
        <f>IF(B190&lt;&gt;"",TODAY(),"")</f>
        <v/>
      </c>
      <c r="N190" s="8">
        <f>IF(F190&lt;&gt;"",IFERROR(IF(AND(REGEXMATCH(SUBSTITUTE(TRIM(F190)," ",""),"^-?\d+(\.\d+)?,-?\d+(\.\d+)?$"),VALUE(REGEXEXTRACT(SUBSTITUTE(TRIM(F190)," ",""),"^-?\d+(\.\d+)?"))&gt;=-90,VALUE(REGEXEXTRACT(SUBSTITUTE(TRIM(F190)," ",""),"^-?\d+(\.\d+)?"))&lt;=90,VALUE(REGEXEXTRACT(SUBSTITUTE(TRIM(F190)," ",""),"-?\d+(\.\d+)?$"))&gt;=-180,VALUE(REGEXEXTRACT(SUBSTITUTE(TRIM(F190)," ",""),"-?\d+(\.\d+)?$"))&lt;=180),"OK","REVISAR"),"REVISAR"),"")</f>
        <v/>
      </c>
      <c r="O190">
        <f>IF(A190&lt;&gt;"","https://direcciones507.github.io/direcciones507/panel.html?codigo="&amp;A190&amp;"&amp;nombre="&amp;ENCODEURL(B190)&amp;"&amp;telefono="&amp;SUBSTITUTE(C190,"-","")&amp;"&amp;referencia="&amp;ENCODEURL(E190)&amp;"&amp;lat="&amp;IZQUIERDA(SUBSTITUTE(F190," ",""),ENCONTRAR(",",SUBSTITUTE(F190," ",""))-1)&amp;"&amp;lng="&amp;DERECHA(SUBSTITUTE(F190," ",""),LARGO(SUBSTITUTE(F190," ",""))-ENCONTRAR(",",SUBSTITUTE(F190," ",""))),"")</f>
        <v/>
      </c>
    </row>
    <row r="191" ht="15.75" customHeight="1" s="10">
      <c r="A191" s="8">
        <f>CONCAT("AD507-",TEXT(ROW()-2,"0000"))</f>
        <v/>
      </c>
      <c r="C191" s="8" t="n"/>
      <c r="F191" s="8" t="n"/>
      <c r="G191" s="8">
        <f>IF(F191&lt;&gt;"",HYPERLINK("https://www.google.com/maps/search/?api=1&amp;query="&amp;SUBSTITUTE(F191," ",""),"🗺 Google Maps"),"")</f>
        <v/>
      </c>
      <c r="H191" s="8">
        <f>IF(F191&lt;&gt;"",HYPERLINK("https://waze.com/ul?ll="&amp;SUBSTITUTE(F191," ","")&amp;"&amp;navigate=yes","🚗 Waze"),"")</f>
        <v/>
      </c>
      <c r="I191" s="8">
        <f>IF(F191&lt;&gt;"",HYPERLINK("https://m.uber.com/ul/?action=setPickup&amp;pickup=my_location&amp;dropoff[latitude]="&amp;LEFT(SUBSTITUTE(F191," ",""),FIND(",",SUBSTITUTE(F191," ",""))-1)&amp;"&amp;dropoff[longitude]="&amp;MID(SUBSTITUTE(F191," ",""),FIND(",",SUBSTITUTE(F191," ",""))+1,99),"🚕 Uber"),"")</f>
        <v/>
      </c>
      <c r="J191" s="8">
        <f>IF(F191&lt;&gt;"","https://api.qrserver.com/v1/create-qr-code/?size=200x200&amp;data="&amp;ENCODEURL("https://www.google.com/maps/search/?api=1&amp;query="&amp;SUBSTITUTE(F191," ","")),"")</f>
        <v/>
      </c>
      <c r="K191" s="8">
        <f>IF(C191&lt;&gt;"",HYPERLINK("https://wa.me/507"&amp;REGEXREPLACE(C191,"[^0-9]","")&amp;"?text="&amp;ENCODEURL("Ya llegue. Codigo: "&amp;A191&amp;". Ubicacion: "&amp;"https://www.google.com/maps/search/?api=1&amp;query="&amp;SUBSTITUTE(F191," ","")),"📲 Avisar al cliente"),"")</f>
        <v/>
      </c>
      <c r="L191" s="8">
        <f>IF(C191&lt;&gt;"","https://api.qrserver.com/v1/create-qr-code/?size=200x200&amp;data="&amp;ENCODEURL("https://wa.me/507"&amp;REGEXREPLACE(C191,"[^0-9]","")&amp;"?text="&amp;ENCODEURL("Ya llegue. Codigo: "&amp;A191&amp;". Ubicacion: "&amp;"https://www.google.com/maps/search/?api=1&amp;query="&amp;SUBSTITUTE(F191," ",""))),"")</f>
        <v/>
      </c>
      <c r="M191" s="8">
        <f>IF(B191&lt;&gt;"",TODAY(),"")</f>
        <v/>
      </c>
      <c r="N191" s="8">
        <f>IF(F191&lt;&gt;"",IFERROR(IF(AND(REGEXMATCH(SUBSTITUTE(TRIM(F191)," ",""),"^-?\d+(\.\d+)?,-?\d+(\.\d+)?$"),VALUE(REGEXEXTRACT(SUBSTITUTE(TRIM(F191)," ",""),"^-?\d+(\.\d+)?"))&gt;=-90,VALUE(REGEXEXTRACT(SUBSTITUTE(TRIM(F191)," ",""),"^-?\d+(\.\d+)?"))&lt;=90,VALUE(REGEXEXTRACT(SUBSTITUTE(TRIM(F191)," ",""),"-?\d+(\.\d+)?$"))&gt;=-180,VALUE(REGEXEXTRACT(SUBSTITUTE(TRIM(F191)," ",""),"-?\d+(\.\d+)?$"))&lt;=180),"OK","REVISAR"),"REVISAR"),"")</f>
        <v/>
      </c>
      <c r="O191">
        <f>IF(A191&lt;&gt;"","https://direcciones507.github.io/direcciones507/panel.html?codigo="&amp;A191&amp;"&amp;nombre="&amp;ENCODEURL(B191)&amp;"&amp;telefono="&amp;SUBSTITUTE(C191,"-","")&amp;"&amp;referencia="&amp;ENCODEURL(E191)&amp;"&amp;lat="&amp;IZQUIERDA(SUBSTITUTE(F191," ",""),ENCONTRAR(",",SUBSTITUTE(F191," ",""))-1)&amp;"&amp;lng="&amp;DERECHA(SUBSTITUTE(F191," ",""),LARGO(SUBSTITUTE(F191," ",""))-ENCONTRAR(",",SUBSTITUTE(F191," ",""))),"")</f>
        <v/>
      </c>
    </row>
    <row r="192" ht="15.75" customHeight="1" s="10">
      <c r="A192" s="8">
        <f>CONCAT("AD507-",TEXT(ROW()-2,"0000"))</f>
        <v/>
      </c>
      <c r="C192" s="8" t="n"/>
      <c r="F192" s="8" t="n"/>
      <c r="G192" s="8">
        <f>IF(F192&lt;&gt;"",HYPERLINK("https://www.google.com/maps/search/?api=1&amp;query="&amp;SUBSTITUTE(F192," ",""),"🗺 Google Maps"),"")</f>
        <v/>
      </c>
      <c r="H192" s="8">
        <f>IF(F192&lt;&gt;"",HYPERLINK("https://waze.com/ul?ll="&amp;SUBSTITUTE(F192," ","")&amp;"&amp;navigate=yes","🚗 Waze"),"")</f>
        <v/>
      </c>
      <c r="I192" s="8">
        <f>IF(F192&lt;&gt;"",HYPERLINK("https://m.uber.com/ul/?action=setPickup&amp;pickup=my_location&amp;dropoff[latitude]="&amp;LEFT(SUBSTITUTE(F192," ",""),FIND(",",SUBSTITUTE(F192," ",""))-1)&amp;"&amp;dropoff[longitude]="&amp;MID(SUBSTITUTE(F192," ",""),FIND(",",SUBSTITUTE(F192," ",""))+1,99),"🚕 Uber"),"")</f>
        <v/>
      </c>
      <c r="J192" s="8">
        <f>IF(F192&lt;&gt;"","https://api.qrserver.com/v1/create-qr-code/?size=200x200&amp;data="&amp;ENCODEURL("https://www.google.com/maps/search/?api=1&amp;query="&amp;SUBSTITUTE(F192," ","")),"")</f>
        <v/>
      </c>
      <c r="K192" s="8">
        <f>IF(C192&lt;&gt;"",HYPERLINK("https://wa.me/507"&amp;REGEXREPLACE(C192,"[^0-9]","")&amp;"?text="&amp;ENCODEURL("Ya llegue. Codigo: "&amp;A192&amp;". Ubicacion: "&amp;"https://www.google.com/maps/search/?api=1&amp;query="&amp;SUBSTITUTE(F192," ","")),"📲 Avisar al cliente"),"")</f>
        <v/>
      </c>
      <c r="L192" s="8">
        <f>IF(C192&lt;&gt;"","https://api.qrserver.com/v1/create-qr-code/?size=200x200&amp;data="&amp;ENCODEURL("https://wa.me/507"&amp;REGEXREPLACE(C192,"[^0-9]","")&amp;"?text="&amp;ENCODEURL("Ya llegue. Codigo: "&amp;A192&amp;". Ubicacion: "&amp;"https://www.google.com/maps/search/?api=1&amp;query="&amp;SUBSTITUTE(F192," ",""))),"")</f>
        <v/>
      </c>
      <c r="M192" s="8">
        <f>IF(B192&lt;&gt;"",TODAY(),"")</f>
        <v/>
      </c>
      <c r="N192" s="8">
        <f>IF(F192&lt;&gt;"",IFERROR(IF(AND(REGEXMATCH(SUBSTITUTE(TRIM(F192)," ",""),"^-?\d+(\.\d+)?,-?\d+(\.\d+)?$"),VALUE(REGEXEXTRACT(SUBSTITUTE(TRIM(F192)," ",""),"^-?\d+(\.\d+)?"))&gt;=-90,VALUE(REGEXEXTRACT(SUBSTITUTE(TRIM(F192)," ",""),"^-?\d+(\.\d+)?"))&lt;=90,VALUE(REGEXEXTRACT(SUBSTITUTE(TRIM(F192)," ",""),"-?\d+(\.\d+)?$"))&gt;=-180,VALUE(REGEXEXTRACT(SUBSTITUTE(TRIM(F192)," ",""),"-?\d+(\.\d+)?$"))&lt;=180),"OK","REVISAR"),"REVISAR"),"")</f>
        <v/>
      </c>
      <c r="O192">
        <f>IF(A192&lt;&gt;"","https://direcciones507.github.io/direcciones507/panel.html?codigo="&amp;A192&amp;"&amp;nombre="&amp;ENCODEURL(B192)&amp;"&amp;telefono="&amp;SUBSTITUTE(C192,"-","")&amp;"&amp;referencia="&amp;ENCODEURL(E192)&amp;"&amp;lat="&amp;IZQUIERDA(SUBSTITUTE(F192," ",""),ENCONTRAR(",",SUBSTITUTE(F192," ",""))-1)&amp;"&amp;lng="&amp;DERECHA(SUBSTITUTE(F192," ",""),LARGO(SUBSTITUTE(F192," ",""))-ENCONTRAR(",",SUBSTITUTE(F192," ",""))),"")</f>
        <v/>
      </c>
    </row>
    <row r="193" ht="15.75" customHeight="1" s="10">
      <c r="A193" s="8">
        <f>CONCAT("AD507-",TEXT(ROW()-2,"0000"))</f>
        <v/>
      </c>
      <c r="C193" s="8" t="n"/>
      <c r="F193" s="8" t="n"/>
      <c r="G193" s="8">
        <f>IF(F193&lt;&gt;"",HYPERLINK("https://www.google.com/maps/search/?api=1&amp;query="&amp;SUBSTITUTE(F193," ",""),"🗺 Google Maps"),"")</f>
        <v/>
      </c>
      <c r="H193" s="8">
        <f>IF(F193&lt;&gt;"",HYPERLINK("https://waze.com/ul?ll="&amp;SUBSTITUTE(F193," ","")&amp;"&amp;navigate=yes","🚗 Waze"),"")</f>
        <v/>
      </c>
      <c r="I193" s="8">
        <f>IF(F193&lt;&gt;"",HYPERLINK("https://m.uber.com/ul/?action=setPickup&amp;pickup=my_location&amp;dropoff[latitude]="&amp;LEFT(SUBSTITUTE(F193," ",""),FIND(",",SUBSTITUTE(F193," ",""))-1)&amp;"&amp;dropoff[longitude]="&amp;MID(SUBSTITUTE(F193," ",""),FIND(",",SUBSTITUTE(F193," ",""))+1,99),"🚕 Uber"),"")</f>
        <v/>
      </c>
      <c r="J193" s="8">
        <f>IF(F193&lt;&gt;"","https://api.qrserver.com/v1/create-qr-code/?size=200x200&amp;data="&amp;ENCODEURL("https://www.google.com/maps/search/?api=1&amp;query="&amp;SUBSTITUTE(F193," ","")),"")</f>
        <v/>
      </c>
      <c r="K193" s="8">
        <f>IF(C193&lt;&gt;"",HYPERLINK("https://wa.me/507"&amp;REGEXREPLACE(C193,"[^0-9]","")&amp;"?text="&amp;ENCODEURL("Ya llegue. Codigo: "&amp;A193&amp;". Ubicacion: "&amp;"https://www.google.com/maps/search/?api=1&amp;query="&amp;SUBSTITUTE(F193," ","")),"📲 Avisar al cliente"),"")</f>
        <v/>
      </c>
      <c r="L193" s="8">
        <f>IF(C193&lt;&gt;"","https://api.qrserver.com/v1/create-qr-code/?size=200x200&amp;data="&amp;ENCODEURL("https://wa.me/507"&amp;REGEXREPLACE(C193,"[^0-9]","")&amp;"?text="&amp;ENCODEURL("Ya llegue. Codigo: "&amp;A193&amp;". Ubicacion: "&amp;"https://www.google.com/maps/search/?api=1&amp;query="&amp;SUBSTITUTE(F193," ",""))),"")</f>
        <v/>
      </c>
      <c r="M193" s="8">
        <f>IF(B193&lt;&gt;"",TODAY(),"")</f>
        <v/>
      </c>
      <c r="N193" s="8">
        <f>IF(F193&lt;&gt;"",IFERROR(IF(AND(REGEXMATCH(SUBSTITUTE(TRIM(F193)," ",""),"^-?\d+(\.\d+)?,-?\d+(\.\d+)?$"),VALUE(REGEXEXTRACT(SUBSTITUTE(TRIM(F193)," ",""),"^-?\d+(\.\d+)?"))&gt;=-90,VALUE(REGEXEXTRACT(SUBSTITUTE(TRIM(F193)," ",""),"^-?\d+(\.\d+)?"))&lt;=90,VALUE(REGEXEXTRACT(SUBSTITUTE(TRIM(F193)," ",""),"-?\d+(\.\d+)?$"))&gt;=-180,VALUE(REGEXEXTRACT(SUBSTITUTE(TRIM(F193)," ",""),"-?\d+(\.\d+)?$"))&lt;=180),"OK","REVISAR"),"REVISAR"),"")</f>
        <v/>
      </c>
      <c r="O193">
        <f>IF(A193&lt;&gt;"","https://direcciones507.github.io/direcciones507/panel.html?codigo="&amp;A193&amp;"&amp;nombre="&amp;ENCODEURL(B193)&amp;"&amp;telefono="&amp;SUBSTITUTE(C193,"-","")&amp;"&amp;referencia="&amp;ENCODEURL(E193)&amp;"&amp;lat="&amp;IZQUIERDA(SUBSTITUTE(F193," ",""),ENCONTRAR(",",SUBSTITUTE(F193," ",""))-1)&amp;"&amp;lng="&amp;DERECHA(SUBSTITUTE(F193," ",""),LARGO(SUBSTITUTE(F193," ",""))-ENCONTRAR(",",SUBSTITUTE(F193," ",""))),"")</f>
        <v/>
      </c>
    </row>
    <row r="194" ht="15.75" customHeight="1" s="10">
      <c r="A194" s="8">
        <f>CONCAT("AD507-",TEXT(ROW()-2,"0000"))</f>
        <v/>
      </c>
      <c r="C194" s="8" t="n"/>
      <c r="F194" s="8" t="n"/>
      <c r="G194" s="8">
        <f>IF(F194&lt;&gt;"",HYPERLINK("https://www.google.com/maps/search/?api=1&amp;query="&amp;SUBSTITUTE(F194," ",""),"🗺 Google Maps"),"")</f>
        <v/>
      </c>
      <c r="H194" s="8">
        <f>IF(F194&lt;&gt;"",HYPERLINK("https://waze.com/ul?ll="&amp;SUBSTITUTE(F194," ","")&amp;"&amp;navigate=yes","🚗 Waze"),"")</f>
        <v/>
      </c>
      <c r="I194" s="8">
        <f>IF(F194&lt;&gt;"",HYPERLINK("https://m.uber.com/ul/?action=setPickup&amp;pickup=my_location&amp;dropoff[latitude]="&amp;LEFT(SUBSTITUTE(F194," ",""),FIND(",",SUBSTITUTE(F194," ",""))-1)&amp;"&amp;dropoff[longitude]="&amp;MID(SUBSTITUTE(F194," ",""),FIND(",",SUBSTITUTE(F194," ",""))+1,99),"🚕 Uber"),"")</f>
        <v/>
      </c>
      <c r="J194" s="8">
        <f>IF(F194&lt;&gt;"","https://api.qrserver.com/v1/create-qr-code/?size=200x200&amp;data="&amp;ENCODEURL("https://www.google.com/maps/search/?api=1&amp;query="&amp;SUBSTITUTE(F194," ","")),"")</f>
        <v/>
      </c>
      <c r="K194" s="8">
        <f>IF(C194&lt;&gt;"",HYPERLINK("https://wa.me/507"&amp;REGEXREPLACE(C194,"[^0-9]","")&amp;"?text="&amp;ENCODEURL("Ya llegue. Codigo: "&amp;A194&amp;". Ubicacion: "&amp;"https://www.google.com/maps/search/?api=1&amp;query="&amp;SUBSTITUTE(F194," ","")),"📲 Avisar al cliente"),"")</f>
        <v/>
      </c>
      <c r="L194" s="8">
        <f>IF(C194&lt;&gt;"","https://api.qrserver.com/v1/create-qr-code/?size=200x200&amp;data="&amp;ENCODEURL("https://wa.me/507"&amp;REGEXREPLACE(C194,"[^0-9]","")&amp;"?text="&amp;ENCODEURL("Ya llegue. Codigo: "&amp;A194&amp;". Ubicacion: "&amp;"https://www.google.com/maps/search/?api=1&amp;query="&amp;SUBSTITUTE(F194," ",""))),"")</f>
        <v/>
      </c>
      <c r="M194" s="8">
        <f>IF(B194&lt;&gt;"",TODAY(),"")</f>
        <v/>
      </c>
      <c r="N194" s="8">
        <f>IF(F194&lt;&gt;"",IFERROR(IF(AND(REGEXMATCH(SUBSTITUTE(TRIM(F194)," ",""),"^-?\d+(\.\d+)?,-?\d+(\.\d+)?$"),VALUE(REGEXEXTRACT(SUBSTITUTE(TRIM(F194)," ",""),"^-?\d+(\.\d+)?"))&gt;=-90,VALUE(REGEXEXTRACT(SUBSTITUTE(TRIM(F194)," ",""),"^-?\d+(\.\d+)?"))&lt;=90,VALUE(REGEXEXTRACT(SUBSTITUTE(TRIM(F194)," ",""),"-?\d+(\.\d+)?$"))&gt;=-180,VALUE(REGEXEXTRACT(SUBSTITUTE(TRIM(F194)," ",""),"-?\d+(\.\d+)?$"))&lt;=180),"OK","REVISAR"),"REVISAR"),"")</f>
        <v/>
      </c>
      <c r="O194">
        <f>IF(A194&lt;&gt;"","https://direcciones507.github.io/direcciones507/panel.html?codigo="&amp;A194&amp;"&amp;nombre="&amp;ENCODEURL(B194)&amp;"&amp;telefono="&amp;SUBSTITUTE(C194,"-","")&amp;"&amp;referencia="&amp;ENCODEURL(E194)&amp;"&amp;lat="&amp;IZQUIERDA(SUBSTITUTE(F194," ",""),ENCONTRAR(",",SUBSTITUTE(F194," ",""))-1)&amp;"&amp;lng="&amp;DERECHA(SUBSTITUTE(F194," ",""),LARGO(SUBSTITUTE(F194," ",""))-ENCONTRAR(",",SUBSTITUTE(F194," ",""))),"")</f>
        <v/>
      </c>
    </row>
    <row r="195" ht="15.75" customHeight="1" s="10">
      <c r="A195" s="8">
        <f>CONCAT("AD507-",TEXT(ROW()-2,"0000"))</f>
        <v/>
      </c>
      <c r="C195" s="8" t="n"/>
      <c r="F195" s="8" t="n"/>
      <c r="G195" s="8">
        <f>IF(F195&lt;&gt;"",HYPERLINK("https://www.google.com/maps/search/?api=1&amp;query="&amp;SUBSTITUTE(F195," ",""),"🗺 Google Maps"),"")</f>
        <v/>
      </c>
      <c r="H195" s="8">
        <f>IF(F195&lt;&gt;"",HYPERLINK("https://waze.com/ul?ll="&amp;SUBSTITUTE(F195," ","")&amp;"&amp;navigate=yes","🚗 Waze"),"")</f>
        <v/>
      </c>
      <c r="I195" s="8">
        <f>IF(F195&lt;&gt;"",HYPERLINK("https://m.uber.com/ul/?action=setPickup&amp;pickup=my_location&amp;dropoff[latitude]="&amp;LEFT(SUBSTITUTE(F195," ",""),FIND(",",SUBSTITUTE(F195," ",""))-1)&amp;"&amp;dropoff[longitude]="&amp;MID(SUBSTITUTE(F195," ",""),FIND(",",SUBSTITUTE(F195," ",""))+1,99),"🚕 Uber"),"")</f>
        <v/>
      </c>
      <c r="J195" s="8">
        <f>IF(F195&lt;&gt;"","https://api.qrserver.com/v1/create-qr-code/?size=200x200&amp;data="&amp;ENCODEURL("https://www.google.com/maps/search/?api=1&amp;query="&amp;SUBSTITUTE(F195," ","")),"")</f>
        <v/>
      </c>
      <c r="K195" s="8">
        <f>IF(C195&lt;&gt;"",HYPERLINK("https://wa.me/507"&amp;REGEXREPLACE(C195,"[^0-9]","")&amp;"?text="&amp;ENCODEURL("Ya llegue. Codigo: "&amp;A195&amp;". Ubicacion: "&amp;"https://www.google.com/maps/search/?api=1&amp;query="&amp;SUBSTITUTE(F195," ","")),"📲 Avisar al cliente"),"")</f>
        <v/>
      </c>
      <c r="L195" s="8">
        <f>IF(C195&lt;&gt;"","https://api.qrserver.com/v1/create-qr-code/?size=200x200&amp;data="&amp;ENCODEURL("https://wa.me/507"&amp;REGEXREPLACE(C195,"[^0-9]","")&amp;"?text="&amp;ENCODEURL("Ya llegue. Codigo: "&amp;A195&amp;". Ubicacion: "&amp;"https://www.google.com/maps/search/?api=1&amp;query="&amp;SUBSTITUTE(F195," ",""))),"")</f>
        <v/>
      </c>
      <c r="M195" s="8">
        <f>IF(B195&lt;&gt;"",TODAY(),"")</f>
        <v/>
      </c>
      <c r="N195" s="8">
        <f>IF(F195&lt;&gt;"",IFERROR(IF(AND(REGEXMATCH(SUBSTITUTE(TRIM(F195)," ",""),"^-?\d+(\.\d+)?,-?\d+(\.\d+)?$"),VALUE(REGEXEXTRACT(SUBSTITUTE(TRIM(F195)," ",""),"^-?\d+(\.\d+)?"))&gt;=-90,VALUE(REGEXEXTRACT(SUBSTITUTE(TRIM(F195)," ",""),"^-?\d+(\.\d+)?"))&lt;=90,VALUE(REGEXEXTRACT(SUBSTITUTE(TRIM(F195)," ",""),"-?\d+(\.\d+)?$"))&gt;=-180,VALUE(REGEXEXTRACT(SUBSTITUTE(TRIM(F195)," ",""),"-?\d+(\.\d+)?$"))&lt;=180),"OK","REVISAR"),"REVISAR"),"")</f>
        <v/>
      </c>
      <c r="O195">
        <f>IF(A195&lt;&gt;"","https://direcciones507.github.io/direcciones507/panel.html?codigo="&amp;A195&amp;"&amp;nombre="&amp;ENCODEURL(B195)&amp;"&amp;telefono="&amp;SUBSTITUTE(C195,"-","")&amp;"&amp;referencia="&amp;ENCODEURL(E195)&amp;"&amp;lat="&amp;IZQUIERDA(SUBSTITUTE(F195," ",""),ENCONTRAR(",",SUBSTITUTE(F195," ",""))-1)&amp;"&amp;lng="&amp;DERECHA(SUBSTITUTE(F195," ",""),LARGO(SUBSTITUTE(F195," ",""))-ENCONTRAR(",",SUBSTITUTE(F195," ",""))),"")</f>
        <v/>
      </c>
    </row>
    <row r="196" ht="15.75" customHeight="1" s="10">
      <c r="A196" s="8">
        <f>CONCAT("AD507-",TEXT(ROW()-2,"0000"))</f>
        <v/>
      </c>
      <c r="C196" s="8" t="n"/>
      <c r="F196" s="8" t="n"/>
      <c r="G196" s="8">
        <f>IF(F196&lt;&gt;"",HYPERLINK("https://www.google.com/maps/search/?api=1&amp;query="&amp;SUBSTITUTE(F196," ",""),"🗺 Google Maps"),"")</f>
        <v/>
      </c>
      <c r="H196" s="8">
        <f>IF(F196&lt;&gt;"",HYPERLINK("https://waze.com/ul?ll="&amp;SUBSTITUTE(F196," ","")&amp;"&amp;navigate=yes","🚗 Waze"),"")</f>
        <v/>
      </c>
      <c r="I196" s="8">
        <f>IF(F196&lt;&gt;"",HYPERLINK("https://m.uber.com/ul/?action=setPickup&amp;pickup=my_location&amp;dropoff[latitude]="&amp;LEFT(SUBSTITUTE(F196," ",""),FIND(",",SUBSTITUTE(F196," ",""))-1)&amp;"&amp;dropoff[longitude]="&amp;MID(SUBSTITUTE(F196," ",""),FIND(",",SUBSTITUTE(F196," ",""))+1,99),"🚕 Uber"),"")</f>
        <v/>
      </c>
      <c r="J196" s="8">
        <f>IF(F196&lt;&gt;"","https://api.qrserver.com/v1/create-qr-code/?size=200x200&amp;data="&amp;ENCODEURL("https://www.google.com/maps/search/?api=1&amp;query="&amp;SUBSTITUTE(F196," ","")),"")</f>
        <v/>
      </c>
      <c r="K196" s="8">
        <f>IF(C196&lt;&gt;"",HYPERLINK("https://wa.me/507"&amp;REGEXREPLACE(C196,"[^0-9]","")&amp;"?text="&amp;ENCODEURL("Ya llegue. Codigo: "&amp;A196&amp;". Ubicacion: "&amp;"https://www.google.com/maps/search/?api=1&amp;query="&amp;SUBSTITUTE(F196," ","")),"📲 Avisar al cliente"),"")</f>
        <v/>
      </c>
      <c r="L196" s="8">
        <f>IF(C196&lt;&gt;"","https://api.qrserver.com/v1/create-qr-code/?size=200x200&amp;data="&amp;ENCODEURL("https://wa.me/507"&amp;REGEXREPLACE(C196,"[^0-9]","")&amp;"?text="&amp;ENCODEURL("Ya llegue. Codigo: "&amp;A196&amp;". Ubicacion: "&amp;"https://www.google.com/maps/search/?api=1&amp;query="&amp;SUBSTITUTE(F196," ",""))),"")</f>
        <v/>
      </c>
      <c r="M196" s="8">
        <f>IF(B196&lt;&gt;"",TODAY(),"")</f>
        <v/>
      </c>
      <c r="N196" s="8">
        <f>IF(F196&lt;&gt;"",IFERROR(IF(AND(REGEXMATCH(SUBSTITUTE(TRIM(F196)," ",""),"^-?\d+(\.\d+)?,-?\d+(\.\d+)?$"),VALUE(REGEXEXTRACT(SUBSTITUTE(TRIM(F196)," ",""),"^-?\d+(\.\d+)?"))&gt;=-90,VALUE(REGEXEXTRACT(SUBSTITUTE(TRIM(F196)," ",""),"^-?\d+(\.\d+)?"))&lt;=90,VALUE(REGEXEXTRACT(SUBSTITUTE(TRIM(F196)," ",""),"-?\d+(\.\d+)?$"))&gt;=-180,VALUE(REGEXEXTRACT(SUBSTITUTE(TRIM(F196)," ",""),"-?\d+(\.\d+)?$"))&lt;=180),"OK","REVISAR"),"REVISAR"),"")</f>
        <v/>
      </c>
      <c r="O196">
        <f>IF(A196&lt;&gt;"","https://direcciones507.github.io/direcciones507/panel.html?codigo="&amp;A196&amp;"&amp;nombre="&amp;ENCODEURL(B196)&amp;"&amp;telefono="&amp;SUBSTITUTE(C196,"-","")&amp;"&amp;referencia="&amp;ENCODEURL(E196)&amp;"&amp;lat="&amp;IZQUIERDA(SUBSTITUTE(F196," ",""),ENCONTRAR(",",SUBSTITUTE(F196," ",""))-1)&amp;"&amp;lng="&amp;DERECHA(SUBSTITUTE(F196," ",""),LARGO(SUBSTITUTE(F196," ",""))-ENCONTRAR(",",SUBSTITUTE(F196," ",""))),"")</f>
        <v/>
      </c>
    </row>
    <row r="197" ht="15.75" customHeight="1" s="10">
      <c r="A197" s="8">
        <f>CONCAT("AD507-",TEXT(ROW()-2,"0000"))</f>
        <v/>
      </c>
      <c r="C197" s="8" t="n"/>
      <c r="F197" s="8" t="n"/>
      <c r="G197" s="8">
        <f>IF(F197&lt;&gt;"",HYPERLINK("https://www.google.com/maps/search/?api=1&amp;query="&amp;SUBSTITUTE(F197," ",""),"🗺 Google Maps"),"")</f>
        <v/>
      </c>
      <c r="H197" s="8">
        <f>IF(F197&lt;&gt;"",HYPERLINK("https://waze.com/ul?ll="&amp;SUBSTITUTE(F197," ","")&amp;"&amp;navigate=yes","🚗 Waze"),"")</f>
        <v/>
      </c>
      <c r="I197" s="8">
        <f>IF(F197&lt;&gt;"",HYPERLINK("https://m.uber.com/ul/?action=setPickup&amp;pickup=my_location&amp;dropoff[latitude]="&amp;LEFT(SUBSTITUTE(F197," ",""),FIND(",",SUBSTITUTE(F197," ",""))-1)&amp;"&amp;dropoff[longitude]="&amp;MID(SUBSTITUTE(F197," ",""),FIND(",",SUBSTITUTE(F197," ",""))+1,99),"🚕 Uber"),"")</f>
        <v/>
      </c>
      <c r="J197" s="8">
        <f>IF(F197&lt;&gt;"","https://api.qrserver.com/v1/create-qr-code/?size=200x200&amp;data="&amp;ENCODEURL("https://www.google.com/maps/search/?api=1&amp;query="&amp;SUBSTITUTE(F197," ","")),"")</f>
        <v/>
      </c>
      <c r="K197" s="8">
        <f>IF(C197&lt;&gt;"",HYPERLINK("https://wa.me/507"&amp;REGEXREPLACE(C197,"[^0-9]","")&amp;"?text="&amp;ENCODEURL("Ya llegue. Codigo: "&amp;A197&amp;". Ubicacion: "&amp;"https://www.google.com/maps/search/?api=1&amp;query="&amp;SUBSTITUTE(F197," ","")),"📲 Avisar al cliente"),"")</f>
        <v/>
      </c>
      <c r="L197" s="8">
        <f>IF(C197&lt;&gt;"","https://api.qrserver.com/v1/create-qr-code/?size=200x200&amp;data="&amp;ENCODEURL("https://wa.me/507"&amp;REGEXREPLACE(C197,"[^0-9]","")&amp;"?text="&amp;ENCODEURL("Ya llegue. Codigo: "&amp;A197&amp;". Ubicacion: "&amp;"https://www.google.com/maps/search/?api=1&amp;query="&amp;SUBSTITUTE(F197," ",""))),"")</f>
        <v/>
      </c>
      <c r="M197" s="8">
        <f>IF(B197&lt;&gt;"",TODAY(),"")</f>
        <v/>
      </c>
      <c r="N197" s="8">
        <f>IF(F197&lt;&gt;"",IFERROR(IF(AND(REGEXMATCH(SUBSTITUTE(TRIM(F197)," ",""),"^-?\d+(\.\d+)?,-?\d+(\.\d+)?$"),VALUE(REGEXEXTRACT(SUBSTITUTE(TRIM(F197)," ",""),"^-?\d+(\.\d+)?"))&gt;=-90,VALUE(REGEXEXTRACT(SUBSTITUTE(TRIM(F197)," ",""),"^-?\d+(\.\d+)?"))&lt;=90,VALUE(REGEXEXTRACT(SUBSTITUTE(TRIM(F197)," ",""),"-?\d+(\.\d+)?$"))&gt;=-180,VALUE(REGEXEXTRACT(SUBSTITUTE(TRIM(F197)," ",""),"-?\d+(\.\d+)?$"))&lt;=180),"OK","REVISAR"),"REVISAR"),"")</f>
        <v/>
      </c>
      <c r="O197">
        <f>IF(A197&lt;&gt;"","https://direcciones507.github.io/direcciones507/panel.html?codigo="&amp;A197&amp;"&amp;nombre="&amp;ENCODEURL(B197)&amp;"&amp;telefono="&amp;SUBSTITUTE(C197,"-","")&amp;"&amp;referencia="&amp;ENCODEURL(E197)&amp;"&amp;lat="&amp;IZQUIERDA(SUBSTITUTE(F197," ",""),ENCONTRAR(",",SUBSTITUTE(F197," ",""))-1)&amp;"&amp;lng="&amp;DERECHA(SUBSTITUTE(F197," ",""),LARGO(SUBSTITUTE(F197," ",""))-ENCONTRAR(",",SUBSTITUTE(F197," ",""))),"")</f>
        <v/>
      </c>
    </row>
    <row r="198" ht="15.75" customHeight="1" s="10">
      <c r="A198" s="8">
        <f>CONCAT("AD507-",TEXT(ROW()-2,"0000"))</f>
        <v/>
      </c>
      <c r="C198" s="8" t="n"/>
      <c r="F198" s="8" t="n"/>
      <c r="G198" s="8">
        <f>IF(F198&lt;&gt;"",HYPERLINK("https://www.google.com/maps/search/?api=1&amp;query="&amp;SUBSTITUTE(F198," ",""),"🗺 Google Maps"),"")</f>
        <v/>
      </c>
      <c r="H198" s="8">
        <f>IF(F198&lt;&gt;"",HYPERLINK("https://waze.com/ul?ll="&amp;SUBSTITUTE(F198," ","")&amp;"&amp;navigate=yes","🚗 Waze"),"")</f>
        <v/>
      </c>
      <c r="I198" s="8">
        <f>IF(F198&lt;&gt;"",HYPERLINK("https://m.uber.com/ul/?action=setPickup&amp;pickup=my_location&amp;dropoff[latitude]="&amp;LEFT(SUBSTITUTE(F198," ",""),FIND(",",SUBSTITUTE(F198," ",""))-1)&amp;"&amp;dropoff[longitude]="&amp;MID(SUBSTITUTE(F198," ",""),FIND(",",SUBSTITUTE(F198," ",""))+1,99),"🚕 Uber"),"")</f>
        <v/>
      </c>
      <c r="J198" s="8">
        <f>IF(F198&lt;&gt;"","https://api.qrserver.com/v1/create-qr-code/?size=200x200&amp;data="&amp;ENCODEURL("https://www.google.com/maps/search/?api=1&amp;query="&amp;SUBSTITUTE(F198," ","")),"")</f>
        <v/>
      </c>
      <c r="K198" s="8">
        <f>IF(C198&lt;&gt;"",HYPERLINK("https://wa.me/507"&amp;REGEXREPLACE(C198,"[^0-9]","")&amp;"?text="&amp;ENCODEURL("Ya llegue. Codigo: "&amp;A198&amp;". Ubicacion: "&amp;"https://www.google.com/maps/search/?api=1&amp;query="&amp;SUBSTITUTE(F198," ","")),"📲 Avisar al cliente"),"")</f>
        <v/>
      </c>
      <c r="L198" s="8">
        <f>IF(C198&lt;&gt;"","https://api.qrserver.com/v1/create-qr-code/?size=200x200&amp;data="&amp;ENCODEURL("https://wa.me/507"&amp;REGEXREPLACE(C198,"[^0-9]","")&amp;"?text="&amp;ENCODEURL("Ya llegue. Codigo: "&amp;A198&amp;". Ubicacion: "&amp;"https://www.google.com/maps/search/?api=1&amp;query="&amp;SUBSTITUTE(F198," ",""))),"")</f>
        <v/>
      </c>
      <c r="M198" s="8">
        <f>IF(B198&lt;&gt;"",TODAY(),"")</f>
        <v/>
      </c>
      <c r="N198" s="8">
        <f>IF(F198&lt;&gt;"",IFERROR(IF(AND(REGEXMATCH(SUBSTITUTE(TRIM(F198)," ",""),"^-?\d+(\.\d+)?,-?\d+(\.\d+)?$"),VALUE(REGEXEXTRACT(SUBSTITUTE(TRIM(F198)," ",""),"^-?\d+(\.\d+)?"))&gt;=-90,VALUE(REGEXEXTRACT(SUBSTITUTE(TRIM(F198)," ",""),"^-?\d+(\.\d+)?"))&lt;=90,VALUE(REGEXEXTRACT(SUBSTITUTE(TRIM(F198)," ",""),"-?\d+(\.\d+)?$"))&gt;=-180,VALUE(REGEXEXTRACT(SUBSTITUTE(TRIM(F198)," ",""),"-?\d+(\.\d+)?$"))&lt;=180),"OK","REVISAR"),"REVISAR"),"")</f>
        <v/>
      </c>
      <c r="O198">
        <f>IF(A198&lt;&gt;"","https://direcciones507.github.io/direcciones507/panel.html?codigo="&amp;A198&amp;"&amp;nombre="&amp;ENCODEURL(B198)&amp;"&amp;telefono="&amp;SUBSTITUTE(C198,"-","")&amp;"&amp;referencia="&amp;ENCODEURL(E198)&amp;"&amp;lat="&amp;IZQUIERDA(SUBSTITUTE(F198," ",""),ENCONTRAR(",",SUBSTITUTE(F198," ",""))-1)&amp;"&amp;lng="&amp;DERECHA(SUBSTITUTE(F198," ",""),LARGO(SUBSTITUTE(F198," ",""))-ENCONTRAR(",",SUBSTITUTE(F198," ",""))),"")</f>
        <v/>
      </c>
    </row>
    <row r="199" ht="15.75" customHeight="1" s="10">
      <c r="A199" s="8">
        <f>CONCAT("AD507-",TEXT(ROW()-2,"0000"))</f>
        <v/>
      </c>
      <c r="C199" s="8" t="n"/>
      <c r="F199" s="8" t="n"/>
      <c r="G199" s="8">
        <f>IF(F199&lt;&gt;"",HYPERLINK("https://www.google.com/maps/search/?api=1&amp;query="&amp;SUBSTITUTE(F199," ",""),"🗺 Google Maps"),"")</f>
        <v/>
      </c>
      <c r="H199" s="8">
        <f>IF(F199&lt;&gt;"",HYPERLINK("https://waze.com/ul?ll="&amp;SUBSTITUTE(F199," ","")&amp;"&amp;navigate=yes","🚗 Waze"),"")</f>
        <v/>
      </c>
      <c r="I199" s="8">
        <f>IF(F199&lt;&gt;"",HYPERLINK("https://m.uber.com/ul/?action=setPickup&amp;pickup=my_location&amp;dropoff[latitude]="&amp;LEFT(SUBSTITUTE(F199," ",""),FIND(",",SUBSTITUTE(F199," ",""))-1)&amp;"&amp;dropoff[longitude]="&amp;MID(SUBSTITUTE(F199," ",""),FIND(",",SUBSTITUTE(F199," ",""))+1,99),"🚕 Uber"),"")</f>
        <v/>
      </c>
      <c r="J199" s="8">
        <f>IF(F199&lt;&gt;"","https://api.qrserver.com/v1/create-qr-code/?size=200x200&amp;data="&amp;ENCODEURL("https://www.google.com/maps/search/?api=1&amp;query="&amp;SUBSTITUTE(F199," ","")),"")</f>
        <v/>
      </c>
      <c r="K199" s="8">
        <f>IF(C199&lt;&gt;"",HYPERLINK("https://wa.me/507"&amp;REGEXREPLACE(C199,"[^0-9]","")&amp;"?text="&amp;ENCODEURL("Ya llegue. Codigo: "&amp;A199&amp;". Ubicacion: "&amp;"https://www.google.com/maps/search/?api=1&amp;query="&amp;SUBSTITUTE(F199," ","")),"📲 Avisar al cliente"),"")</f>
        <v/>
      </c>
      <c r="L199" s="8">
        <f>IF(C199&lt;&gt;"","https://api.qrserver.com/v1/create-qr-code/?size=200x200&amp;data="&amp;ENCODEURL("https://wa.me/507"&amp;REGEXREPLACE(C199,"[^0-9]","")&amp;"?text="&amp;ENCODEURL("Ya llegue. Codigo: "&amp;A199&amp;". Ubicacion: "&amp;"https://www.google.com/maps/search/?api=1&amp;query="&amp;SUBSTITUTE(F199," ",""))),"")</f>
        <v/>
      </c>
      <c r="M199" s="8">
        <f>IF(B199&lt;&gt;"",TODAY(),"")</f>
        <v/>
      </c>
      <c r="N199" s="8">
        <f>IF(F199&lt;&gt;"",IFERROR(IF(AND(REGEXMATCH(SUBSTITUTE(TRIM(F199)," ",""),"^-?\d+(\.\d+)?,-?\d+(\.\d+)?$"),VALUE(REGEXEXTRACT(SUBSTITUTE(TRIM(F199)," ",""),"^-?\d+(\.\d+)?"))&gt;=-90,VALUE(REGEXEXTRACT(SUBSTITUTE(TRIM(F199)," ",""),"^-?\d+(\.\d+)?"))&lt;=90,VALUE(REGEXEXTRACT(SUBSTITUTE(TRIM(F199)," ",""),"-?\d+(\.\d+)?$"))&gt;=-180,VALUE(REGEXEXTRACT(SUBSTITUTE(TRIM(F199)," ",""),"-?\d+(\.\d+)?$"))&lt;=180),"OK","REVISAR"),"REVISAR"),"")</f>
        <v/>
      </c>
      <c r="O199">
        <f>IF(A199&lt;&gt;"","https://direcciones507.github.io/direcciones507/panel.html?codigo="&amp;A199&amp;"&amp;nombre="&amp;ENCODEURL(B199)&amp;"&amp;telefono="&amp;SUBSTITUTE(C199,"-","")&amp;"&amp;referencia="&amp;ENCODEURL(E199)&amp;"&amp;lat="&amp;IZQUIERDA(SUBSTITUTE(F199," ",""),ENCONTRAR(",",SUBSTITUTE(F199," ",""))-1)&amp;"&amp;lng="&amp;DERECHA(SUBSTITUTE(F199," ",""),LARGO(SUBSTITUTE(F199," ",""))-ENCONTRAR(",",SUBSTITUTE(F199," ",""))),"")</f>
        <v/>
      </c>
    </row>
    <row r="200" ht="15.75" customHeight="1" s="10">
      <c r="A200" s="8">
        <f>CONCAT("AD507-",TEXT(ROW()-2,"0000"))</f>
        <v/>
      </c>
      <c r="C200" s="8" t="n"/>
      <c r="F200" s="8" t="n"/>
      <c r="G200" s="8">
        <f>IF(F200&lt;&gt;"",HYPERLINK("https://www.google.com/maps/search/?api=1&amp;query="&amp;SUBSTITUTE(F200," ",""),"🗺 Google Maps"),"")</f>
        <v/>
      </c>
      <c r="H200" s="8">
        <f>IF(F200&lt;&gt;"",HYPERLINK("https://waze.com/ul?ll="&amp;SUBSTITUTE(F200," ","")&amp;"&amp;navigate=yes","🚗 Waze"),"")</f>
        <v/>
      </c>
      <c r="I200" s="8">
        <f>IF(F200&lt;&gt;"",HYPERLINK("https://m.uber.com/ul/?action=setPickup&amp;pickup=my_location&amp;dropoff[latitude]="&amp;LEFT(SUBSTITUTE(F200," ",""),FIND(",",SUBSTITUTE(F200," ",""))-1)&amp;"&amp;dropoff[longitude]="&amp;MID(SUBSTITUTE(F200," ",""),FIND(",",SUBSTITUTE(F200," ",""))+1,99),"🚕 Uber"),"")</f>
        <v/>
      </c>
      <c r="J200" s="8">
        <f>IF(F200&lt;&gt;"","https://api.qrserver.com/v1/create-qr-code/?size=200x200&amp;data="&amp;ENCODEURL("https://www.google.com/maps/search/?api=1&amp;query="&amp;SUBSTITUTE(F200," ","")),"")</f>
        <v/>
      </c>
      <c r="K200" s="8">
        <f>IF(C200&lt;&gt;"",HYPERLINK("https://wa.me/507"&amp;REGEXREPLACE(C200,"[^0-9]","")&amp;"?text="&amp;ENCODEURL("Ya llegue. Codigo: "&amp;A200&amp;". Ubicacion: "&amp;"https://www.google.com/maps/search/?api=1&amp;query="&amp;SUBSTITUTE(F200," ","")),"📲 Avisar al cliente"),"")</f>
        <v/>
      </c>
      <c r="L200" s="8">
        <f>IF(C200&lt;&gt;"","https://api.qrserver.com/v1/create-qr-code/?size=200x200&amp;data="&amp;ENCODEURL("https://wa.me/507"&amp;REGEXREPLACE(C200,"[^0-9]","")&amp;"?text="&amp;ENCODEURL("Ya llegue. Codigo: "&amp;A200&amp;". Ubicacion: "&amp;"https://www.google.com/maps/search/?api=1&amp;query="&amp;SUBSTITUTE(F200," ",""))),"")</f>
        <v/>
      </c>
      <c r="M200" s="8">
        <f>IF(B200&lt;&gt;"",TODAY(),"")</f>
        <v/>
      </c>
      <c r="N200" s="8">
        <f>IF(F200&lt;&gt;"",IFERROR(IF(AND(REGEXMATCH(SUBSTITUTE(TRIM(F200)," ",""),"^-?\d+(\.\d+)?,-?\d+(\.\d+)?$"),VALUE(REGEXEXTRACT(SUBSTITUTE(TRIM(F200)," ",""),"^-?\d+(\.\d+)?"))&gt;=-90,VALUE(REGEXEXTRACT(SUBSTITUTE(TRIM(F200)," ",""),"^-?\d+(\.\d+)?"))&lt;=90,VALUE(REGEXEXTRACT(SUBSTITUTE(TRIM(F200)," ",""),"-?\d+(\.\d+)?$"))&gt;=-180,VALUE(REGEXEXTRACT(SUBSTITUTE(TRIM(F200)," ",""),"-?\d+(\.\d+)?$"))&lt;=180),"OK","REVISAR"),"REVISAR"),"")</f>
        <v/>
      </c>
      <c r="O200">
        <f>IF(A200&lt;&gt;"","https://direcciones507.github.io/direcciones507/panel.html?codigo="&amp;A200&amp;"&amp;nombre="&amp;ENCODEURL(B200)&amp;"&amp;telefono="&amp;SUBSTITUTE(C200,"-","")&amp;"&amp;referencia="&amp;ENCODEURL(E200)&amp;"&amp;lat="&amp;IZQUIERDA(SUBSTITUTE(F200," ",""),ENCONTRAR(",",SUBSTITUTE(F200," ",""))-1)&amp;"&amp;lng="&amp;DERECHA(SUBSTITUTE(F200," ",""),LARGO(SUBSTITUTE(F200," ",""))-ENCONTRAR(",",SUBSTITUTE(F200," ",""))),"")</f>
        <v/>
      </c>
    </row>
    <row r="201" ht="15.75" customHeight="1" s="10">
      <c r="A201" s="8">
        <f>CONCAT("AD507-",TEXT(ROW()-2,"0000"))</f>
        <v/>
      </c>
      <c r="C201" s="8" t="n"/>
      <c r="F201" s="8" t="n"/>
      <c r="G201" s="8">
        <f>IF(F201&lt;&gt;"",HYPERLINK("https://www.google.com/maps/search/?api=1&amp;query="&amp;SUBSTITUTE(F201," ",""),"🗺 Google Maps"),"")</f>
        <v/>
      </c>
      <c r="H201" s="8">
        <f>IF(F201&lt;&gt;"",HYPERLINK("https://waze.com/ul?ll="&amp;SUBSTITUTE(F201," ","")&amp;"&amp;navigate=yes","🚗 Waze"),"")</f>
        <v/>
      </c>
      <c r="I201" s="8">
        <f>IF(F201&lt;&gt;"",HYPERLINK("https://m.uber.com/ul/?action=setPickup&amp;pickup=my_location&amp;dropoff[latitude]="&amp;LEFT(SUBSTITUTE(F201," ",""),FIND(",",SUBSTITUTE(F201," ",""))-1)&amp;"&amp;dropoff[longitude]="&amp;MID(SUBSTITUTE(F201," ",""),FIND(",",SUBSTITUTE(F201," ",""))+1,99),"🚕 Uber"),"")</f>
        <v/>
      </c>
      <c r="J201" s="8">
        <f>IF(F201&lt;&gt;"","https://api.qrserver.com/v1/create-qr-code/?size=200x200&amp;data="&amp;ENCODEURL("https://www.google.com/maps/search/?api=1&amp;query="&amp;SUBSTITUTE(F201," ","")),"")</f>
        <v/>
      </c>
      <c r="K201" s="8">
        <f>IF(C201&lt;&gt;"",HYPERLINK("https://wa.me/507"&amp;REGEXREPLACE(C201,"[^0-9]","")&amp;"?text="&amp;ENCODEURL("Ya llegue. Codigo: "&amp;A201&amp;". Ubicacion: "&amp;"https://www.google.com/maps/search/?api=1&amp;query="&amp;SUBSTITUTE(F201," ","")),"📲 Avisar al cliente"),"")</f>
        <v/>
      </c>
      <c r="L201" s="8">
        <f>IF(C201&lt;&gt;"","https://api.qrserver.com/v1/create-qr-code/?size=200x200&amp;data="&amp;ENCODEURL("https://wa.me/507"&amp;REGEXREPLACE(C201,"[^0-9]","")&amp;"?text="&amp;ENCODEURL("Ya llegue. Codigo: "&amp;A201&amp;". Ubicacion: "&amp;"https://www.google.com/maps/search/?api=1&amp;query="&amp;SUBSTITUTE(F201," ",""))),"")</f>
        <v/>
      </c>
      <c r="M201" s="8">
        <f>IF(B201&lt;&gt;"",TODAY(),"")</f>
        <v/>
      </c>
      <c r="N201" s="8">
        <f>IF(F201&lt;&gt;"",IFERROR(IF(AND(REGEXMATCH(SUBSTITUTE(TRIM(F201)," ",""),"^-?\d+(\.\d+)?,-?\d+(\.\d+)?$"),VALUE(REGEXEXTRACT(SUBSTITUTE(TRIM(F201)," ",""),"^-?\d+(\.\d+)?"))&gt;=-90,VALUE(REGEXEXTRACT(SUBSTITUTE(TRIM(F201)," ",""),"^-?\d+(\.\d+)?"))&lt;=90,VALUE(REGEXEXTRACT(SUBSTITUTE(TRIM(F201)," ",""),"-?\d+(\.\d+)?$"))&gt;=-180,VALUE(REGEXEXTRACT(SUBSTITUTE(TRIM(F201)," ",""),"-?\d+(\.\d+)?$"))&lt;=180),"OK","REVISAR"),"REVISAR"),"")</f>
        <v/>
      </c>
      <c r="O201">
        <f>IF(A201&lt;&gt;"","https://direcciones507.github.io/direcciones507/panel.html?codigo="&amp;A201&amp;"&amp;nombre="&amp;ENCODEURL(B201)&amp;"&amp;telefono="&amp;SUBSTITUTE(C201,"-","")&amp;"&amp;referencia="&amp;ENCODEURL(E201)&amp;"&amp;lat="&amp;IZQUIERDA(SUBSTITUTE(F201," ",""),ENCONTRAR(",",SUBSTITUTE(F201," ",""))-1)&amp;"&amp;lng="&amp;DERECHA(SUBSTITUTE(F201," ",""),LARGO(SUBSTITUTE(F201," ",""))-ENCONTRAR(",",SUBSTITUTE(F201," ",""))),"")</f>
        <v/>
      </c>
    </row>
    <row r="202" ht="15.75" customHeight="1" s="10">
      <c r="A202" s="8">
        <f>CONCAT("AD507-",TEXT(ROW()-2,"0000"))</f>
        <v/>
      </c>
      <c r="C202" s="8" t="n"/>
      <c r="F202" s="8" t="n"/>
      <c r="G202" s="8">
        <f>IF(F202&lt;&gt;"",HYPERLINK("https://www.google.com/maps/search/?api=1&amp;query="&amp;SUBSTITUTE(F202," ",""),"🗺 Google Maps"),"")</f>
        <v/>
      </c>
      <c r="H202" s="8">
        <f>IF(F202&lt;&gt;"",HYPERLINK("https://waze.com/ul?ll="&amp;SUBSTITUTE(F202," ","")&amp;"&amp;navigate=yes","🚗 Waze"),"")</f>
        <v/>
      </c>
      <c r="I202" s="8">
        <f>IF(F202&lt;&gt;"",HYPERLINK("https://m.uber.com/ul/?action=setPickup&amp;pickup=my_location&amp;dropoff[latitude]="&amp;LEFT(SUBSTITUTE(F202," ",""),FIND(",",SUBSTITUTE(F202," ",""))-1)&amp;"&amp;dropoff[longitude]="&amp;MID(SUBSTITUTE(F202," ",""),FIND(",",SUBSTITUTE(F202," ",""))+1,99),"🚕 Uber"),"")</f>
        <v/>
      </c>
      <c r="J202" s="8">
        <f>IF(F202&lt;&gt;"","https://api.qrserver.com/v1/create-qr-code/?size=200x200&amp;data="&amp;ENCODEURL("https://www.google.com/maps/search/?api=1&amp;query="&amp;SUBSTITUTE(F202," ","")),"")</f>
        <v/>
      </c>
      <c r="K202" s="8">
        <f>IF(C202&lt;&gt;"",HYPERLINK("https://wa.me/507"&amp;REGEXREPLACE(C202,"[^0-9]","")&amp;"?text="&amp;ENCODEURL("Ya llegue. Codigo: "&amp;A202&amp;". Ubicacion: "&amp;"https://www.google.com/maps/search/?api=1&amp;query="&amp;SUBSTITUTE(F202," ","")),"📲 Avisar al cliente"),"")</f>
        <v/>
      </c>
      <c r="L202" s="8">
        <f>IF(C202&lt;&gt;"","https://api.qrserver.com/v1/create-qr-code/?size=200x200&amp;data="&amp;ENCODEURL("https://wa.me/507"&amp;REGEXREPLACE(C202,"[^0-9]","")&amp;"?text="&amp;ENCODEURL("Ya llegue. Codigo: "&amp;A202&amp;". Ubicacion: "&amp;"https://www.google.com/maps/search/?api=1&amp;query="&amp;SUBSTITUTE(F202," ",""))),"")</f>
        <v/>
      </c>
      <c r="M202" s="8">
        <f>IF(B202&lt;&gt;"",TODAY(),"")</f>
        <v/>
      </c>
      <c r="N202" s="8">
        <f>IF(F202&lt;&gt;"",IFERROR(IF(AND(REGEXMATCH(SUBSTITUTE(TRIM(F202)," ",""),"^-?\d+(\.\d+)?,-?\d+(\.\d+)?$"),VALUE(REGEXEXTRACT(SUBSTITUTE(TRIM(F202)," ",""),"^-?\d+(\.\d+)?"))&gt;=-90,VALUE(REGEXEXTRACT(SUBSTITUTE(TRIM(F202)," ",""),"^-?\d+(\.\d+)?"))&lt;=90,VALUE(REGEXEXTRACT(SUBSTITUTE(TRIM(F202)," ",""),"-?\d+(\.\d+)?$"))&gt;=-180,VALUE(REGEXEXTRACT(SUBSTITUTE(TRIM(F202)," ",""),"-?\d+(\.\d+)?$"))&lt;=180),"OK","REVISAR"),"REVISAR"),"")</f>
        <v/>
      </c>
      <c r="O202">
        <f>IF(A202&lt;&gt;"","https://direcciones507.github.io/direcciones507/panel.html?codigo="&amp;A202&amp;"&amp;nombre="&amp;ENCODEURL(B202)&amp;"&amp;telefono="&amp;SUBSTITUTE(C202,"-","")&amp;"&amp;referencia="&amp;ENCODEURL(E202)&amp;"&amp;lat="&amp;IZQUIERDA(SUBSTITUTE(F202," ",""),ENCONTRAR(",",SUBSTITUTE(F202," ",""))-1)&amp;"&amp;lng="&amp;DERECHA(SUBSTITUTE(F202," ",""),LARGO(SUBSTITUTE(F202," ",""))-ENCONTRAR(",",SUBSTITUTE(F202," ",""))),"")</f>
        <v/>
      </c>
    </row>
    <row r="203" ht="15.75" customHeight="1" s="10">
      <c r="A203" s="8">
        <f>CONCAT("AD507-",TEXT(ROW()-2,"0000"))</f>
        <v/>
      </c>
      <c r="C203" s="8" t="n"/>
      <c r="F203" s="8" t="n"/>
      <c r="G203" s="8">
        <f>IF(F203&lt;&gt;"",HYPERLINK("https://www.google.com/maps/search/?api=1&amp;query="&amp;SUBSTITUTE(F203," ",""),"🗺 Google Maps"),"")</f>
        <v/>
      </c>
      <c r="H203" s="8">
        <f>IF(F203&lt;&gt;"",HYPERLINK("https://waze.com/ul?ll="&amp;SUBSTITUTE(F203," ","")&amp;"&amp;navigate=yes","🚗 Waze"),"")</f>
        <v/>
      </c>
      <c r="I203" s="8">
        <f>IF(F203&lt;&gt;"",HYPERLINK("https://m.uber.com/ul/?action=setPickup&amp;pickup=my_location&amp;dropoff[latitude]="&amp;LEFT(SUBSTITUTE(F203," ",""),FIND(",",SUBSTITUTE(F203," ",""))-1)&amp;"&amp;dropoff[longitude]="&amp;MID(SUBSTITUTE(F203," ",""),FIND(",",SUBSTITUTE(F203," ",""))+1,99),"🚕 Uber"),"")</f>
        <v/>
      </c>
      <c r="J203" s="8">
        <f>IF(F203&lt;&gt;"","https://api.qrserver.com/v1/create-qr-code/?size=200x200&amp;data="&amp;ENCODEURL("https://www.google.com/maps/search/?api=1&amp;query="&amp;SUBSTITUTE(F203," ","")),"")</f>
        <v/>
      </c>
      <c r="K203" s="8">
        <f>IF(C203&lt;&gt;"",HYPERLINK("https://wa.me/507"&amp;REGEXREPLACE(C203,"[^0-9]","")&amp;"?text="&amp;ENCODEURL("Ya llegue. Codigo: "&amp;A203&amp;". Ubicacion: "&amp;"https://www.google.com/maps/search/?api=1&amp;query="&amp;SUBSTITUTE(F203," ","")),"📲 Avisar al cliente"),"")</f>
        <v/>
      </c>
      <c r="L203" s="8">
        <f>IF(C203&lt;&gt;"","https://api.qrserver.com/v1/create-qr-code/?size=200x200&amp;data="&amp;ENCODEURL("https://wa.me/507"&amp;REGEXREPLACE(C203,"[^0-9]","")&amp;"?text="&amp;ENCODEURL("Ya llegue. Codigo: "&amp;A203&amp;". Ubicacion: "&amp;"https://www.google.com/maps/search/?api=1&amp;query="&amp;SUBSTITUTE(F203," ",""))),"")</f>
        <v/>
      </c>
      <c r="M203" s="8">
        <f>IF(B203&lt;&gt;"",TODAY(),"")</f>
        <v/>
      </c>
      <c r="N203" s="8">
        <f>IF(F203&lt;&gt;"",IFERROR(IF(AND(REGEXMATCH(SUBSTITUTE(TRIM(F203)," ",""),"^-?\d+(\.\d+)?,-?\d+(\.\d+)?$"),VALUE(REGEXEXTRACT(SUBSTITUTE(TRIM(F203)," ",""),"^-?\d+(\.\d+)?"))&gt;=-90,VALUE(REGEXEXTRACT(SUBSTITUTE(TRIM(F203)," ",""),"^-?\d+(\.\d+)?"))&lt;=90,VALUE(REGEXEXTRACT(SUBSTITUTE(TRIM(F203)," ",""),"-?\d+(\.\d+)?$"))&gt;=-180,VALUE(REGEXEXTRACT(SUBSTITUTE(TRIM(F203)," ",""),"-?\d+(\.\d+)?$"))&lt;=180),"OK","REVISAR"),"REVISAR"),"")</f>
        <v/>
      </c>
      <c r="O203">
        <f>IF(A203&lt;&gt;"","https://direcciones507.github.io/direcciones507/panel.html?codigo="&amp;A203&amp;"&amp;nombre="&amp;ENCODEURL(B203)&amp;"&amp;telefono="&amp;SUBSTITUTE(C203,"-","")&amp;"&amp;referencia="&amp;ENCODEURL(E203)&amp;"&amp;lat="&amp;IZQUIERDA(SUBSTITUTE(F203," ",""),ENCONTRAR(",",SUBSTITUTE(F203," ",""))-1)&amp;"&amp;lng="&amp;DERECHA(SUBSTITUTE(F203," ",""),LARGO(SUBSTITUTE(F203," ",""))-ENCONTRAR(",",SUBSTITUTE(F203," ",""))),"")</f>
        <v/>
      </c>
    </row>
    <row r="204" ht="15.75" customHeight="1" s="10">
      <c r="A204" s="8">
        <f>CONCAT("AD507-",TEXT(ROW()-2,"0000"))</f>
        <v/>
      </c>
      <c r="C204" s="8" t="n"/>
      <c r="F204" s="8" t="n"/>
      <c r="G204" s="8">
        <f>IF(F204&lt;&gt;"",HYPERLINK("https://www.google.com/maps/search/?api=1&amp;query="&amp;SUBSTITUTE(F204," ",""),"🗺 Google Maps"),"")</f>
        <v/>
      </c>
      <c r="H204" s="8">
        <f>IF(F204&lt;&gt;"",HYPERLINK("https://waze.com/ul?ll="&amp;SUBSTITUTE(F204," ","")&amp;"&amp;navigate=yes","🚗 Waze"),"")</f>
        <v/>
      </c>
      <c r="I204" s="8">
        <f>IF(F204&lt;&gt;"",HYPERLINK("https://m.uber.com/ul/?action=setPickup&amp;pickup=my_location&amp;dropoff[latitude]="&amp;LEFT(SUBSTITUTE(F204," ",""),FIND(",",SUBSTITUTE(F204," ",""))-1)&amp;"&amp;dropoff[longitude]="&amp;MID(SUBSTITUTE(F204," ",""),FIND(",",SUBSTITUTE(F204," ",""))+1,99),"🚕 Uber"),"")</f>
        <v/>
      </c>
      <c r="J204" s="8">
        <f>IF(F204&lt;&gt;"","https://api.qrserver.com/v1/create-qr-code/?size=200x200&amp;data="&amp;ENCODEURL("https://www.google.com/maps/search/?api=1&amp;query="&amp;SUBSTITUTE(F204," ","")),"")</f>
        <v/>
      </c>
      <c r="K204" s="8">
        <f>IF(C204&lt;&gt;"",HYPERLINK("https://wa.me/507"&amp;REGEXREPLACE(C204,"[^0-9]","")&amp;"?text="&amp;ENCODEURL("Ya llegue. Codigo: "&amp;A204&amp;". Ubicacion: "&amp;"https://www.google.com/maps/search/?api=1&amp;query="&amp;SUBSTITUTE(F204," ","")),"📲 Avisar al cliente"),"")</f>
        <v/>
      </c>
      <c r="L204" s="8">
        <f>IF(C204&lt;&gt;"","https://api.qrserver.com/v1/create-qr-code/?size=200x200&amp;data="&amp;ENCODEURL("https://wa.me/507"&amp;REGEXREPLACE(C204,"[^0-9]","")&amp;"?text="&amp;ENCODEURL("Ya llegue. Codigo: "&amp;A204&amp;". Ubicacion: "&amp;"https://www.google.com/maps/search/?api=1&amp;query="&amp;SUBSTITUTE(F204," ",""))),"")</f>
        <v/>
      </c>
      <c r="M204" s="8">
        <f>IF(B204&lt;&gt;"",TODAY(),"")</f>
        <v/>
      </c>
      <c r="N204" s="8">
        <f>IF(F204&lt;&gt;"",IFERROR(IF(AND(REGEXMATCH(SUBSTITUTE(TRIM(F204)," ",""),"^-?\d+(\.\d+)?,-?\d+(\.\d+)?$"),VALUE(REGEXEXTRACT(SUBSTITUTE(TRIM(F204)," ",""),"^-?\d+(\.\d+)?"))&gt;=-90,VALUE(REGEXEXTRACT(SUBSTITUTE(TRIM(F204)," ",""),"^-?\d+(\.\d+)?"))&lt;=90,VALUE(REGEXEXTRACT(SUBSTITUTE(TRIM(F204)," ",""),"-?\d+(\.\d+)?$"))&gt;=-180,VALUE(REGEXEXTRACT(SUBSTITUTE(TRIM(F204)," ",""),"-?\d+(\.\d+)?$"))&lt;=180),"OK","REVISAR"),"REVISAR"),"")</f>
        <v/>
      </c>
      <c r="O204">
        <f>IF(A204&lt;&gt;"","https://direcciones507.github.io/direcciones507/panel.html?codigo="&amp;A204&amp;"&amp;nombre="&amp;ENCODEURL(B204)&amp;"&amp;telefono="&amp;SUBSTITUTE(C204,"-","")&amp;"&amp;referencia="&amp;ENCODEURL(E204)&amp;"&amp;lat="&amp;IZQUIERDA(SUBSTITUTE(F204," ",""),ENCONTRAR(",",SUBSTITUTE(F204," ",""))-1)&amp;"&amp;lng="&amp;DERECHA(SUBSTITUTE(F204," ",""),LARGO(SUBSTITUTE(F204," ",""))-ENCONTRAR(",",SUBSTITUTE(F204," ",""))),"")</f>
        <v/>
      </c>
    </row>
    <row r="205" ht="15.75" customHeight="1" s="10">
      <c r="A205" s="8">
        <f>CONCAT("AD507-",TEXT(ROW()-2,"0000"))</f>
        <v/>
      </c>
      <c r="C205" s="8" t="n"/>
      <c r="F205" s="8" t="n"/>
      <c r="G205" s="8">
        <f>IF(F205&lt;&gt;"",HYPERLINK("https://www.google.com/maps/search/?api=1&amp;query="&amp;SUBSTITUTE(F205," ",""),"🗺 Google Maps"),"")</f>
        <v/>
      </c>
      <c r="H205" s="8">
        <f>IF(F205&lt;&gt;"",HYPERLINK("https://waze.com/ul?ll="&amp;SUBSTITUTE(F205," ","")&amp;"&amp;navigate=yes","🚗 Waze"),"")</f>
        <v/>
      </c>
      <c r="I205" s="8">
        <f>IF(F205&lt;&gt;"",HYPERLINK("https://m.uber.com/ul/?action=setPickup&amp;pickup=my_location&amp;dropoff[latitude]="&amp;LEFT(SUBSTITUTE(F205," ",""),FIND(",",SUBSTITUTE(F205," ",""))-1)&amp;"&amp;dropoff[longitude]="&amp;MID(SUBSTITUTE(F205," ",""),FIND(",",SUBSTITUTE(F205," ",""))+1,99),"🚕 Uber"),"")</f>
        <v/>
      </c>
      <c r="J205" s="8">
        <f>IF(F205&lt;&gt;"","https://api.qrserver.com/v1/create-qr-code/?size=200x200&amp;data="&amp;ENCODEURL("https://www.google.com/maps/search/?api=1&amp;query="&amp;SUBSTITUTE(F205," ","")),"")</f>
        <v/>
      </c>
      <c r="K205" s="8">
        <f>IF(C205&lt;&gt;"",HYPERLINK("https://wa.me/507"&amp;REGEXREPLACE(C205,"[^0-9]","")&amp;"?text="&amp;ENCODEURL("Ya llegue. Codigo: "&amp;A205&amp;". Ubicacion: "&amp;"https://www.google.com/maps/search/?api=1&amp;query="&amp;SUBSTITUTE(F205," ","")),"📲 Avisar al cliente"),"")</f>
        <v/>
      </c>
      <c r="L205" s="8">
        <f>IF(C205&lt;&gt;"","https://api.qrserver.com/v1/create-qr-code/?size=200x200&amp;data="&amp;ENCODEURL("https://wa.me/507"&amp;REGEXREPLACE(C205,"[^0-9]","")&amp;"?text="&amp;ENCODEURL("Ya llegue. Codigo: "&amp;A205&amp;". Ubicacion: "&amp;"https://www.google.com/maps/search/?api=1&amp;query="&amp;SUBSTITUTE(F205," ",""))),"")</f>
        <v/>
      </c>
      <c r="M205" s="8">
        <f>IF(B205&lt;&gt;"",TODAY(),"")</f>
        <v/>
      </c>
      <c r="N205" s="8">
        <f>IF(F205&lt;&gt;"",IFERROR(IF(AND(REGEXMATCH(SUBSTITUTE(TRIM(F205)," ",""),"^-?\d+(\.\d+)?,-?\d+(\.\d+)?$"),VALUE(REGEXEXTRACT(SUBSTITUTE(TRIM(F205)," ",""),"^-?\d+(\.\d+)?"))&gt;=-90,VALUE(REGEXEXTRACT(SUBSTITUTE(TRIM(F205)," ",""),"^-?\d+(\.\d+)?"))&lt;=90,VALUE(REGEXEXTRACT(SUBSTITUTE(TRIM(F205)," ",""),"-?\d+(\.\d+)?$"))&gt;=-180,VALUE(REGEXEXTRACT(SUBSTITUTE(TRIM(F205)," ",""),"-?\d+(\.\d+)?$"))&lt;=180),"OK","REVISAR"),"REVISAR"),"")</f>
        <v/>
      </c>
      <c r="O205">
        <f>IF(A205&lt;&gt;"","https://direcciones507.github.io/direcciones507/panel.html?codigo="&amp;A205&amp;"&amp;nombre="&amp;ENCODEURL(B205)&amp;"&amp;telefono="&amp;SUBSTITUTE(C205,"-","")&amp;"&amp;referencia="&amp;ENCODEURL(E205)&amp;"&amp;lat="&amp;IZQUIERDA(SUBSTITUTE(F205," ",""),ENCONTRAR(",",SUBSTITUTE(F205," ",""))-1)&amp;"&amp;lng="&amp;DERECHA(SUBSTITUTE(F205," ",""),LARGO(SUBSTITUTE(F205," ",""))-ENCONTRAR(",",SUBSTITUTE(F205," ",""))),"")</f>
        <v/>
      </c>
    </row>
    <row r="206" ht="15.75" customHeight="1" s="10">
      <c r="A206" s="8">
        <f>CONCAT("AD507-",TEXT(ROW()-2,"0000"))</f>
        <v/>
      </c>
      <c r="C206" s="8" t="n"/>
      <c r="F206" s="8" t="n"/>
      <c r="G206" s="8">
        <f>IF(F206&lt;&gt;"",HYPERLINK("https://www.google.com/maps/search/?api=1&amp;query="&amp;SUBSTITUTE(F206," ",""),"🗺 Google Maps"),"")</f>
        <v/>
      </c>
      <c r="H206" s="8">
        <f>IF(F206&lt;&gt;"",HYPERLINK("https://waze.com/ul?ll="&amp;SUBSTITUTE(F206," ","")&amp;"&amp;navigate=yes","🚗 Waze"),"")</f>
        <v/>
      </c>
      <c r="I206" s="8">
        <f>IF(F206&lt;&gt;"",HYPERLINK("https://m.uber.com/ul/?action=setPickup&amp;pickup=my_location&amp;dropoff[latitude]="&amp;LEFT(SUBSTITUTE(F206," ",""),FIND(",",SUBSTITUTE(F206," ",""))-1)&amp;"&amp;dropoff[longitude]="&amp;MID(SUBSTITUTE(F206," ",""),FIND(",",SUBSTITUTE(F206," ",""))+1,99),"🚕 Uber"),"")</f>
        <v/>
      </c>
      <c r="J206" s="8">
        <f>IF(F206&lt;&gt;"","https://api.qrserver.com/v1/create-qr-code/?size=200x200&amp;data="&amp;ENCODEURL("https://www.google.com/maps/search/?api=1&amp;query="&amp;SUBSTITUTE(F206," ","")),"")</f>
        <v/>
      </c>
      <c r="K206" s="8">
        <f>IF(C206&lt;&gt;"",HYPERLINK("https://wa.me/507"&amp;REGEXREPLACE(C206,"[^0-9]","")&amp;"?text="&amp;ENCODEURL("Ya llegue. Codigo: "&amp;A206&amp;". Ubicacion: "&amp;"https://www.google.com/maps/search/?api=1&amp;query="&amp;SUBSTITUTE(F206," ","")),"📲 Avisar al cliente"),"")</f>
        <v/>
      </c>
      <c r="L206" s="8">
        <f>IF(C206&lt;&gt;"","https://api.qrserver.com/v1/create-qr-code/?size=200x200&amp;data="&amp;ENCODEURL("https://wa.me/507"&amp;REGEXREPLACE(C206,"[^0-9]","")&amp;"?text="&amp;ENCODEURL("Ya llegue. Codigo: "&amp;A206&amp;". Ubicacion: "&amp;"https://www.google.com/maps/search/?api=1&amp;query="&amp;SUBSTITUTE(F206," ",""))),"")</f>
        <v/>
      </c>
      <c r="M206" s="8">
        <f>IF(B206&lt;&gt;"",TODAY(),"")</f>
        <v/>
      </c>
      <c r="N206" s="8">
        <f>IF(F206&lt;&gt;"",IFERROR(IF(AND(REGEXMATCH(SUBSTITUTE(TRIM(F206)," ",""),"^-?\d+(\.\d+)?,-?\d+(\.\d+)?$"),VALUE(REGEXEXTRACT(SUBSTITUTE(TRIM(F206)," ",""),"^-?\d+(\.\d+)?"))&gt;=-90,VALUE(REGEXEXTRACT(SUBSTITUTE(TRIM(F206)," ",""),"^-?\d+(\.\d+)?"))&lt;=90,VALUE(REGEXEXTRACT(SUBSTITUTE(TRIM(F206)," ",""),"-?\d+(\.\d+)?$"))&gt;=-180,VALUE(REGEXEXTRACT(SUBSTITUTE(TRIM(F206)," ",""),"-?\d+(\.\d+)?$"))&lt;=180),"OK","REVISAR"),"REVISAR"),"")</f>
        <v/>
      </c>
      <c r="O206">
        <f>IF(A206&lt;&gt;"","https://direcciones507.github.io/direcciones507/panel.html?codigo="&amp;A206&amp;"&amp;nombre="&amp;ENCODEURL(B206)&amp;"&amp;telefono="&amp;SUBSTITUTE(C206,"-","")&amp;"&amp;referencia="&amp;ENCODEURL(E206)&amp;"&amp;lat="&amp;IZQUIERDA(SUBSTITUTE(F206," ",""),ENCONTRAR(",",SUBSTITUTE(F206," ",""))-1)&amp;"&amp;lng="&amp;DERECHA(SUBSTITUTE(F206," ",""),LARGO(SUBSTITUTE(F206," ",""))-ENCONTRAR(",",SUBSTITUTE(F206," ",""))),"")</f>
        <v/>
      </c>
    </row>
    <row r="207" ht="15.75" customHeight="1" s="10">
      <c r="A207" s="8">
        <f>CONCAT("AD507-",TEXT(ROW()-2,"0000"))</f>
        <v/>
      </c>
      <c r="C207" s="8" t="n"/>
      <c r="F207" s="8" t="n"/>
      <c r="G207" s="8">
        <f>IF(F207&lt;&gt;"",HYPERLINK("https://www.google.com/maps/search/?api=1&amp;query="&amp;SUBSTITUTE(F207," ",""),"🗺 Google Maps"),"")</f>
        <v/>
      </c>
      <c r="H207" s="8">
        <f>IF(F207&lt;&gt;"",HYPERLINK("https://waze.com/ul?ll="&amp;SUBSTITUTE(F207," ","")&amp;"&amp;navigate=yes","🚗 Waze"),"")</f>
        <v/>
      </c>
      <c r="I207" s="8">
        <f>IF(F207&lt;&gt;"",HYPERLINK("https://m.uber.com/ul/?action=setPickup&amp;pickup=my_location&amp;dropoff[latitude]="&amp;LEFT(SUBSTITUTE(F207," ",""),FIND(",",SUBSTITUTE(F207," ",""))-1)&amp;"&amp;dropoff[longitude]="&amp;MID(SUBSTITUTE(F207," ",""),FIND(",",SUBSTITUTE(F207," ",""))+1,99),"🚕 Uber"),"")</f>
        <v/>
      </c>
      <c r="J207" s="8">
        <f>IF(F207&lt;&gt;"","https://api.qrserver.com/v1/create-qr-code/?size=200x200&amp;data="&amp;ENCODEURL("https://www.google.com/maps/search/?api=1&amp;query="&amp;SUBSTITUTE(F207," ","")),"")</f>
        <v/>
      </c>
      <c r="K207" s="8">
        <f>IF(C207&lt;&gt;"",HYPERLINK("https://wa.me/507"&amp;REGEXREPLACE(C207,"[^0-9]","")&amp;"?text="&amp;ENCODEURL("Ya llegue. Codigo: "&amp;A207&amp;". Ubicacion: "&amp;"https://www.google.com/maps/search/?api=1&amp;query="&amp;SUBSTITUTE(F207," ","")),"📲 Avisar al cliente"),"")</f>
        <v/>
      </c>
      <c r="L207" s="8">
        <f>IF(C207&lt;&gt;"","https://api.qrserver.com/v1/create-qr-code/?size=200x200&amp;data="&amp;ENCODEURL("https://wa.me/507"&amp;REGEXREPLACE(C207,"[^0-9]","")&amp;"?text="&amp;ENCODEURL("Ya llegue. Codigo: "&amp;A207&amp;". Ubicacion: "&amp;"https://www.google.com/maps/search/?api=1&amp;query="&amp;SUBSTITUTE(F207," ",""))),"")</f>
        <v/>
      </c>
      <c r="M207" s="8">
        <f>IF(B207&lt;&gt;"",TODAY(),"")</f>
        <v/>
      </c>
      <c r="N207" s="8">
        <f>IF(F207&lt;&gt;"",IFERROR(IF(AND(REGEXMATCH(SUBSTITUTE(TRIM(F207)," ",""),"^-?\d+(\.\d+)?,-?\d+(\.\d+)?$"),VALUE(REGEXEXTRACT(SUBSTITUTE(TRIM(F207)," ",""),"^-?\d+(\.\d+)?"))&gt;=-90,VALUE(REGEXEXTRACT(SUBSTITUTE(TRIM(F207)," ",""),"^-?\d+(\.\d+)?"))&lt;=90,VALUE(REGEXEXTRACT(SUBSTITUTE(TRIM(F207)," ",""),"-?\d+(\.\d+)?$"))&gt;=-180,VALUE(REGEXEXTRACT(SUBSTITUTE(TRIM(F207)," ",""),"-?\d+(\.\d+)?$"))&lt;=180),"OK","REVISAR"),"REVISAR"),"")</f>
        <v/>
      </c>
      <c r="O207">
        <f>IF(A207&lt;&gt;"","https://direcciones507.github.io/direcciones507/panel.html?codigo="&amp;A207&amp;"&amp;nombre="&amp;ENCODEURL(B207)&amp;"&amp;telefono="&amp;SUBSTITUTE(C207,"-","")&amp;"&amp;referencia="&amp;ENCODEURL(E207)&amp;"&amp;lat="&amp;IZQUIERDA(SUBSTITUTE(F207," ",""),ENCONTRAR(",",SUBSTITUTE(F207," ",""))-1)&amp;"&amp;lng="&amp;DERECHA(SUBSTITUTE(F207," ",""),LARGO(SUBSTITUTE(F207," ",""))-ENCONTRAR(",",SUBSTITUTE(F207," ",""))),"")</f>
        <v/>
      </c>
    </row>
    <row r="208" ht="15.75" customHeight="1" s="10">
      <c r="A208" s="8">
        <f>CONCAT("AD507-",TEXT(ROW()-2,"0000"))</f>
        <v/>
      </c>
      <c r="C208" s="8" t="n"/>
      <c r="F208" s="8" t="n"/>
      <c r="G208" s="8">
        <f>IF(F208&lt;&gt;"",HYPERLINK("https://www.google.com/maps/search/?api=1&amp;query="&amp;SUBSTITUTE(F208," ",""),"🗺 Google Maps"),"")</f>
        <v/>
      </c>
      <c r="H208" s="8">
        <f>IF(F208&lt;&gt;"",HYPERLINK("https://waze.com/ul?ll="&amp;SUBSTITUTE(F208," ","")&amp;"&amp;navigate=yes","🚗 Waze"),"")</f>
        <v/>
      </c>
      <c r="I208" s="8">
        <f>IF(F208&lt;&gt;"",HYPERLINK("https://m.uber.com/ul/?action=setPickup&amp;pickup=my_location&amp;dropoff[latitude]="&amp;LEFT(SUBSTITUTE(F208," ",""),FIND(",",SUBSTITUTE(F208," ",""))-1)&amp;"&amp;dropoff[longitude]="&amp;MID(SUBSTITUTE(F208," ",""),FIND(",",SUBSTITUTE(F208," ",""))+1,99),"🚕 Uber"),"")</f>
        <v/>
      </c>
      <c r="J208" s="8">
        <f>IF(F208&lt;&gt;"","https://api.qrserver.com/v1/create-qr-code/?size=200x200&amp;data="&amp;ENCODEURL("https://www.google.com/maps/search/?api=1&amp;query="&amp;SUBSTITUTE(F208," ","")),"")</f>
        <v/>
      </c>
      <c r="K208" s="8">
        <f>IF(C208&lt;&gt;"",HYPERLINK("https://wa.me/507"&amp;REGEXREPLACE(C208,"[^0-9]","")&amp;"?text="&amp;ENCODEURL("Ya llegue. Codigo: "&amp;A208&amp;". Ubicacion: "&amp;"https://www.google.com/maps/search/?api=1&amp;query="&amp;SUBSTITUTE(F208," ","")),"📲 Avisar al cliente"),"")</f>
        <v/>
      </c>
      <c r="L208" s="8">
        <f>IF(C208&lt;&gt;"","https://api.qrserver.com/v1/create-qr-code/?size=200x200&amp;data="&amp;ENCODEURL("https://wa.me/507"&amp;REGEXREPLACE(C208,"[^0-9]","")&amp;"?text="&amp;ENCODEURL("Ya llegue. Codigo: "&amp;A208&amp;". Ubicacion: "&amp;"https://www.google.com/maps/search/?api=1&amp;query="&amp;SUBSTITUTE(F208," ",""))),"")</f>
        <v/>
      </c>
      <c r="M208" s="8">
        <f>IF(B208&lt;&gt;"",TODAY(),"")</f>
        <v/>
      </c>
      <c r="N208" s="8">
        <f>IF(F208&lt;&gt;"",IFERROR(IF(AND(REGEXMATCH(SUBSTITUTE(TRIM(F208)," ",""),"^-?\d+(\.\d+)?,-?\d+(\.\d+)?$"),VALUE(REGEXEXTRACT(SUBSTITUTE(TRIM(F208)," ",""),"^-?\d+(\.\d+)?"))&gt;=-90,VALUE(REGEXEXTRACT(SUBSTITUTE(TRIM(F208)," ",""),"^-?\d+(\.\d+)?"))&lt;=90,VALUE(REGEXEXTRACT(SUBSTITUTE(TRIM(F208)," ",""),"-?\d+(\.\d+)?$"))&gt;=-180,VALUE(REGEXEXTRACT(SUBSTITUTE(TRIM(F208)," ",""),"-?\d+(\.\d+)?$"))&lt;=180),"OK","REVISAR"),"REVISAR"),"")</f>
        <v/>
      </c>
      <c r="O208">
        <f>IF(A208&lt;&gt;"","https://direcciones507.github.io/direcciones507/panel.html?codigo="&amp;A208&amp;"&amp;nombre="&amp;ENCODEURL(B208)&amp;"&amp;telefono="&amp;SUBSTITUTE(C208,"-","")&amp;"&amp;referencia="&amp;ENCODEURL(E208)&amp;"&amp;lat="&amp;IZQUIERDA(SUBSTITUTE(F208," ",""),ENCONTRAR(",",SUBSTITUTE(F208," ",""))-1)&amp;"&amp;lng="&amp;DERECHA(SUBSTITUTE(F208," ",""),LARGO(SUBSTITUTE(F208," ",""))-ENCONTRAR(",",SUBSTITUTE(F208," ",""))),"")</f>
        <v/>
      </c>
    </row>
    <row r="209" ht="15.75" customHeight="1" s="10">
      <c r="A209" s="8">
        <f>CONCAT("AD507-",TEXT(ROW()-2,"0000"))</f>
        <v/>
      </c>
      <c r="C209" s="8" t="n"/>
      <c r="F209" s="8" t="n"/>
      <c r="G209" s="8">
        <f>IF(F209&lt;&gt;"",HYPERLINK("https://www.google.com/maps/search/?api=1&amp;query="&amp;SUBSTITUTE(F209," ",""),"🗺 Google Maps"),"")</f>
        <v/>
      </c>
      <c r="H209" s="8">
        <f>IF(F209&lt;&gt;"",HYPERLINK("https://waze.com/ul?ll="&amp;SUBSTITUTE(F209," ","")&amp;"&amp;navigate=yes","🚗 Waze"),"")</f>
        <v/>
      </c>
      <c r="I209" s="8">
        <f>IF(F209&lt;&gt;"",HYPERLINK("https://m.uber.com/ul/?action=setPickup&amp;pickup=my_location&amp;dropoff[latitude]="&amp;LEFT(SUBSTITUTE(F209," ",""),FIND(",",SUBSTITUTE(F209," ",""))-1)&amp;"&amp;dropoff[longitude]="&amp;MID(SUBSTITUTE(F209," ",""),FIND(",",SUBSTITUTE(F209," ",""))+1,99),"🚕 Uber"),"")</f>
        <v/>
      </c>
      <c r="J209" s="8">
        <f>IF(F209&lt;&gt;"","https://api.qrserver.com/v1/create-qr-code/?size=200x200&amp;data="&amp;ENCODEURL("https://www.google.com/maps/search/?api=1&amp;query="&amp;SUBSTITUTE(F209," ","")),"")</f>
        <v/>
      </c>
      <c r="K209" s="8">
        <f>IF(C209&lt;&gt;"",HYPERLINK("https://wa.me/507"&amp;REGEXREPLACE(C209,"[^0-9]","")&amp;"?text="&amp;ENCODEURL("Ya llegue. Codigo: "&amp;A209&amp;". Ubicacion: "&amp;"https://www.google.com/maps/search/?api=1&amp;query="&amp;SUBSTITUTE(F209," ","")),"📲 Avisar al cliente"),"")</f>
        <v/>
      </c>
      <c r="L209" s="8">
        <f>IF(C209&lt;&gt;"","https://api.qrserver.com/v1/create-qr-code/?size=200x200&amp;data="&amp;ENCODEURL("https://wa.me/507"&amp;REGEXREPLACE(C209,"[^0-9]","")&amp;"?text="&amp;ENCODEURL("Ya llegue. Codigo: "&amp;A209&amp;". Ubicacion: "&amp;"https://www.google.com/maps/search/?api=1&amp;query="&amp;SUBSTITUTE(F209," ",""))),"")</f>
        <v/>
      </c>
      <c r="M209" s="8">
        <f>IF(B209&lt;&gt;"",TODAY(),"")</f>
        <v/>
      </c>
      <c r="N209" s="8">
        <f>IF(F209&lt;&gt;"",IFERROR(IF(AND(REGEXMATCH(SUBSTITUTE(TRIM(F209)," ",""),"^-?\d+(\.\d+)?,-?\d+(\.\d+)?$"),VALUE(REGEXEXTRACT(SUBSTITUTE(TRIM(F209)," ",""),"^-?\d+(\.\d+)?"))&gt;=-90,VALUE(REGEXEXTRACT(SUBSTITUTE(TRIM(F209)," ",""),"^-?\d+(\.\d+)?"))&lt;=90,VALUE(REGEXEXTRACT(SUBSTITUTE(TRIM(F209)," ",""),"-?\d+(\.\d+)?$"))&gt;=-180,VALUE(REGEXEXTRACT(SUBSTITUTE(TRIM(F209)," ",""),"-?\d+(\.\d+)?$"))&lt;=180),"OK","REVISAR"),"REVISAR"),"")</f>
        <v/>
      </c>
      <c r="O209">
        <f>IF(A209&lt;&gt;"","https://direcciones507.github.io/direcciones507/panel.html?codigo="&amp;A209&amp;"&amp;nombre="&amp;ENCODEURL(B209)&amp;"&amp;telefono="&amp;SUBSTITUTE(C209,"-","")&amp;"&amp;referencia="&amp;ENCODEURL(E209)&amp;"&amp;lat="&amp;IZQUIERDA(SUBSTITUTE(F209," ",""),ENCONTRAR(",",SUBSTITUTE(F209," ",""))-1)&amp;"&amp;lng="&amp;DERECHA(SUBSTITUTE(F209," ",""),LARGO(SUBSTITUTE(F209," ",""))-ENCONTRAR(",",SUBSTITUTE(F209," ",""))),"")</f>
        <v/>
      </c>
    </row>
    <row r="210" ht="15.75" customHeight="1" s="10">
      <c r="A210" s="8">
        <f>CONCAT("AD507-",TEXT(ROW()-2,"0000"))</f>
        <v/>
      </c>
      <c r="C210" s="8" t="n"/>
      <c r="F210" s="8" t="n"/>
      <c r="G210" s="8">
        <f>IF(F210&lt;&gt;"",HYPERLINK("https://www.google.com/maps/search/?api=1&amp;query="&amp;SUBSTITUTE(F210," ",""),"🗺 Google Maps"),"")</f>
        <v/>
      </c>
      <c r="H210" s="8">
        <f>IF(F210&lt;&gt;"",HYPERLINK("https://waze.com/ul?ll="&amp;SUBSTITUTE(F210," ","")&amp;"&amp;navigate=yes","🚗 Waze"),"")</f>
        <v/>
      </c>
      <c r="I210" s="8">
        <f>IF(F210&lt;&gt;"",HYPERLINK("https://m.uber.com/ul/?action=setPickup&amp;pickup=my_location&amp;dropoff[latitude]="&amp;LEFT(SUBSTITUTE(F210," ",""),FIND(",",SUBSTITUTE(F210," ",""))-1)&amp;"&amp;dropoff[longitude]="&amp;MID(SUBSTITUTE(F210," ",""),FIND(",",SUBSTITUTE(F210," ",""))+1,99),"🚕 Uber"),"")</f>
        <v/>
      </c>
      <c r="J210" s="8">
        <f>IF(F210&lt;&gt;"","https://api.qrserver.com/v1/create-qr-code/?size=200x200&amp;data="&amp;ENCODEURL("https://www.google.com/maps/search/?api=1&amp;query="&amp;SUBSTITUTE(F210," ","")),"")</f>
        <v/>
      </c>
      <c r="K210" s="8">
        <f>IF(C210&lt;&gt;"",HYPERLINK("https://wa.me/507"&amp;REGEXREPLACE(C210,"[^0-9]","")&amp;"?text="&amp;ENCODEURL("Ya llegue. Codigo: "&amp;A210&amp;". Ubicacion: "&amp;"https://www.google.com/maps/search/?api=1&amp;query="&amp;SUBSTITUTE(F210," ","")),"📲 Avisar al cliente"),"")</f>
        <v/>
      </c>
      <c r="L210" s="8">
        <f>IF(C210&lt;&gt;"","https://api.qrserver.com/v1/create-qr-code/?size=200x200&amp;data="&amp;ENCODEURL("https://wa.me/507"&amp;REGEXREPLACE(C210,"[^0-9]","")&amp;"?text="&amp;ENCODEURL("Ya llegue. Codigo: "&amp;A210&amp;". Ubicacion: "&amp;"https://www.google.com/maps/search/?api=1&amp;query="&amp;SUBSTITUTE(F210," ",""))),"")</f>
        <v/>
      </c>
      <c r="M210" s="8">
        <f>IF(B210&lt;&gt;"",TODAY(),"")</f>
        <v/>
      </c>
      <c r="N210" s="8">
        <f>IF(F210&lt;&gt;"",IFERROR(IF(AND(REGEXMATCH(SUBSTITUTE(TRIM(F210)," ",""),"^-?\d+(\.\d+)?,-?\d+(\.\d+)?$"),VALUE(REGEXEXTRACT(SUBSTITUTE(TRIM(F210)," ",""),"^-?\d+(\.\d+)?"))&gt;=-90,VALUE(REGEXEXTRACT(SUBSTITUTE(TRIM(F210)," ",""),"^-?\d+(\.\d+)?"))&lt;=90,VALUE(REGEXEXTRACT(SUBSTITUTE(TRIM(F210)," ",""),"-?\d+(\.\d+)?$"))&gt;=-180,VALUE(REGEXEXTRACT(SUBSTITUTE(TRIM(F210)," ",""),"-?\d+(\.\d+)?$"))&lt;=180),"OK","REVISAR"),"REVISAR"),"")</f>
        <v/>
      </c>
      <c r="O210">
        <f>IF(A210&lt;&gt;"","https://direcciones507.github.io/direcciones507/panel.html?codigo="&amp;A210&amp;"&amp;nombre="&amp;ENCODEURL(B210)&amp;"&amp;telefono="&amp;SUBSTITUTE(C210,"-","")&amp;"&amp;referencia="&amp;ENCODEURL(E210)&amp;"&amp;lat="&amp;IZQUIERDA(SUBSTITUTE(F210," ",""),ENCONTRAR(",",SUBSTITUTE(F210," ",""))-1)&amp;"&amp;lng="&amp;DERECHA(SUBSTITUTE(F210," ",""),LARGO(SUBSTITUTE(F210," ",""))-ENCONTRAR(",",SUBSTITUTE(F210," ",""))),"")</f>
        <v/>
      </c>
    </row>
    <row r="211" ht="15.75" customHeight="1" s="10">
      <c r="A211" s="8">
        <f>CONCAT("AD507-",TEXT(ROW()-2,"0000"))</f>
        <v/>
      </c>
      <c r="C211" s="8" t="n"/>
      <c r="F211" s="8" t="n"/>
      <c r="G211" s="8">
        <f>IF(F211&lt;&gt;"",HYPERLINK("https://www.google.com/maps/search/?api=1&amp;query="&amp;SUBSTITUTE(F211," ",""),"🗺 Google Maps"),"")</f>
        <v/>
      </c>
      <c r="H211" s="8">
        <f>IF(F211&lt;&gt;"",HYPERLINK("https://waze.com/ul?ll="&amp;SUBSTITUTE(F211," ","")&amp;"&amp;navigate=yes","🚗 Waze"),"")</f>
        <v/>
      </c>
      <c r="I211" s="8">
        <f>IF(F211&lt;&gt;"",HYPERLINK("https://m.uber.com/ul/?action=setPickup&amp;pickup=my_location&amp;dropoff[latitude]="&amp;LEFT(SUBSTITUTE(F211," ",""),FIND(",",SUBSTITUTE(F211," ",""))-1)&amp;"&amp;dropoff[longitude]="&amp;MID(SUBSTITUTE(F211," ",""),FIND(",",SUBSTITUTE(F211," ",""))+1,99),"🚕 Uber"),"")</f>
        <v/>
      </c>
      <c r="J211" s="8">
        <f>IF(F211&lt;&gt;"","https://api.qrserver.com/v1/create-qr-code/?size=200x200&amp;data="&amp;ENCODEURL("https://www.google.com/maps/search/?api=1&amp;query="&amp;SUBSTITUTE(F211," ","")),"")</f>
        <v/>
      </c>
      <c r="K211" s="8">
        <f>IF(C211&lt;&gt;"",HYPERLINK("https://wa.me/507"&amp;REGEXREPLACE(C211,"[^0-9]","")&amp;"?text="&amp;ENCODEURL("Ya llegue. Codigo: "&amp;A211&amp;". Ubicacion: "&amp;"https://www.google.com/maps/search/?api=1&amp;query="&amp;SUBSTITUTE(F211," ","")),"📲 Avisar al cliente"),"")</f>
        <v/>
      </c>
      <c r="L211" s="8">
        <f>IF(C211&lt;&gt;"","https://api.qrserver.com/v1/create-qr-code/?size=200x200&amp;data="&amp;ENCODEURL("https://wa.me/507"&amp;REGEXREPLACE(C211,"[^0-9]","")&amp;"?text="&amp;ENCODEURL("Ya llegue. Codigo: "&amp;A211&amp;". Ubicacion: "&amp;"https://www.google.com/maps/search/?api=1&amp;query="&amp;SUBSTITUTE(F211," ",""))),"")</f>
        <v/>
      </c>
      <c r="M211" s="8">
        <f>IF(B211&lt;&gt;"",TODAY(),"")</f>
        <v/>
      </c>
      <c r="N211" s="8">
        <f>IF(F211&lt;&gt;"",IFERROR(IF(AND(REGEXMATCH(SUBSTITUTE(TRIM(F211)," ",""),"^-?\d+(\.\d+)?,-?\d+(\.\d+)?$"),VALUE(REGEXEXTRACT(SUBSTITUTE(TRIM(F211)," ",""),"^-?\d+(\.\d+)?"))&gt;=-90,VALUE(REGEXEXTRACT(SUBSTITUTE(TRIM(F211)," ",""),"^-?\d+(\.\d+)?"))&lt;=90,VALUE(REGEXEXTRACT(SUBSTITUTE(TRIM(F211)," ",""),"-?\d+(\.\d+)?$"))&gt;=-180,VALUE(REGEXEXTRACT(SUBSTITUTE(TRIM(F211)," ",""),"-?\d+(\.\d+)?$"))&lt;=180),"OK","REVISAR"),"REVISAR"),"")</f>
        <v/>
      </c>
      <c r="O211">
        <f>IF(A211&lt;&gt;"","https://direcciones507.github.io/direcciones507/panel.html?codigo="&amp;A211&amp;"&amp;nombre="&amp;ENCODEURL(B211)&amp;"&amp;telefono="&amp;SUBSTITUTE(C211,"-","")&amp;"&amp;referencia="&amp;ENCODEURL(E211)&amp;"&amp;lat="&amp;IZQUIERDA(SUBSTITUTE(F211," ",""),ENCONTRAR(",",SUBSTITUTE(F211," ",""))-1)&amp;"&amp;lng="&amp;DERECHA(SUBSTITUTE(F211," ",""),LARGO(SUBSTITUTE(F211," ",""))-ENCONTRAR(",",SUBSTITUTE(F211," ",""))),"")</f>
        <v/>
      </c>
    </row>
    <row r="212" ht="15.75" customHeight="1" s="10">
      <c r="A212" s="8">
        <f>CONCAT("AD507-",TEXT(ROW()-2,"0000"))</f>
        <v/>
      </c>
      <c r="C212" s="8" t="n"/>
      <c r="F212" s="8" t="n"/>
      <c r="G212" s="8">
        <f>IF(F212&lt;&gt;"",HYPERLINK("https://www.google.com/maps/search/?api=1&amp;query="&amp;SUBSTITUTE(F212," ",""),"🗺 Google Maps"),"")</f>
        <v/>
      </c>
      <c r="H212" s="8">
        <f>IF(F212&lt;&gt;"",HYPERLINK("https://waze.com/ul?ll="&amp;SUBSTITUTE(F212," ","")&amp;"&amp;navigate=yes","🚗 Waze"),"")</f>
        <v/>
      </c>
      <c r="I212" s="8">
        <f>IF(F212&lt;&gt;"",HYPERLINK("https://m.uber.com/ul/?action=setPickup&amp;pickup=my_location&amp;dropoff[latitude]="&amp;LEFT(SUBSTITUTE(F212," ",""),FIND(",",SUBSTITUTE(F212," ",""))-1)&amp;"&amp;dropoff[longitude]="&amp;MID(SUBSTITUTE(F212," ",""),FIND(",",SUBSTITUTE(F212," ",""))+1,99),"🚕 Uber"),"")</f>
        <v/>
      </c>
      <c r="J212" s="8">
        <f>IF(F212&lt;&gt;"","https://api.qrserver.com/v1/create-qr-code/?size=200x200&amp;data="&amp;ENCODEURL("https://www.google.com/maps/search/?api=1&amp;query="&amp;SUBSTITUTE(F212," ","")),"")</f>
        <v/>
      </c>
      <c r="K212" s="8">
        <f>IF(C212&lt;&gt;"",HYPERLINK("https://wa.me/507"&amp;REGEXREPLACE(C212,"[^0-9]","")&amp;"?text="&amp;ENCODEURL("Ya llegue. Codigo: "&amp;A212&amp;". Ubicacion: "&amp;"https://www.google.com/maps/search/?api=1&amp;query="&amp;SUBSTITUTE(F212," ","")),"📲 Avisar al cliente"),"")</f>
        <v/>
      </c>
      <c r="L212" s="8">
        <f>IF(C212&lt;&gt;"","https://api.qrserver.com/v1/create-qr-code/?size=200x200&amp;data="&amp;ENCODEURL("https://wa.me/507"&amp;REGEXREPLACE(C212,"[^0-9]","")&amp;"?text="&amp;ENCODEURL("Ya llegue. Codigo: "&amp;A212&amp;". Ubicacion: "&amp;"https://www.google.com/maps/search/?api=1&amp;query="&amp;SUBSTITUTE(F212," ",""))),"")</f>
        <v/>
      </c>
      <c r="M212" s="8">
        <f>IF(B212&lt;&gt;"",TODAY(),"")</f>
        <v/>
      </c>
      <c r="N212" s="8">
        <f>IF(F212&lt;&gt;"",IFERROR(IF(AND(REGEXMATCH(SUBSTITUTE(TRIM(F212)," ",""),"^-?\d+(\.\d+)?,-?\d+(\.\d+)?$"),VALUE(REGEXEXTRACT(SUBSTITUTE(TRIM(F212)," ",""),"^-?\d+(\.\d+)?"))&gt;=-90,VALUE(REGEXEXTRACT(SUBSTITUTE(TRIM(F212)," ",""),"^-?\d+(\.\d+)?"))&lt;=90,VALUE(REGEXEXTRACT(SUBSTITUTE(TRIM(F212)," ",""),"-?\d+(\.\d+)?$"))&gt;=-180,VALUE(REGEXEXTRACT(SUBSTITUTE(TRIM(F212)," ",""),"-?\d+(\.\d+)?$"))&lt;=180),"OK","REVISAR"),"REVISAR"),"")</f>
        <v/>
      </c>
      <c r="O212">
        <f>IF(A212&lt;&gt;"","https://direcciones507.github.io/direcciones507/panel.html?codigo="&amp;A212&amp;"&amp;nombre="&amp;ENCODEURL(B212)&amp;"&amp;telefono="&amp;SUBSTITUTE(C212,"-","")&amp;"&amp;referencia="&amp;ENCODEURL(E212)&amp;"&amp;lat="&amp;IZQUIERDA(SUBSTITUTE(F212," ",""),ENCONTRAR(",",SUBSTITUTE(F212," ",""))-1)&amp;"&amp;lng="&amp;DERECHA(SUBSTITUTE(F212," ",""),LARGO(SUBSTITUTE(F212," ",""))-ENCONTRAR(",",SUBSTITUTE(F212," ",""))),"")</f>
        <v/>
      </c>
    </row>
    <row r="213" ht="15.75" customHeight="1" s="10">
      <c r="A213" s="8">
        <f>CONCAT("AD507-",TEXT(ROW()-2,"0000"))</f>
        <v/>
      </c>
      <c r="C213" s="8" t="n"/>
      <c r="F213" s="8" t="n"/>
      <c r="G213" s="8">
        <f>IF(F213&lt;&gt;"",HYPERLINK("https://www.google.com/maps/search/?api=1&amp;query="&amp;SUBSTITUTE(F213," ",""),"🗺 Google Maps"),"")</f>
        <v/>
      </c>
      <c r="H213" s="8">
        <f>IF(F213&lt;&gt;"",HYPERLINK("https://waze.com/ul?ll="&amp;SUBSTITUTE(F213," ","")&amp;"&amp;navigate=yes","🚗 Waze"),"")</f>
        <v/>
      </c>
      <c r="I213" s="8">
        <f>IF(F213&lt;&gt;"",HYPERLINK("https://m.uber.com/ul/?action=setPickup&amp;pickup=my_location&amp;dropoff[latitude]="&amp;LEFT(SUBSTITUTE(F213," ",""),FIND(",",SUBSTITUTE(F213," ",""))-1)&amp;"&amp;dropoff[longitude]="&amp;MID(SUBSTITUTE(F213," ",""),FIND(",",SUBSTITUTE(F213," ",""))+1,99),"🚕 Uber"),"")</f>
        <v/>
      </c>
      <c r="J213" s="8">
        <f>IF(F213&lt;&gt;"","https://api.qrserver.com/v1/create-qr-code/?size=200x200&amp;data="&amp;ENCODEURL("https://www.google.com/maps/search/?api=1&amp;query="&amp;SUBSTITUTE(F213," ","")),"")</f>
        <v/>
      </c>
      <c r="K213" s="8">
        <f>IF(C213&lt;&gt;"",HYPERLINK("https://wa.me/507"&amp;REGEXREPLACE(C213,"[^0-9]","")&amp;"?text="&amp;ENCODEURL("Ya llegue. Codigo: "&amp;A213&amp;". Ubicacion: "&amp;"https://www.google.com/maps/search/?api=1&amp;query="&amp;SUBSTITUTE(F213," ","")),"📲 Avisar al cliente"),"")</f>
        <v/>
      </c>
      <c r="L213" s="8">
        <f>IF(C213&lt;&gt;"","https://api.qrserver.com/v1/create-qr-code/?size=200x200&amp;data="&amp;ENCODEURL("https://wa.me/507"&amp;REGEXREPLACE(C213,"[^0-9]","")&amp;"?text="&amp;ENCODEURL("Ya llegue. Codigo: "&amp;A213&amp;". Ubicacion: "&amp;"https://www.google.com/maps/search/?api=1&amp;query="&amp;SUBSTITUTE(F213," ",""))),"")</f>
        <v/>
      </c>
      <c r="M213" s="8">
        <f>IF(B213&lt;&gt;"",TODAY(),"")</f>
        <v/>
      </c>
      <c r="N213" s="8">
        <f>IF(F213&lt;&gt;"",IFERROR(IF(AND(REGEXMATCH(SUBSTITUTE(TRIM(F213)," ",""),"^-?\d+(\.\d+)?,-?\d+(\.\d+)?$"),VALUE(REGEXEXTRACT(SUBSTITUTE(TRIM(F213)," ",""),"^-?\d+(\.\d+)?"))&gt;=-90,VALUE(REGEXEXTRACT(SUBSTITUTE(TRIM(F213)," ",""),"^-?\d+(\.\d+)?"))&lt;=90,VALUE(REGEXEXTRACT(SUBSTITUTE(TRIM(F213)," ",""),"-?\d+(\.\d+)?$"))&gt;=-180,VALUE(REGEXEXTRACT(SUBSTITUTE(TRIM(F213)," ",""),"-?\d+(\.\d+)?$"))&lt;=180),"OK","REVISAR"),"REVISAR"),"")</f>
        <v/>
      </c>
      <c r="O213">
        <f>IF(A213&lt;&gt;"","https://direcciones507.github.io/direcciones507/panel.html?codigo="&amp;A213&amp;"&amp;nombre="&amp;ENCODEURL(B213)&amp;"&amp;telefono="&amp;SUBSTITUTE(C213,"-","")&amp;"&amp;referencia="&amp;ENCODEURL(E213)&amp;"&amp;lat="&amp;IZQUIERDA(SUBSTITUTE(F213," ",""),ENCONTRAR(",",SUBSTITUTE(F213," ",""))-1)&amp;"&amp;lng="&amp;DERECHA(SUBSTITUTE(F213," ",""),LARGO(SUBSTITUTE(F213," ",""))-ENCONTRAR(",",SUBSTITUTE(F213," ",""))),"")</f>
        <v/>
      </c>
    </row>
    <row r="214" ht="15.75" customHeight="1" s="10">
      <c r="A214" s="8">
        <f>CONCAT("AD507-",TEXT(ROW()-2,"0000"))</f>
        <v/>
      </c>
      <c r="C214" s="8" t="n"/>
      <c r="F214" s="8" t="n"/>
      <c r="G214" s="8">
        <f>IF(F214&lt;&gt;"",HYPERLINK("https://www.google.com/maps/search/?api=1&amp;query="&amp;SUBSTITUTE(F214," ",""),"🗺 Google Maps"),"")</f>
        <v/>
      </c>
      <c r="H214" s="8">
        <f>IF(F214&lt;&gt;"",HYPERLINK("https://waze.com/ul?ll="&amp;SUBSTITUTE(F214," ","")&amp;"&amp;navigate=yes","🚗 Waze"),"")</f>
        <v/>
      </c>
      <c r="I214" s="8">
        <f>IF(F214&lt;&gt;"",HYPERLINK("https://m.uber.com/ul/?action=setPickup&amp;pickup=my_location&amp;dropoff[latitude]="&amp;LEFT(SUBSTITUTE(F214," ",""),FIND(",",SUBSTITUTE(F214," ",""))-1)&amp;"&amp;dropoff[longitude]="&amp;MID(SUBSTITUTE(F214," ",""),FIND(",",SUBSTITUTE(F214," ",""))+1,99),"🚕 Uber"),"")</f>
        <v/>
      </c>
      <c r="J214" s="8">
        <f>IF(F214&lt;&gt;"","https://api.qrserver.com/v1/create-qr-code/?size=200x200&amp;data="&amp;ENCODEURL("https://www.google.com/maps/search/?api=1&amp;query="&amp;SUBSTITUTE(F214," ","")),"")</f>
        <v/>
      </c>
      <c r="K214" s="8">
        <f>IF(C214&lt;&gt;"",HYPERLINK("https://wa.me/507"&amp;REGEXREPLACE(C214,"[^0-9]","")&amp;"?text="&amp;ENCODEURL("Ya llegue. Codigo: "&amp;A214&amp;". Ubicacion: "&amp;"https://www.google.com/maps/search/?api=1&amp;query="&amp;SUBSTITUTE(F214," ","")),"📲 Avisar al cliente"),"")</f>
        <v/>
      </c>
      <c r="L214" s="8">
        <f>IF(C214&lt;&gt;"","https://api.qrserver.com/v1/create-qr-code/?size=200x200&amp;data="&amp;ENCODEURL("https://wa.me/507"&amp;REGEXREPLACE(C214,"[^0-9]","")&amp;"?text="&amp;ENCODEURL("Ya llegue. Codigo: "&amp;A214&amp;". Ubicacion: "&amp;"https://www.google.com/maps/search/?api=1&amp;query="&amp;SUBSTITUTE(F214," ",""))),"")</f>
        <v/>
      </c>
      <c r="M214" s="8">
        <f>IF(B214&lt;&gt;"",TODAY(),"")</f>
        <v/>
      </c>
      <c r="N214" s="8">
        <f>IF(F214&lt;&gt;"",IFERROR(IF(AND(REGEXMATCH(SUBSTITUTE(TRIM(F214)," ",""),"^-?\d+(\.\d+)?,-?\d+(\.\d+)?$"),VALUE(REGEXEXTRACT(SUBSTITUTE(TRIM(F214)," ",""),"^-?\d+(\.\d+)?"))&gt;=-90,VALUE(REGEXEXTRACT(SUBSTITUTE(TRIM(F214)," ",""),"^-?\d+(\.\d+)?"))&lt;=90,VALUE(REGEXEXTRACT(SUBSTITUTE(TRIM(F214)," ",""),"-?\d+(\.\d+)?$"))&gt;=-180,VALUE(REGEXEXTRACT(SUBSTITUTE(TRIM(F214)," ",""),"-?\d+(\.\d+)?$"))&lt;=180),"OK","REVISAR"),"REVISAR"),"")</f>
        <v/>
      </c>
      <c r="O214">
        <f>IF(A214&lt;&gt;"","https://direcciones507.github.io/direcciones507/panel.html?codigo="&amp;A214&amp;"&amp;nombre="&amp;ENCODEURL(B214)&amp;"&amp;telefono="&amp;SUBSTITUTE(C214,"-","")&amp;"&amp;referencia="&amp;ENCODEURL(E214)&amp;"&amp;lat="&amp;IZQUIERDA(SUBSTITUTE(F214," ",""),ENCONTRAR(",",SUBSTITUTE(F214," ",""))-1)&amp;"&amp;lng="&amp;DERECHA(SUBSTITUTE(F214," ",""),LARGO(SUBSTITUTE(F214," ",""))-ENCONTRAR(",",SUBSTITUTE(F214," ",""))),"")</f>
        <v/>
      </c>
    </row>
    <row r="215" ht="15.75" customHeight="1" s="10">
      <c r="A215" s="8">
        <f>CONCAT("AD507-",TEXT(ROW()-2,"0000"))</f>
        <v/>
      </c>
      <c r="C215" s="8" t="n"/>
      <c r="F215" s="8" t="n"/>
      <c r="G215" s="8">
        <f>IF(F215&lt;&gt;"",HYPERLINK("https://www.google.com/maps/search/?api=1&amp;query="&amp;SUBSTITUTE(F215," ",""),"🗺 Google Maps"),"")</f>
        <v/>
      </c>
      <c r="H215" s="8">
        <f>IF(F215&lt;&gt;"",HYPERLINK("https://waze.com/ul?ll="&amp;SUBSTITUTE(F215," ","")&amp;"&amp;navigate=yes","🚗 Waze"),"")</f>
        <v/>
      </c>
      <c r="I215" s="8">
        <f>IF(F215&lt;&gt;"",HYPERLINK("https://m.uber.com/ul/?action=setPickup&amp;pickup=my_location&amp;dropoff[latitude]="&amp;LEFT(SUBSTITUTE(F215," ",""),FIND(",",SUBSTITUTE(F215," ",""))-1)&amp;"&amp;dropoff[longitude]="&amp;MID(SUBSTITUTE(F215," ",""),FIND(",",SUBSTITUTE(F215," ",""))+1,99),"🚕 Uber"),"")</f>
        <v/>
      </c>
      <c r="J215" s="8">
        <f>IF(F215&lt;&gt;"","https://api.qrserver.com/v1/create-qr-code/?size=200x200&amp;data="&amp;ENCODEURL("https://www.google.com/maps/search/?api=1&amp;query="&amp;SUBSTITUTE(F215," ","")),"")</f>
        <v/>
      </c>
      <c r="K215" s="8">
        <f>IF(C215&lt;&gt;"",HYPERLINK("https://wa.me/507"&amp;REGEXREPLACE(C215,"[^0-9]","")&amp;"?text="&amp;ENCODEURL("Ya llegue. Codigo: "&amp;A215&amp;". Ubicacion: "&amp;"https://www.google.com/maps/search/?api=1&amp;query="&amp;SUBSTITUTE(F215," ","")),"📲 Avisar al cliente"),"")</f>
        <v/>
      </c>
      <c r="L215" s="8">
        <f>IF(C215&lt;&gt;"","https://api.qrserver.com/v1/create-qr-code/?size=200x200&amp;data="&amp;ENCODEURL("https://wa.me/507"&amp;REGEXREPLACE(C215,"[^0-9]","")&amp;"?text="&amp;ENCODEURL("Ya llegue. Codigo: "&amp;A215&amp;". Ubicacion: "&amp;"https://www.google.com/maps/search/?api=1&amp;query="&amp;SUBSTITUTE(F215," ",""))),"")</f>
        <v/>
      </c>
      <c r="M215" s="8">
        <f>IF(B215&lt;&gt;"",TODAY(),"")</f>
        <v/>
      </c>
      <c r="N215" s="8">
        <f>IF(F215&lt;&gt;"",IFERROR(IF(AND(REGEXMATCH(SUBSTITUTE(TRIM(F215)," ",""),"^-?\d+(\.\d+)?,-?\d+(\.\d+)?$"),VALUE(REGEXEXTRACT(SUBSTITUTE(TRIM(F215)," ",""),"^-?\d+(\.\d+)?"))&gt;=-90,VALUE(REGEXEXTRACT(SUBSTITUTE(TRIM(F215)," ",""),"^-?\d+(\.\d+)?"))&lt;=90,VALUE(REGEXEXTRACT(SUBSTITUTE(TRIM(F215)," ",""),"-?\d+(\.\d+)?$"))&gt;=-180,VALUE(REGEXEXTRACT(SUBSTITUTE(TRIM(F215)," ",""),"-?\d+(\.\d+)?$"))&lt;=180),"OK","REVISAR"),"REVISAR"),"")</f>
        <v/>
      </c>
      <c r="O215">
        <f>IF(A215&lt;&gt;"","https://direcciones507.github.io/direcciones507/panel.html?codigo="&amp;A215&amp;"&amp;nombre="&amp;ENCODEURL(B215)&amp;"&amp;telefono="&amp;SUBSTITUTE(C215,"-","")&amp;"&amp;referencia="&amp;ENCODEURL(E215)&amp;"&amp;lat="&amp;IZQUIERDA(SUBSTITUTE(F215," ",""),ENCONTRAR(",",SUBSTITUTE(F215," ",""))-1)&amp;"&amp;lng="&amp;DERECHA(SUBSTITUTE(F215," ",""),LARGO(SUBSTITUTE(F215," ",""))-ENCONTRAR(",",SUBSTITUTE(F215," ",""))),"")</f>
        <v/>
      </c>
    </row>
    <row r="216" ht="15.75" customHeight="1" s="10">
      <c r="A216" s="8">
        <f>CONCAT("AD507-",TEXT(ROW()-2,"0000"))</f>
        <v/>
      </c>
      <c r="C216" s="8" t="n"/>
      <c r="F216" s="8" t="n"/>
      <c r="G216" s="8">
        <f>IF(F216&lt;&gt;"",HYPERLINK("https://www.google.com/maps/search/?api=1&amp;query="&amp;SUBSTITUTE(F216," ",""),"🗺 Google Maps"),"")</f>
        <v/>
      </c>
      <c r="H216" s="8">
        <f>IF(F216&lt;&gt;"",HYPERLINK("https://waze.com/ul?ll="&amp;SUBSTITUTE(F216," ","")&amp;"&amp;navigate=yes","🚗 Waze"),"")</f>
        <v/>
      </c>
      <c r="I216" s="8">
        <f>IF(F216&lt;&gt;"",HYPERLINK("https://m.uber.com/ul/?action=setPickup&amp;pickup=my_location&amp;dropoff[latitude]="&amp;LEFT(SUBSTITUTE(F216," ",""),FIND(",",SUBSTITUTE(F216," ",""))-1)&amp;"&amp;dropoff[longitude]="&amp;MID(SUBSTITUTE(F216," ",""),FIND(",",SUBSTITUTE(F216," ",""))+1,99),"🚕 Uber"),"")</f>
        <v/>
      </c>
      <c r="J216" s="8">
        <f>IF(F216&lt;&gt;"","https://api.qrserver.com/v1/create-qr-code/?size=200x200&amp;data="&amp;ENCODEURL("https://www.google.com/maps/search/?api=1&amp;query="&amp;SUBSTITUTE(F216," ","")),"")</f>
        <v/>
      </c>
      <c r="K216" s="8">
        <f>IF(C216&lt;&gt;"",HYPERLINK("https://wa.me/507"&amp;REGEXREPLACE(C216,"[^0-9]","")&amp;"?text="&amp;ENCODEURL("Ya llegue. Codigo: "&amp;A216&amp;". Ubicacion: "&amp;"https://www.google.com/maps/search/?api=1&amp;query="&amp;SUBSTITUTE(F216," ","")),"📲 Avisar al cliente"),"")</f>
        <v/>
      </c>
      <c r="L216" s="8">
        <f>IF(C216&lt;&gt;"","https://api.qrserver.com/v1/create-qr-code/?size=200x200&amp;data="&amp;ENCODEURL("https://wa.me/507"&amp;REGEXREPLACE(C216,"[^0-9]","")&amp;"?text="&amp;ENCODEURL("Ya llegue. Codigo: "&amp;A216&amp;". Ubicacion: "&amp;"https://www.google.com/maps/search/?api=1&amp;query="&amp;SUBSTITUTE(F216," ",""))),"")</f>
        <v/>
      </c>
      <c r="M216" s="8">
        <f>IF(B216&lt;&gt;"",TODAY(),"")</f>
        <v/>
      </c>
      <c r="N216" s="8">
        <f>IF(F216&lt;&gt;"",IFERROR(IF(AND(REGEXMATCH(SUBSTITUTE(TRIM(F216)," ",""),"^-?\d+(\.\d+)?,-?\d+(\.\d+)?$"),VALUE(REGEXEXTRACT(SUBSTITUTE(TRIM(F216)," ",""),"^-?\d+(\.\d+)?"))&gt;=-90,VALUE(REGEXEXTRACT(SUBSTITUTE(TRIM(F216)," ",""),"^-?\d+(\.\d+)?"))&lt;=90,VALUE(REGEXEXTRACT(SUBSTITUTE(TRIM(F216)," ",""),"-?\d+(\.\d+)?$"))&gt;=-180,VALUE(REGEXEXTRACT(SUBSTITUTE(TRIM(F216)," ",""),"-?\d+(\.\d+)?$"))&lt;=180),"OK","REVISAR"),"REVISAR"),"")</f>
        <v/>
      </c>
      <c r="O216">
        <f>IF(A216&lt;&gt;"","https://direcciones507.github.io/direcciones507/panel.html?codigo="&amp;A216&amp;"&amp;nombre="&amp;ENCODEURL(B216)&amp;"&amp;telefono="&amp;SUBSTITUTE(C216,"-","")&amp;"&amp;referencia="&amp;ENCODEURL(E216)&amp;"&amp;lat="&amp;IZQUIERDA(SUBSTITUTE(F216," ",""),ENCONTRAR(",",SUBSTITUTE(F216," ",""))-1)&amp;"&amp;lng="&amp;DERECHA(SUBSTITUTE(F216," ",""),LARGO(SUBSTITUTE(F216," ",""))-ENCONTRAR(",",SUBSTITUTE(F216," ",""))),"")</f>
        <v/>
      </c>
    </row>
    <row r="217" ht="15.75" customHeight="1" s="10">
      <c r="A217" s="8">
        <f>CONCAT("AD507-",TEXT(ROW()-2,"0000"))</f>
        <v/>
      </c>
      <c r="C217" s="8" t="n"/>
      <c r="F217" s="8" t="n"/>
      <c r="G217" s="8">
        <f>IF(F217&lt;&gt;"",HYPERLINK("https://www.google.com/maps/search/?api=1&amp;query="&amp;SUBSTITUTE(F217," ",""),"🗺 Google Maps"),"")</f>
        <v/>
      </c>
      <c r="H217" s="8">
        <f>IF(F217&lt;&gt;"",HYPERLINK("https://waze.com/ul?ll="&amp;SUBSTITUTE(F217," ","")&amp;"&amp;navigate=yes","🚗 Waze"),"")</f>
        <v/>
      </c>
      <c r="I217" s="8">
        <f>IF(F217&lt;&gt;"",HYPERLINK("https://m.uber.com/ul/?action=setPickup&amp;pickup=my_location&amp;dropoff[latitude]="&amp;LEFT(SUBSTITUTE(F217," ",""),FIND(",",SUBSTITUTE(F217," ",""))-1)&amp;"&amp;dropoff[longitude]="&amp;MID(SUBSTITUTE(F217," ",""),FIND(",",SUBSTITUTE(F217," ",""))+1,99),"🚕 Uber"),"")</f>
        <v/>
      </c>
      <c r="J217" s="8">
        <f>IF(F217&lt;&gt;"","https://api.qrserver.com/v1/create-qr-code/?size=200x200&amp;data="&amp;ENCODEURL("https://www.google.com/maps/search/?api=1&amp;query="&amp;SUBSTITUTE(F217," ","")),"")</f>
        <v/>
      </c>
      <c r="K217" s="8">
        <f>IF(C217&lt;&gt;"",HYPERLINK("https://wa.me/507"&amp;REGEXREPLACE(C217,"[^0-9]","")&amp;"?text="&amp;ENCODEURL("Ya llegue. Codigo: "&amp;A217&amp;". Ubicacion: "&amp;"https://www.google.com/maps/search/?api=1&amp;query="&amp;SUBSTITUTE(F217," ","")),"📲 Avisar al cliente"),"")</f>
        <v/>
      </c>
      <c r="L217" s="8">
        <f>IF(C217&lt;&gt;"","https://api.qrserver.com/v1/create-qr-code/?size=200x200&amp;data="&amp;ENCODEURL("https://wa.me/507"&amp;REGEXREPLACE(C217,"[^0-9]","")&amp;"?text="&amp;ENCODEURL("Ya llegue. Codigo: "&amp;A217&amp;". Ubicacion: "&amp;"https://www.google.com/maps/search/?api=1&amp;query="&amp;SUBSTITUTE(F217," ",""))),"")</f>
        <v/>
      </c>
      <c r="M217" s="8">
        <f>IF(B217&lt;&gt;"",TODAY(),"")</f>
        <v/>
      </c>
      <c r="N217" s="8">
        <f>IF(F217&lt;&gt;"",IFERROR(IF(AND(REGEXMATCH(SUBSTITUTE(TRIM(F217)," ",""),"^-?\d+(\.\d+)?,-?\d+(\.\d+)?$"),VALUE(REGEXEXTRACT(SUBSTITUTE(TRIM(F217)," ",""),"^-?\d+(\.\d+)?"))&gt;=-90,VALUE(REGEXEXTRACT(SUBSTITUTE(TRIM(F217)," ",""),"^-?\d+(\.\d+)?"))&lt;=90,VALUE(REGEXEXTRACT(SUBSTITUTE(TRIM(F217)," ",""),"-?\d+(\.\d+)?$"))&gt;=-180,VALUE(REGEXEXTRACT(SUBSTITUTE(TRIM(F217)," ",""),"-?\d+(\.\d+)?$"))&lt;=180),"OK","REVISAR"),"REVISAR"),"")</f>
        <v/>
      </c>
      <c r="O217">
        <f>IF(A217&lt;&gt;"","https://direcciones507.github.io/direcciones507/panel.html?codigo="&amp;A217&amp;"&amp;nombre="&amp;ENCODEURL(B217)&amp;"&amp;telefono="&amp;SUBSTITUTE(C217,"-","")&amp;"&amp;referencia="&amp;ENCODEURL(E217)&amp;"&amp;lat="&amp;IZQUIERDA(SUBSTITUTE(F217," ",""),ENCONTRAR(",",SUBSTITUTE(F217," ",""))-1)&amp;"&amp;lng="&amp;DERECHA(SUBSTITUTE(F217," ",""),LARGO(SUBSTITUTE(F217," ",""))-ENCONTRAR(",",SUBSTITUTE(F217," ",""))),"")</f>
        <v/>
      </c>
    </row>
    <row r="218" ht="15.75" customHeight="1" s="10">
      <c r="A218" s="8">
        <f>CONCAT("AD507-",TEXT(ROW()-2,"0000"))</f>
        <v/>
      </c>
      <c r="C218" s="8" t="n"/>
      <c r="F218" s="8" t="n"/>
      <c r="G218" s="8">
        <f>IF(F218&lt;&gt;"",HYPERLINK("https://www.google.com/maps/search/?api=1&amp;query="&amp;SUBSTITUTE(F218," ",""),"🗺 Google Maps"),"")</f>
        <v/>
      </c>
      <c r="H218" s="8">
        <f>IF(F218&lt;&gt;"",HYPERLINK("https://waze.com/ul?ll="&amp;SUBSTITUTE(F218," ","")&amp;"&amp;navigate=yes","🚗 Waze"),"")</f>
        <v/>
      </c>
      <c r="I218" s="8">
        <f>IF(F218&lt;&gt;"",HYPERLINK("https://m.uber.com/ul/?action=setPickup&amp;pickup=my_location&amp;dropoff[latitude]="&amp;LEFT(SUBSTITUTE(F218," ",""),FIND(",",SUBSTITUTE(F218," ",""))-1)&amp;"&amp;dropoff[longitude]="&amp;MID(SUBSTITUTE(F218," ",""),FIND(",",SUBSTITUTE(F218," ",""))+1,99),"🚕 Uber"),"")</f>
        <v/>
      </c>
      <c r="J218" s="8">
        <f>IF(F218&lt;&gt;"","https://api.qrserver.com/v1/create-qr-code/?size=200x200&amp;data="&amp;ENCODEURL("https://www.google.com/maps/search/?api=1&amp;query="&amp;SUBSTITUTE(F218," ","")),"")</f>
        <v/>
      </c>
      <c r="K218" s="8">
        <f>IF(C218&lt;&gt;"",HYPERLINK("https://wa.me/507"&amp;REGEXREPLACE(C218,"[^0-9]","")&amp;"?text="&amp;ENCODEURL("Ya llegue. Codigo: "&amp;A218&amp;". Ubicacion: "&amp;"https://www.google.com/maps/search/?api=1&amp;query="&amp;SUBSTITUTE(F218," ","")),"📲 Avisar al cliente"),"")</f>
        <v/>
      </c>
      <c r="L218" s="8">
        <f>IF(C218&lt;&gt;"","https://api.qrserver.com/v1/create-qr-code/?size=200x200&amp;data="&amp;ENCODEURL("https://wa.me/507"&amp;REGEXREPLACE(C218,"[^0-9]","")&amp;"?text="&amp;ENCODEURL("Ya llegue. Codigo: "&amp;A218&amp;". Ubicacion: "&amp;"https://www.google.com/maps/search/?api=1&amp;query="&amp;SUBSTITUTE(F218," ",""))),"")</f>
        <v/>
      </c>
      <c r="M218" s="8">
        <f>IF(B218&lt;&gt;"",TODAY(),"")</f>
        <v/>
      </c>
      <c r="N218" s="8">
        <f>IF(F218&lt;&gt;"",IFERROR(IF(AND(REGEXMATCH(SUBSTITUTE(TRIM(F218)," ",""),"^-?\d+(\.\d+)?,-?\d+(\.\d+)?$"),VALUE(REGEXEXTRACT(SUBSTITUTE(TRIM(F218)," ",""),"^-?\d+(\.\d+)?"))&gt;=-90,VALUE(REGEXEXTRACT(SUBSTITUTE(TRIM(F218)," ",""),"^-?\d+(\.\d+)?"))&lt;=90,VALUE(REGEXEXTRACT(SUBSTITUTE(TRIM(F218)," ",""),"-?\d+(\.\d+)?$"))&gt;=-180,VALUE(REGEXEXTRACT(SUBSTITUTE(TRIM(F218)," ",""),"-?\d+(\.\d+)?$"))&lt;=180),"OK","REVISAR"),"REVISAR"),"")</f>
        <v/>
      </c>
      <c r="O218">
        <f>IF(A218&lt;&gt;"","https://direcciones507.github.io/direcciones507/panel.html?codigo="&amp;A218&amp;"&amp;nombre="&amp;ENCODEURL(B218)&amp;"&amp;telefono="&amp;SUBSTITUTE(C218,"-","")&amp;"&amp;referencia="&amp;ENCODEURL(E218)&amp;"&amp;lat="&amp;IZQUIERDA(SUBSTITUTE(F218," ",""),ENCONTRAR(",",SUBSTITUTE(F218," ",""))-1)&amp;"&amp;lng="&amp;DERECHA(SUBSTITUTE(F218," ",""),LARGO(SUBSTITUTE(F218," ",""))-ENCONTRAR(",",SUBSTITUTE(F218," ",""))),"")</f>
        <v/>
      </c>
    </row>
    <row r="219" ht="15.75" customHeight="1" s="10">
      <c r="A219" s="8">
        <f>CONCAT("AD507-",TEXT(ROW()-2,"0000"))</f>
        <v/>
      </c>
      <c r="C219" s="8" t="n"/>
      <c r="F219" s="8" t="n"/>
      <c r="G219" s="8">
        <f>IF(F219&lt;&gt;"",HYPERLINK("https://www.google.com/maps/search/?api=1&amp;query="&amp;SUBSTITUTE(F219," ",""),"🗺 Google Maps"),"")</f>
        <v/>
      </c>
      <c r="H219" s="8">
        <f>IF(F219&lt;&gt;"",HYPERLINK("https://waze.com/ul?ll="&amp;SUBSTITUTE(F219," ","")&amp;"&amp;navigate=yes","🚗 Waze"),"")</f>
        <v/>
      </c>
      <c r="I219" s="8">
        <f>IF(F219&lt;&gt;"",HYPERLINK("https://m.uber.com/ul/?action=setPickup&amp;pickup=my_location&amp;dropoff[latitude]="&amp;LEFT(SUBSTITUTE(F219," ",""),FIND(",",SUBSTITUTE(F219," ",""))-1)&amp;"&amp;dropoff[longitude]="&amp;MID(SUBSTITUTE(F219," ",""),FIND(",",SUBSTITUTE(F219," ",""))+1,99),"🚕 Uber"),"")</f>
        <v/>
      </c>
      <c r="J219" s="8">
        <f>IF(F219&lt;&gt;"","https://api.qrserver.com/v1/create-qr-code/?size=200x200&amp;data="&amp;ENCODEURL("https://www.google.com/maps/search/?api=1&amp;query="&amp;SUBSTITUTE(F219," ","")),"")</f>
        <v/>
      </c>
      <c r="K219" s="8">
        <f>IF(C219&lt;&gt;"",HYPERLINK("https://wa.me/507"&amp;REGEXREPLACE(C219,"[^0-9]","")&amp;"?text="&amp;ENCODEURL("Ya llegue. Codigo: "&amp;A219&amp;". Ubicacion: "&amp;"https://www.google.com/maps/search/?api=1&amp;query="&amp;SUBSTITUTE(F219," ","")),"📲 Avisar al cliente"),"")</f>
        <v/>
      </c>
      <c r="L219" s="8">
        <f>IF(C219&lt;&gt;"","https://api.qrserver.com/v1/create-qr-code/?size=200x200&amp;data="&amp;ENCODEURL("https://wa.me/507"&amp;REGEXREPLACE(C219,"[^0-9]","")&amp;"?text="&amp;ENCODEURL("Ya llegue. Codigo: "&amp;A219&amp;". Ubicacion: "&amp;"https://www.google.com/maps/search/?api=1&amp;query="&amp;SUBSTITUTE(F219," ",""))),"")</f>
        <v/>
      </c>
      <c r="M219" s="8">
        <f>IF(B219&lt;&gt;"",TODAY(),"")</f>
        <v/>
      </c>
      <c r="N219" s="8">
        <f>IF(F219&lt;&gt;"",IFERROR(IF(AND(REGEXMATCH(SUBSTITUTE(TRIM(F219)," ",""),"^-?\d+(\.\d+)?,-?\d+(\.\d+)?$"),VALUE(REGEXEXTRACT(SUBSTITUTE(TRIM(F219)," ",""),"^-?\d+(\.\d+)?"))&gt;=-90,VALUE(REGEXEXTRACT(SUBSTITUTE(TRIM(F219)," ",""),"^-?\d+(\.\d+)?"))&lt;=90,VALUE(REGEXEXTRACT(SUBSTITUTE(TRIM(F219)," ",""),"-?\d+(\.\d+)?$"))&gt;=-180,VALUE(REGEXEXTRACT(SUBSTITUTE(TRIM(F219)," ",""),"-?\d+(\.\d+)?$"))&lt;=180),"OK","REVISAR"),"REVISAR"),"")</f>
        <v/>
      </c>
      <c r="O219">
        <f>IF(A219&lt;&gt;"","https://direcciones507.github.io/direcciones507/panel.html?codigo="&amp;A219&amp;"&amp;nombre="&amp;ENCODEURL(B219)&amp;"&amp;telefono="&amp;SUBSTITUTE(C219,"-","")&amp;"&amp;referencia="&amp;ENCODEURL(E219)&amp;"&amp;lat="&amp;IZQUIERDA(SUBSTITUTE(F219," ",""),ENCONTRAR(",",SUBSTITUTE(F219," ",""))-1)&amp;"&amp;lng="&amp;DERECHA(SUBSTITUTE(F219," ",""),LARGO(SUBSTITUTE(F219," ",""))-ENCONTRAR(",",SUBSTITUTE(F219," ",""))),"")</f>
        <v/>
      </c>
    </row>
    <row r="220" ht="15.75" customHeight="1" s="10">
      <c r="A220" s="8">
        <f>CONCAT("AD507-",TEXT(ROW()-2,"0000"))</f>
        <v/>
      </c>
      <c r="C220" s="8" t="n"/>
      <c r="F220" s="8" t="n"/>
      <c r="G220" s="8">
        <f>IF(F220&lt;&gt;"",HYPERLINK("https://www.google.com/maps/search/?api=1&amp;query="&amp;SUBSTITUTE(F220," ",""),"🗺 Google Maps"),"")</f>
        <v/>
      </c>
      <c r="H220" s="8">
        <f>IF(F220&lt;&gt;"",HYPERLINK("https://waze.com/ul?ll="&amp;SUBSTITUTE(F220," ","")&amp;"&amp;navigate=yes","🚗 Waze"),"")</f>
        <v/>
      </c>
      <c r="I220" s="8">
        <f>IF(F220&lt;&gt;"",HYPERLINK("https://m.uber.com/ul/?action=setPickup&amp;pickup=my_location&amp;dropoff[latitude]="&amp;LEFT(SUBSTITUTE(F220," ",""),FIND(",",SUBSTITUTE(F220," ",""))-1)&amp;"&amp;dropoff[longitude]="&amp;MID(SUBSTITUTE(F220," ",""),FIND(",",SUBSTITUTE(F220," ",""))+1,99),"🚕 Uber"),"")</f>
        <v/>
      </c>
      <c r="J220" s="8">
        <f>IF(F220&lt;&gt;"","https://api.qrserver.com/v1/create-qr-code/?size=200x200&amp;data="&amp;ENCODEURL("https://www.google.com/maps/search/?api=1&amp;query="&amp;SUBSTITUTE(F220," ","")),"")</f>
        <v/>
      </c>
      <c r="K220" s="8">
        <f>IF(C220&lt;&gt;"",HYPERLINK("https://wa.me/507"&amp;REGEXREPLACE(C220,"[^0-9]","")&amp;"?text="&amp;ENCODEURL("Ya llegue. Codigo: "&amp;A220&amp;". Ubicacion: "&amp;"https://www.google.com/maps/search/?api=1&amp;query="&amp;SUBSTITUTE(F220," ","")),"📲 Avisar al cliente"),"")</f>
        <v/>
      </c>
      <c r="L220" s="8">
        <f>IF(C220&lt;&gt;"","https://api.qrserver.com/v1/create-qr-code/?size=200x200&amp;data="&amp;ENCODEURL("https://wa.me/507"&amp;REGEXREPLACE(C220,"[^0-9]","")&amp;"?text="&amp;ENCODEURL("Ya llegue. Codigo: "&amp;A220&amp;". Ubicacion: "&amp;"https://www.google.com/maps/search/?api=1&amp;query="&amp;SUBSTITUTE(F220," ",""))),"")</f>
        <v/>
      </c>
      <c r="M220" s="8">
        <f>IF(B220&lt;&gt;"",TODAY(),"")</f>
        <v/>
      </c>
      <c r="N220" s="8">
        <f>IF(F220&lt;&gt;"",IFERROR(IF(AND(REGEXMATCH(SUBSTITUTE(TRIM(F220)," ",""),"^-?\d+(\.\d+)?,-?\d+(\.\d+)?$"),VALUE(REGEXEXTRACT(SUBSTITUTE(TRIM(F220)," ",""),"^-?\d+(\.\d+)?"))&gt;=-90,VALUE(REGEXEXTRACT(SUBSTITUTE(TRIM(F220)," ",""),"^-?\d+(\.\d+)?"))&lt;=90,VALUE(REGEXEXTRACT(SUBSTITUTE(TRIM(F220)," ",""),"-?\d+(\.\d+)?$"))&gt;=-180,VALUE(REGEXEXTRACT(SUBSTITUTE(TRIM(F220)," ",""),"-?\d+(\.\d+)?$"))&lt;=180),"OK","REVISAR"),"REVISAR"),"")</f>
        <v/>
      </c>
      <c r="O220">
        <f>IF(A220&lt;&gt;"","https://direcciones507.github.io/direcciones507/panel.html?codigo="&amp;A220&amp;"&amp;nombre="&amp;ENCODEURL(B220)&amp;"&amp;telefono="&amp;SUBSTITUTE(C220,"-","")&amp;"&amp;referencia="&amp;ENCODEURL(E220)&amp;"&amp;lat="&amp;IZQUIERDA(SUBSTITUTE(F220," ",""),ENCONTRAR(",",SUBSTITUTE(F220," ",""))-1)&amp;"&amp;lng="&amp;DERECHA(SUBSTITUTE(F220," ",""),LARGO(SUBSTITUTE(F220," ",""))-ENCONTRAR(",",SUBSTITUTE(F220," ",""))),"")</f>
        <v/>
      </c>
    </row>
    <row r="221" ht="15.75" customHeight="1" s="10">
      <c r="A221" s="8">
        <f>CONCAT("AD507-",TEXT(ROW()-2,"0000"))</f>
        <v/>
      </c>
      <c r="C221" s="8" t="n"/>
      <c r="F221" s="8" t="n"/>
      <c r="G221" s="8">
        <f>IF(F221&lt;&gt;"",HYPERLINK("https://www.google.com/maps/search/?api=1&amp;query="&amp;SUBSTITUTE(F221," ",""),"🗺 Google Maps"),"")</f>
        <v/>
      </c>
      <c r="H221" s="8">
        <f>IF(F221&lt;&gt;"",HYPERLINK("https://waze.com/ul?ll="&amp;SUBSTITUTE(F221," ","")&amp;"&amp;navigate=yes","🚗 Waze"),"")</f>
        <v/>
      </c>
      <c r="I221" s="8">
        <f>IF(F221&lt;&gt;"",HYPERLINK("https://m.uber.com/ul/?action=setPickup&amp;pickup=my_location&amp;dropoff[latitude]="&amp;LEFT(SUBSTITUTE(F221," ",""),FIND(",",SUBSTITUTE(F221," ",""))-1)&amp;"&amp;dropoff[longitude]="&amp;MID(SUBSTITUTE(F221," ",""),FIND(",",SUBSTITUTE(F221," ",""))+1,99),"🚕 Uber"),"")</f>
        <v/>
      </c>
      <c r="J221" s="8">
        <f>IF(F221&lt;&gt;"","https://api.qrserver.com/v1/create-qr-code/?size=200x200&amp;data="&amp;ENCODEURL("https://www.google.com/maps/search/?api=1&amp;query="&amp;SUBSTITUTE(F221," ","")),"")</f>
        <v/>
      </c>
      <c r="K221" s="8">
        <f>IF(C221&lt;&gt;"",HYPERLINK("https://wa.me/507"&amp;REGEXREPLACE(C221,"[^0-9]","")&amp;"?text="&amp;ENCODEURL("Ya llegue. Codigo: "&amp;A221&amp;". Ubicacion: "&amp;"https://www.google.com/maps/search/?api=1&amp;query="&amp;SUBSTITUTE(F221," ","")),"📲 Avisar al cliente"),"")</f>
        <v/>
      </c>
      <c r="L221" s="8">
        <f>IF(C221&lt;&gt;"","https://api.qrserver.com/v1/create-qr-code/?size=200x200&amp;data="&amp;ENCODEURL("https://wa.me/507"&amp;REGEXREPLACE(C221,"[^0-9]","")&amp;"?text="&amp;ENCODEURL("Ya llegue. Codigo: "&amp;A221&amp;". Ubicacion: "&amp;"https://www.google.com/maps/search/?api=1&amp;query="&amp;SUBSTITUTE(F221," ",""))),"")</f>
        <v/>
      </c>
      <c r="M221" s="8">
        <f>IF(B221&lt;&gt;"",TODAY(),"")</f>
        <v/>
      </c>
      <c r="N221" s="8">
        <f>IF(F221&lt;&gt;"",IFERROR(IF(AND(REGEXMATCH(SUBSTITUTE(TRIM(F221)," ",""),"^-?\d+(\.\d+)?,-?\d+(\.\d+)?$"),VALUE(REGEXEXTRACT(SUBSTITUTE(TRIM(F221)," ",""),"^-?\d+(\.\d+)?"))&gt;=-90,VALUE(REGEXEXTRACT(SUBSTITUTE(TRIM(F221)," ",""),"^-?\d+(\.\d+)?"))&lt;=90,VALUE(REGEXEXTRACT(SUBSTITUTE(TRIM(F221)," ",""),"-?\d+(\.\d+)?$"))&gt;=-180,VALUE(REGEXEXTRACT(SUBSTITUTE(TRIM(F221)," ",""),"-?\d+(\.\d+)?$"))&lt;=180),"OK","REVISAR"),"REVISAR"),"")</f>
        <v/>
      </c>
      <c r="O221">
        <f>IF(A221&lt;&gt;"","https://direcciones507.github.io/direcciones507/panel.html?codigo="&amp;A221&amp;"&amp;nombre="&amp;ENCODEURL(B221)&amp;"&amp;telefono="&amp;SUBSTITUTE(C221,"-","")&amp;"&amp;referencia="&amp;ENCODEURL(E221)&amp;"&amp;lat="&amp;IZQUIERDA(SUBSTITUTE(F221," ",""),ENCONTRAR(",",SUBSTITUTE(F221," ",""))-1)&amp;"&amp;lng="&amp;DERECHA(SUBSTITUTE(F221," ",""),LARGO(SUBSTITUTE(F221," ",""))-ENCONTRAR(",",SUBSTITUTE(F221," ",""))),"")</f>
        <v/>
      </c>
    </row>
    <row r="222" ht="15.75" customHeight="1" s="10">
      <c r="A222" s="8">
        <f>CONCAT("AD507-",TEXT(ROW()-2,"0000"))</f>
        <v/>
      </c>
      <c r="C222" s="8" t="n"/>
      <c r="F222" s="8" t="n"/>
      <c r="G222" s="8">
        <f>IF(F222&lt;&gt;"",HYPERLINK("https://www.google.com/maps/search/?api=1&amp;query="&amp;SUBSTITUTE(F222," ",""),"🗺 Google Maps"),"")</f>
        <v/>
      </c>
      <c r="H222" s="8">
        <f>IF(F222&lt;&gt;"",HYPERLINK("https://waze.com/ul?ll="&amp;SUBSTITUTE(F222," ","")&amp;"&amp;navigate=yes","🚗 Waze"),"")</f>
        <v/>
      </c>
      <c r="I222" s="8">
        <f>IF(F222&lt;&gt;"",HYPERLINK("https://m.uber.com/ul/?action=setPickup&amp;pickup=my_location&amp;dropoff[latitude]="&amp;LEFT(SUBSTITUTE(F222," ",""),FIND(",",SUBSTITUTE(F222," ",""))-1)&amp;"&amp;dropoff[longitude]="&amp;MID(SUBSTITUTE(F222," ",""),FIND(",",SUBSTITUTE(F222," ",""))+1,99),"🚕 Uber"),"")</f>
        <v/>
      </c>
      <c r="J222" s="8">
        <f>IF(F222&lt;&gt;"","https://api.qrserver.com/v1/create-qr-code/?size=200x200&amp;data="&amp;ENCODEURL("https://www.google.com/maps/search/?api=1&amp;query="&amp;SUBSTITUTE(F222," ","")),"")</f>
        <v/>
      </c>
      <c r="K222" s="8">
        <f>IF(C222&lt;&gt;"",HYPERLINK("https://wa.me/507"&amp;REGEXREPLACE(C222,"[^0-9]","")&amp;"?text="&amp;ENCODEURL("Ya llegue. Codigo: "&amp;A222&amp;". Ubicacion: "&amp;"https://www.google.com/maps/search/?api=1&amp;query="&amp;SUBSTITUTE(F222," ","")),"📲 Avisar al cliente"),"")</f>
        <v/>
      </c>
      <c r="L222" s="8">
        <f>IF(C222&lt;&gt;"","https://api.qrserver.com/v1/create-qr-code/?size=200x200&amp;data="&amp;ENCODEURL("https://wa.me/507"&amp;REGEXREPLACE(C222,"[^0-9]","")&amp;"?text="&amp;ENCODEURL("Ya llegue. Codigo: "&amp;A222&amp;". Ubicacion: "&amp;"https://www.google.com/maps/search/?api=1&amp;query="&amp;SUBSTITUTE(F222," ",""))),"")</f>
        <v/>
      </c>
      <c r="M222" s="8">
        <f>IF(B222&lt;&gt;"",TODAY(),"")</f>
        <v/>
      </c>
      <c r="N222" s="8">
        <f>IF(F222&lt;&gt;"",IFERROR(IF(AND(REGEXMATCH(SUBSTITUTE(TRIM(F222)," ",""),"^-?\d+(\.\d+)?,-?\d+(\.\d+)?$"),VALUE(REGEXEXTRACT(SUBSTITUTE(TRIM(F222)," ",""),"^-?\d+(\.\d+)?"))&gt;=-90,VALUE(REGEXEXTRACT(SUBSTITUTE(TRIM(F222)," ",""),"^-?\d+(\.\d+)?"))&lt;=90,VALUE(REGEXEXTRACT(SUBSTITUTE(TRIM(F222)," ",""),"-?\d+(\.\d+)?$"))&gt;=-180,VALUE(REGEXEXTRACT(SUBSTITUTE(TRIM(F222)," ",""),"-?\d+(\.\d+)?$"))&lt;=180),"OK","REVISAR"),"REVISAR"),"")</f>
        <v/>
      </c>
      <c r="O222">
        <f>IF(A222&lt;&gt;"","https://direcciones507.github.io/direcciones507/panel.html?codigo="&amp;A222&amp;"&amp;nombre="&amp;ENCODEURL(B222)&amp;"&amp;telefono="&amp;SUBSTITUTE(C222,"-","")&amp;"&amp;referencia="&amp;ENCODEURL(E222)&amp;"&amp;lat="&amp;IZQUIERDA(SUBSTITUTE(F222," ",""),ENCONTRAR(",",SUBSTITUTE(F222," ",""))-1)&amp;"&amp;lng="&amp;DERECHA(SUBSTITUTE(F222," ",""),LARGO(SUBSTITUTE(F222," ",""))-ENCONTRAR(",",SUBSTITUTE(F222," ",""))),"")</f>
        <v/>
      </c>
    </row>
    <row r="223" ht="15.75" customHeight="1" s="10">
      <c r="A223" s="8">
        <f>CONCAT("AD507-",TEXT(ROW()-2,"0000"))</f>
        <v/>
      </c>
      <c r="C223" s="8" t="n"/>
      <c r="F223" s="8" t="n"/>
      <c r="G223" s="8">
        <f>IF(F223&lt;&gt;"",HYPERLINK("https://www.google.com/maps/search/?api=1&amp;query="&amp;SUBSTITUTE(F223," ",""),"🗺 Google Maps"),"")</f>
        <v/>
      </c>
      <c r="H223" s="8">
        <f>IF(F223&lt;&gt;"",HYPERLINK("https://waze.com/ul?ll="&amp;SUBSTITUTE(F223," ","")&amp;"&amp;navigate=yes","🚗 Waze"),"")</f>
        <v/>
      </c>
      <c r="I223" s="8">
        <f>IF(F223&lt;&gt;"",HYPERLINK("https://m.uber.com/ul/?action=setPickup&amp;pickup=my_location&amp;dropoff[latitude]="&amp;LEFT(SUBSTITUTE(F223," ",""),FIND(",",SUBSTITUTE(F223," ",""))-1)&amp;"&amp;dropoff[longitude]="&amp;MID(SUBSTITUTE(F223," ",""),FIND(",",SUBSTITUTE(F223," ",""))+1,99),"🚕 Uber"),"")</f>
        <v/>
      </c>
      <c r="J223" s="8">
        <f>IF(F223&lt;&gt;"","https://api.qrserver.com/v1/create-qr-code/?size=200x200&amp;data="&amp;ENCODEURL("https://www.google.com/maps/search/?api=1&amp;query="&amp;SUBSTITUTE(F223," ","")),"")</f>
        <v/>
      </c>
      <c r="K223" s="8">
        <f>IF(C223&lt;&gt;"",HYPERLINK("https://wa.me/507"&amp;REGEXREPLACE(C223,"[^0-9]","")&amp;"?text="&amp;ENCODEURL("Ya llegue. Codigo: "&amp;A223&amp;". Ubicacion: "&amp;"https://www.google.com/maps/search/?api=1&amp;query="&amp;SUBSTITUTE(F223," ","")),"📲 Avisar al cliente"),"")</f>
        <v/>
      </c>
      <c r="L223" s="8">
        <f>IF(C223&lt;&gt;"","https://api.qrserver.com/v1/create-qr-code/?size=200x200&amp;data="&amp;ENCODEURL("https://wa.me/507"&amp;REGEXREPLACE(C223,"[^0-9]","")&amp;"?text="&amp;ENCODEURL("Ya llegue. Codigo: "&amp;A223&amp;". Ubicacion: "&amp;"https://www.google.com/maps/search/?api=1&amp;query="&amp;SUBSTITUTE(F223," ",""))),"")</f>
        <v/>
      </c>
      <c r="M223" s="8">
        <f>IF(B223&lt;&gt;"",TODAY(),"")</f>
        <v/>
      </c>
      <c r="N223" s="8">
        <f>IF(F223&lt;&gt;"",IFERROR(IF(AND(REGEXMATCH(SUBSTITUTE(TRIM(F223)," ",""),"^-?\d+(\.\d+)?,-?\d+(\.\d+)?$"),VALUE(REGEXEXTRACT(SUBSTITUTE(TRIM(F223)," ",""),"^-?\d+(\.\d+)?"))&gt;=-90,VALUE(REGEXEXTRACT(SUBSTITUTE(TRIM(F223)," ",""),"^-?\d+(\.\d+)?"))&lt;=90,VALUE(REGEXEXTRACT(SUBSTITUTE(TRIM(F223)," ",""),"-?\d+(\.\d+)?$"))&gt;=-180,VALUE(REGEXEXTRACT(SUBSTITUTE(TRIM(F223)," ",""),"-?\d+(\.\d+)?$"))&lt;=180),"OK","REVISAR"),"REVISAR"),"")</f>
        <v/>
      </c>
      <c r="O223">
        <f>IF(A223&lt;&gt;"","https://direcciones507.github.io/direcciones507/panel.html?codigo="&amp;A223&amp;"&amp;nombre="&amp;ENCODEURL(B223)&amp;"&amp;telefono="&amp;SUBSTITUTE(C223,"-","")&amp;"&amp;referencia="&amp;ENCODEURL(E223)&amp;"&amp;lat="&amp;IZQUIERDA(SUBSTITUTE(F223," ",""),ENCONTRAR(",",SUBSTITUTE(F223," ",""))-1)&amp;"&amp;lng="&amp;DERECHA(SUBSTITUTE(F223," ",""),LARGO(SUBSTITUTE(F223," ",""))-ENCONTRAR(",",SUBSTITUTE(F223," ",""))),"")</f>
        <v/>
      </c>
    </row>
    <row r="224" ht="15.75" customHeight="1" s="10">
      <c r="A224" s="8">
        <f>CONCAT("AD507-",TEXT(ROW()-2,"0000"))</f>
        <v/>
      </c>
      <c r="C224" s="8" t="n"/>
      <c r="F224" s="8" t="n"/>
      <c r="G224" s="8">
        <f>IF(F224&lt;&gt;"",HYPERLINK("https://www.google.com/maps/search/?api=1&amp;query="&amp;SUBSTITUTE(F224," ",""),"🗺 Google Maps"),"")</f>
        <v/>
      </c>
      <c r="H224" s="8">
        <f>IF(F224&lt;&gt;"",HYPERLINK("https://waze.com/ul?ll="&amp;SUBSTITUTE(F224," ","")&amp;"&amp;navigate=yes","🚗 Waze"),"")</f>
        <v/>
      </c>
      <c r="I224" s="8">
        <f>IF(F224&lt;&gt;"",HYPERLINK("https://m.uber.com/ul/?action=setPickup&amp;pickup=my_location&amp;dropoff[latitude]="&amp;LEFT(SUBSTITUTE(F224," ",""),FIND(",",SUBSTITUTE(F224," ",""))-1)&amp;"&amp;dropoff[longitude]="&amp;MID(SUBSTITUTE(F224," ",""),FIND(",",SUBSTITUTE(F224," ",""))+1,99),"🚕 Uber"),"")</f>
        <v/>
      </c>
      <c r="J224" s="8">
        <f>IF(F224&lt;&gt;"","https://api.qrserver.com/v1/create-qr-code/?size=200x200&amp;data="&amp;ENCODEURL("https://www.google.com/maps/search/?api=1&amp;query="&amp;SUBSTITUTE(F224," ","")),"")</f>
        <v/>
      </c>
      <c r="K224" s="8">
        <f>IF(C224&lt;&gt;"",HYPERLINK("https://wa.me/507"&amp;REGEXREPLACE(C224,"[^0-9]","")&amp;"?text="&amp;ENCODEURL("Ya llegue. Codigo: "&amp;A224&amp;". Ubicacion: "&amp;"https://www.google.com/maps/search/?api=1&amp;query="&amp;SUBSTITUTE(F224," ","")),"📲 Avisar al cliente"),"")</f>
        <v/>
      </c>
      <c r="L224" s="8">
        <f>IF(C224&lt;&gt;"","https://api.qrserver.com/v1/create-qr-code/?size=200x200&amp;data="&amp;ENCODEURL("https://wa.me/507"&amp;REGEXREPLACE(C224,"[^0-9]","")&amp;"?text="&amp;ENCODEURL("Ya llegue. Codigo: "&amp;A224&amp;". Ubicacion: "&amp;"https://www.google.com/maps/search/?api=1&amp;query="&amp;SUBSTITUTE(F224," ",""))),"")</f>
        <v/>
      </c>
      <c r="M224" s="8">
        <f>IF(B224&lt;&gt;"",TODAY(),"")</f>
        <v/>
      </c>
      <c r="N224" s="8">
        <f>IF(F224&lt;&gt;"",IFERROR(IF(AND(REGEXMATCH(SUBSTITUTE(TRIM(F224)," ",""),"^-?\d+(\.\d+)?,-?\d+(\.\d+)?$"),VALUE(REGEXEXTRACT(SUBSTITUTE(TRIM(F224)," ",""),"^-?\d+(\.\d+)?"))&gt;=-90,VALUE(REGEXEXTRACT(SUBSTITUTE(TRIM(F224)," ",""),"^-?\d+(\.\d+)?"))&lt;=90,VALUE(REGEXEXTRACT(SUBSTITUTE(TRIM(F224)," ",""),"-?\d+(\.\d+)?$"))&gt;=-180,VALUE(REGEXEXTRACT(SUBSTITUTE(TRIM(F224)," ",""),"-?\d+(\.\d+)?$"))&lt;=180),"OK","REVISAR"),"REVISAR"),"")</f>
        <v/>
      </c>
      <c r="O224">
        <f>IF(A224&lt;&gt;"","https://direcciones507.github.io/direcciones507/panel.html?codigo="&amp;A224&amp;"&amp;nombre="&amp;ENCODEURL(B224)&amp;"&amp;telefono="&amp;SUBSTITUTE(C224,"-","")&amp;"&amp;referencia="&amp;ENCODEURL(E224)&amp;"&amp;lat="&amp;IZQUIERDA(SUBSTITUTE(F224," ",""),ENCONTRAR(",",SUBSTITUTE(F224," ",""))-1)&amp;"&amp;lng="&amp;DERECHA(SUBSTITUTE(F224," ",""),LARGO(SUBSTITUTE(F224," ",""))-ENCONTRAR(",",SUBSTITUTE(F224," ",""))),"")</f>
        <v/>
      </c>
    </row>
    <row r="225" ht="15.75" customHeight="1" s="10">
      <c r="A225" s="8">
        <f>CONCAT("AD507-",TEXT(ROW()-2,"0000"))</f>
        <v/>
      </c>
      <c r="C225" s="8" t="n"/>
      <c r="F225" s="8" t="n"/>
      <c r="G225" s="8">
        <f>IF(F225&lt;&gt;"",HYPERLINK("https://www.google.com/maps/search/?api=1&amp;query="&amp;SUBSTITUTE(F225," ",""),"🗺 Google Maps"),"")</f>
        <v/>
      </c>
      <c r="H225" s="8">
        <f>IF(F225&lt;&gt;"",HYPERLINK("https://waze.com/ul?ll="&amp;SUBSTITUTE(F225," ","")&amp;"&amp;navigate=yes","🚗 Waze"),"")</f>
        <v/>
      </c>
      <c r="I225" s="8">
        <f>IF(F225&lt;&gt;"",HYPERLINK("https://m.uber.com/ul/?action=setPickup&amp;pickup=my_location&amp;dropoff[latitude]="&amp;LEFT(SUBSTITUTE(F225," ",""),FIND(",",SUBSTITUTE(F225," ",""))-1)&amp;"&amp;dropoff[longitude]="&amp;MID(SUBSTITUTE(F225," ",""),FIND(",",SUBSTITUTE(F225," ",""))+1,99),"🚕 Uber"),"")</f>
        <v/>
      </c>
      <c r="J225" s="8">
        <f>IF(F225&lt;&gt;"","https://api.qrserver.com/v1/create-qr-code/?size=200x200&amp;data="&amp;ENCODEURL("https://www.google.com/maps/search/?api=1&amp;query="&amp;SUBSTITUTE(F225," ","")),"")</f>
        <v/>
      </c>
      <c r="K225" s="8">
        <f>IF(C225&lt;&gt;"",HYPERLINK("https://wa.me/507"&amp;REGEXREPLACE(C225,"[^0-9]","")&amp;"?text="&amp;ENCODEURL("Ya llegue. Codigo: "&amp;A225&amp;". Ubicacion: "&amp;"https://www.google.com/maps/search/?api=1&amp;query="&amp;SUBSTITUTE(F225," ","")),"📲 Avisar al cliente"),"")</f>
        <v/>
      </c>
      <c r="L225" s="8">
        <f>IF(C225&lt;&gt;"","https://api.qrserver.com/v1/create-qr-code/?size=200x200&amp;data="&amp;ENCODEURL("https://wa.me/507"&amp;REGEXREPLACE(C225,"[^0-9]","")&amp;"?text="&amp;ENCODEURL("Ya llegue. Codigo: "&amp;A225&amp;". Ubicacion: "&amp;"https://www.google.com/maps/search/?api=1&amp;query="&amp;SUBSTITUTE(F225," ",""))),"")</f>
        <v/>
      </c>
      <c r="M225" s="8">
        <f>IF(B225&lt;&gt;"",TODAY(),"")</f>
        <v/>
      </c>
      <c r="N225" s="8">
        <f>IF(F225&lt;&gt;"",IFERROR(IF(AND(REGEXMATCH(SUBSTITUTE(TRIM(F225)," ",""),"^-?\d+(\.\d+)?,-?\d+(\.\d+)?$"),VALUE(REGEXEXTRACT(SUBSTITUTE(TRIM(F225)," ",""),"^-?\d+(\.\d+)?"))&gt;=-90,VALUE(REGEXEXTRACT(SUBSTITUTE(TRIM(F225)," ",""),"^-?\d+(\.\d+)?"))&lt;=90,VALUE(REGEXEXTRACT(SUBSTITUTE(TRIM(F225)," ",""),"-?\d+(\.\d+)?$"))&gt;=-180,VALUE(REGEXEXTRACT(SUBSTITUTE(TRIM(F225)," ",""),"-?\d+(\.\d+)?$"))&lt;=180),"OK","REVISAR"),"REVISAR"),"")</f>
        <v/>
      </c>
      <c r="O225">
        <f>IF(A225&lt;&gt;"","https://direcciones507.github.io/direcciones507/panel.html?codigo="&amp;A225&amp;"&amp;nombre="&amp;ENCODEURL(B225)&amp;"&amp;telefono="&amp;SUBSTITUTE(C225,"-","")&amp;"&amp;referencia="&amp;ENCODEURL(E225)&amp;"&amp;lat="&amp;IZQUIERDA(SUBSTITUTE(F225," ",""),ENCONTRAR(",",SUBSTITUTE(F225," ",""))-1)&amp;"&amp;lng="&amp;DERECHA(SUBSTITUTE(F225," ",""),LARGO(SUBSTITUTE(F225," ",""))-ENCONTRAR(",",SUBSTITUTE(F225," ",""))),"")</f>
        <v/>
      </c>
    </row>
    <row r="226" ht="15.75" customHeight="1" s="10">
      <c r="A226" s="8">
        <f>CONCAT("AD507-",TEXT(ROW()-2,"0000"))</f>
        <v/>
      </c>
      <c r="C226" s="8" t="n"/>
      <c r="F226" s="8" t="n"/>
      <c r="G226" s="8">
        <f>IF(F226&lt;&gt;"",HYPERLINK("https://www.google.com/maps/search/?api=1&amp;query="&amp;SUBSTITUTE(F226," ",""),"🗺 Google Maps"),"")</f>
        <v/>
      </c>
      <c r="H226" s="8">
        <f>IF(F226&lt;&gt;"",HYPERLINK("https://waze.com/ul?ll="&amp;SUBSTITUTE(F226," ","")&amp;"&amp;navigate=yes","🚗 Waze"),"")</f>
        <v/>
      </c>
      <c r="I226" s="8">
        <f>IF(F226&lt;&gt;"",HYPERLINK("https://m.uber.com/ul/?action=setPickup&amp;pickup=my_location&amp;dropoff[latitude]="&amp;LEFT(SUBSTITUTE(F226," ",""),FIND(",",SUBSTITUTE(F226," ",""))-1)&amp;"&amp;dropoff[longitude]="&amp;MID(SUBSTITUTE(F226," ",""),FIND(",",SUBSTITUTE(F226," ",""))+1,99),"🚕 Uber"),"")</f>
        <v/>
      </c>
      <c r="J226" s="8">
        <f>IF(F226&lt;&gt;"","https://api.qrserver.com/v1/create-qr-code/?size=200x200&amp;data="&amp;ENCODEURL("https://www.google.com/maps/search/?api=1&amp;query="&amp;SUBSTITUTE(F226," ","")),"")</f>
        <v/>
      </c>
      <c r="K226" s="8">
        <f>IF(C226&lt;&gt;"",HYPERLINK("https://wa.me/507"&amp;REGEXREPLACE(C226,"[^0-9]","")&amp;"?text="&amp;ENCODEURL("Ya llegue. Codigo: "&amp;A226&amp;". Ubicacion: "&amp;"https://www.google.com/maps/search/?api=1&amp;query="&amp;SUBSTITUTE(F226," ","")),"📲 Avisar al cliente"),"")</f>
        <v/>
      </c>
      <c r="L226" s="8">
        <f>IF(C226&lt;&gt;"","https://api.qrserver.com/v1/create-qr-code/?size=200x200&amp;data="&amp;ENCODEURL("https://wa.me/507"&amp;REGEXREPLACE(C226,"[^0-9]","")&amp;"?text="&amp;ENCODEURL("Ya llegue. Codigo: "&amp;A226&amp;". Ubicacion: "&amp;"https://www.google.com/maps/search/?api=1&amp;query="&amp;SUBSTITUTE(F226," ",""))),"")</f>
        <v/>
      </c>
      <c r="M226" s="8">
        <f>IF(B226&lt;&gt;"",TODAY(),"")</f>
        <v/>
      </c>
      <c r="N226" s="8">
        <f>IF(F226&lt;&gt;"",IFERROR(IF(AND(REGEXMATCH(SUBSTITUTE(TRIM(F226)," ",""),"^-?\d+(\.\d+)?,-?\d+(\.\d+)?$"),VALUE(REGEXEXTRACT(SUBSTITUTE(TRIM(F226)," ",""),"^-?\d+(\.\d+)?"))&gt;=-90,VALUE(REGEXEXTRACT(SUBSTITUTE(TRIM(F226)," ",""),"^-?\d+(\.\d+)?"))&lt;=90,VALUE(REGEXEXTRACT(SUBSTITUTE(TRIM(F226)," ",""),"-?\d+(\.\d+)?$"))&gt;=-180,VALUE(REGEXEXTRACT(SUBSTITUTE(TRIM(F226)," ",""),"-?\d+(\.\d+)?$"))&lt;=180),"OK","REVISAR"),"REVISAR"),"")</f>
        <v/>
      </c>
      <c r="O226">
        <f>IF(A226&lt;&gt;"","https://direcciones507.github.io/direcciones507/panel.html?codigo="&amp;A226&amp;"&amp;nombre="&amp;ENCODEURL(B226)&amp;"&amp;telefono="&amp;SUBSTITUTE(C226,"-","")&amp;"&amp;referencia="&amp;ENCODEURL(E226)&amp;"&amp;lat="&amp;IZQUIERDA(SUBSTITUTE(F226," ",""),ENCONTRAR(",",SUBSTITUTE(F226," ",""))-1)&amp;"&amp;lng="&amp;DERECHA(SUBSTITUTE(F226," ",""),LARGO(SUBSTITUTE(F226," ",""))-ENCONTRAR(",",SUBSTITUTE(F226," ",""))),"")</f>
        <v/>
      </c>
    </row>
    <row r="227" ht="15.75" customHeight="1" s="10">
      <c r="A227" s="8">
        <f>CONCAT("AD507-",TEXT(ROW()-2,"0000"))</f>
        <v/>
      </c>
      <c r="C227" s="8" t="n"/>
      <c r="F227" s="8" t="n"/>
      <c r="G227" s="8">
        <f>IF(F227&lt;&gt;"",HYPERLINK("https://www.google.com/maps/search/?api=1&amp;query="&amp;SUBSTITUTE(F227," ",""),"🗺 Google Maps"),"")</f>
        <v/>
      </c>
      <c r="H227" s="8">
        <f>IF(F227&lt;&gt;"",HYPERLINK("https://waze.com/ul?ll="&amp;SUBSTITUTE(F227," ","")&amp;"&amp;navigate=yes","🚗 Waze"),"")</f>
        <v/>
      </c>
      <c r="I227" s="8">
        <f>IF(F227&lt;&gt;"",HYPERLINK("https://m.uber.com/ul/?action=setPickup&amp;pickup=my_location&amp;dropoff[latitude]="&amp;LEFT(SUBSTITUTE(F227," ",""),FIND(",",SUBSTITUTE(F227," ",""))-1)&amp;"&amp;dropoff[longitude]="&amp;MID(SUBSTITUTE(F227," ",""),FIND(",",SUBSTITUTE(F227," ",""))+1,99),"🚕 Uber"),"")</f>
        <v/>
      </c>
      <c r="J227" s="8">
        <f>IF(F227&lt;&gt;"","https://api.qrserver.com/v1/create-qr-code/?size=200x200&amp;data="&amp;ENCODEURL("https://www.google.com/maps/search/?api=1&amp;query="&amp;SUBSTITUTE(F227," ","")),"")</f>
        <v/>
      </c>
      <c r="K227" s="8">
        <f>IF(C227&lt;&gt;"",HYPERLINK("https://wa.me/507"&amp;REGEXREPLACE(C227,"[^0-9]","")&amp;"?text="&amp;ENCODEURL("Ya llegue. Codigo: "&amp;A227&amp;". Ubicacion: "&amp;"https://www.google.com/maps/search/?api=1&amp;query="&amp;SUBSTITUTE(F227," ","")),"📲 Avisar al cliente"),"")</f>
        <v/>
      </c>
      <c r="L227" s="8">
        <f>IF(C227&lt;&gt;"","https://api.qrserver.com/v1/create-qr-code/?size=200x200&amp;data="&amp;ENCODEURL("https://wa.me/507"&amp;REGEXREPLACE(C227,"[^0-9]","")&amp;"?text="&amp;ENCODEURL("Ya llegue. Codigo: "&amp;A227&amp;". Ubicacion: "&amp;"https://www.google.com/maps/search/?api=1&amp;query="&amp;SUBSTITUTE(F227," ",""))),"")</f>
        <v/>
      </c>
      <c r="M227" s="8">
        <f>IF(B227&lt;&gt;"",TODAY(),"")</f>
        <v/>
      </c>
      <c r="N227" s="8">
        <f>IF(F227&lt;&gt;"",IFERROR(IF(AND(REGEXMATCH(SUBSTITUTE(TRIM(F227)," ",""),"^-?\d+(\.\d+)?,-?\d+(\.\d+)?$"),VALUE(REGEXEXTRACT(SUBSTITUTE(TRIM(F227)," ",""),"^-?\d+(\.\d+)?"))&gt;=-90,VALUE(REGEXEXTRACT(SUBSTITUTE(TRIM(F227)," ",""),"^-?\d+(\.\d+)?"))&lt;=90,VALUE(REGEXEXTRACT(SUBSTITUTE(TRIM(F227)," ",""),"-?\d+(\.\d+)?$"))&gt;=-180,VALUE(REGEXEXTRACT(SUBSTITUTE(TRIM(F227)," ",""),"-?\d+(\.\d+)?$"))&lt;=180),"OK","REVISAR"),"REVISAR"),"")</f>
        <v/>
      </c>
      <c r="O227">
        <f>IF(A227&lt;&gt;"","https://direcciones507.github.io/direcciones507/panel.html?codigo="&amp;A227&amp;"&amp;nombre="&amp;ENCODEURL(B227)&amp;"&amp;telefono="&amp;SUBSTITUTE(C227,"-","")&amp;"&amp;referencia="&amp;ENCODEURL(E227)&amp;"&amp;lat="&amp;IZQUIERDA(SUBSTITUTE(F227," ",""),ENCONTRAR(",",SUBSTITUTE(F227," ",""))-1)&amp;"&amp;lng="&amp;DERECHA(SUBSTITUTE(F227," ",""),LARGO(SUBSTITUTE(F227," ",""))-ENCONTRAR(",",SUBSTITUTE(F227," ",""))),"")</f>
        <v/>
      </c>
    </row>
    <row r="228" ht="15.75" customHeight="1" s="10">
      <c r="A228" s="8">
        <f>CONCAT("AD507-",TEXT(ROW()-2,"0000"))</f>
        <v/>
      </c>
      <c r="C228" s="8" t="n"/>
      <c r="F228" s="8" t="n"/>
      <c r="G228" s="8">
        <f>IF(F228&lt;&gt;"",HYPERLINK("https://www.google.com/maps/search/?api=1&amp;query="&amp;SUBSTITUTE(F228," ",""),"🗺 Google Maps"),"")</f>
        <v/>
      </c>
      <c r="H228" s="8">
        <f>IF(F228&lt;&gt;"",HYPERLINK("https://waze.com/ul?ll="&amp;SUBSTITUTE(F228," ","")&amp;"&amp;navigate=yes","🚗 Waze"),"")</f>
        <v/>
      </c>
      <c r="I228" s="8">
        <f>IF(F228&lt;&gt;"",HYPERLINK("https://m.uber.com/ul/?action=setPickup&amp;pickup=my_location&amp;dropoff[latitude]="&amp;LEFT(SUBSTITUTE(F228," ",""),FIND(",",SUBSTITUTE(F228," ",""))-1)&amp;"&amp;dropoff[longitude]="&amp;MID(SUBSTITUTE(F228," ",""),FIND(",",SUBSTITUTE(F228," ",""))+1,99),"🚕 Uber"),"")</f>
        <v/>
      </c>
      <c r="J228" s="8">
        <f>IF(F228&lt;&gt;"","https://api.qrserver.com/v1/create-qr-code/?size=200x200&amp;data="&amp;ENCODEURL("https://www.google.com/maps/search/?api=1&amp;query="&amp;SUBSTITUTE(F228," ","")),"")</f>
        <v/>
      </c>
      <c r="K228" s="8">
        <f>IF(C228&lt;&gt;"",HYPERLINK("https://wa.me/507"&amp;REGEXREPLACE(C228,"[^0-9]","")&amp;"?text="&amp;ENCODEURL("Ya llegue. Codigo: "&amp;A228&amp;". Ubicacion: "&amp;"https://www.google.com/maps/search/?api=1&amp;query="&amp;SUBSTITUTE(F228," ","")),"📲 Avisar al cliente"),"")</f>
        <v/>
      </c>
      <c r="L228" s="8">
        <f>IF(C228&lt;&gt;"","https://api.qrserver.com/v1/create-qr-code/?size=200x200&amp;data="&amp;ENCODEURL("https://wa.me/507"&amp;REGEXREPLACE(C228,"[^0-9]","")&amp;"?text="&amp;ENCODEURL("Ya llegue. Codigo: "&amp;A228&amp;". Ubicacion: "&amp;"https://www.google.com/maps/search/?api=1&amp;query="&amp;SUBSTITUTE(F228," ",""))),"")</f>
        <v/>
      </c>
      <c r="M228" s="8">
        <f>IF(B228&lt;&gt;"",TODAY(),"")</f>
        <v/>
      </c>
      <c r="N228" s="8">
        <f>IF(F228&lt;&gt;"",IFERROR(IF(AND(REGEXMATCH(SUBSTITUTE(TRIM(F228)," ",""),"^-?\d+(\.\d+)?,-?\d+(\.\d+)?$"),VALUE(REGEXEXTRACT(SUBSTITUTE(TRIM(F228)," ",""),"^-?\d+(\.\d+)?"))&gt;=-90,VALUE(REGEXEXTRACT(SUBSTITUTE(TRIM(F228)," ",""),"^-?\d+(\.\d+)?"))&lt;=90,VALUE(REGEXEXTRACT(SUBSTITUTE(TRIM(F228)," ",""),"-?\d+(\.\d+)?$"))&gt;=-180,VALUE(REGEXEXTRACT(SUBSTITUTE(TRIM(F228)," ",""),"-?\d+(\.\d+)?$"))&lt;=180),"OK","REVISAR"),"REVISAR"),"")</f>
        <v/>
      </c>
      <c r="O228">
        <f>IF(A228&lt;&gt;"","https://direcciones507.github.io/direcciones507/panel.html?codigo="&amp;A228&amp;"&amp;nombre="&amp;ENCODEURL(B228)&amp;"&amp;telefono="&amp;SUBSTITUTE(C228,"-","")&amp;"&amp;referencia="&amp;ENCODEURL(E228)&amp;"&amp;lat="&amp;IZQUIERDA(SUBSTITUTE(F228," ",""),ENCONTRAR(",",SUBSTITUTE(F228," ",""))-1)&amp;"&amp;lng="&amp;DERECHA(SUBSTITUTE(F228," ",""),LARGO(SUBSTITUTE(F228," ",""))-ENCONTRAR(",",SUBSTITUTE(F228," ",""))),"")</f>
        <v/>
      </c>
    </row>
    <row r="229" ht="15.75" customHeight="1" s="10">
      <c r="A229" s="8">
        <f>CONCAT("AD507-",TEXT(ROW()-2,"0000"))</f>
        <v/>
      </c>
      <c r="C229" s="8" t="n"/>
      <c r="F229" s="8" t="n"/>
      <c r="G229" s="8">
        <f>IF(F229&lt;&gt;"",HYPERLINK("https://www.google.com/maps/search/?api=1&amp;query="&amp;SUBSTITUTE(F229," ",""),"🗺 Google Maps"),"")</f>
        <v/>
      </c>
      <c r="H229" s="8">
        <f>IF(F229&lt;&gt;"",HYPERLINK("https://waze.com/ul?ll="&amp;SUBSTITUTE(F229," ","")&amp;"&amp;navigate=yes","🚗 Waze"),"")</f>
        <v/>
      </c>
      <c r="I229" s="8">
        <f>IF(F229&lt;&gt;"",HYPERLINK("https://m.uber.com/ul/?action=setPickup&amp;pickup=my_location&amp;dropoff[latitude]="&amp;LEFT(SUBSTITUTE(F229," ",""),FIND(",",SUBSTITUTE(F229," ",""))-1)&amp;"&amp;dropoff[longitude]="&amp;MID(SUBSTITUTE(F229," ",""),FIND(",",SUBSTITUTE(F229," ",""))+1,99),"🚕 Uber"),"")</f>
        <v/>
      </c>
      <c r="J229" s="8">
        <f>IF(F229&lt;&gt;"","https://api.qrserver.com/v1/create-qr-code/?size=200x200&amp;data="&amp;ENCODEURL("https://www.google.com/maps/search/?api=1&amp;query="&amp;SUBSTITUTE(F229," ","")),"")</f>
        <v/>
      </c>
      <c r="K229" s="8">
        <f>IF(C229&lt;&gt;"",HYPERLINK("https://wa.me/507"&amp;REGEXREPLACE(C229,"[^0-9]","")&amp;"?text="&amp;ENCODEURL("Ya llegue. Codigo: "&amp;A229&amp;". Ubicacion: "&amp;"https://www.google.com/maps/search/?api=1&amp;query="&amp;SUBSTITUTE(F229," ","")),"📲 Avisar al cliente"),"")</f>
        <v/>
      </c>
      <c r="L229" s="8">
        <f>IF(C229&lt;&gt;"","https://api.qrserver.com/v1/create-qr-code/?size=200x200&amp;data="&amp;ENCODEURL("https://wa.me/507"&amp;REGEXREPLACE(C229,"[^0-9]","")&amp;"?text="&amp;ENCODEURL("Ya llegue. Codigo: "&amp;A229&amp;". Ubicacion: "&amp;"https://www.google.com/maps/search/?api=1&amp;query="&amp;SUBSTITUTE(F229," ",""))),"")</f>
        <v/>
      </c>
      <c r="M229" s="8">
        <f>IF(B229&lt;&gt;"",TODAY(),"")</f>
        <v/>
      </c>
      <c r="N229" s="8">
        <f>IF(F229&lt;&gt;"",IFERROR(IF(AND(REGEXMATCH(SUBSTITUTE(TRIM(F229)," ",""),"^-?\d+(\.\d+)?,-?\d+(\.\d+)?$"),VALUE(REGEXEXTRACT(SUBSTITUTE(TRIM(F229)," ",""),"^-?\d+(\.\d+)?"))&gt;=-90,VALUE(REGEXEXTRACT(SUBSTITUTE(TRIM(F229)," ",""),"^-?\d+(\.\d+)?"))&lt;=90,VALUE(REGEXEXTRACT(SUBSTITUTE(TRIM(F229)," ",""),"-?\d+(\.\d+)?$"))&gt;=-180,VALUE(REGEXEXTRACT(SUBSTITUTE(TRIM(F229)," ",""),"-?\d+(\.\d+)?$"))&lt;=180),"OK","REVISAR"),"REVISAR"),"")</f>
        <v/>
      </c>
      <c r="O229">
        <f>IF(A229&lt;&gt;"","https://direcciones507.github.io/direcciones507/panel.html?codigo="&amp;A229&amp;"&amp;nombre="&amp;ENCODEURL(B229)&amp;"&amp;telefono="&amp;SUBSTITUTE(C229,"-","")&amp;"&amp;referencia="&amp;ENCODEURL(E229)&amp;"&amp;lat="&amp;IZQUIERDA(SUBSTITUTE(F229," ",""),ENCONTRAR(",",SUBSTITUTE(F229," ",""))-1)&amp;"&amp;lng="&amp;DERECHA(SUBSTITUTE(F229," ",""),LARGO(SUBSTITUTE(F229," ",""))-ENCONTRAR(",",SUBSTITUTE(F229," ",""))),"")</f>
        <v/>
      </c>
    </row>
    <row r="230" ht="15.75" customHeight="1" s="10">
      <c r="A230" s="8">
        <f>CONCAT("AD507-",TEXT(ROW()-2,"0000"))</f>
        <v/>
      </c>
      <c r="C230" s="8" t="n"/>
      <c r="F230" s="8" t="n"/>
      <c r="G230" s="8">
        <f>IF(F230&lt;&gt;"",HYPERLINK("https://www.google.com/maps/search/?api=1&amp;query="&amp;SUBSTITUTE(F230," ",""),"🗺 Google Maps"),"")</f>
        <v/>
      </c>
      <c r="H230" s="8">
        <f>IF(F230&lt;&gt;"",HYPERLINK("https://waze.com/ul?ll="&amp;SUBSTITUTE(F230," ","")&amp;"&amp;navigate=yes","🚗 Waze"),"")</f>
        <v/>
      </c>
      <c r="I230" s="8">
        <f>IF(F230&lt;&gt;"",HYPERLINK("https://m.uber.com/ul/?action=setPickup&amp;pickup=my_location&amp;dropoff[latitude]="&amp;LEFT(SUBSTITUTE(F230," ",""),FIND(",",SUBSTITUTE(F230," ",""))-1)&amp;"&amp;dropoff[longitude]="&amp;MID(SUBSTITUTE(F230," ",""),FIND(",",SUBSTITUTE(F230," ",""))+1,99),"🚕 Uber"),"")</f>
        <v/>
      </c>
      <c r="J230" s="8">
        <f>IF(F230&lt;&gt;"","https://api.qrserver.com/v1/create-qr-code/?size=200x200&amp;data="&amp;ENCODEURL("https://www.google.com/maps/search/?api=1&amp;query="&amp;SUBSTITUTE(F230," ","")),"")</f>
        <v/>
      </c>
      <c r="K230" s="8">
        <f>IF(C230&lt;&gt;"",HYPERLINK("https://wa.me/507"&amp;REGEXREPLACE(C230,"[^0-9]","")&amp;"?text="&amp;ENCODEURL("Ya llegue. Codigo: "&amp;A230&amp;". Ubicacion: "&amp;"https://www.google.com/maps/search/?api=1&amp;query="&amp;SUBSTITUTE(F230," ","")),"📲 Avisar al cliente"),"")</f>
        <v/>
      </c>
      <c r="L230" s="8">
        <f>IF(C230&lt;&gt;"","https://api.qrserver.com/v1/create-qr-code/?size=200x200&amp;data="&amp;ENCODEURL("https://wa.me/507"&amp;REGEXREPLACE(C230,"[^0-9]","")&amp;"?text="&amp;ENCODEURL("Ya llegue. Codigo: "&amp;A230&amp;". Ubicacion: "&amp;"https://www.google.com/maps/search/?api=1&amp;query="&amp;SUBSTITUTE(F230," ",""))),"")</f>
        <v/>
      </c>
      <c r="M230" s="8">
        <f>IF(B230&lt;&gt;"",TODAY(),"")</f>
        <v/>
      </c>
      <c r="N230" s="8">
        <f>IF(F230&lt;&gt;"",IFERROR(IF(AND(REGEXMATCH(SUBSTITUTE(TRIM(F230)," ",""),"^-?\d+(\.\d+)?,-?\d+(\.\d+)?$"),VALUE(REGEXEXTRACT(SUBSTITUTE(TRIM(F230)," ",""),"^-?\d+(\.\d+)?"))&gt;=-90,VALUE(REGEXEXTRACT(SUBSTITUTE(TRIM(F230)," ",""),"^-?\d+(\.\d+)?"))&lt;=90,VALUE(REGEXEXTRACT(SUBSTITUTE(TRIM(F230)," ",""),"-?\d+(\.\d+)?$"))&gt;=-180,VALUE(REGEXEXTRACT(SUBSTITUTE(TRIM(F230)," ",""),"-?\d+(\.\d+)?$"))&lt;=180),"OK","REVISAR"),"REVISAR"),"")</f>
        <v/>
      </c>
      <c r="O230">
        <f>IF(A230&lt;&gt;"","https://direcciones507.github.io/direcciones507/panel.html?codigo="&amp;A230&amp;"&amp;nombre="&amp;ENCODEURL(B230)&amp;"&amp;telefono="&amp;SUBSTITUTE(C230,"-","")&amp;"&amp;referencia="&amp;ENCODEURL(E230)&amp;"&amp;lat="&amp;IZQUIERDA(SUBSTITUTE(F230," ",""),ENCONTRAR(",",SUBSTITUTE(F230," ",""))-1)&amp;"&amp;lng="&amp;DERECHA(SUBSTITUTE(F230," ",""),LARGO(SUBSTITUTE(F230," ",""))-ENCONTRAR(",",SUBSTITUTE(F230," ",""))),"")</f>
        <v/>
      </c>
    </row>
    <row r="231" ht="15.75" customHeight="1" s="10">
      <c r="A231" s="8">
        <f>CONCAT("AD507-",TEXT(ROW()-2,"0000"))</f>
        <v/>
      </c>
      <c r="C231" s="8" t="n"/>
      <c r="F231" s="8" t="n"/>
      <c r="G231" s="8">
        <f>IF(F231&lt;&gt;"",HYPERLINK("https://www.google.com/maps/search/?api=1&amp;query="&amp;SUBSTITUTE(F231," ",""),"🗺 Google Maps"),"")</f>
        <v/>
      </c>
      <c r="H231" s="8">
        <f>IF(F231&lt;&gt;"",HYPERLINK("https://waze.com/ul?ll="&amp;SUBSTITUTE(F231," ","")&amp;"&amp;navigate=yes","🚗 Waze"),"")</f>
        <v/>
      </c>
      <c r="I231" s="8">
        <f>IF(F231&lt;&gt;"",HYPERLINK("https://m.uber.com/ul/?action=setPickup&amp;pickup=my_location&amp;dropoff[latitude]="&amp;LEFT(SUBSTITUTE(F231," ",""),FIND(",",SUBSTITUTE(F231," ",""))-1)&amp;"&amp;dropoff[longitude]="&amp;MID(SUBSTITUTE(F231," ",""),FIND(",",SUBSTITUTE(F231," ",""))+1,99),"🚕 Uber"),"")</f>
        <v/>
      </c>
      <c r="J231" s="8">
        <f>IF(F231&lt;&gt;"","https://api.qrserver.com/v1/create-qr-code/?size=200x200&amp;data="&amp;ENCODEURL("https://www.google.com/maps/search/?api=1&amp;query="&amp;SUBSTITUTE(F231," ","")),"")</f>
        <v/>
      </c>
      <c r="K231" s="8">
        <f>IF(C231&lt;&gt;"",HYPERLINK("https://wa.me/507"&amp;REGEXREPLACE(C231,"[^0-9]","")&amp;"?text="&amp;ENCODEURL("Ya llegue. Codigo: "&amp;A231&amp;". Ubicacion: "&amp;"https://www.google.com/maps/search/?api=1&amp;query="&amp;SUBSTITUTE(F231," ","")),"📲 Avisar al cliente"),"")</f>
        <v/>
      </c>
      <c r="L231" s="8">
        <f>IF(C231&lt;&gt;"","https://api.qrserver.com/v1/create-qr-code/?size=200x200&amp;data="&amp;ENCODEURL("https://wa.me/507"&amp;REGEXREPLACE(C231,"[^0-9]","")&amp;"?text="&amp;ENCODEURL("Ya llegue. Codigo: "&amp;A231&amp;". Ubicacion: "&amp;"https://www.google.com/maps/search/?api=1&amp;query="&amp;SUBSTITUTE(F231," ",""))),"")</f>
        <v/>
      </c>
      <c r="M231" s="8">
        <f>IF(B231&lt;&gt;"",TODAY(),"")</f>
        <v/>
      </c>
      <c r="N231" s="8">
        <f>IF(F231&lt;&gt;"",IFERROR(IF(AND(REGEXMATCH(SUBSTITUTE(TRIM(F231)," ",""),"^-?\d+(\.\d+)?,-?\d+(\.\d+)?$"),VALUE(REGEXEXTRACT(SUBSTITUTE(TRIM(F231)," ",""),"^-?\d+(\.\d+)?"))&gt;=-90,VALUE(REGEXEXTRACT(SUBSTITUTE(TRIM(F231)," ",""),"^-?\d+(\.\d+)?"))&lt;=90,VALUE(REGEXEXTRACT(SUBSTITUTE(TRIM(F231)," ",""),"-?\d+(\.\d+)?$"))&gt;=-180,VALUE(REGEXEXTRACT(SUBSTITUTE(TRIM(F231)," ",""),"-?\d+(\.\d+)?$"))&lt;=180),"OK","REVISAR"),"REVISAR"),"")</f>
        <v/>
      </c>
      <c r="O231">
        <f>IF(A231&lt;&gt;"","https://direcciones507.github.io/direcciones507/panel.html?codigo="&amp;A231&amp;"&amp;nombre="&amp;ENCODEURL(B231)&amp;"&amp;telefono="&amp;SUBSTITUTE(C231,"-","")&amp;"&amp;referencia="&amp;ENCODEURL(E231)&amp;"&amp;lat="&amp;IZQUIERDA(SUBSTITUTE(F231," ",""),ENCONTRAR(",",SUBSTITUTE(F231," ",""))-1)&amp;"&amp;lng="&amp;DERECHA(SUBSTITUTE(F231," ",""),LARGO(SUBSTITUTE(F231," ",""))-ENCONTRAR(",",SUBSTITUTE(F231," ",""))),"")</f>
        <v/>
      </c>
    </row>
    <row r="232" ht="15.75" customHeight="1" s="10">
      <c r="A232" s="8">
        <f>CONCAT("AD507-",TEXT(ROW()-2,"0000"))</f>
        <v/>
      </c>
      <c r="C232" s="8" t="n"/>
      <c r="F232" s="8" t="n"/>
      <c r="G232" s="8">
        <f>IF(F232&lt;&gt;"",HYPERLINK("https://www.google.com/maps/search/?api=1&amp;query="&amp;SUBSTITUTE(F232," ",""),"🗺 Google Maps"),"")</f>
        <v/>
      </c>
      <c r="H232" s="8">
        <f>IF(F232&lt;&gt;"",HYPERLINK("https://waze.com/ul?ll="&amp;SUBSTITUTE(F232," ","")&amp;"&amp;navigate=yes","🚗 Waze"),"")</f>
        <v/>
      </c>
      <c r="I232" s="8">
        <f>IF(F232&lt;&gt;"",HYPERLINK("https://m.uber.com/ul/?action=setPickup&amp;pickup=my_location&amp;dropoff[latitude]="&amp;LEFT(SUBSTITUTE(F232," ",""),FIND(",",SUBSTITUTE(F232," ",""))-1)&amp;"&amp;dropoff[longitude]="&amp;MID(SUBSTITUTE(F232," ",""),FIND(",",SUBSTITUTE(F232," ",""))+1,99),"🚕 Uber"),"")</f>
        <v/>
      </c>
      <c r="J232" s="8">
        <f>IF(F232&lt;&gt;"","https://api.qrserver.com/v1/create-qr-code/?size=200x200&amp;data="&amp;ENCODEURL("https://www.google.com/maps/search/?api=1&amp;query="&amp;SUBSTITUTE(F232," ","")),"")</f>
        <v/>
      </c>
      <c r="K232" s="8">
        <f>IF(C232&lt;&gt;"",HYPERLINK("https://wa.me/507"&amp;REGEXREPLACE(C232,"[^0-9]","")&amp;"?text="&amp;ENCODEURL("Ya llegue. Codigo: "&amp;A232&amp;". Ubicacion: "&amp;"https://www.google.com/maps/search/?api=1&amp;query="&amp;SUBSTITUTE(F232," ","")),"📲 Avisar al cliente"),"")</f>
        <v/>
      </c>
      <c r="L232" s="8">
        <f>IF(C232&lt;&gt;"","https://api.qrserver.com/v1/create-qr-code/?size=200x200&amp;data="&amp;ENCODEURL("https://wa.me/507"&amp;REGEXREPLACE(C232,"[^0-9]","")&amp;"?text="&amp;ENCODEURL("Ya llegue. Codigo: "&amp;A232&amp;". Ubicacion: "&amp;"https://www.google.com/maps/search/?api=1&amp;query="&amp;SUBSTITUTE(F232," ",""))),"")</f>
        <v/>
      </c>
      <c r="M232" s="8">
        <f>IF(B232&lt;&gt;"",TODAY(),"")</f>
        <v/>
      </c>
      <c r="N232" s="8">
        <f>IF(F232&lt;&gt;"",IFERROR(IF(AND(REGEXMATCH(SUBSTITUTE(TRIM(F232)," ",""),"^-?\d+(\.\d+)?,-?\d+(\.\d+)?$"),VALUE(REGEXEXTRACT(SUBSTITUTE(TRIM(F232)," ",""),"^-?\d+(\.\d+)?"))&gt;=-90,VALUE(REGEXEXTRACT(SUBSTITUTE(TRIM(F232)," ",""),"^-?\d+(\.\d+)?"))&lt;=90,VALUE(REGEXEXTRACT(SUBSTITUTE(TRIM(F232)," ",""),"-?\d+(\.\d+)?$"))&gt;=-180,VALUE(REGEXEXTRACT(SUBSTITUTE(TRIM(F232)," ",""),"-?\d+(\.\d+)?$"))&lt;=180),"OK","REVISAR"),"REVISAR"),"")</f>
        <v/>
      </c>
      <c r="O232">
        <f>IF(A232&lt;&gt;"","https://direcciones507.github.io/direcciones507/panel.html?codigo="&amp;A232&amp;"&amp;nombre="&amp;ENCODEURL(B232)&amp;"&amp;telefono="&amp;SUBSTITUTE(C232,"-","")&amp;"&amp;referencia="&amp;ENCODEURL(E232)&amp;"&amp;lat="&amp;IZQUIERDA(SUBSTITUTE(F232," ",""),ENCONTRAR(",",SUBSTITUTE(F232," ",""))-1)&amp;"&amp;lng="&amp;DERECHA(SUBSTITUTE(F232," ",""),LARGO(SUBSTITUTE(F232," ",""))-ENCONTRAR(",",SUBSTITUTE(F232," ",""))),"")</f>
        <v/>
      </c>
    </row>
    <row r="233" ht="15.75" customHeight="1" s="10">
      <c r="A233" s="8">
        <f>CONCAT("AD507-",TEXT(ROW()-2,"0000"))</f>
        <v/>
      </c>
      <c r="C233" s="8" t="n"/>
      <c r="F233" s="8" t="n"/>
      <c r="G233" s="8">
        <f>IF(F233&lt;&gt;"",HYPERLINK("https://www.google.com/maps/search/?api=1&amp;query="&amp;SUBSTITUTE(F233," ",""),"🗺 Google Maps"),"")</f>
        <v/>
      </c>
      <c r="H233" s="8">
        <f>IF(F233&lt;&gt;"",HYPERLINK("https://waze.com/ul?ll="&amp;SUBSTITUTE(F233," ","")&amp;"&amp;navigate=yes","🚗 Waze"),"")</f>
        <v/>
      </c>
      <c r="I233" s="8">
        <f>IF(F233&lt;&gt;"",HYPERLINK("https://m.uber.com/ul/?action=setPickup&amp;pickup=my_location&amp;dropoff[latitude]="&amp;LEFT(SUBSTITUTE(F233," ",""),FIND(",",SUBSTITUTE(F233," ",""))-1)&amp;"&amp;dropoff[longitude]="&amp;MID(SUBSTITUTE(F233," ",""),FIND(",",SUBSTITUTE(F233," ",""))+1,99),"🚕 Uber"),"")</f>
        <v/>
      </c>
      <c r="J233" s="8">
        <f>IF(F233&lt;&gt;"","https://api.qrserver.com/v1/create-qr-code/?size=200x200&amp;data="&amp;ENCODEURL("https://www.google.com/maps/search/?api=1&amp;query="&amp;SUBSTITUTE(F233," ","")),"")</f>
        <v/>
      </c>
      <c r="K233" s="8">
        <f>IF(C233&lt;&gt;"",HYPERLINK("https://wa.me/507"&amp;REGEXREPLACE(C233,"[^0-9]","")&amp;"?text="&amp;ENCODEURL("Ya llegue. Codigo: "&amp;A233&amp;". Ubicacion: "&amp;"https://www.google.com/maps/search/?api=1&amp;query="&amp;SUBSTITUTE(F233," ","")),"📲 Avisar al cliente"),"")</f>
        <v/>
      </c>
      <c r="L233" s="8">
        <f>IF(C233&lt;&gt;"","https://api.qrserver.com/v1/create-qr-code/?size=200x200&amp;data="&amp;ENCODEURL("https://wa.me/507"&amp;REGEXREPLACE(C233,"[^0-9]","")&amp;"?text="&amp;ENCODEURL("Ya llegue. Codigo: "&amp;A233&amp;". Ubicacion: "&amp;"https://www.google.com/maps/search/?api=1&amp;query="&amp;SUBSTITUTE(F233," ",""))),"")</f>
        <v/>
      </c>
      <c r="M233" s="8">
        <f>IF(B233&lt;&gt;"",TODAY(),"")</f>
        <v/>
      </c>
      <c r="N233" s="8">
        <f>IF(F233&lt;&gt;"",IFERROR(IF(AND(REGEXMATCH(SUBSTITUTE(TRIM(F233)," ",""),"^-?\d+(\.\d+)?,-?\d+(\.\d+)?$"),VALUE(REGEXEXTRACT(SUBSTITUTE(TRIM(F233)," ",""),"^-?\d+(\.\d+)?"))&gt;=-90,VALUE(REGEXEXTRACT(SUBSTITUTE(TRIM(F233)," ",""),"^-?\d+(\.\d+)?"))&lt;=90,VALUE(REGEXEXTRACT(SUBSTITUTE(TRIM(F233)," ",""),"-?\d+(\.\d+)?$"))&gt;=-180,VALUE(REGEXEXTRACT(SUBSTITUTE(TRIM(F233)," ",""),"-?\d+(\.\d+)?$"))&lt;=180),"OK","REVISAR"),"REVISAR"),"")</f>
        <v/>
      </c>
      <c r="O233">
        <f>IF(A233&lt;&gt;"","https://direcciones507.github.io/direcciones507/panel.html?codigo="&amp;A233&amp;"&amp;nombre="&amp;ENCODEURL(B233)&amp;"&amp;telefono="&amp;SUBSTITUTE(C233,"-","")&amp;"&amp;referencia="&amp;ENCODEURL(E233)&amp;"&amp;lat="&amp;IZQUIERDA(SUBSTITUTE(F233," ",""),ENCONTRAR(",",SUBSTITUTE(F233," ",""))-1)&amp;"&amp;lng="&amp;DERECHA(SUBSTITUTE(F233," ",""),LARGO(SUBSTITUTE(F233," ",""))-ENCONTRAR(",",SUBSTITUTE(F233," ",""))),"")</f>
        <v/>
      </c>
    </row>
    <row r="234" ht="15.75" customHeight="1" s="10">
      <c r="A234" s="8">
        <f>CONCAT("AD507-",TEXT(ROW()-2,"0000"))</f>
        <v/>
      </c>
      <c r="C234" s="8" t="n"/>
      <c r="F234" s="8" t="n"/>
      <c r="G234" s="8">
        <f>IF(F234&lt;&gt;"",HYPERLINK("https://www.google.com/maps/search/?api=1&amp;query="&amp;SUBSTITUTE(F234," ",""),"🗺 Google Maps"),"")</f>
        <v/>
      </c>
      <c r="H234" s="8">
        <f>IF(F234&lt;&gt;"",HYPERLINK("https://waze.com/ul?ll="&amp;SUBSTITUTE(F234," ","")&amp;"&amp;navigate=yes","🚗 Waze"),"")</f>
        <v/>
      </c>
      <c r="I234" s="8">
        <f>IF(F234&lt;&gt;"",HYPERLINK("https://m.uber.com/ul/?action=setPickup&amp;pickup=my_location&amp;dropoff[latitude]="&amp;LEFT(SUBSTITUTE(F234," ",""),FIND(",",SUBSTITUTE(F234," ",""))-1)&amp;"&amp;dropoff[longitude]="&amp;MID(SUBSTITUTE(F234," ",""),FIND(",",SUBSTITUTE(F234," ",""))+1,99),"🚕 Uber"),"")</f>
        <v/>
      </c>
      <c r="J234" s="8">
        <f>IF(F234&lt;&gt;"","https://api.qrserver.com/v1/create-qr-code/?size=200x200&amp;data="&amp;ENCODEURL("https://www.google.com/maps/search/?api=1&amp;query="&amp;SUBSTITUTE(F234," ","")),"")</f>
        <v/>
      </c>
      <c r="K234" s="8">
        <f>IF(C234&lt;&gt;"",HYPERLINK("https://wa.me/507"&amp;REGEXREPLACE(C234,"[^0-9]","")&amp;"?text="&amp;ENCODEURL("Ya llegue. Codigo: "&amp;A234&amp;". Ubicacion: "&amp;"https://www.google.com/maps/search/?api=1&amp;query="&amp;SUBSTITUTE(F234," ","")),"📲 Avisar al cliente"),"")</f>
        <v/>
      </c>
      <c r="L234" s="8">
        <f>IF(C234&lt;&gt;"","https://api.qrserver.com/v1/create-qr-code/?size=200x200&amp;data="&amp;ENCODEURL("https://wa.me/507"&amp;REGEXREPLACE(C234,"[^0-9]","")&amp;"?text="&amp;ENCODEURL("Ya llegue. Codigo: "&amp;A234&amp;". Ubicacion: "&amp;"https://www.google.com/maps/search/?api=1&amp;query="&amp;SUBSTITUTE(F234," ",""))),"")</f>
        <v/>
      </c>
      <c r="M234" s="8">
        <f>IF(B234&lt;&gt;"",TODAY(),"")</f>
        <v/>
      </c>
      <c r="N234" s="8">
        <f>IF(F234&lt;&gt;"",IFERROR(IF(AND(REGEXMATCH(SUBSTITUTE(TRIM(F234)," ",""),"^-?\d+(\.\d+)?,-?\d+(\.\d+)?$"),VALUE(REGEXEXTRACT(SUBSTITUTE(TRIM(F234)," ",""),"^-?\d+(\.\d+)?"))&gt;=-90,VALUE(REGEXEXTRACT(SUBSTITUTE(TRIM(F234)," ",""),"^-?\d+(\.\d+)?"))&lt;=90,VALUE(REGEXEXTRACT(SUBSTITUTE(TRIM(F234)," ",""),"-?\d+(\.\d+)?$"))&gt;=-180,VALUE(REGEXEXTRACT(SUBSTITUTE(TRIM(F234)," ",""),"-?\d+(\.\d+)?$"))&lt;=180),"OK","REVISAR"),"REVISAR"),"")</f>
        <v/>
      </c>
      <c r="O234">
        <f>IF(A234&lt;&gt;"","https://direcciones507.github.io/direcciones507/panel.html?codigo="&amp;A234&amp;"&amp;nombre="&amp;ENCODEURL(B234)&amp;"&amp;telefono="&amp;SUBSTITUTE(C234,"-","")&amp;"&amp;referencia="&amp;ENCODEURL(E234)&amp;"&amp;lat="&amp;IZQUIERDA(SUBSTITUTE(F234," ",""),ENCONTRAR(",",SUBSTITUTE(F234," ",""))-1)&amp;"&amp;lng="&amp;DERECHA(SUBSTITUTE(F234," ",""),LARGO(SUBSTITUTE(F234," ",""))-ENCONTRAR(",",SUBSTITUTE(F234," ",""))),"")</f>
        <v/>
      </c>
    </row>
    <row r="235" ht="15.75" customHeight="1" s="10">
      <c r="A235" s="8">
        <f>CONCAT("AD507-",TEXT(ROW()-2,"0000"))</f>
        <v/>
      </c>
      <c r="C235" s="8" t="n"/>
      <c r="F235" s="8" t="n"/>
      <c r="G235" s="8">
        <f>IF(F235&lt;&gt;"",HYPERLINK("https://www.google.com/maps/search/?api=1&amp;query="&amp;SUBSTITUTE(F235," ",""),"🗺 Google Maps"),"")</f>
        <v/>
      </c>
      <c r="H235" s="8">
        <f>IF(F235&lt;&gt;"",HYPERLINK("https://waze.com/ul?ll="&amp;SUBSTITUTE(F235," ","")&amp;"&amp;navigate=yes","🚗 Waze"),"")</f>
        <v/>
      </c>
      <c r="I235" s="8">
        <f>IF(F235&lt;&gt;"",HYPERLINK("https://m.uber.com/ul/?action=setPickup&amp;pickup=my_location&amp;dropoff[latitude]="&amp;LEFT(SUBSTITUTE(F235," ",""),FIND(",",SUBSTITUTE(F235," ",""))-1)&amp;"&amp;dropoff[longitude]="&amp;MID(SUBSTITUTE(F235," ",""),FIND(",",SUBSTITUTE(F235," ",""))+1,99),"🚕 Uber"),"")</f>
        <v/>
      </c>
      <c r="J235" s="8">
        <f>IF(F235&lt;&gt;"","https://api.qrserver.com/v1/create-qr-code/?size=200x200&amp;data="&amp;ENCODEURL("https://www.google.com/maps/search/?api=1&amp;query="&amp;SUBSTITUTE(F235," ","")),"")</f>
        <v/>
      </c>
      <c r="K235" s="8">
        <f>IF(C235&lt;&gt;"",HYPERLINK("https://wa.me/507"&amp;REGEXREPLACE(C235,"[^0-9]","")&amp;"?text="&amp;ENCODEURL("Ya llegue. Codigo: "&amp;A235&amp;". Ubicacion: "&amp;"https://www.google.com/maps/search/?api=1&amp;query="&amp;SUBSTITUTE(F235," ","")),"📲 Avisar al cliente"),"")</f>
        <v/>
      </c>
      <c r="L235" s="8">
        <f>IF(C235&lt;&gt;"","https://api.qrserver.com/v1/create-qr-code/?size=200x200&amp;data="&amp;ENCODEURL("https://wa.me/507"&amp;REGEXREPLACE(C235,"[^0-9]","")&amp;"?text="&amp;ENCODEURL("Ya llegue. Codigo: "&amp;A235&amp;". Ubicacion: "&amp;"https://www.google.com/maps/search/?api=1&amp;query="&amp;SUBSTITUTE(F235," ",""))),"")</f>
        <v/>
      </c>
      <c r="M235" s="8">
        <f>IF(B235&lt;&gt;"",TODAY(),"")</f>
        <v/>
      </c>
      <c r="N235" s="8">
        <f>IF(F235&lt;&gt;"",IFERROR(IF(AND(REGEXMATCH(SUBSTITUTE(TRIM(F235)," ",""),"^-?\d+(\.\d+)?,-?\d+(\.\d+)?$"),VALUE(REGEXEXTRACT(SUBSTITUTE(TRIM(F235)," ",""),"^-?\d+(\.\d+)?"))&gt;=-90,VALUE(REGEXEXTRACT(SUBSTITUTE(TRIM(F235)," ",""),"^-?\d+(\.\d+)?"))&lt;=90,VALUE(REGEXEXTRACT(SUBSTITUTE(TRIM(F235)," ",""),"-?\d+(\.\d+)?$"))&gt;=-180,VALUE(REGEXEXTRACT(SUBSTITUTE(TRIM(F235)," ",""),"-?\d+(\.\d+)?$"))&lt;=180),"OK","REVISAR"),"REVISAR"),"")</f>
        <v/>
      </c>
      <c r="O235">
        <f>IF(A235&lt;&gt;"","https://direcciones507.github.io/direcciones507/panel.html?codigo="&amp;A235&amp;"&amp;nombre="&amp;ENCODEURL(B235)&amp;"&amp;telefono="&amp;SUBSTITUTE(C235,"-","")&amp;"&amp;referencia="&amp;ENCODEURL(E235)&amp;"&amp;lat="&amp;IZQUIERDA(SUBSTITUTE(F235," ",""),ENCONTRAR(",",SUBSTITUTE(F235," ",""))-1)&amp;"&amp;lng="&amp;DERECHA(SUBSTITUTE(F235," ",""),LARGO(SUBSTITUTE(F235," ",""))-ENCONTRAR(",",SUBSTITUTE(F235," ",""))),"")</f>
        <v/>
      </c>
    </row>
    <row r="236" ht="15.75" customHeight="1" s="10">
      <c r="A236" s="8">
        <f>CONCAT("AD507-",TEXT(ROW()-2,"0000"))</f>
        <v/>
      </c>
      <c r="C236" s="8" t="n"/>
      <c r="F236" s="8" t="n"/>
      <c r="G236" s="8">
        <f>IF(F236&lt;&gt;"",HYPERLINK("https://www.google.com/maps/search/?api=1&amp;query="&amp;SUBSTITUTE(F236," ",""),"🗺 Google Maps"),"")</f>
        <v/>
      </c>
      <c r="H236" s="8">
        <f>IF(F236&lt;&gt;"",HYPERLINK("https://waze.com/ul?ll="&amp;SUBSTITUTE(F236," ","")&amp;"&amp;navigate=yes","🚗 Waze"),"")</f>
        <v/>
      </c>
      <c r="I236" s="8">
        <f>IF(F236&lt;&gt;"",HYPERLINK("https://m.uber.com/ul/?action=setPickup&amp;pickup=my_location&amp;dropoff[latitude]="&amp;LEFT(SUBSTITUTE(F236," ",""),FIND(",",SUBSTITUTE(F236," ",""))-1)&amp;"&amp;dropoff[longitude]="&amp;MID(SUBSTITUTE(F236," ",""),FIND(",",SUBSTITUTE(F236," ",""))+1,99),"🚕 Uber"),"")</f>
        <v/>
      </c>
      <c r="J236" s="8">
        <f>IF(F236&lt;&gt;"","https://api.qrserver.com/v1/create-qr-code/?size=200x200&amp;data="&amp;ENCODEURL("https://www.google.com/maps/search/?api=1&amp;query="&amp;SUBSTITUTE(F236," ","")),"")</f>
        <v/>
      </c>
      <c r="K236" s="8">
        <f>IF(C236&lt;&gt;"",HYPERLINK("https://wa.me/507"&amp;REGEXREPLACE(C236,"[^0-9]","")&amp;"?text="&amp;ENCODEURL("Ya llegue. Codigo: "&amp;A236&amp;". Ubicacion: "&amp;"https://www.google.com/maps/search/?api=1&amp;query="&amp;SUBSTITUTE(F236," ","")),"📲 Avisar al cliente"),"")</f>
        <v/>
      </c>
      <c r="L236" s="8">
        <f>IF(C236&lt;&gt;"","https://api.qrserver.com/v1/create-qr-code/?size=200x200&amp;data="&amp;ENCODEURL("https://wa.me/507"&amp;REGEXREPLACE(C236,"[^0-9]","")&amp;"?text="&amp;ENCODEURL("Ya llegue. Codigo: "&amp;A236&amp;". Ubicacion: "&amp;"https://www.google.com/maps/search/?api=1&amp;query="&amp;SUBSTITUTE(F236," ",""))),"")</f>
        <v/>
      </c>
      <c r="M236" s="8">
        <f>IF(B236&lt;&gt;"",TODAY(),"")</f>
        <v/>
      </c>
      <c r="N236" s="8">
        <f>IF(F236&lt;&gt;"",IFERROR(IF(AND(REGEXMATCH(SUBSTITUTE(TRIM(F236)," ",""),"^-?\d+(\.\d+)?,-?\d+(\.\d+)?$"),VALUE(REGEXEXTRACT(SUBSTITUTE(TRIM(F236)," ",""),"^-?\d+(\.\d+)?"))&gt;=-90,VALUE(REGEXEXTRACT(SUBSTITUTE(TRIM(F236)," ",""),"^-?\d+(\.\d+)?"))&lt;=90,VALUE(REGEXEXTRACT(SUBSTITUTE(TRIM(F236)," ",""),"-?\d+(\.\d+)?$"))&gt;=-180,VALUE(REGEXEXTRACT(SUBSTITUTE(TRIM(F236)," ",""),"-?\d+(\.\d+)?$"))&lt;=180),"OK","REVISAR"),"REVISAR"),"")</f>
        <v/>
      </c>
      <c r="O236">
        <f>IF(A236&lt;&gt;"","https://direcciones507.github.io/direcciones507/panel.html?codigo="&amp;A236&amp;"&amp;nombre="&amp;ENCODEURL(B236)&amp;"&amp;telefono="&amp;SUBSTITUTE(C236,"-","")&amp;"&amp;referencia="&amp;ENCODEURL(E236)&amp;"&amp;lat="&amp;IZQUIERDA(SUBSTITUTE(F236," ",""),ENCONTRAR(",",SUBSTITUTE(F236," ",""))-1)&amp;"&amp;lng="&amp;DERECHA(SUBSTITUTE(F236," ",""),LARGO(SUBSTITUTE(F236," ",""))-ENCONTRAR(",",SUBSTITUTE(F236," ",""))),"")</f>
        <v/>
      </c>
    </row>
    <row r="237" ht="15.75" customHeight="1" s="10">
      <c r="A237" s="8">
        <f>CONCAT("AD507-",TEXT(ROW()-2,"0000"))</f>
        <v/>
      </c>
      <c r="C237" s="8" t="n"/>
      <c r="F237" s="8" t="n"/>
      <c r="G237" s="8">
        <f>IF(F237&lt;&gt;"",HYPERLINK("https://www.google.com/maps/search/?api=1&amp;query="&amp;SUBSTITUTE(F237," ",""),"🗺 Google Maps"),"")</f>
        <v/>
      </c>
      <c r="H237" s="8">
        <f>IF(F237&lt;&gt;"",HYPERLINK("https://waze.com/ul?ll="&amp;SUBSTITUTE(F237," ","")&amp;"&amp;navigate=yes","🚗 Waze"),"")</f>
        <v/>
      </c>
      <c r="I237" s="8">
        <f>IF(F237&lt;&gt;"",HYPERLINK("https://m.uber.com/ul/?action=setPickup&amp;pickup=my_location&amp;dropoff[latitude]="&amp;LEFT(SUBSTITUTE(F237," ",""),FIND(",",SUBSTITUTE(F237," ",""))-1)&amp;"&amp;dropoff[longitude]="&amp;MID(SUBSTITUTE(F237," ",""),FIND(",",SUBSTITUTE(F237," ",""))+1,99),"🚕 Uber"),"")</f>
        <v/>
      </c>
      <c r="J237" s="8">
        <f>IF(F237&lt;&gt;"","https://api.qrserver.com/v1/create-qr-code/?size=200x200&amp;data="&amp;ENCODEURL("https://www.google.com/maps/search/?api=1&amp;query="&amp;SUBSTITUTE(F237," ","")),"")</f>
        <v/>
      </c>
      <c r="K237" s="8">
        <f>IF(C237&lt;&gt;"",HYPERLINK("https://wa.me/507"&amp;REGEXREPLACE(C237,"[^0-9]","")&amp;"?text="&amp;ENCODEURL("Ya llegue. Codigo: "&amp;A237&amp;". Ubicacion: "&amp;"https://www.google.com/maps/search/?api=1&amp;query="&amp;SUBSTITUTE(F237," ","")),"📲 Avisar al cliente"),"")</f>
        <v/>
      </c>
      <c r="L237" s="8">
        <f>IF(C237&lt;&gt;"","https://api.qrserver.com/v1/create-qr-code/?size=200x200&amp;data="&amp;ENCODEURL("https://wa.me/507"&amp;REGEXREPLACE(C237,"[^0-9]","")&amp;"?text="&amp;ENCODEURL("Ya llegue. Codigo: "&amp;A237&amp;". Ubicacion: "&amp;"https://www.google.com/maps/search/?api=1&amp;query="&amp;SUBSTITUTE(F237," ",""))),"")</f>
        <v/>
      </c>
      <c r="M237" s="8">
        <f>IF(B237&lt;&gt;"",TODAY(),"")</f>
        <v/>
      </c>
      <c r="N237" s="8">
        <f>IF(F237&lt;&gt;"",IFERROR(IF(AND(REGEXMATCH(SUBSTITUTE(TRIM(F237)," ",""),"^-?\d+(\.\d+)?,-?\d+(\.\d+)?$"),VALUE(REGEXEXTRACT(SUBSTITUTE(TRIM(F237)," ",""),"^-?\d+(\.\d+)?"))&gt;=-90,VALUE(REGEXEXTRACT(SUBSTITUTE(TRIM(F237)," ",""),"^-?\d+(\.\d+)?"))&lt;=90,VALUE(REGEXEXTRACT(SUBSTITUTE(TRIM(F237)," ",""),"-?\d+(\.\d+)?$"))&gt;=-180,VALUE(REGEXEXTRACT(SUBSTITUTE(TRIM(F237)," ",""),"-?\d+(\.\d+)?$"))&lt;=180),"OK","REVISAR"),"REVISAR"),"")</f>
        <v/>
      </c>
      <c r="O237">
        <f>IF(A237&lt;&gt;"","https://direcciones507.github.io/direcciones507/panel.html?codigo="&amp;A237&amp;"&amp;nombre="&amp;ENCODEURL(B237)&amp;"&amp;telefono="&amp;SUBSTITUTE(C237,"-","")&amp;"&amp;referencia="&amp;ENCODEURL(E237)&amp;"&amp;lat="&amp;IZQUIERDA(SUBSTITUTE(F237," ",""),ENCONTRAR(",",SUBSTITUTE(F237," ",""))-1)&amp;"&amp;lng="&amp;DERECHA(SUBSTITUTE(F237," ",""),LARGO(SUBSTITUTE(F237," ",""))-ENCONTRAR(",",SUBSTITUTE(F237," ",""))),"")</f>
        <v/>
      </c>
    </row>
    <row r="238" ht="15.75" customHeight="1" s="10">
      <c r="A238" s="8">
        <f>CONCAT("AD507-",TEXT(ROW()-2,"0000"))</f>
        <v/>
      </c>
      <c r="C238" s="8" t="n"/>
      <c r="F238" s="8" t="n"/>
      <c r="G238" s="8">
        <f>IF(F238&lt;&gt;"",HYPERLINK("https://www.google.com/maps/search/?api=1&amp;query="&amp;SUBSTITUTE(F238," ",""),"🗺 Google Maps"),"")</f>
        <v/>
      </c>
      <c r="H238" s="8">
        <f>IF(F238&lt;&gt;"",HYPERLINK("https://waze.com/ul?ll="&amp;SUBSTITUTE(F238," ","")&amp;"&amp;navigate=yes","🚗 Waze"),"")</f>
        <v/>
      </c>
      <c r="I238" s="8">
        <f>IF(F238&lt;&gt;"",HYPERLINK("https://m.uber.com/ul/?action=setPickup&amp;pickup=my_location&amp;dropoff[latitude]="&amp;LEFT(SUBSTITUTE(F238," ",""),FIND(",",SUBSTITUTE(F238," ",""))-1)&amp;"&amp;dropoff[longitude]="&amp;MID(SUBSTITUTE(F238," ",""),FIND(",",SUBSTITUTE(F238," ",""))+1,99),"🚕 Uber"),"")</f>
        <v/>
      </c>
      <c r="J238" s="8">
        <f>IF(F238&lt;&gt;"","https://api.qrserver.com/v1/create-qr-code/?size=200x200&amp;data="&amp;ENCODEURL("https://www.google.com/maps/search/?api=1&amp;query="&amp;SUBSTITUTE(F238," ","")),"")</f>
        <v/>
      </c>
      <c r="K238" s="8">
        <f>IF(C238&lt;&gt;"",HYPERLINK("https://wa.me/507"&amp;REGEXREPLACE(C238,"[^0-9]","")&amp;"?text="&amp;ENCODEURL("Ya llegue. Codigo: "&amp;A238&amp;". Ubicacion: "&amp;"https://www.google.com/maps/search/?api=1&amp;query="&amp;SUBSTITUTE(F238," ","")),"📲 Avisar al cliente"),"")</f>
        <v/>
      </c>
      <c r="L238" s="8">
        <f>IF(C238&lt;&gt;"","https://api.qrserver.com/v1/create-qr-code/?size=200x200&amp;data="&amp;ENCODEURL("https://wa.me/507"&amp;REGEXREPLACE(C238,"[^0-9]","")&amp;"?text="&amp;ENCODEURL("Ya llegue. Codigo: "&amp;A238&amp;". Ubicacion: "&amp;"https://www.google.com/maps/search/?api=1&amp;query="&amp;SUBSTITUTE(F238," ",""))),"")</f>
        <v/>
      </c>
      <c r="M238" s="8">
        <f>IF(B238&lt;&gt;"",TODAY(),"")</f>
        <v/>
      </c>
      <c r="N238" s="8">
        <f>IF(F238&lt;&gt;"",IFERROR(IF(AND(REGEXMATCH(SUBSTITUTE(TRIM(F238)," ",""),"^-?\d+(\.\d+)?,-?\d+(\.\d+)?$"),VALUE(REGEXEXTRACT(SUBSTITUTE(TRIM(F238)," ",""),"^-?\d+(\.\d+)?"))&gt;=-90,VALUE(REGEXEXTRACT(SUBSTITUTE(TRIM(F238)," ",""),"^-?\d+(\.\d+)?"))&lt;=90,VALUE(REGEXEXTRACT(SUBSTITUTE(TRIM(F238)," ",""),"-?\d+(\.\d+)?$"))&gt;=-180,VALUE(REGEXEXTRACT(SUBSTITUTE(TRIM(F238)," ",""),"-?\d+(\.\d+)?$"))&lt;=180),"OK","REVISAR"),"REVISAR"),"")</f>
        <v/>
      </c>
      <c r="O238">
        <f>IF(A238&lt;&gt;"","https://direcciones507.github.io/direcciones507/panel.html?codigo="&amp;A238&amp;"&amp;nombre="&amp;ENCODEURL(B238)&amp;"&amp;telefono="&amp;SUBSTITUTE(C238,"-","")&amp;"&amp;referencia="&amp;ENCODEURL(E238)&amp;"&amp;lat="&amp;IZQUIERDA(SUBSTITUTE(F238," ",""),ENCONTRAR(",",SUBSTITUTE(F238," ",""))-1)&amp;"&amp;lng="&amp;DERECHA(SUBSTITUTE(F238," ",""),LARGO(SUBSTITUTE(F238," ",""))-ENCONTRAR(",",SUBSTITUTE(F238," ",""))),"")</f>
        <v/>
      </c>
    </row>
    <row r="239" ht="15.75" customHeight="1" s="10">
      <c r="A239" s="8">
        <f>CONCAT("AD507-",TEXT(ROW()-2,"0000"))</f>
        <v/>
      </c>
      <c r="C239" s="8" t="n"/>
      <c r="F239" s="8" t="n"/>
      <c r="G239" s="8">
        <f>IF(F239&lt;&gt;"",HYPERLINK("https://www.google.com/maps/search/?api=1&amp;query="&amp;SUBSTITUTE(F239," ",""),"🗺 Google Maps"),"")</f>
        <v/>
      </c>
      <c r="H239" s="8">
        <f>IF(F239&lt;&gt;"",HYPERLINK("https://waze.com/ul?ll="&amp;SUBSTITUTE(F239," ","")&amp;"&amp;navigate=yes","🚗 Waze"),"")</f>
        <v/>
      </c>
      <c r="I239" s="8">
        <f>IF(F239&lt;&gt;"",HYPERLINK("https://m.uber.com/ul/?action=setPickup&amp;pickup=my_location&amp;dropoff[latitude]="&amp;LEFT(SUBSTITUTE(F239," ",""),FIND(",",SUBSTITUTE(F239," ",""))-1)&amp;"&amp;dropoff[longitude]="&amp;MID(SUBSTITUTE(F239," ",""),FIND(",",SUBSTITUTE(F239," ",""))+1,99),"🚕 Uber"),"")</f>
        <v/>
      </c>
      <c r="J239" s="8">
        <f>IF(F239&lt;&gt;"","https://api.qrserver.com/v1/create-qr-code/?size=200x200&amp;data="&amp;ENCODEURL("https://www.google.com/maps/search/?api=1&amp;query="&amp;SUBSTITUTE(F239," ","")),"")</f>
        <v/>
      </c>
      <c r="K239" s="8">
        <f>IF(C239&lt;&gt;"",HYPERLINK("https://wa.me/507"&amp;REGEXREPLACE(C239,"[^0-9]","")&amp;"?text="&amp;ENCODEURL("Ya llegue. Codigo: "&amp;A239&amp;". Ubicacion: "&amp;"https://www.google.com/maps/search/?api=1&amp;query="&amp;SUBSTITUTE(F239," ","")),"📲 Avisar al cliente"),"")</f>
        <v/>
      </c>
      <c r="L239" s="8">
        <f>IF(C239&lt;&gt;"","https://api.qrserver.com/v1/create-qr-code/?size=200x200&amp;data="&amp;ENCODEURL("https://wa.me/507"&amp;REGEXREPLACE(C239,"[^0-9]","")&amp;"?text="&amp;ENCODEURL("Ya llegue. Codigo: "&amp;A239&amp;". Ubicacion: "&amp;"https://www.google.com/maps/search/?api=1&amp;query="&amp;SUBSTITUTE(F239," ",""))),"")</f>
        <v/>
      </c>
      <c r="M239" s="8">
        <f>IF(B239&lt;&gt;"",TODAY(),"")</f>
        <v/>
      </c>
      <c r="N239" s="8">
        <f>IF(F239&lt;&gt;"",IFERROR(IF(AND(REGEXMATCH(SUBSTITUTE(TRIM(F239)," ",""),"^-?\d+(\.\d+)?,-?\d+(\.\d+)?$"),VALUE(REGEXEXTRACT(SUBSTITUTE(TRIM(F239)," ",""),"^-?\d+(\.\d+)?"))&gt;=-90,VALUE(REGEXEXTRACT(SUBSTITUTE(TRIM(F239)," ",""),"^-?\d+(\.\d+)?"))&lt;=90,VALUE(REGEXEXTRACT(SUBSTITUTE(TRIM(F239)," ",""),"-?\d+(\.\d+)?$"))&gt;=-180,VALUE(REGEXEXTRACT(SUBSTITUTE(TRIM(F239)," ",""),"-?\d+(\.\d+)?$"))&lt;=180),"OK","REVISAR"),"REVISAR"),"")</f>
        <v/>
      </c>
      <c r="O239">
        <f>IF(A239&lt;&gt;"","https://direcciones507.github.io/direcciones507/panel.html?codigo="&amp;A239&amp;"&amp;nombre="&amp;ENCODEURL(B239)&amp;"&amp;telefono="&amp;SUBSTITUTE(C239,"-","")&amp;"&amp;referencia="&amp;ENCODEURL(E239)&amp;"&amp;lat="&amp;IZQUIERDA(SUBSTITUTE(F239," ",""),ENCONTRAR(",",SUBSTITUTE(F239," ",""))-1)&amp;"&amp;lng="&amp;DERECHA(SUBSTITUTE(F239," ",""),LARGO(SUBSTITUTE(F239," ",""))-ENCONTRAR(",",SUBSTITUTE(F239," ",""))),"")</f>
        <v/>
      </c>
    </row>
    <row r="240" ht="15.75" customHeight="1" s="10">
      <c r="A240" s="8">
        <f>CONCAT("AD507-",TEXT(ROW()-2,"0000"))</f>
        <v/>
      </c>
      <c r="C240" s="8" t="n"/>
      <c r="F240" s="8" t="n"/>
      <c r="G240" s="8">
        <f>IF(F240&lt;&gt;"",HYPERLINK("https://www.google.com/maps/search/?api=1&amp;query="&amp;SUBSTITUTE(F240," ",""),"🗺 Google Maps"),"")</f>
        <v/>
      </c>
      <c r="H240" s="8">
        <f>IF(F240&lt;&gt;"",HYPERLINK("https://waze.com/ul?ll="&amp;SUBSTITUTE(F240," ","")&amp;"&amp;navigate=yes","🚗 Waze"),"")</f>
        <v/>
      </c>
      <c r="I240" s="8">
        <f>IF(F240&lt;&gt;"",HYPERLINK("https://m.uber.com/ul/?action=setPickup&amp;pickup=my_location&amp;dropoff[latitude]="&amp;LEFT(SUBSTITUTE(F240," ",""),FIND(",",SUBSTITUTE(F240," ",""))-1)&amp;"&amp;dropoff[longitude]="&amp;MID(SUBSTITUTE(F240," ",""),FIND(",",SUBSTITUTE(F240," ",""))+1,99),"🚕 Uber"),"")</f>
        <v/>
      </c>
      <c r="J240" s="8">
        <f>IF(F240&lt;&gt;"","https://api.qrserver.com/v1/create-qr-code/?size=200x200&amp;data="&amp;ENCODEURL("https://www.google.com/maps/search/?api=1&amp;query="&amp;SUBSTITUTE(F240," ","")),"")</f>
        <v/>
      </c>
      <c r="K240" s="8">
        <f>IF(C240&lt;&gt;"",HYPERLINK("https://wa.me/507"&amp;REGEXREPLACE(C240,"[^0-9]","")&amp;"?text="&amp;ENCODEURL("Ya llegue. Codigo: "&amp;A240&amp;". Ubicacion: "&amp;"https://www.google.com/maps/search/?api=1&amp;query="&amp;SUBSTITUTE(F240," ","")),"📲 Avisar al cliente"),"")</f>
        <v/>
      </c>
      <c r="L240" s="8">
        <f>IF(C240&lt;&gt;"","https://api.qrserver.com/v1/create-qr-code/?size=200x200&amp;data="&amp;ENCODEURL("https://wa.me/507"&amp;REGEXREPLACE(C240,"[^0-9]","")&amp;"?text="&amp;ENCODEURL("Ya llegue. Codigo: "&amp;A240&amp;". Ubicacion: "&amp;"https://www.google.com/maps/search/?api=1&amp;query="&amp;SUBSTITUTE(F240," ",""))),"")</f>
        <v/>
      </c>
      <c r="M240" s="8">
        <f>IF(B240&lt;&gt;"",TODAY(),"")</f>
        <v/>
      </c>
      <c r="N240" s="8">
        <f>IF(F240&lt;&gt;"",IFERROR(IF(AND(REGEXMATCH(SUBSTITUTE(TRIM(F240)," ",""),"^-?\d+(\.\d+)?,-?\d+(\.\d+)?$"),VALUE(REGEXEXTRACT(SUBSTITUTE(TRIM(F240)," ",""),"^-?\d+(\.\d+)?"))&gt;=-90,VALUE(REGEXEXTRACT(SUBSTITUTE(TRIM(F240)," ",""),"^-?\d+(\.\d+)?"))&lt;=90,VALUE(REGEXEXTRACT(SUBSTITUTE(TRIM(F240)," ",""),"-?\d+(\.\d+)?$"))&gt;=-180,VALUE(REGEXEXTRACT(SUBSTITUTE(TRIM(F240)," ",""),"-?\d+(\.\d+)?$"))&lt;=180),"OK","REVISAR"),"REVISAR"),"")</f>
        <v/>
      </c>
      <c r="O240">
        <f>IF(A240&lt;&gt;"","https://direcciones507.github.io/direcciones507/panel.html?codigo="&amp;A240&amp;"&amp;nombre="&amp;ENCODEURL(B240)&amp;"&amp;telefono="&amp;SUBSTITUTE(C240,"-","")&amp;"&amp;referencia="&amp;ENCODEURL(E240)&amp;"&amp;lat="&amp;IZQUIERDA(SUBSTITUTE(F240," ",""),ENCONTRAR(",",SUBSTITUTE(F240," ",""))-1)&amp;"&amp;lng="&amp;DERECHA(SUBSTITUTE(F240," ",""),LARGO(SUBSTITUTE(F240," ",""))-ENCONTRAR(",",SUBSTITUTE(F240," ",""))),"")</f>
        <v/>
      </c>
    </row>
    <row r="241" ht="15.75" customHeight="1" s="10">
      <c r="A241" s="8">
        <f>CONCAT("AD507-",TEXT(ROW()-2,"0000"))</f>
        <v/>
      </c>
      <c r="C241" s="8" t="n"/>
      <c r="F241" s="8" t="n"/>
      <c r="G241" s="8">
        <f>IF(F241&lt;&gt;"",HYPERLINK("https://www.google.com/maps/search/?api=1&amp;query="&amp;SUBSTITUTE(F241," ",""),"🗺 Google Maps"),"")</f>
        <v/>
      </c>
      <c r="H241" s="8">
        <f>IF(F241&lt;&gt;"",HYPERLINK("https://waze.com/ul?ll="&amp;SUBSTITUTE(F241," ","")&amp;"&amp;navigate=yes","🚗 Waze"),"")</f>
        <v/>
      </c>
      <c r="I241" s="8">
        <f>IF(F241&lt;&gt;"",HYPERLINK("https://m.uber.com/ul/?action=setPickup&amp;pickup=my_location&amp;dropoff[latitude]="&amp;LEFT(SUBSTITUTE(F241," ",""),FIND(",",SUBSTITUTE(F241," ",""))-1)&amp;"&amp;dropoff[longitude]="&amp;MID(SUBSTITUTE(F241," ",""),FIND(",",SUBSTITUTE(F241," ",""))+1,99),"🚕 Uber"),"")</f>
        <v/>
      </c>
      <c r="J241" s="8">
        <f>IF(F241&lt;&gt;"","https://api.qrserver.com/v1/create-qr-code/?size=200x200&amp;data="&amp;ENCODEURL("https://www.google.com/maps/search/?api=1&amp;query="&amp;SUBSTITUTE(F241," ","")),"")</f>
        <v/>
      </c>
      <c r="K241" s="8">
        <f>IF(C241&lt;&gt;"",HYPERLINK("https://wa.me/507"&amp;REGEXREPLACE(C241,"[^0-9]","")&amp;"?text="&amp;ENCODEURL("Ya llegue. Codigo: "&amp;A241&amp;". Ubicacion: "&amp;"https://www.google.com/maps/search/?api=1&amp;query="&amp;SUBSTITUTE(F241," ","")),"📲 Avisar al cliente"),"")</f>
        <v/>
      </c>
      <c r="L241" s="8">
        <f>IF(C241&lt;&gt;"","https://api.qrserver.com/v1/create-qr-code/?size=200x200&amp;data="&amp;ENCODEURL("https://wa.me/507"&amp;REGEXREPLACE(C241,"[^0-9]","")&amp;"?text="&amp;ENCODEURL("Ya llegue. Codigo: "&amp;A241&amp;". Ubicacion: "&amp;"https://www.google.com/maps/search/?api=1&amp;query="&amp;SUBSTITUTE(F241," ",""))),"")</f>
        <v/>
      </c>
      <c r="M241" s="8">
        <f>IF(B241&lt;&gt;"",TODAY(),"")</f>
        <v/>
      </c>
      <c r="N241" s="8">
        <f>IF(F241&lt;&gt;"",IFERROR(IF(AND(REGEXMATCH(SUBSTITUTE(TRIM(F241)," ",""),"^-?\d+(\.\d+)?,-?\d+(\.\d+)?$"),VALUE(REGEXEXTRACT(SUBSTITUTE(TRIM(F241)," ",""),"^-?\d+(\.\d+)?"))&gt;=-90,VALUE(REGEXEXTRACT(SUBSTITUTE(TRIM(F241)," ",""),"^-?\d+(\.\d+)?"))&lt;=90,VALUE(REGEXEXTRACT(SUBSTITUTE(TRIM(F241)," ",""),"-?\d+(\.\d+)?$"))&gt;=-180,VALUE(REGEXEXTRACT(SUBSTITUTE(TRIM(F241)," ",""),"-?\d+(\.\d+)?$"))&lt;=180),"OK","REVISAR"),"REVISAR"),"")</f>
        <v/>
      </c>
      <c r="O241">
        <f>IF(A241&lt;&gt;"","https://direcciones507.github.io/direcciones507/panel.html?codigo="&amp;A241&amp;"&amp;nombre="&amp;ENCODEURL(B241)&amp;"&amp;telefono="&amp;SUBSTITUTE(C241,"-","")&amp;"&amp;referencia="&amp;ENCODEURL(E241)&amp;"&amp;lat="&amp;IZQUIERDA(SUBSTITUTE(F241," ",""),ENCONTRAR(",",SUBSTITUTE(F241," ",""))-1)&amp;"&amp;lng="&amp;DERECHA(SUBSTITUTE(F241," ",""),LARGO(SUBSTITUTE(F241," ",""))-ENCONTRAR(",",SUBSTITUTE(F241," ",""))),"")</f>
        <v/>
      </c>
    </row>
    <row r="242" ht="15.75" customHeight="1" s="10">
      <c r="A242" s="8">
        <f>CONCAT("AD507-",TEXT(ROW()-2,"0000"))</f>
        <v/>
      </c>
      <c r="C242" s="8" t="n"/>
      <c r="F242" s="8" t="n"/>
      <c r="G242" s="8">
        <f>IF(F242&lt;&gt;"",HYPERLINK("https://www.google.com/maps/search/?api=1&amp;query="&amp;SUBSTITUTE(F242," ",""),"🗺 Google Maps"),"")</f>
        <v/>
      </c>
      <c r="H242" s="8">
        <f>IF(F242&lt;&gt;"",HYPERLINK("https://waze.com/ul?ll="&amp;SUBSTITUTE(F242," ","")&amp;"&amp;navigate=yes","🚗 Waze"),"")</f>
        <v/>
      </c>
      <c r="I242" s="8">
        <f>IF(F242&lt;&gt;"",HYPERLINK("https://m.uber.com/ul/?action=setPickup&amp;pickup=my_location&amp;dropoff[latitude]="&amp;LEFT(SUBSTITUTE(F242," ",""),FIND(",",SUBSTITUTE(F242," ",""))-1)&amp;"&amp;dropoff[longitude]="&amp;MID(SUBSTITUTE(F242," ",""),FIND(",",SUBSTITUTE(F242," ",""))+1,99),"🚕 Uber"),"")</f>
        <v/>
      </c>
      <c r="J242" s="8">
        <f>IF(F242&lt;&gt;"","https://api.qrserver.com/v1/create-qr-code/?size=200x200&amp;data="&amp;ENCODEURL("https://www.google.com/maps/search/?api=1&amp;query="&amp;SUBSTITUTE(F242," ","")),"")</f>
        <v/>
      </c>
      <c r="K242" s="8">
        <f>IF(C242&lt;&gt;"",HYPERLINK("https://wa.me/507"&amp;REGEXREPLACE(C242,"[^0-9]","")&amp;"?text="&amp;ENCODEURL("Ya llegue. Codigo: "&amp;A242&amp;". Ubicacion: "&amp;"https://www.google.com/maps/search/?api=1&amp;query="&amp;SUBSTITUTE(F242," ","")),"📲 Avisar al cliente"),"")</f>
        <v/>
      </c>
      <c r="L242" s="8">
        <f>IF(C242&lt;&gt;"","https://api.qrserver.com/v1/create-qr-code/?size=200x200&amp;data="&amp;ENCODEURL("https://wa.me/507"&amp;REGEXREPLACE(C242,"[^0-9]","")&amp;"?text="&amp;ENCODEURL("Ya llegue. Codigo: "&amp;A242&amp;". Ubicacion: "&amp;"https://www.google.com/maps/search/?api=1&amp;query="&amp;SUBSTITUTE(F242," ",""))),"")</f>
        <v/>
      </c>
      <c r="M242" s="8">
        <f>IF(B242&lt;&gt;"",TODAY(),"")</f>
        <v/>
      </c>
      <c r="N242" s="8">
        <f>IF(F242&lt;&gt;"",IFERROR(IF(AND(REGEXMATCH(SUBSTITUTE(TRIM(F242)," ",""),"^-?\d+(\.\d+)?,-?\d+(\.\d+)?$"),VALUE(REGEXEXTRACT(SUBSTITUTE(TRIM(F242)," ",""),"^-?\d+(\.\d+)?"))&gt;=-90,VALUE(REGEXEXTRACT(SUBSTITUTE(TRIM(F242)," ",""),"^-?\d+(\.\d+)?"))&lt;=90,VALUE(REGEXEXTRACT(SUBSTITUTE(TRIM(F242)," ",""),"-?\d+(\.\d+)?$"))&gt;=-180,VALUE(REGEXEXTRACT(SUBSTITUTE(TRIM(F242)," ",""),"-?\d+(\.\d+)?$"))&lt;=180),"OK","REVISAR"),"REVISAR"),"")</f>
        <v/>
      </c>
      <c r="O242">
        <f>IF(A242&lt;&gt;"","https://direcciones507.github.io/direcciones507/panel.html?codigo="&amp;A242&amp;"&amp;nombre="&amp;ENCODEURL(B242)&amp;"&amp;telefono="&amp;SUBSTITUTE(C242,"-","")&amp;"&amp;referencia="&amp;ENCODEURL(E242)&amp;"&amp;lat="&amp;IZQUIERDA(SUBSTITUTE(F242," ",""),ENCONTRAR(",",SUBSTITUTE(F242," ",""))-1)&amp;"&amp;lng="&amp;DERECHA(SUBSTITUTE(F242," ",""),LARGO(SUBSTITUTE(F242," ",""))-ENCONTRAR(",",SUBSTITUTE(F242," ",""))),"")</f>
        <v/>
      </c>
    </row>
    <row r="243" ht="15.75" customHeight="1" s="10">
      <c r="A243" s="8">
        <f>CONCAT("AD507-",TEXT(ROW()-2,"0000"))</f>
        <v/>
      </c>
      <c r="C243" s="8" t="n"/>
      <c r="F243" s="8" t="n"/>
      <c r="G243" s="8">
        <f>IF(F243&lt;&gt;"",HYPERLINK("https://www.google.com/maps/search/?api=1&amp;query="&amp;SUBSTITUTE(F243," ",""),"🗺 Google Maps"),"")</f>
        <v/>
      </c>
      <c r="H243" s="8">
        <f>IF(F243&lt;&gt;"",HYPERLINK("https://waze.com/ul?ll="&amp;SUBSTITUTE(F243," ","")&amp;"&amp;navigate=yes","🚗 Waze"),"")</f>
        <v/>
      </c>
      <c r="I243" s="8">
        <f>IF(F243&lt;&gt;"",HYPERLINK("https://m.uber.com/ul/?action=setPickup&amp;pickup=my_location&amp;dropoff[latitude]="&amp;LEFT(SUBSTITUTE(F243," ",""),FIND(",",SUBSTITUTE(F243," ",""))-1)&amp;"&amp;dropoff[longitude]="&amp;MID(SUBSTITUTE(F243," ",""),FIND(",",SUBSTITUTE(F243," ",""))+1,99),"🚕 Uber"),"")</f>
        <v/>
      </c>
      <c r="J243" s="8">
        <f>IF(F243&lt;&gt;"","https://api.qrserver.com/v1/create-qr-code/?size=200x200&amp;data="&amp;ENCODEURL("https://www.google.com/maps/search/?api=1&amp;query="&amp;SUBSTITUTE(F243," ","")),"")</f>
        <v/>
      </c>
      <c r="K243" s="8">
        <f>IF(C243&lt;&gt;"",HYPERLINK("https://wa.me/507"&amp;REGEXREPLACE(C243,"[^0-9]","")&amp;"?text="&amp;ENCODEURL("Ya llegue. Codigo: "&amp;A243&amp;". Ubicacion: "&amp;"https://www.google.com/maps/search/?api=1&amp;query="&amp;SUBSTITUTE(F243," ","")),"📲 Avisar al cliente"),"")</f>
        <v/>
      </c>
      <c r="L243" s="8">
        <f>IF(C243&lt;&gt;"","https://api.qrserver.com/v1/create-qr-code/?size=200x200&amp;data="&amp;ENCODEURL("https://wa.me/507"&amp;REGEXREPLACE(C243,"[^0-9]","")&amp;"?text="&amp;ENCODEURL("Ya llegue. Codigo: "&amp;A243&amp;". Ubicacion: "&amp;"https://www.google.com/maps/search/?api=1&amp;query="&amp;SUBSTITUTE(F243," ",""))),"")</f>
        <v/>
      </c>
      <c r="M243" s="8">
        <f>IF(B243&lt;&gt;"",TODAY(),"")</f>
        <v/>
      </c>
      <c r="N243" s="8">
        <f>IF(F243&lt;&gt;"",IFERROR(IF(AND(REGEXMATCH(SUBSTITUTE(TRIM(F243)," ",""),"^-?\d+(\.\d+)?,-?\d+(\.\d+)?$"),VALUE(REGEXEXTRACT(SUBSTITUTE(TRIM(F243)," ",""),"^-?\d+(\.\d+)?"))&gt;=-90,VALUE(REGEXEXTRACT(SUBSTITUTE(TRIM(F243)," ",""),"^-?\d+(\.\d+)?"))&lt;=90,VALUE(REGEXEXTRACT(SUBSTITUTE(TRIM(F243)," ",""),"-?\d+(\.\d+)?$"))&gt;=-180,VALUE(REGEXEXTRACT(SUBSTITUTE(TRIM(F243)," ",""),"-?\d+(\.\d+)?$"))&lt;=180),"OK","REVISAR"),"REVISAR"),"")</f>
        <v/>
      </c>
      <c r="O243">
        <f>IF(A243&lt;&gt;"","https://direcciones507.github.io/direcciones507/panel.html?codigo="&amp;A243&amp;"&amp;nombre="&amp;ENCODEURL(B243)&amp;"&amp;telefono="&amp;SUBSTITUTE(C243,"-","")&amp;"&amp;referencia="&amp;ENCODEURL(E243)&amp;"&amp;lat="&amp;IZQUIERDA(SUBSTITUTE(F243," ",""),ENCONTRAR(",",SUBSTITUTE(F243," ",""))-1)&amp;"&amp;lng="&amp;DERECHA(SUBSTITUTE(F243," ",""),LARGO(SUBSTITUTE(F243," ",""))-ENCONTRAR(",",SUBSTITUTE(F243," ",""))),"")</f>
        <v/>
      </c>
    </row>
    <row r="244" ht="15.75" customHeight="1" s="10">
      <c r="A244" s="8">
        <f>CONCAT("AD507-",TEXT(ROW()-2,"0000"))</f>
        <v/>
      </c>
      <c r="C244" s="8" t="n"/>
      <c r="F244" s="8" t="n"/>
      <c r="G244" s="8">
        <f>IF(F244&lt;&gt;"",HYPERLINK("https://www.google.com/maps/search/?api=1&amp;query="&amp;SUBSTITUTE(F244," ",""),"🗺 Google Maps"),"")</f>
        <v/>
      </c>
      <c r="H244" s="8">
        <f>IF(F244&lt;&gt;"",HYPERLINK("https://waze.com/ul?ll="&amp;SUBSTITUTE(F244," ","")&amp;"&amp;navigate=yes","🚗 Waze"),"")</f>
        <v/>
      </c>
      <c r="I244" s="8">
        <f>IF(F244&lt;&gt;"",HYPERLINK("https://m.uber.com/ul/?action=setPickup&amp;pickup=my_location&amp;dropoff[latitude]="&amp;LEFT(SUBSTITUTE(F244," ",""),FIND(",",SUBSTITUTE(F244," ",""))-1)&amp;"&amp;dropoff[longitude]="&amp;MID(SUBSTITUTE(F244," ",""),FIND(",",SUBSTITUTE(F244," ",""))+1,99),"🚕 Uber"),"")</f>
        <v/>
      </c>
      <c r="J244" s="8">
        <f>IF(F244&lt;&gt;"","https://api.qrserver.com/v1/create-qr-code/?size=200x200&amp;data="&amp;ENCODEURL("https://www.google.com/maps/search/?api=1&amp;query="&amp;SUBSTITUTE(F244," ","")),"")</f>
        <v/>
      </c>
      <c r="K244" s="8">
        <f>IF(C244&lt;&gt;"",HYPERLINK("https://wa.me/507"&amp;REGEXREPLACE(C244,"[^0-9]","")&amp;"?text="&amp;ENCODEURL("Ya llegue. Codigo: "&amp;A244&amp;". Ubicacion: "&amp;"https://www.google.com/maps/search/?api=1&amp;query="&amp;SUBSTITUTE(F244," ","")),"📲 Avisar al cliente"),"")</f>
        <v/>
      </c>
      <c r="L244" s="8">
        <f>IF(C244&lt;&gt;"","https://api.qrserver.com/v1/create-qr-code/?size=200x200&amp;data="&amp;ENCODEURL("https://wa.me/507"&amp;REGEXREPLACE(C244,"[^0-9]","")&amp;"?text="&amp;ENCODEURL("Ya llegue. Codigo: "&amp;A244&amp;". Ubicacion: "&amp;"https://www.google.com/maps/search/?api=1&amp;query="&amp;SUBSTITUTE(F244," ",""))),"")</f>
        <v/>
      </c>
      <c r="M244" s="8">
        <f>IF(B244&lt;&gt;"",TODAY(),"")</f>
        <v/>
      </c>
      <c r="N244" s="8">
        <f>IF(F244&lt;&gt;"",IFERROR(IF(AND(REGEXMATCH(SUBSTITUTE(TRIM(F244)," ",""),"^-?\d+(\.\d+)?,-?\d+(\.\d+)?$"),VALUE(REGEXEXTRACT(SUBSTITUTE(TRIM(F244)," ",""),"^-?\d+(\.\d+)?"))&gt;=-90,VALUE(REGEXEXTRACT(SUBSTITUTE(TRIM(F244)," ",""),"^-?\d+(\.\d+)?"))&lt;=90,VALUE(REGEXEXTRACT(SUBSTITUTE(TRIM(F244)," ",""),"-?\d+(\.\d+)?$"))&gt;=-180,VALUE(REGEXEXTRACT(SUBSTITUTE(TRIM(F244)," ",""),"-?\d+(\.\d+)?$"))&lt;=180),"OK","REVISAR"),"REVISAR"),"")</f>
        <v/>
      </c>
      <c r="O244">
        <f>IF(A244&lt;&gt;"","https://direcciones507.github.io/direcciones507/panel.html?codigo="&amp;A244&amp;"&amp;nombre="&amp;ENCODEURL(B244)&amp;"&amp;telefono="&amp;SUBSTITUTE(C244,"-","")&amp;"&amp;referencia="&amp;ENCODEURL(E244)&amp;"&amp;lat="&amp;IZQUIERDA(SUBSTITUTE(F244," ",""),ENCONTRAR(",",SUBSTITUTE(F244," ",""))-1)&amp;"&amp;lng="&amp;DERECHA(SUBSTITUTE(F244," ",""),LARGO(SUBSTITUTE(F244," ",""))-ENCONTRAR(",",SUBSTITUTE(F244," ",""))),"")</f>
        <v/>
      </c>
    </row>
    <row r="245" ht="15.75" customHeight="1" s="10">
      <c r="A245" s="8">
        <f>CONCAT("AD507-",TEXT(ROW()-2,"0000"))</f>
        <v/>
      </c>
      <c r="C245" s="8" t="n"/>
      <c r="F245" s="8" t="n"/>
      <c r="G245" s="8">
        <f>IF(F245&lt;&gt;"",HYPERLINK("https://www.google.com/maps/search/?api=1&amp;query="&amp;SUBSTITUTE(F245," ",""),"🗺 Google Maps"),"")</f>
        <v/>
      </c>
      <c r="H245" s="8">
        <f>IF(F245&lt;&gt;"",HYPERLINK("https://waze.com/ul?ll="&amp;SUBSTITUTE(F245," ","")&amp;"&amp;navigate=yes","🚗 Waze"),"")</f>
        <v/>
      </c>
      <c r="I245" s="8">
        <f>IF(F245&lt;&gt;"",HYPERLINK("https://m.uber.com/ul/?action=setPickup&amp;pickup=my_location&amp;dropoff[latitude]="&amp;LEFT(SUBSTITUTE(F245," ",""),FIND(",",SUBSTITUTE(F245," ",""))-1)&amp;"&amp;dropoff[longitude]="&amp;MID(SUBSTITUTE(F245," ",""),FIND(",",SUBSTITUTE(F245," ",""))+1,99),"🚕 Uber"),"")</f>
        <v/>
      </c>
      <c r="J245" s="8">
        <f>IF(F245&lt;&gt;"","https://api.qrserver.com/v1/create-qr-code/?size=200x200&amp;data="&amp;ENCODEURL("https://www.google.com/maps/search/?api=1&amp;query="&amp;SUBSTITUTE(F245," ","")),"")</f>
        <v/>
      </c>
      <c r="K245" s="8">
        <f>IF(C245&lt;&gt;"",HYPERLINK("https://wa.me/507"&amp;REGEXREPLACE(C245,"[^0-9]","")&amp;"?text="&amp;ENCODEURL("Ya llegue. Codigo: "&amp;A245&amp;". Ubicacion: "&amp;"https://www.google.com/maps/search/?api=1&amp;query="&amp;SUBSTITUTE(F245," ","")),"📲 Avisar al cliente"),"")</f>
        <v/>
      </c>
      <c r="L245" s="8">
        <f>IF(C245&lt;&gt;"","https://api.qrserver.com/v1/create-qr-code/?size=200x200&amp;data="&amp;ENCODEURL("https://wa.me/507"&amp;REGEXREPLACE(C245,"[^0-9]","")&amp;"?text="&amp;ENCODEURL("Ya llegue. Codigo: "&amp;A245&amp;". Ubicacion: "&amp;"https://www.google.com/maps/search/?api=1&amp;query="&amp;SUBSTITUTE(F245," ",""))),"")</f>
        <v/>
      </c>
      <c r="M245" s="8">
        <f>IF(B245&lt;&gt;"",TODAY(),"")</f>
        <v/>
      </c>
      <c r="N245" s="8">
        <f>IF(F245&lt;&gt;"",IFERROR(IF(AND(REGEXMATCH(SUBSTITUTE(TRIM(F245)," ",""),"^-?\d+(\.\d+)?,-?\d+(\.\d+)?$"),VALUE(REGEXEXTRACT(SUBSTITUTE(TRIM(F245)," ",""),"^-?\d+(\.\d+)?"))&gt;=-90,VALUE(REGEXEXTRACT(SUBSTITUTE(TRIM(F245)," ",""),"^-?\d+(\.\d+)?"))&lt;=90,VALUE(REGEXEXTRACT(SUBSTITUTE(TRIM(F245)," ",""),"-?\d+(\.\d+)?$"))&gt;=-180,VALUE(REGEXEXTRACT(SUBSTITUTE(TRIM(F245)," ",""),"-?\d+(\.\d+)?$"))&lt;=180),"OK","REVISAR"),"REVISAR"),"")</f>
        <v/>
      </c>
      <c r="O245">
        <f>IF(A245&lt;&gt;"","https://direcciones507.github.io/direcciones507/panel.html?codigo="&amp;A245&amp;"&amp;nombre="&amp;ENCODEURL(B245)&amp;"&amp;telefono="&amp;SUBSTITUTE(C245,"-","")&amp;"&amp;referencia="&amp;ENCODEURL(E245)&amp;"&amp;lat="&amp;IZQUIERDA(SUBSTITUTE(F245," ",""),ENCONTRAR(",",SUBSTITUTE(F245," ",""))-1)&amp;"&amp;lng="&amp;DERECHA(SUBSTITUTE(F245," ",""),LARGO(SUBSTITUTE(F245," ",""))-ENCONTRAR(",",SUBSTITUTE(F245," ",""))),"")</f>
        <v/>
      </c>
    </row>
    <row r="246" ht="15.75" customHeight="1" s="10">
      <c r="A246" s="8">
        <f>CONCAT("AD507-",TEXT(ROW()-2,"0000"))</f>
        <v/>
      </c>
      <c r="C246" s="8" t="n"/>
      <c r="F246" s="8" t="n"/>
      <c r="G246" s="8">
        <f>IF(F246&lt;&gt;"",HYPERLINK("https://www.google.com/maps/search/?api=1&amp;query="&amp;SUBSTITUTE(F246," ",""),"🗺 Google Maps"),"")</f>
        <v/>
      </c>
      <c r="H246" s="8">
        <f>IF(F246&lt;&gt;"",HYPERLINK("https://waze.com/ul?ll="&amp;SUBSTITUTE(F246," ","")&amp;"&amp;navigate=yes","🚗 Waze"),"")</f>
        <v/>
      </c>
      <c r="I246" s="8">
        <f>IF(F246&lt;&gt;"",HYPERLINK("https://m.uber.com/ul/?action=setPickup&amp;pickup=my_location&amp;dropoff[latitude]="&amp;LEFT(SUBSTITUTE(F246," ",""),FIND(",",SUBSTITUTE(F246," ",""))-1)&amp;"&amp;dropoff[longitude]="&amp;MID(SUBSTITUTE(F246," ",""),FIND(",",SUBSTITUTE(F246," ",""))+1,99),"🚕 Uber"),"")</f>
        <v/>
      </c>
      <c r="J246" s="8">
        <f>IF(F246&lt;&gt;"","https://api.qrserver.com/v1/create-qr-code/?size=200x200&amp;data="&amp;ENCODEURL("https://www.google.com/maps/search/?api=1&amp;query="&amp;SUBSTITUTE(F246," ","")),"")</f>
        <v/>
      </c>
      <c r="K246" s="8">
        <f>IF(C246&lt;&gt;"",HYPERLINK("https://wa.me/507"&amp;REGEXREPLACE(C246,"[^0-9]","")&amp;"?text="&amp;ENCODEURL("Ya llegue. Codigo: "&amp;A246&amp;". Ubicacion: "&amp;"https://www.google.com/maps/search/?api=1&amp;query="&amp;SUBSTITUTE(F246," ","")),"📲 Avisar al cliente"),"")</f>
        <v/>
      </c>
      <c r="L246" s="8">
        <f>IF(C246&lt;&gt;"","https://api.qrserver.com/v1/create-qr-code/?size=200x200&amp;data="&amp;ENCODEURL("https://wa.me/507"&amp;REGEXREPLACE(C246,"[^0-9]","")&amp;"?text="&amp;ENCODEURL("Ya llegue. Codigo: "&amp;A246&amp;". Ubicacion: "&amp;"https://www.google.com/maps/search/?api=1&amp;query="&amp;SUBSTITUTE(F246," ",""))),"")</f>
        <v/>
      </c>
      <c r="M246" s="8">
        <f>IF(B246&lt;&gt;"",TODAY(),"")</f>
        <v/>
      </c>
      <c r="N246" s="8">
        <f>IF(F246&lt;&gt;"",IFERROR(IF(AND(REGEXMATCH(SUBSTITUTE(TRIM(F246)," ",""),"^-?\d+(\.\d+)?,-?\d+(\.\d+)?$"),VALUE(REGEXEXTRACT(SUBSTITUTE(TRIM(F246)," ",""),"^-?\d+(\.\d+)?"))&gt;=-90,VALUE(REGEXEXTRACT(SUBSTITUTE(TRIM(F246)," ",""),"^-?\d+(\.\d+)?"))&lt;=90,VALUE(REGEXEXTRACT(SUBSTITUTE(TRIM(F246)," ",""),"-?\d+(\.\d+)?$"))&gt;=-180,VALUE(REGEXEXTRACT(SUBSTITUTE(TRIM(F246)," ",""),"-?\d+(\.\d+)?$"))&lt;=180),"OK","REVISAR"),"REVISAR"),"")</f>
        <v/>
      </c>
      <c r="O246">
        <f>IF(A246&lt;&gt;"","https://direcciones507.github.io/direcciones507/panel.html?codigo="&amp;A246&amp;"&amp;nombre="&amp;ENCODEURL(B246)&amp;"&amp;telefono="&amp;SUBSTITUTE(C246,"-","")&amp;"&amp;referencia="&amp;ENCODEURL(E246)&amp;"&amp;lat="&amp;IZQUIERDA(SUBSTITUTE(F246," ",""),ENCONTRAR(",",SUBSTITUTE(F246," ",""))-1)&amp;"&amp;lng="&amp;DERECHA(SUBSTITUTE(F246," ",""),LARGO(SUBSTITUTE(F246," ",""))-ENCONTRAR(",",SUBSTITUTE(F246," ",""))),"")</f>
        <v/>
      </c>
    </row>
    <row r="247" ht="15.75" customHeight="1" s="10">
      <c r="A247" s="8">
        <f>CONCAT("AD507-",TEXT(ROW()-2,"0000"))</f>
        <v/>
      </c>
      <c r="C247" s="8" t="n"/>
      <c r="F247" s="8" t="n"/>
      <c r="G247" s="8">
        <f>IF(F247&lt;&gt;"",HYPERLINK("https://www.google.com/maps/search/?api=1&amp;query="&amp;SUBSTITUTE(F247," ",""),"🗺 Google Maps"),"")</f>
        <v/>
      </c>
      <c r="H247" s="8">
        <f>IF(F247&lt;&gt;"",HYPERLINK("https://waze.com/ul?ll="&amp;SUBSTITUTE(F247," ","")&amp;"&amp;navigate=yes","🚗 Waze"),"")</f>
        <v/>
      </c>
      <c r="I247" s="8">
        <f>IF(F247&lt;&gt;"",HYPERLINK("https://m.uber.com/ul/?action=setPickup&amp;pickup=my_location&amp;dropoff[latitude]="&amp;LEFT(SUBSTITUTE(F247," ",""),FIND(",",SUBSTITUTE(F247," ",""))-1)&amp;"&amp;dropoff[longitude]="&amp;MID(SUBSTITUTE(F247," ",""),FIND(",",SUBSTITUTE(F247," ",""))+1,99),"🚕 Uber"),"")</f>
        <v/>
      </c>
      <c r="J247" s="8">
        <f>IF(F247&lt;&gt;"","https://api.qrserver.com/v1/create-qr-code/?size=200x200&amp;data="&amp;ENCODEURL("https://www.google.com/maps/search/?api=1&amp;query="&amp;SUBSTITUTE(F247," ","")),"")</f>
        <v/>
      </c>
      <c r="K247" s="8">
        <f>IF(C247&lt;&gt;"",HYPERLINK("https://wa.me/507"&amp;REGEXREPLACE(C247,"[^0-9]","")&amp;"?text="&amp;ENCODEURL("Ya llegue. Codigo: "&amp;A247&amp;". Ubicacion: "&amp;"https://www.google.com/maps/search/?api=1&amp;query="&amp;SUBSTITUTE(F247," ","")),"📲 Avisar al cliente"),"")</f>
        <v/>
      </c>
      <c r="L247" s="8">
        <f>IF(C247&lt;&gt;"","https://api.qrserver.com/v1/create-qr-code/?size=200x200&amp;data="&amp;ENCODEURL("https://wa.me/507"&amp;REGEXREPLACE(C247,"[^0-9]","")&amp;"?text="&amp;ENCODEURL("Ya llegue. Codigo: "&amp;A247&amp;". Ubicacion: "&amp;"https://www.google.com/maps/search/?api=1&amp;query="&amp;SUBSTITUTE(F247," ",""))),"")</f>
        <v/>
      </c>
      <c r="M247" s="8">
        <f>IF(B247&lt;&gt;"",TODAY(),"")</f>
        <v/>
      </c>
      <c r="N247" s="8">
        <f>IF(F247&lt;&gt;"",IFERROR(IF(AND(REGEXMATCH(SUBSTITUTE(TRIM(F247)," ",""),"^-?\d+(\.\d+)?,-?\d+(\.\d+)?$"),VALUE(REGEXEXTRACT(SUBSTITUTE(TRIM(F247)," ",""),"^-?\d+(\.\d+)?"))&gt;=-90,VALUE(REGEXEXTRACT(SUBSTITUTE(TRIM(F247)," ",""),"^-?\d+(\.\d+)?"))&lt;=90,VALUE(REGEXEXTRACT(SUBSTITUTE(TRIM(F247)," ",""),"-?\d+(\.\d+)?$"))&gt;=-180,VALUE(REGEXEXTRACT(SUBSTITUTE(TRIM(F247)," ",""),"-?\d+(\.\d+)?$"))&lt;=180),"OK","REVISAR"),"REVISAR"),"")</f>
        <v/>
      </c>
      <c r="O247">
        <f>IF(A247&lt;&gt;"","https://direcciones507.github.io/direcciones507/panel.html?codigo="&amp;A247&amp;"&amp;nombre="&amp;ENCODEURL(B247)&amp;"&amp;telefono="&amp;SUBSTITUTE(C247,"-","")&amp;"&amp;referencia="&amp;ENCODEURL(E247)&amp;"&amp;lat="&amp;IZQUIERDA(SUBSTITUTE(F247," ",""),ENCONTRAR(",",SUBSTITUTE(F247," ",""))-1)&amp;"&amp;lng="&amp;DERECHA(SUBSTITUTE(F247," ",""),LARGO(SUBSTITUTE(F247," ",""))-ENCONTRAR(",",SUBSTITUTE(F247," ",""))),"")</f>
        <v/>
      </c>
    </row>
    <row r="248" ht="15.75" customHeight="1" s="10">
      <c r="A248" s="8">
        <f>CONCAT("AD507-",TEXT(ROW()-2,"0000"))</f>
        <v/>
      </c>
      <c r="C248" s="8" t="n"/>
      <c r="F248" s="8" t="n"/>
      <c r="G248" s="8">
        <f>IF(F248&lt;&gt;"",HYPERLINK("https://www.google.com/maps/search/?api=1&amp;query="&amp;SUBSTITUTE(F248," ",""),"🗺 Google Maps"),"")</f>
        <v/>
      </c>
      <c r="H248" s="8">
        <f>IF(F248&lt;&gt;"",HYPERLINK("https://waze.com/ul?ll="&amp;SUBSTITUTE(F248," ","")&amp;"&amp;navigate=yes","🚗 Waze"),"")</f>
        <v/>
      </c>
      <c r="I248" s="8">
        <f>IF(F248&lt;&gt;"",HYPERLINK("https://m.uber.com/ul/?action=setPickup&amp;pickup=my_location&amp;dropoff[latitude]="&amp;LEFT(SUBSTITUTE(F248," ",""),FIND(",",SUBSTITUTE(F248," ",""))-1)&amp;"&amp;dropoff[longitude]="&amp;MID(SUBSTITUTE(F248," ",""),FIND(",",SUBSTITUTE(F248," ",""))+1,99),"🚕 Uber"),"")</f>
        <v/>
      </c>
      <c r="J248" s="8">
        <f>IF(F248&lt;&gt;"","https://api.qrserver.com/v1/create-qr-code/?size=200x200&amp;data="&amp;ENCODEURL("https://www.google.com/maps/search/?api=1&amp;query="&amp;SUBSTITUTE(F248," ","")),"")</f>
        <v/>
      </c>
      <c r="K248" s="8">
        <f>IF(C248&lt;&gt;"",HYPERLINK("https://wa.me/507"&amp;REGEXREPLACE(C248,"[^0-9]","")&amp;"?text="&amp;ENCODEURL("Ya llegue. Codigo: "&amp;A248&amp;". Ubicacion: "&amp;"https://www.google.com/maps/search/?api=1&amp;query="&amp;SUBSTITUTE(F248," ","")),"📲 Avisar al cliente"),"")</f>
        <v/>
      </c>
      <c r="L248" s="8">
        <f>IF(C248&lt;&gt;"","https://api.qrserver.com/v1/create-qr-code/?size=200x200&amp;data="&amp;ENCODEURL("https://wa.me/507"&amp;REGEXREPLACE(C248,"[^0-9]","")&amp;"?text="&amp;ENCODEURL("Ya llegue. Codigo: "&amp;A248&amp;". Ubicacion: "&amp;"https://www.google.com/maps/search/?api=1&amp;query="&amp;SUBSTITUTE(F248," ",""))),"")</f>
        <v/>
      </c>
      <c r="M248" s="8">
        <f>IF(B248&lt;&gt;"",TODAY(),"")</f>
        <v/>
      </c>
      <c r="N248" s="8">
        <f>IF(F248&lt;&gt;"",IFERROR(IF(AND(REGEXMATCH(SUBSTITUTE(TRIM(F248)," ",""),"^-?\d+(\.\d+)?,-?\d+(\.\d+)?$"),VALUE(REGEXEXTRACT(SUBSTITUTE(TRIM(F248)," ",""),"^-?\d+(\.\d+)?"))&gt;=-90,VALUE(REGEXEXTRACT(SUBSTITUTE(TRIM(F248)," ",""),"^-?\d+(\.\d+)?"))&lt;=90,VALUE(REGEXEXTRACT(SUBSTITUTE(TRIM(F248)," ",""),"-?\d+(\.\d+)?$"))&gt;=-180,VALUE(REGEXEXTRACT(SUBSTITUTE(TRIM(F248)," ",""),"-?\d+(\.\d+)?$"))&lt;=180),"OK","REVISAR"),"REVISAR"),"")</f>
        <v/>
      </c>
      <c r="O248">
        <f>IF(A248&lt;&gt;"","https://direcciones507.github.io/direcciones507/panel.html?codigo="&amp;A248&amp;"&amp;nombre="&amp;ENCODEURL(B248)&amp;"&amp;telefono="&amp;SUBSTITUTE(C248,"-","")&amp;"&amp;referencia="&amp;ENCODEURL(E248)&amp;"&amp;lat="&amp;IZQUIERDA(SUBSTITUTE(F248," ",""),ENCONTRAR(",",SUBSTITUTE(F248," ",""))-1)&amp;"&amp;lng="&amp;DERECHA(SUBSTITUTE(F248," ",""),LARGO(SUBSTITUTE(F248," ",""))-ENCONTRAR(",",SUBSTITUTE(F248," ",""))),"")</f>
        <v/>
      </c>
    </row>
    <row r="249" ht="15.75" customHeight="1" s="10">
      <c r="A249" s="8">
        <f>CONCAT("AD507-",TEXT(ROW()-2,"0000"))</f>
        <v/>
      </c>
      <c r="C249" s="8" t="n"/>
      <c r="F249" s="8" t="n"/>
      <c r="G249" s="8">
        <f>IF(F249&lt;&gt;"",HYPERLINK("https://www.google.com/maps/search/?api=1&amp;query="&amp;SUBSTITUTE(F249," ",""),"🗺 Google Maps"),"")</f>
        <v/>
      </c>
      <c r="H249" s="8">
        <f>IF(F249&lt;&gt;"",HYPERLINK("https://waze.com/ul?ll="&amp;SUBSTITUTE(F249," ","")&amp;"&amp;navigate=yes","🚗 Waze"),"")</f>
        <v/>
      </c>
      <c r="I249" s="8">
        <f>IF(F249&lt;&gt;"",HYPERLINK("https://m.uber.com/ul/?action=setPickup&amp;pickup=my_location&amp;dropoff[latitude]="&amp;LEFT(SUBSTITUTE(F249," ",""),FIND(",",SUBSTITUTE(F249," ",""))-1)&amp;"&amp;dropoff[longitude]="&amp;MID(SUBSTITUTE(F249," ",""),FIND(",",SUBSTITUTE(F249," ",""))+1,99),"🚕 Uber"),"")</f>
        <v/>
      </c>
      <c r="J249" s="8">
        <f>IF(F249&lt;&gt;"","https://api.qrserver.com/v1/create-qr-code/?size=200x200&amp;data="&amp;ENCODEURL("https://www.google.com/maps/search/?api=1&amp;query="&amp;SUBSTITUTE(F249," ","")),"")</f>
        <v/>
      </c>
      <c r="K249" s="8">
        <f>IF(C249&lt;&gt;"",HYPERLINK("https://wa.me/507"&amp;REGEXREPLACE(C249,"[^0-9]","")&amp;"?text="&amp;ENCODEURL("Ya llegue. Codigo: "&amp;A249&amp;". Ubicacion: "&amp;"https://www.google.com/maps/search/?api=1&amp;query="&amp;SUBSTITUTE(F249," ","")),"📲 Avisar al cliente"),"")</f>
        <v/>
      </c>
      <c r="L249" s="8">
        <f>IF(C249&lt;&gt;"","https://api.qrserver.com/v1/create-qr-code/?size=200x200&amp;data="&amp;ENCODEURL("https://wa.me/507"&amp;REGEXREPLACE(C249,"[^0-9]","")&amp;"?text="&amp;ENCODEURL("Ya llegue. Codigo: "&amp;A249&amp;". Ubicacion: "&amp;"https://www.google.com/maps/search/?api=1&amp;query="&amp;SUBSTITUTE(F249," ",""))),"")</f>
        <v/>
      </c>
      <c r="M249" s="8">
        <f>IF(B249&lt;&gt;"",TODAY(),"")</f>
        <v/>
      </c>
      <c r="N249" s="8">
        <f>IF(F249&lt;&gt;"",IFERROR(IF(AND(REGEXMATCH(SUBSTITUTE(TRIM(F249)," ",""),"^-?\d+(\.\d+)?,-?\d+(\.\d+)?$"),VALUE(REGEXEXTRACT(SUBSTITUTE(TRIM(F249)," ",""),"^-?\d+(\.\d+)?"))&gt;=-90,VALUE(REGEXEXTRACT(SUBSTITUTE(TRIM(F249)," ",""),"^-?\d+(\.\d+)?"))&lt;=90,VALUE(REGEXEXTRACT(SUBSTITUTE(TRIM(F249)," ",""),"-?\d+(\.\d+)?$"))&gt;=-180,VALUE(REGEXEXTRACT(SUBSTITUTE(TRIM(F249)," ",""),"-?\d+(\.\d+)?$"))&lt;=180),"OK","REVISAR"),"REVISAR"),"")</f>
        <v/>
      </c>
      <c r="O249">
        <f>IF(A249&lt;&gt;"","https://direcciones507.github.io/direcciones507/panel.html?codigo="&amp;A249&amp;"&amp;nombre="&amp;ENCODEURL(B249)&amp;"&amp;telefono="&amp;SUBSTITUTE(C249,"-","")&amp;"&amp;referencia="&amp;ENCODEURL(E249)&amp;"&amp;lat="&amp;IZQUIERDA(SUBSTITUTE(F249," ",""),ENCONTRAR(",",SUBSTITUTE(F249," ",""))-1)&amp;"&amp;lng="&amp;DERECHA(SUBSTITUTE(F249," ",""),LARGO(SUBSTITUTE(F249," ",""))-ENCONTRAR(",",SUBSTITUTE(F249," ",""))),"")</f>
        <v/>
      </c>
    </row>
    <row r="250" ht="15.75" customHeight="1" s="10">
      <c r="A250" s="8">
        <f>CONCAT("AD507-",TEXT(ROW()-2,"0000"))</f>
        <v/>
      </c>
      <c r="C250" s="8" t="n"/>
      <c r="F250" s="8" t="n"/>
      <c r="G250" s="8">
        <f>IF(F250&lt;&gt;"",HYPERLINK("https://www.google.com/maps/search/?api=1&amp;query="&amp;SUBSTITUTE(F250," ",""),"🗺 Google Maps"),"")</f>
        <v/>
      </c>
      <c r="H250" s="8">
        <f>IF(F250&lt;&gt;"",HYPERLINK("https://waze.com/ul?ll="&amp;SUBSTITUTE(F250," ","")&amp;"&amp;navigate=yes","🚗 Waze"),"")</f>
        <v/>
      </c>
      <c r="I250" s="8">
        <f>IF(F250&lt;&gt;"",HYPERLINK("https://m.uber.com/ul/?action=setPickup&amp;pickup=my_location&amp;dropoff[latitude]="&amp;LEFT(SUBSTITUTE(F250," ",""),FIND(",",SUBSTITUTE(F250," ",""))-1)&amp;"&amp;dropoff[longitude]="&amp;MID(SUBSTITUTE(F250," ",""),FIND(",",SUBSTITUTE(F250," ",""))+1,99),"🚕 Uber"),"")</f>
        <v/>
      </c>
      <c r="J250" s="8">
        <f>IF(F250&lt;&gt;"","https://api.qrserver.com/v1/create-qr-code/?size=200x200&amp;data="&amp;ENCODEURL("https://www.google.com/maps/search/?api=1&amp;query="&amp;SUBSTITUTE(F250," ","")),"")</f>
        <v/>
      </c>
      <c r="K250" s="8">
        <f>IF(C250&lt;&gt;"",HYPERLINK("https://wa.me/507"&amp;REGEXREPLACE(C250,"[^0-9]","")&amp;"?text="&amp;ENCODEURL("Ya llegue. Codigo: "&amp;A250&amp;". Ubicacion: "&amp;"https://www.google.com/maps/search/?api=1&amp;query="&amp;SUBSTITUTE(F250," ","")),"📲 Avisar al cliente"),"")</f>
        <v/>
      </c>
      <c r="L250" s="8">
        <f>IF(C250&lt;&gt;"","https://api.qrserver.com/v1/create-qr-code/?size=200x200&amp;data="&amp;ENCODEURL("https://wa.me/507"&amp;REGEXREPLACE(C250,"[^0-9]","")&amp;"?text="&amp;ENCODEURL("Ya llegue. Codigo: "&amp;A250&amp;". Ubicacion: "&amp;"https://www.google.com/maps/search/?api=1&amp;query="&amp;SUBSTITUTE(F250," ",""))),"")</f>
        <v/>
      </c>
      <c r="M250" s="8">
        <f>IF(B250&lt;&gt;"",TODAY(),"")</f>
        <v/>
      </c>
      <c r="N250" s="8">
        <f>IF(F250&lt;&gt;"",IFERROR(IF(AND(REGEXMATCH(SUBSTITUTE(TRIM(F250)," ",""),"^-?\d+(\.\d+)?,-?\d+(\.\d+)?$"),VALUE(REGEXEXTRACT(SUBSTITUTE(TRIM(F250)," ",""),"^-?\d+(\.\d+)?"))&gt;=-90,VALUE(REGEXEXTRACT(SUBSTITUTE(TRIM(F250)," ",""),"^-?\d+(\.\d+)?"))&lt;=90,VALUE(REGEXEXTRACT(SUBSTITUTE(TRIM(F250)," ",""),"-?\d+(\.\d+)?$"))&gt;=-180,VALUE(REGEXEXTRACT(SUBSTITUTE(TRIM(F250)," ",""),"-?\d+(\.\d+)?$"))&lt;=180),"OK","REVISAR"),"REVISAR"),"")</f>
        <v/>
      </c>
      <c r="O250">
        <f>IF(A250&lt;&gt;"","https://direcciones507.github.io/direcciones507/panel.html?codigo="&amp;A250&amp;"&amp;nombre="&amp;ENCODEURL(B250)&amp;"&amp;telefono="&amp;SUBSTITUTE(C250,"-","")&amp;"&amp;referencia="&amp;ENCODEURL(E250)&amp;"&amp;lat="&amp;IZQUIERDA(SUBSTITUTE(F250," ",""),ENCONTRAR(",",SUBSTITUTE(F250," ",""))-1)&amp;"&amp;lng="&amp;DERECHA(SUBSTITUTE(F250," ",""),LARGO(SUBSTITUTE(F250," ",""))-ENCONTRAR(",",SUBSTITUTE(F250," ",""))),"")</f>
        <v/>
      </c>
    </row>
    <row r="251" ht="15.75" customHeight="1" s="10">
      <c r="A251" s="8">
        <f>CONCAT("AD507-",TEXT(ROW()-2,"0000"))</f>
        <v/>
      </c>
      <c r="C251" s="8" t="n"/>
      <c r="F251" s="8" t="n"/>
      <c r="G251" s="8">
        <f>IF(F251&lt;&gt;"",HYPERLINK("https://www.google.com/maps/search/?api=1&amp;query="&amp;SUBSTITUTE(F251," ",""),"🗺 Google Maps"),"")</f>
        <v/>
      </c>
      <c r="H251" s="8">
        <f>IF(F251&lt;&gt;"",HYPERLINK("https://waze.com/ul?ll="&amp;SUBSTITUTE(F251," ","")&amp;"&amp;navigate=yes","🚗 Waze"),"")</f>
        <v/>
      </c>
      <c r="I251" s="8">
        <f>IF(F251&lt;&gt;"",HYPERLINK("https://m.uber.com/ul/?action=setPickup&amp;pickup=my_location&amp;dropoff[latitude]="&amp;LEFT(SUBSTITUTE(F251," ",""),FIND(",",SUBSTITUTE(F251," ",""))-1)&amp;"&amp;dropoff[longitude]="&amp;MID(SUBSTITUTE(F251," ",""),FIND(",",SUBSTITUTE(F251," ",""))+1,99),"🚕 Uber"),"")</f>
        <v/>
      </c>
      <c r="J251" s="8">
        <f>IF(F251&lt;&gt;"","https://api.qrserver.com/v1/create-qr-code/?size=200x200&amp;data="&amp;ENCODEURL("https://www.google.com/maps/search/?api=1&amp;query="&amp;SUBSTITUTE(F251," ","")),"")</f>
        <v/>
      </c>
      <c r="K251" s="8">
        <f>IF(C251&lt;&gt;"",HYPERLINK("https://wa.me/507"&amp;REGEXREPLACE(C251,"[^0-9]","")&amp;"?text="&amp;ENCODEURL("Ya llegue. Codigo: "&amp;A251&amp;". Ubicacion: "&amp;"https://www.google.com/maps/search/?api=1&amp;query="&amp;SUBSTITUTE(F251," ","")),"📲 Avisar al cliente"),"")</f>
        <v/>
      </c>
      <c r="L251" s="8">
        <f>IF(C251&lt;&gt;"","https://api.qrserver.com/v1/create-qr-code/?size=200x200&amp;data="&amp;ENCODEURL("https://wa.me/507"&amp;REGEXREPLACE(C251,"[^0-9]","")&amp;"?text="&amp;ENCODEURL("Ya llegue. Codigo: "&amp;A251&amp;". Ubicacion: "&amp;"https://www.google.com/maps/search/?api=1&amp;query="&amp;SUBSTITUTE(F251," ",""))),"")</f>
        <v/>
      </c>
      <c r="M251" s="8">
        <f>IF(B251&lt;&gt;"",TODAY(),"")</f>
        <v/>
      </c>
      <c r="N251" s="8">
        <f>IF(F251&lt;&gt;"",IFERROR(IF(AND(REGEXMATCH(SUBSTITUTE(TRIM(F251)," ",""),"^-?\d+(\.\d+)?,-?\d+(\.\d+)?$"),VALUE(REGEXEXTRACT(SUBSTITUTE(TRIM(F251)," ",""),"^-?\d+(\.\d+)?"))&gt;=-90,VALUE(REGEXEXTRACT(SUBSTITUTE(TRIM(F251)," ",""),"^-?\d+(\.\d+)?"))&lt;=90,VALUE(REGEXEXTRACT(SUBSTITUTE(TRIM(F251)," ",""),"-?\d+(\.\d+)?$"))&gt;=-180,VALUE(REGEXEXTRACT(SUBSTITUTE(TRIM(F251)," ",""),"-?\d+(\.\d+)?$"))&lt;=180),"OK","REVISAR"),"REVISAR"),"")</f>
        <v/>
      </c>
      <c r="O251">
        <f>IF(A251&lt;&gt;"","https://direcciones507.github.io/direcciones507/panel.html?codigo="&amp;A251&amp;"&amp;nombre="&amp;ENCODEURL(B251)&amp;"&amp;telefono="&amp;SUBSTITUTE(C251,"-","")&amp;"&amp;referencia="&amp;ENCODEURL(E251)&amp;"&amp;lat="&amp;IZQUIERDA(SUBSTITUTE(F251," ",""),ENCONTRAR(",",SUBSTITUTE(F251," ",""))-1)&amp;"&amp;lng="&amp;DERECHA(SUBSTITUTE(F251," ",""),LARGO(SUBSTITUTE(F251," ",""))-ENCONTRAR(",",SUBSTITUTE(F251," ",""))),"")</f>
        <v/>
      </c>
    </row>
    <row r="252" ht="15.75" customHeight="1" s="10">
      <c r="A252" s="8">
        <f>CONCAT("AD507-",TEXT(ROW()-2,"0000"))</f>
        <v/>
      </c>
      <c r="C252" s="8" t="n"/>
      <c r="F252" s="8" t="n"/>
      <c r="G252" s="8">
        <f>IF(F252&lt;&gt;"",HYPERLINK("https://www.google.com/maps/search/?api=1&amp;query="&amp;SUBSTITUTE(F252," ",""),"🗺 Google Maps"),"")</f>
        <v/>
      </c>
      <c r="H252" s="8">
        <f>IF(F252&lt;&gt;"",HYPERLINK("https://waze.com/ul?ll="&amp;SUBSTITUTE(F252," ","")&amp;"&amp;navigate=yes","🚗 Waze"),"")</f>
        <v/>
      </c>
      <c r="I252" s="8">
        <f>IF(F252&lt;&gt;"",HYPERLINK("https://m.uber.com/ul/?action=setPickup&amp;pickup=my_location&amp;dropoff[latitude]="&amp;LEFT(SUBSTITUTE(F252," ",""),FIND(",",SUBSTITUTE(F252," ",""))-1)&amp;"&amp;dropoff[longitude]="&amp;MID(SUBSTITUTE(F252," ",""),FIND(",",SUBSTITUTE(F252," ",""))+1,99),"🚕 Uber"),"")</f>
        <v/>
      </c>
      <c r="J252" s="8">
        <f>IF(F252&lt;&gt;"","https://api.qrserver.com/v1/create-qr-code/?size=200x200&amp;data="&amp;ENCODEURL("https://www.google.com/maps/search/?api=1&amp;query="&amp;SUBSTITUTE(F252," ","")),"")</f>
        <v/>
      </c>
      <c r="K252" s="8">
        <f>IF(C252&lt;&gt;"",HYPERLINK("https://wa.me/507"&amp;REGEXREPLACE(C252,"[^0-9]","")&amp;"?text="&amp;ENCODEURL("Ya llegue. Codigo: "&amp;A252&amp;". Ubicacion: "&amp;"https://www.google.com/maps/search/?api=1&amp;query="&amp;SUBSTITUTE(F252," ","")),"📲 Avisar al cliente"),"")</f>
        <v/>
      </c>
      <c r="L252" s="8">
        <f>IF(C252&lt;&gt;"","https://api.qrserver.com/v1/create-qr-code/?size=200x200&amp;data="&amp;ENCODEURL("https://wa.me/507"&amp;REGEXREPLACE(C252,"[^0-9]","")&amp;"?text="&amp;ENCODEURL("Ya llegue. Codigo: "&amp;A252&amp;". Ubicacion: "&amp;"https://www.google.com/maps/search/?api=1&amp;query="&amp;SUBSTITUTE(F252," ",""))),"")</f>
        <v/>
      </c>
      <c r="M252" s="8">
        <f>IF(B252&lt;&gt;"",TODAY(),"")</f>
        <v/>
      </c>
      <c r="N252" s="8">
        <f>IF(F252&lt;&gt;"",IFERROR(IF(AND(REGEXMATCH(SUBSTITUTE(TRIM(F252)," ",""),"^-?\d+(\.\d+)?,-?\d+(\.\d+)?$"),VALUE(REGEXEXTRACT(SUBSTITUTE(TRIM(F252)," ",""),"^-?\d+(\.\d+)?"))&gt;=-90,VALUE(REGEXEXTRACT(SUBSTITUTE(TRIM(F252)," ",""),"^-?\d+(\.\d+)?"))&lt;=90,VALUE(REGEXEXTRACT(SUBSTITUTE(TRIM(F252)," ",""),"-?\d+(\.\d+)?$"))&gt;=-180,VALUE(REGEXEXTRACT(SUBSTITUTE(TRIM(F252)," ",""),"-?\d+(\.\d+)?$"))&lt;=180),"OK","REVISAR"),"REVISAR"),"")</f>
        <v/>
      </c>
      <c r="O252">
        <f>IF(A252&lt;&gt;"","https://direcciones507.github.io/direcciones507/panel.html?codigo="&amp;A252&amp;"&amp;nombre="&amp;ENCODEURL(B252)&amp;"&amp;telefono="&amp;SUBSTITUTE(C252,"-","")&amp;"&amp;referencia="&amp;ENCODEURL(E252)&amp;"&amp;lat="&amp;IZQUIERDA(SUBSTITUTE(F252," ",""),ENCONTRAR(",",SUBSTITUTE(F252," ",""))-1)&amp;"&amp;lng="&amp;DERECHA(SUBSTITUTE(F252," ",""),LARGO(SUBSTITUTE(F252," ",""))-ENCONTRAR(",",SUBSTITUTE(F252," ",""))),"")</f>
        <v/>
      </c>
    </row>
    <row r="253" ht="15.75" customHeight="1" s="10">
      <c r="A253" s="8">
        <f>CONCAT("AD507-",TEXT(ROW()-2,"0000"))</f>
        <v/>
      </c>
      <c r="C253" s="8" t="n"/>
      <c r="F253" s="8" t="n"/>
      <c r="G253" s="8">
        <f>IF(F253&lt;&gt;"",HYPERLINK("https://www.google.com/maps/search/?api=1&amp;query="&amp;SUBSTITUTE(F253," ",""),"🗺 Google Maps"),"")</f>
        <v/>
      </c>
      <c r="H253" s="8">
        <f>IF(F253&lt;&gt;"",HYPERLINK("https://waze.com/ul?ll="&amp;SUBSTITUTE(F253," ","")&amp;"&amp;navigate=yes","🚗 Waze"),"")</f>
        <v/>
      </c>
      <c r="I253" s="8">
        <f>IF(F253&lt;&gt;"",HYPERLINK("https://m.uber.com/ul/?action=setPickup&amp;pickup=my_location&amp;dropoff[latitude]="&amp;LEFT(SUBSTITUTE(F253," ",""),FIND(",",SUBSTITUTE(F253," ",""))-1)&amp;"&amp;dropoff[longitude]="&amp;MID(SUBSTITUTE(F253," ",""),FIND(",",SUBSTITUTE(F253," ",""))+1,99),"🚕 Uber"),"")</f>
        <v/>
      </c>
      <c r="J253" s="8">
        <f>IF(F253&lt;&gt;"","https://api.qrserver.com/v1/create-qr-code/?size=200x200&amp;data="&amp;ENCODEURL("https://www.google.com/maps/search/?api=1&amp;query="&amp;SUBSTITUTE(F253," ","")),"")</f>
        <v/>
      </c>
      <c r="K253" s="8">
        <f>IF(C253&lt;&gt;"",HYPERLINK("https://wa.me/507"&amp;REGEXREPLACE(C253,"[^0-9]","")&amp;"?text="&amp;ENCODEURL("Ya llegue. Codigo: "&amp;A253&amp;". Ubicacion: "&amp;"https://www.google.com/maps/search/?api=1&amp;query="&amp;SUBSTITUTE(F253," ","")),"📲 Avisar al cliente"),"")</f>
        <v/>
      </c>
      <c r="L253" s="8">
        <f>IF(C253&lt;&gt;"","https://api.qrserver.com/v1/create-qr-code/?size=200x200&amp;data="&amp;ENCODEURL("https://wa.me/507"&amp;REGEXREPLACE(C253,"[^0-9]","")&amp;"?text="&amp;ENCODEURL("Ya llegue. Codigo: "&amp;A253&amp;". Ubicacion: "&amp;"https://www.google.com/maps/search/?api=1&amp;query="&amp;SUBSTITUTE(F253," ",""))),"")</f>
        <v/>
      </c>
      <c r="M253" s="8">
        <f>IF(B253&lt;&gt;"",TODAY(),"")</f>
        <v/>
      </c>
      <c r="N253" s="8">
        <f>IF(F253&lt;&gt;"",IFERROR(IF(AND(REGEXMATCH(SUBSTITUTE(TRIM(F253)," ",""),"^-?\d+(\.\d+)?,-?\d+(\.\d+)?$"),VALUE(REGEXEXTRACT(SUBSTITUTE(TRIM(F253)," ",""),"^-?\d+(\.\d+)?"))&gt;=-90,VALUE(REGEXEXTRACT(SUBSTITUTE(TRIM(F253)," ",""),"^-?\d+(\.\d+)?"))&lt;=90,VALUE(REGEXEXTRACT(SUBSTITUTE(TRIM(F253)," ",""),"-?\d+(\.\d+)?$"))&gt;=-180,VALUE(REGEXEXTRACT(SUBSTITUTE(TRIM(F253)," ",""),"-?\d+(\.\d+)?$"))&lt;=180),"OK","REVISAR"),"REVISAR"),"")</f>
        <v/>
      </c>
      <c r="O253">
        <f>IF(A253&lt;&gt;"","https://direcciones507.github.io/direcciones507/panel.html?codigo="&amp;A253&amp;"&amp;nombre="&amp;ENCODEURL(B253)&amp;"&amp;telefono="&amp;SUBSTITUTE(C253,"-","")&amp;"&amp;referencia="&amp;ENCODEURL(E253)&amp;"&amp;lat="&amp;IZQUIERDA(SUBSTITUTE(F253," ",""),ENCONTRAR(",",SUBSTITUTE(F253," ",""))-1)&amp;"&amp;lng="&amp;DERECHA(SUBSTITUTE(F253," ",""),LARGO(SUBSTITUTE(F253," ",""))-ENCONTRAR(",",SUBSTITUTE(F253," ",""))),"")</f>
        <v/>
      </c>
    </row>
    <row r="254" ht="15.75" customHeight="1" s="10">
      <c r="A254" s="8">
        <f>CONCAT("AD507-",TEXT(ROW()-2,"0000"))</f>
        <v/>
      </c>
      <c r="C254" s="8" t="n"/>
      <c r="F254" s="8" t="n"/>
      <c r="G254" s="8">
        <f>IF(F254&lt;&gt;"",HYPERLINK("https://www.google.com/maps/search/?api=1&amp;query="&amp;SUBSTITUTE(F254," ",""),"🗺 Google Maps"),"")</f>
        <v/>
      </c>
      <c r="H254" s="8">
        <f>IF(F254&lt;&gt;"",HYPERLINK("https://waze.com/ul?ll="&amp;SUBSTITUTE(F254," ","")&amp;"&amp;navigate=yes","🚗 Waze"),"")</f>
        <v/>
      </c>
      <c r="I254" s="8">
        <f>IF(F254&lt;&gt;"",HYPERLINK("https://m.uber.com/ul/?action=setPickup&amp;pickup=my_location&amp;dropoff[latitude]="&amp;LEFT(SUBSTITUTE(F254," ",""),FIND(",",SUBSTITUTE(F254," ",""))-1)&amp;"&amp;dropoff[longitude]="&amp;MID(SUBSTITUTE(F254," ",""),FIND(",",SUBSTITUTE(F254," ",""))+1,99),"🚕 Uber"),"")</f>
        <v/>
      </c>
      <c r="J254" s="8">
        <f>IF(F254&lt;&gt;"","https://api.qrserver.com/v1/create-qr-code/?size=200x200&amp;data="&amp;ENCODEURL("https://www.google.com/maps/search/?api=1&amp;query="&amp;SUBSTITUTE(F254," ","")),"")</f>
        <v/>
      </c>
      <c r="K254" s="8">
        <f>IF(C254&lt;&gt;"",HYPERLINK("https://wa.me/507"&amp;REGEXREPLACE(C254,"[^0-9]","")&amp;"?text="&amp;ENCODEURL("Ya llegue. Codigo: "&amp;A254&amp;". Ubicacion: "&amp;"https://www.google.com/maps/search/?api=1&amp;query="&amp;SUBSTITUTE(F254," ","")),"📲 Avisar al cliente"),"")</f>
        <v/>
      </c>
      <c r="L254" s="8">
        <f>IF(C254&lt;&gt;"","https://api.qrserver.com/v1/create-qr-code/?size=200x200&amp;data="&amp;ENCODEURL("https://wa.me/507"&amp;REGEXREPLACE(C254,"[^0-9]","")&amp;"?text="&amp;ENCODEURL("Ya llegue. Codigo: "&amp;A254&amp;". Ubicacion: "&amp;"https://www.google.com/maps/search/?api=1&amp;query="&amp;SUBSTITUTE(F254," ",""))),"")</f>
        <v/>
      </c>
      <c r="M254" s="8">
        <f>IF(B254&lt;&gt;"",TODAY(),"")</f>
        <v/>
      </c>
      <c r="N254" s="8">
        <f>IF(F254&lt;&gt;"",IFERROR(IF(AND(REGEXMATCH(SUBSTITUTE(TRIM(F254)," ",""),"^-?\d+(\.\d+)?,-?\d+(\.\d+)?$"),VALUE(REGEXEXTRACT(SUBSTITUTE(TRIM(F254)," ",""),"^-?\d+(\.\d+)?"))&gt;=-90,VALUE(REGEXEXTRACT(SUBSTITUTE(TRIM(F254)," ",""),"^-?\d+(\.\d+)?"))&lt;=90,VALUE(REGEXEXTRACT(SUBSTITUTE(TRIM(F254)," ",""),"-?\d+(\.\d+)?$"))&gt;=-180,VALUE(REGEXEXTRACT(SUBSTITUTE(TRIM(F254)," ",""),"-?\d+(\.\d+)?$"))&lt;=180),"OK","REVISAR"),"REVISAR"),"")</f>
        <v/>
      </c>
      <c r="O254">
        <f>IF(A254&lt;&gt;"","https://direcciones507.github.io/direcciones507/panel.html?codigo="&amp;A254&amp;"&amp;nombre="&amp;ENCODEURL(B254)&amp;"&amp;telefono="&amp;SUBSTITUTE(C254,"-","")&amp;"&amp;referencia="&amp;ENCODEURL(E254)&amp;"&amp;lat="&amp;IZQUIERDA(SUBSTITUTE(F254," ",""),ENCONTRAR(",",SUBSTITUTE(F254," ",""))-1)&amp;"&amp;lng="&amp;DERECHA(SUBSTITUTE(F254," ",""),LARGO(SUBSTITUTE(F254," ",""))-ENCONTRAR(",",SUBSTITUTE(F254," ",""))),"")</f>
        <v/>
      </c>
    </row>
    <row r="255" ht="15.75" customHeight="1" s="10">
      <c r="A255" s="8">
        <f>CONCAT("AD507-",TEXT(ROW()-2,"0000"))</f>
        <v/>
      </c>
      <c r="C255" s="8" t="n"/>
      <c r="F255" s="8" t="n"/>
      <c r="G255" s="8">
        <f>IF(F255&lt;&gt;"",HYPERLINK("https://www.google.com/maps/search/?api=1&amp;query="&amp;SUBSTITUTE(F255," ",""),"🗺 Google Maps"),"")</f>
        <v/>
      </c>
      <c r="H255" s="8">
        <f>IF(F255&lt;&gt;"",HYPERLINK("https://waze.com/ul?ll="&amp;SUBSTITUTE(F255," ","")&amp;"&amp;navigate=yes","🚗 Waze"),"")</f>
        <v/>
      </c>
      <c r="I255" s="8">
        <f>IF(F255&lt;&gt;"",HYPERLINK("https://m.uber.com/ul/?action=setPickup&amp;pickup=my_location&amp;dropoff[latitude]="&amp;LEFT(SUBSTITUTE(F255," ",""),FIND(",",SUBSTITUTE(F255," ",""))-1)&amp;"&amp;dropoff[longitude]="&amp;MID(SUBSTITUTE(F255," ",""),FIND(",",SUBSTITUTE(F255," ",""))+1,99),"🚕 Uber"),"")</f>
        <v/>
      </c>
      <c r="J255" s="8">
        <f>IF(F255&lt;&gt;"","https://api.qrserver.com/v1/create-qr-code/?size=200x200&amp;data="&amp;ENCODEURL("https://www.google.com/maps/search/?api=1&amp;query="&amp;SUBSTITUTE(F255," ","")),"")</f>
        <v/>
      </c>
      <c r="K255" s="8">
        <f>IF(C255&lt;&gt;"",HYPERLINK("https://wa.me/507"&amp;REGEXREPLACE(C255,"[^0-9]","")&amp;"?text="&amp;ENCODEURL("Ya llegue. Codigo: "&amp;A255&amp;". Ubicacion: "&amp;"https://www.google.com/maps/search/?api=1&amp;query="&amp;SUBSTITUTE(F255," ","")),"📲 Avisar al cliente"),"")</f>
        <v/>
      </c>
      <c r="L255" s="8">
        <f>IF(C255&lt;&gt;"","https://api.qrserver.com/v1/create-qr-code/?size=200x200&amp;data="&amp;ENCODEURL("https://wa.me/507"&amp;REGEXREPLACE(C255,"[^0-9]","")&amp;"?text="&amp;ENCODEURL("Ya llegue. Codigo: "&amp;A255&amp;". Ubicacion: "&amp;"https://www.google.com/maps/search/?api=1&amp;query="&amp;SUBSTITUTE(F255," ",""))),"")</f>
        <v/>
      </c>
      <c r="M255" s="8">
        <f>IF(B255&lt;&gt;"",TODAY(),"")</f>
        <v/>
      </c>
      <c r="N255" s="8">
        <f>IF(F255&lt;&gt;"",IFERROR(IF(AND(REGEXMATCH(SUBSTITUTE(TRIM(F255)," ",""),"^-?\d+(\.\d+)?,-?\d+(\.\d+)?$"),VALUE(REGEXEXTRACT(SUBSTITUTE(TRIM(F255)," ",""),"^-?\d+(\.\d+)?"))&gt;=-90,VALUE(REGEXEXTRACT(SUBSTITUTE(TRIM(F255)," ",""),"^-?\d+(\.\d+)?"))&lt;=90,VALUE(REGEXEXTRACT(SUBSTITUTE(TRIM(F255)," ",""),"-?\d+(\.\d+)?$"))&gt;=-180,VALUE(REGEXEXTRACT(SUBSTITUTE(TRIM(F255)," ",""),"-?\d+(\.\d+)?$"))&lt;=180),"OK","REVISAR"),"REVISAR"),"")</f>
        <v/>
      </c>
      <c r="O255">
        <f>IF(A255&lt;&gt;"","https://direcciones507.github.io/direcciones507/panel.html?codigo="&amp;A255&amp;"&amp;nombre="&amp;ENCODEURL(B255)&amp;"&amp;telefono="&amp;SUBSTITUTE(C255,"-","")&amp;"&amp;referencia="&amp;ENCODEURL(E255)&amp;"&amp;lat="&amp;IZQUIERDA(SUBSTITUTE(F255," ",""),ENCONTRAR(",",SUBSTITUTE(F255," ",""))-1)&amp;"&amp;lng="&amp;DERECHA(SUBSTITUTE(F255," ",""),LARGO(SUBSTITUTE(F255," ",""))-ENCONTRAR(",",SUBSTITUTE(F255," ",""))),"")</f>
        <v/>
      </c>
    </row>
    <row r="256" ht="15.75" customHeight="1" s="10">
      <c r="A256" s="8">
        <f>CONCAT("AD507-",TEXT(ROW()-2,"0000"))</f>
        <v/>
      </c>
      <c r="C256" s="8" t="n"/>
      <c r="F256" s="8" t="n"/>
      <c r="G256" s="8">
        <f>IF(F256&lt;&gt;"",HYPERLINK("https://www.google.com/maps/search/?api=1&amp;query="&amp;SUBSTITUTE(F256," ",""),"🗺 Google Maps"),"")</f>
        <v/>
      </c>
      <c r="H256" s="8">
        <f>IF(F256&lt;&gt;"",HYPERLINK("https://waze.com/ul?ll="&amp;SUBSTITUTE(F256," ","")&amp;"&amp;navigate=yes","🚗 Waze"),"")</f>
        <v/>
      </c>
      <c r="I256" s="8">
        <f>IF(F256&lt;&gt;"",HYPERLINK("https://m.uber.com/ul/?action=setPickup&amp;pickup=my_location&amp;dropoff[latitude]="&amp;LEFT(SUBSTITUTE(F256," ",""),FIND(",",SUBSTITUTE(F256," ",""))-1)&amp;"&amp;dropoff[longitude]="&amp;MID(SUBSTITUTE(F256," ",""),FIND(",",SUBSTITUTE(F256," ",""))+1,99),"🚕 Uber"),"")</f>
        <v/>
      </c>
      <c r="J256" s="8">
        <f>IF(F256&lt;&gt;"","https://api.qrserver.com/v1/create-qr-code/?size=200x200&amp;data="&amp;ENCODEURL("https://www.google.com/maps/search/?api=1&amp;query="&amp;SUBSTITUTE(F256," ","")),"")</f>
        <v/>
      </c>
      <c r="K256" s="8">
        <f>IF(C256&lt;&gt;"",HYPERLINK("https://wa.me/507"&amp;REGEXREPLACE(C256,"[^0-9]","")&amp;"?text="&amp;ENCODEURL("Ya llegue. Codigo: "&amp;A256&amp;". Ubicacion: "&amp;"https://www.google.com/maps/search/?api=1&amp;query="&amp;SUBSTITUTE(F256," ","")),"📲 Avisar al cliente"),"")</f>
        <v/>
      </c>
      <c r="L256" s="8">
        <f>IF(C256&lt;&gt;"","https://api.qrserver.com/v1/create-qr-code/?size=200x200&amp;data="&amp;ENCODEURL("https://wa.me/507"&amp;REGEXREPLACE(C256,"[^0-9]","")&amp;"?text="&amp;ENCODEURL("Ya llegue. Codigo: "&amp;A256&amp;". Ubicacion: "&amp;"https://www.google.com/maps/search/?api=1&amp;query="&amp;SUBSTITUTE(F256," ",""))),"")</f>
        <v/>
      </c>
      <c r="M256" s="8">
        <f>IF(B256&lt;&gt;"",TODAY(),"")</f>
        <v/>
      </c>
      <c r="N256" s="8">
        <f>IF(F256&lt;&gt;"",IFERROR(IF(AND(REGEXMATCH(SUBSTITUTE(TRIM(F256)," ",""),"^-?\d+(\.\d+)?,-?\d+(\.\d+)?$"),VALUE(REGEXEXTRACT(SUBSTITUTE(TRIM(F256)," ",""),"^-?\d+(\.\d+)?"))&gt;=-90,VALUE(REGEXEXTRACT(SUBSTITUTE(TRIM(F256)," ",""),"^-?\d+(\.\d+)?"))&lt;=90,VALUE(REGEXEXTRACT(SUBSTITUTE(TRIM(F256)," ",""),"-?\d+(\.\d+)?$"))&gt;=-180,VALUE(REGEXEXTRACT(SUBSTITUTE(TRIM(F256)," ",""),"-?\d+(\.\d+)?$"))&lt;=180),"OK","REVISAR"),"REVISAR"),"")</f>
        <v/>
      </c>
      <c r="O256">
        <f>IF(A256&lt;&gt;"","https://direcciones507.github.io/direcciones507/panel.html?codigo="&amp;A256&amp;"&amp;nombre="&amp;ENCODEURL(B256)&amp;"&amp;telefono="&amp;SUBSTITUTE(C256,"-","")&amp;"&amp;referencia="&amp;ENCODEURL(E256)&amp;"&amp;lat="&amp;IZQUIERDA(SUBSTITUTE(F256," ",""),ENCONTRAR(",",SUBSTITUTE(F256," ",""))-1)&amp;"&amp;lng="&amp;DERECHA(SUBSTITUTE(F256," ",""),LARGO(SUBSTITUTE(F256," ",""))-ENCONTRAR(",",SUBSTITUTE(F256," ",""))),"")</f>
        <v/>
      </c>
    </row>
    <row r="257" ht="15.75" customHeight="1" s="10">
      <c r="A257" s="8">
        <f>CONCAT("AD507-",TEXT(ROW()-2,"0000"))</f>
        <v/>
      </c>
      <c r="C257" s="8" t="n"/>
      <c r="F257" s="8" t="n"/>
      <c r="G257" s="8">
        <f>IF(F257&lt;&gt;"",HYPERLINK("https://www.google.com/maps/search/?api=1&amp;query="&amp;SUBSTITUTE(F257," ",""),"🗺 Google Maps"),"")</f>
        <v/>
      </c>
      <c r="H257" s="8">
        <f>IF(F257&lt;&gt;"",HYPERLINK("https://waze.com/ul?ll="&amp;SUBSTITUTE(F257," ","")&amp;"&amp;navigate=yes","🚗 Waze"),"")</f>
        <v/>
      </c>
      <c r="I257" s="8">
        <f>IF(F257&lt;&gt;"",HYPERLINK("https://m.uber.com/ul/?action=setPickup&amp;pickup=my_location&amp;dropoff[latitude]="&amp;LEFT(SUBSTITUTE(F257," ",""),FIND(",",SUBSTITUTE(F257," ",""))-1)&amp;"&amp;dropoff[longitude]="&amp;MID(SUBSTITUTE(F257," ",""),FIND(",",SUBSTITUTE(F257," ",""))+1,99),"🚕 Uber"),"")</f>
        <v/>
      </c>
      <c r="J257" s="8">
        <f>IF(F257&lt;&gt;"","https://api.qrserver.com/v1/create-qr-code/?size=200x200&amp;data="&amp;ENCODEURL("https://www.google.com/maps/search/?api=1&amp;query="&amp;SUBSTITUTE(F257," ","")),"")</f>
        <v/>
      </c>
      <c r="K257" s="8">
        <f>IF(C257&lt;&gt;"",HYPERLINK("https://wa.me/507"&amp;REGEXREPLACE(C257,"[^0-9]","")&amp;"?text="&amp;ENCODEURL("Ya llegue. Codigo: "&amp;A257&amp;". Ubicacion: "&amp;"https://www.google.com/maps/search/?api=1&amp;query="&amp;SUBSTITUTE(F257," ","")),"📲 Avisar al cliente"),"")</f>
        <v/>
      </c>
      <c r="L257" s="8">
        <f>IF(C257&lt;&gt;"","https://api.qrserver.com/v1/create-qr-code/?size=200x200&amp;data="&amp;ENCODEURL("https://wa.me/507"&amp;REGEXREPLACE(C257,"[^0-9]","")&amp;"?text="&amp;ENCODEURL("Ya llegue. Codigo: "&amp;A257&amp;". Ubicacion: "&amp;"https://www.google.com/maps/search/?api=1&amp;query="&amp;SUBSTITUTE(F257," ",""))),"")</f>
        <v/>
      </c>
      <c r="M257" s="8">
        <f>IF(B257&lt;&gt;"",TODAY(),"")</f>
        <v/>
      </c>
      <c r="N257" s="8">
        <f>IF(F257&lt;&gt;"",IFERROR(IF(AND(REGEXMATCH(SUBSTITUTE(TRIM(F257)," ",""),"^-?\d+(\.\d+)?,-?\d+(\.\d+)?$"),VALUE(REGEXEXTRACT(SUBSTITUTE(TRIM(F257)," ",""),"^-?\d+(\.\d+)?"))&gt;=-90,VALUE(REGEXEXTRACT(SUBSTITUTE(TRIM(F257)," ",""),"^-?\d+(\.\d+)?"))&lt;=90,VALUE(REGEXEXTRACT(SUBSTITUTE(TRIM(F257)," ",""),"-?\d+(\.\d+)?$"))&gt;=-180,VALUE(REGEXEXTRACT(SUBSTITUTE(TRIM(F257)," ",""),"-?\d+(\.\d+)?$"))&lt;=180),"OK","REVISAR"),"REVISAR"),"")</f>
        <v/>
      </c>
      <c r="O257">
        <f>IF(A257&lt;&gt;"","https://direcciones507.github.io/direcciones507/panel.html?codigo="&amp;A257&amp;"&amp;nombre="&amp;ENCODEURL(B257)&amp;"&amp;telefono="&amp;SUBSTITUTE(C257,"-","")&amp;"&amp;referencia="&amp;ENCODEURL(E257)&amp;"&amp;lat="&amp;IZQUIERDA(SUBSTITUTE(F257," ",""),ENCONTRAR(",",SUBSTITUTE(F257," ",""))-1)&amp;"&amp;lng="&amp;DERECHA(SUBSTITUTE(F257," ",""),LARGO(SUBSTITUTE(F257," ",""))-ENCONTRAR(",",SUBSTITUTE(F257," ",""))),"")</f>
        <v/>
      </c>
    </row>
    <row r="258" ht="15.75" customHeight="1" s="10">
      <c r="A258" s="8">
        <f>CONCAT("AD507-",TEXT(ROW()-2,"0000"))</f>
        <v/>
      </c>
      <c r="C258" s="8" t="n"/>
      <c r="F258" s="8" t="n"/>
      <c r="G258" s="8">
        <f>IF(F258&lt;&gt;"",HYPERLINK("https://www.google.com/maps/search/?api=1&amp;query="&amp;SUBSTITUTE(F258," ",""),"🗺 Google Maps"),"")</f>
        <v/>
      </c>
      <c r="H258" s="8">
        <f>IF(F258&lt;&gt;"",HYPERLINK("https://waze.com/ul?ll="&amp;SUBSTITUTE(F258," ","")&amp;"&amp;navigate=yes","🚗 Waze"),"")</f>
        <v/>
      </c>
      <c r="I258" s="8">
        <f>IF(F258&lt;&gt;"",HYPERLINK("https://m.uber.com/ul/?action=setPickup&amp;pickup=my_location&amp;dropoff[latitude]="&amp;LEFT(SUBSTITUTE(F258," ",""),FIND(",",SUBSTITUTE(F258," ",""))-1)&amp;"&amp;dropoff[longitude]="&amp;MID(SUBSTITUTE(F258," ",""),FIND(",",SUBSTITUTE(F258," ",""))+1,99),"🚕 Uber"),"")</f>
        <v/>
      </c>
      <c r="J258" s="8">
        <f>IF(F258&lt;&gt;"","https://api.qrserver.com/v1/create-qr-code/?size=200x200&amp;data="&amp;ENCODEURL("https://www.google.com/maps/search/?api=1&amp;query="&amp;SUBSTITUTE(F258," ","")),"")</f>
        <v/>
      </c>
      <c r="K258" s="8">
        <f>IF(C258&lt;&gt;"",HYPERLINK("https://wa.me/507"&amp;REGEXREPLACE(C258,"[^0-9]","")&amp;"?text="&amp;ENCODEURL("Ya llegue. Codigo: "&amp;A258&amp;". Ubicacion: "&amp;"https://www.google.com/maps/search/?api=1&amp;query="&amp;SUBSTITUTE(F258," ","")),"📲 Avisar al cliente"),"")</f>
        <v/>
      </c>
      <c r="L258" s="8">
        <f>IF(C258&lt;&gt;"","https://api.qrserver.com/v1/create-qr-code/?size=200x200&amp;data="&amp;ENCODEURL("https://wa.me/507"&amp;REGEXREPLACE(C258,"[^0-9]","")&amp;"?text="&amp;ENCODEURL("Ya llegue. Codigo: "&amp;A258&amp;". Ubicacion: "&amp;"https://www.google.com/maps/search/?api=1&amp;query="&amp;SUBSTITUTE(F258," ",""))),"")</f>
        <v/>
      </c>
      <c r="M258" s="8">
        <f>IF(B258&lt;&gt;"",TODAY(),"")</f>
        <v/>
      </c>
      <c r="N258" s="8">
        <f>IF(F258&lt;&gt;"",IFERROR(IF(AND(REGEXMATCH(SUBSTITUTE(TRIM(F258)," ",""),"^-?\d+(\.\d+)?,-?\d+(\.\d+)?$"),VALUE(REGEXEXTRACT(SUBSTITUTE(TRIM(F258)," ",""),"^-?\d+(\.\d+)?"))&gt;=-90,VALUE(REGEXEXTRACT(SUBSTITUTE(TRIM(F258)," ",""),"^-?\d+(\.\d+)?"))&lt;=90,VALUE(REGEXEXTRACT(SUBSTITUTE(TRIM(F258)," ",""),"-?\d+(\.\d+)?$"))&gt;=-180,VALUE(REGEXEXTRACT(SUBSTITUTE(TRIM(F258)," ",""),"-?\d+(\.\d+)?$"))&lt;=180),"OK","REVISAR"),"REVISAR"),"")</f>
        <v/>
      </c>
      <c r="O258">
        <f>IF(A258&lt;&gt;"","https://direcciones507.github.io/direcciones507/panel.html?codigo="&amp;A258&amp;"&amp;nombre="&amp;ENCODEURL(B258)&amp;"&amp;telefono="&amp;SUBSTITUTE(C258,"-","")&amp;"&amp;referencia="&amp;ENCODEURL(E258)&amp;"&amp;lat="&amp;IZQUIERDA(SUBSTITUTE(F258," ",""),ENCONTRAR(",",SUBSTITUTE(F258," ",""))-1)&amp;"&amp;lng="&amp;DERECHA(SUBSTITUTE(F258," ",""),LARGO(SUBSTITUTE(F258," ",""))-ENCONTRAR(",",SUBSTITUTE(F258," ",""))),"")</f>
        <v/>
      </c>
    </row>
    <row r="259" ht="15.75" customHeight="1" s="10">
      <c r="A259" s="8">
        <f>CONCAT("AD507-",TEXT(ROW()-2,"0000"))</f>
        <v/>
      </c>
      <c r="C259" s="8" t="n"/>
      <c r="F259" s="8" t="n"/>
      <c r="G259" s="8">
        <f>IF(F259&lt;&gt;"",HYPERLINK("https://www.google.com/maps/search/?api=1&amp;query="&amp;SUBSTITUTE(F259," ",""),"🗺 Google Maps"),"")</f>
        <v/>
      </c>
      <c r="H259" s="8">
        <f>IF(F259&lt;&gt;"",HYPERLINK("https://waze.com/ul?ll="&amp;SUBSTITUTE(F259," ","")&amp;"&amp;navigate=yes","🚗 Waze"),"")</f>
        <v/>
      </c>
      <c r="I259" s="8">
        <f>IF(F259&lt;&gt;"",HYPERLINK("https://m.uber.com/ul/?action=setPickup&amp;pickup=my_location&amp;dropoff[latitude]="&amp;LEFT(SUBSTITUTE(F259," ",""),FIND(",",SUBSTITUTE(F259," ",""))-1)&amp;"&amp;dropoff[longitude]="&amp;MID(SUBSTITUTE(F259," ",""),FIND(",",SUBSTITUTE(F259," ",""))+1,99),"🚕 Uber"),"")</f>
        <v/>
      </c>
      <c r="J259" s="8">
        <f>IF(F259&lt;&gt;"","https://api.qrserver.com/v1/create-qr-code/?size=200x200&amp;data="&amp;ENCODEURL("https://www.google.com/maps/search/?api=1&amp;query="&amp;SUBSTITUTE(F259," ","")),"")</f>
        <v/>
      </c>
      <c r="K259" s="8">
        <f>IF(C259&lt;&gt;"",HYPERLINK("https://wa.me/507"&amp;REGEXREPLACE(C259,"[^0-9]","")&amp;"?text="&amp;ENCODEURL("Ya llegue. Codigo: "&amp;A259&amp;". Ubicacion: "&amp;"https://www.google.com/maps/search/?api=1&amp;query="&amp;SUBSTITUTE(F259," ","")),"📲 Avisar al cliente"),"")</f>
        <v/>
      </c>
      <c r="L259" s="8">
        <f>IF(C259&lt;&gt;"","https://api.qrserver.com/v1/create-qr-code/?size=200x200&amp;data="&amp;ENCODEURL("https://wa.me/507"&amp;REGEXREPLACE(C259,"[^0-9]","")&amp;"?text="&amp;ENCODEURL("Ya llegue. Codigo: "&amp;A259&amp;". Ubicacion: "&amp;"https://www.google.com/maps/search/?api=1&amp;query="&amp;SUBSTITUTE(F259," ",""))),"")</f>
        <v/>
      </c>
      <c r="M259" s="8">
        <f>IF(B259&lt;&gt;"",TODAY(),"")</f>
        <v/>
      </c>
      <c r="N259" s="8">
        <f>IF(F259&lt;&gt;"",IFERROR(IF(AND(REGEXMATCH(SUBSTITUTE(TRIM(F259)," ",""),"^-?\d+(\.\d+)?,-?\d+(\.\d+)?$"),VALUE(REGEXEXTRACT(SUBSTITUTE(TRIM(F259)," ",""),"^-?\d+(\.\d+)?"))&gt;=-90,VALUE(REGEXEXTRACT(SUBSTITUTE(TRIM(F259)," ",""),"^-?\d+(\.\d+)?"))&lt;=90,VALUE(REGEXEXTRACT(SUBSTITUTE(TRIM(F259)," ",""),"-?\d+(\.\d+)?$"))&gt;=-180,VALUE(REGEXEXTRACT(SUBSTITUTE(TRIM(F259)," ",""),"-?\d+(\.\d+)?$"))&lt;=180),"OK","REVISAR"),"REVISAR"),"")</f>
        <v/>
      </c>
      <c r="O259">
        <f>IF(A259&lt;&gt;"","https://direcciones507.github.io/direcciones507/panel.html?codigo="&amp;A259&amp;"&amp;nombre="&amp;ENCODEURL(B259)&amp;"&amp;telefono="&amp;SUBSTITUTE(C259,"-","")&amp;"&amp;referencia="&amp;ENCODEURL(E259)&amp;"&amp;lat="&amp;IZQUIERDA(SUBSTITUTE(F259," ",""),ENCONTRAR(",",SUBSTITUTE(F259," ",""))-1)&amp;"&amp;lng="&amp;DERECHA(SUBSTITUTE(F259," ",""),LARGO(SUBSTITUTE(F259," ",""))-ENCONTRAR(",",SUBSTITUTE(F259," ",""))),"")</f>
        <v/>
      </c>
    </row>
    <row r="260" ht="15.75" customHeight="1" s="10">
      <c r="A260" s="8">
        <f>CONCAT("AD507-",TEXT(ROW()-2,"0000"))</f>
        <v/>
      </c>
      <c r="C260" s="8" t="n"/>
      <c r="F260" s="8" t="n"/>
      <c r="G260" s="8">
        <f>IF(F260&lt;&gt;"",HYPERLINK("https://www.google.com/maps/search/?api=1&amp;query="&amp;SUBSTITUTE(F260," ",""),"🗺 Google Maps"),"")</f>
        <v/>
      </c>
      <c r="H260" s="8">
        <f>IF(F260&lt;&gt;"",HYPERLINK("https://waze.com/ul?ll="&amp;SUBSTITUTE(F260," ","")&amp;"&amp;navigate=yes","🚗 Waze"),"")</f>
        <v/>
      </c>
      <c r="I260" s="8">
        <f>IF(F260&lt;&gt;"",HYPERLINK("https://m.uber.com/ul/?action=setPickup&amp;pickup=my_location&amp;dropoff[latitude]="&amp;LEFT(SUBSTITUTE(F260," ",""),FIND(",",SUBSTITUTE(F260," ",""))-1)&amp;"&amp;dropoff[longitude]="&amp;MID(SUBSTITUTE(F260," ",""),FIND(",",SUBSTITUTE(F260," ",""))+1,99),"🚕 Uber"),"")</f>
        <v/>
      </c>
      <c r="J260" s="8">
        <f>IF(F260&lt;&gt;"","https://api.qrserver.com/v1/create-qr-code/?size=200x200&amp;data="&amp;ENCODEURL("https://www.google.com/maps/search/?api=1&amp;query="&amp;SUBSTITUTE(F260," ","")),"")</f>
        <v/>
      </c>
      <c r="K260" s="8">
        <f>IF(C260&lt;&gt;"",HYPERLINK("https://wa.me/507"&amp;REGEXREPLACE(C260,"[^0-9]","")&amp;"?text="&amp;ENCODEURL("Ya llegue. Codigo: "&amp;A260&amp;". Ubicacion: "&amp;"https://www.google.com/maps/search/?api=1&amp;query="&amp;SUBSTITUTE(F260," ","")),"📲 Avisar al cliente"),"")</f>
        <v/>
      </c>
      <c r="L260" s="8">
        <f>IF(C260&lt;&gt;"","https://api.qrserver.com/v1/create-qr-code/?size=200x200&amp;data="&amp;ENCODEURL("https://wa.me/507"&amp;REGEXREPLACE(C260,"[^0-9]","")&amp;"?text="&amp;ENCODEURL("Ya llegue. Codigo: "&amp;A260&amp;". Ubicacion: "&amp;"https://www.google.com/maps/search/?api=1&amp;query="&amp;SUBSTITUTE(F260," ",""))),"")</f>
        <v/>
      </c>
      <c r="M260" s="8">
        <f>IF(B260&lt;&gt;"",TODAY(),"")</f>
        <v/>
      </c>
      <c r="N260" s="8">
        <f>IF(F260&lt;&gt;"",IFERROR(IF(AND(REGEXMATCH(SUBSTITUTE(TRIM(F260)," ",""),"^-?\d+(\.\d+)?,-?\d+(\.\d+)?$"),VALUE(REGEXEXTRACT(SUBSTITUTE(TRIM(F260)," ",""),"^-?\d+(\.\d+)?"))&gt;=-90,VALUE(REGEXEXTRACT(SUBSTITUTE(TRIM(F260)," ",""),"^-?\d+(\.\d+)?"))&lt;=90,VALUE(REGEXEXTRACT(SUBSTITUTE(TRIM(F260)," ",""),"-?\d+(\.\d+)?$"))&gt;=-180,VALUE(REGEXEXTRACT(SUBSTITUTE(TRIM(F260)," ",""),"-?\d+(\.\d+)?$"))&lt;=180),"OK","REVISAR"),"REVISAR"),"")</f>
        <v/>
      </c>
      <c r="O260">
        <f>IF(A260&lt;&gt;"","https://direcciones507.github.io/direcciones507/panel.html?codigo="&amp;A260&amp;"&amp;nombre="&amp;ENCODEURL(B260)&amp;"&amp;telefono="&amp;SUBSTITUTE(C260,"-","")&amp;"&amp;referencia="&amp;ENCODEURL(E260)&amp;"&amp;lat="&amp;IZQUIERDA(SUBSTITUTE(F260," ",""),ENCONTRAR(",",SUBSTITUTE(F260," ",""))-1)&amp;"&amp;lng="&amp;DERECHA(SUBSTITUTE(F260," ",""),LARGO(SUBSTITUTE(F260," ",""))-ENCONTRAR(",",SUBSTITUTE(F260," ",""))),"")</f>
        <v/>
      </c>
    </row>
    <row r="261" ht="15.75" customHeight="1" s="10">
      <c r="A261" s="8">
        <f>CONCAT("AD507-",TEXT(ROW()-2,"0000"))</f>
        <v/>
      </c>
      <c r="C261" s="8" t="n"/>
      <c r="F261" s="8" t="n"/>
      <c r="G261" s="8">
        <f>IF(F261&lt;&gt;"",HYPERLINK("https://www.google.com/maps/search/?api=1&amp;query="&amp;SUBSTITUTE(F261," ",""),"🗺 Google Maps"),"")</f>
        <v/>
      </c>
      <c r="H261" s="8">
        <f>IF(F261&lt;&gt;"",HYPERLINK("https://waze.com/ul?ll="&amp;SUBSTITUTE(F261," ","")&amp;"&amp;navigate=yes","🚗 Waze"),"")</f>
        <v/>
      </c>
      <c r="I261" s="8">
        <f>IF(F261&lt;&gt;"",HYPERLINK("https://m.uber.com/ul/?action=setPickup&amp;pickup=my_location&amp;dropoff[latitude]="&amp;LEFT(SUBSTITUTE(F261," ",""),FIND(",",SUBSTITUTE(F261," ",""))-1)&amp;"&amp;dropoff[longitude]="&amp;MID(SUBSTITUTE(F261," ",""),FIND(",",SUBSTITUTE(F261," ",""))+1,99),"🚕 Uber"),"")</f>
        <v/>
      </c>
      <c r="J261" s="8">
        <f>IF(F261&lt;&gt;"","https://api.qrserver.com/v1/create-qr-code/?size=200x200&amp;data="&amp;ENCODEURL("https://www.google.com/maps/search/?api=1&amp;query="&amp;SUBSTITUTE(F261," ","")),"")</f>
        <v/>
      </c>
      <c r="K261" s="8">
        <f>IF(C261&lt;&gt;"",HYPERLINK("https://wa.me/507"&amp;REGEXREPLACE(C261,"[^0-9]","")&amp;"?text="&amp;ENCODEURL("Ya llegue. Codigo: "&amp;A261&amp;". Ubicacion: "&amp;"https://www.google.com/maps/search/?api=1&amp;query="&amp;SUBSTITUTE(F261," ","")),"📲 Avisar al cliente"),"")</f>
        <v/>
      </c>
      <c r="L261" s="8">
        <f>IF(C261&lt;&gt;"","https://api.qrserver.com/v1/create-qr-code/?size=200x200&amp;data="&amp;ENCODEURL("https://wa.me/507"&amp;REGEXREPLACE(C261,"[^0-9]","")&amp;"?text="&amp;ENCODEURL("Ya llegue. Codigo: "&amp;A261&amp;". Ubicacion: "&amp;"https://www.google.com/maps/search/?api=1&amp;query="&amp;SUBSTITUTE(F261," ",""))),"")</f>
        <v/>
      </c>
      <c r="M261" s="8">
        <f>IF(B261&lt;&gt;"",TODAY(),"")</f>
        <v/>
      </c>
      <c r="N261" s="8">
        <f>IF(F261&lt;&gt;"",IFERROR(IF(AND(REGEXMATCH(SUBSTITUTE(TRIM(F261)," ",""),"^-?\d+(\.\d+)?,-?\d+(\.\d+)?$"),VALUE(REGEXEXTRACT(SUBSTITUTE(TRIM(F261)," ",""),"^-?\d+(\.\d+)?"))&gt;=-90,VALUE(REGEXEXTRACT(SUBSTITUTE(TRIM(F261)," ",""),"^-?\d+(\.\d+)?"))&lt;=90,VALUE(REGEXEXTRACT(SUBSTITUTE(TRIM(F261)," ",""),"-?\d+(\.\d+)?$"))&gt;=-180,VALUE(REGEXEXTRACT(SUBSTITUTE(TRIM(F261)," ",""),"-?\d+(\.\d+)?$"))&lt;=180),"OK","REVISAR"),"REVISAR"),"")</f>
        <v/>
      </c>
      <c r="O261">
        <f>IF(A261&lt;&gt;"","https://direcciones507.github.io/direcciones507/panel.html?codigo="&amp;A261&amp;"&amp;nombre="&amp;ENCODEURL(B261)&amp;"&amp;telefono="&amp;SUBSTITUTE(C261,"-","")&amp;"&amp;referencia="&amp;ENCODEURL(E261)&amp;"&amp;lat="&amp;IZQUIERDA(SUBSTITUTE(F261," ",""),ENCONTRAR(",",SUBSTITUTE(F261," ",""))-1)&amp;"&amp;lng="&amp;DERECHA(SUBSTITUTE(F261," ",""),LARGO(SUBSTITUTE(F261," ",""))-ENCONTRAR(",",SUBSTITUTE(F261," ",""))),"")</f>
        <v/>
      </c>
    </row>
    <row r="262" ht="15.75" customHeight="1" s="10">
      <c r="A262" s="8">
        <f>CONCAT("AD507-",TEXT(ROW()-2,"0000"))</f>
        <v/>
      </c>
      <c r="C262" s="8" t="n"/>
      <c r="F262" s="8" t="n"/>
      <c r="G262" s="8">
        <f>IF(F262&lt;&gt;"",HYPERLINK("https://www.google.com/maps/search/?api=1&amp;query="&amp;SUBSTITUTE(F262," ",""),"🗺 Google Maps"),"")</f>
        <v/>
      </c>
      <c r="H262" s="8">
        <f>IF(F262&lt;&gt;"",HYPERLINK("https://waze.com/ul?ll="&amp;SUBSTITUTE(F262," ","")&amp;"&amp;navigate=yes","🚗 Waze"),"")</f>
        <v/>
      </c>
      <c r="I262" s="8">
        <f>IF(F262&lt;&gt;"",HYPERLINK("https://m.uber.com/ul/?action=setPickup&amp;pickup=my_location&amp;dropoff[latitude]="&amp;LEFT(SUBSTITUTE(F262," ",""),FIND(",",SUBSTITUTE(F262," ",""))-1)&amp;"&amp;dropoff[longitude]="&amp;MID(SUBSTITUTE(F262," ",""),FIND(",",SUBSTITUTE(F262," ",""))+1,99),"🚕 Uber"),"")</f>
        <v/>
      </c>
      <c r="J262" s="8">
        <f>IF(F262&lt;&gt;"","https://api.qrserver.com/v1/create-qr-code/?size=200x200&amp;data="&amp;ENCODEURL("https://www.google.com/maps/search/?api=1&amp;query="&amp;SUBSTITUTE(F262," ","")),"")</f>
        <v/>
      </c>
      <c r="K262" s="8">
        <f>IF(C262&lt;&gt;"",HYPERLINK("https://wa.me/507"&amp;REGEXREPLACE(C262,"[^0-9]","")&amp;"?text="&amp;ENCODEURL("Ya llegue. Codigo: "&amp;A262&amp;". Ubicacion: "&amp;"https://www.google.com/maps/search/?api=1&amp;query="&amp;SUBSTITUTE(F262," ","")),"📲 Avisar al cliente"),"")</f>
        <v/>
      </c>
      <c r="L262" s="8">
        <f>IF(C262&lt;&gt;"","https://api.qrserver.com/v1/create-qr-code/?size=200x200&amp;data="&amp;ENCODEURL("https://wa.me/507"&amp;REGEXREPLACE(C262,"[^0-9]","")&amp;"?text="&amp;ENCODEURL("Ya llegue. Codigo: "&amp;A262&amp;". Ubicacion: "&amp;"https://www.google.com/maps/search/?api=1&amp;query="&amp;SUBSTITUTE(F262," ",""))),"")</f>
        <v/>
      </c>
      <c r="M262" s="8">
        <f>IF(B262&lt;&gt;"",TODAY(),"")</f>
        <v/>
      </c>
      <c r="N262" s="8">
        <f>IF(F262&lt;&gt;"",IFERROR(IF(AND(REGEXMATCH(SUBSTITUTE(TRIM(F262)," ",""),"^-?\d+(\.\d+)?,-?\d+(\.\d+)?$"),VALUE(REGEXEXTRACT(SUBSTITUTE(TRIM(F262)," ",""),"^-?\d+(\.\d+)?"))&gt;=-90,VALUE(REGEXEXTRACT(SUBSTITUTE(TRIM(F262)," ",""),"^-?\d+(\.\d+)?"))&lt;=90,VALUE(REGEXEXTRACT(SUBSTITUTE(TRIM(F262)," ",""),"-?\d+(\.\d+)?$"))&gt;=-180,VALUE(REGEXEXTRACT(SUBSTITUTE(TRIM(F262)," ",""),"-?\d+(\.\d+)?$"))&lt;=180),"OK","REVISAR"),"REVISAR"),"")</f>
        <v/>
      </c>
      <c r="O262">
        <f>IF(A262&lt;&gt;"","https://direcciones507.github.io/direcciones507/panel.html?codigo="&amp;A262&amp;"&amp;nombre="&amp;ENCODEURL(B262)&amp;"&amp;telefono="&amp;SUBSTITUTE(C262,"-","")&amp;"&amp;referencia="&amp;ENCODEURL(E262)&amp;"&amp;lat="&amp;IZQUIERDA(SUBSTITUTE(F262," ",""),ENCONTRAR(",",SUBSTITUTE(F262," ",""))-1)&amp;"&amp;lng="&amp;DERECHA(SUBSTITUTE(F262," ",""),LARGO(SUBSTITUTE(F262," ",""))-ENCONTRAR(",",SUBSTITUTE(F262," ",""))),"")</f>
        <v/>
      </c>
    </row>
    <row r="263" ht="15.75" customHeight="1" s="10">
      <c r="A263" s="8">
        <f>CONCAT("AD507-",TEXT(ROW()-2,"0000"))</f>
        <v/>
      </c>
      <c r="C263" s="8" t="n"/>
      <c r="F263" s="8" t="n"/>
      <c r="G263" s="8">
        <f>IF(F263&lt;&gt;"",HYPERLINK("https://www.google.com/maps/search/?api=1&amp;query="&amp;SUBSTITUTE(F263," ",""),"🗺 Google Maps"),"")</f>
        <v/>
      </c>
      <c r="H263" s="8">
        <f>IF(F263&lt;&gt;"",HYPERLINK("https://waze.com/ul?ll="&amp;SUBSTITUTE(F263," ","")&amp;"&amp;navigate=yes","🚗 Waze"),"")</f>
        <v/>
      </c>
      <c r="I263" s="8">
        <f>IF(F263&lt;&gt;"",HYPERLINK("https://m.uber.com/ul/?action=setPickup&amp;pickup=my_location&amp;dropoff[latitude]="&amp;LEFT(SUBSTITUTE(F263," ",""),FIND(",",SUBSTITUTE(F263," ",""))-1)&amp;"&amp;dropoff[longitude]="&amp;MID(SUBSTITUTE(F263," ",""),FIND(",",SUBSTITUTE(F263," ",""))+1,99),"🚕 Uber"),"")</f>
        <v/>
      </c>
      <c r="J263" s="8">
        <f>IF(F263&lt;&gt;"","https://api.qrserver.com/v1/create-qr-code/?size=200x200&amp;data="&amp;ENCODEURL("https://www.google.com/maps/search/?api=1&amp;query="&amp;SUBSTITUTE(F263," ","")),"")</f>
        <v/>
      </c>
      <c r="K263" s="8">
        <f>IF(C263&lt;&gt;"",HYPERLINK("https://wa.me/507"&amp;REGEXREPLACE(C263,"[^0-9]","")&amp;"?text="&amp;ENCODEURL("Ya llegue. Codigo: "&amp;A263&amp;". Ubicacion: "&amp;"https://www.google.com/maps/search/?api=1&amp;query="&amp;SUBSTITUTE(F263," ","")),"📲 Avisar al cliente"),"")</f>
        <v/>
      </c>
      <c r="L263" s="8">
        <f>IF(C263&lt;&gt;"","https://api.qrserver.com/v1/create-qr-code/?size=200x200&amp;data="&amp;ENCODEURL("https://wa.me/507"&amp;REGEXREPLACE(C263,"[^0-9]","")&amp;"?text="&amp;ENCODEURL("Ya llegue. Codigo: "&amp;A263&amp;". Ubicacion: "&amp;"https://www.google.com/maps/search/?api=1&amp;query="&amp;SUBSTITUTE(F263," ",""))),"")</f>
        <v/>
      </c>
      <c r="M263" s="8">
        <f>IF(B263&lt;&gt;"",TODAY(),"")</f>
        <v/>
      </c>
      <c r="N263" s="8">
        <f>IF(F263&lt;&gt;"",IFERROR(IF(AND(REGEXMATCH(SUBSTITUTE(TRIM(F263)," ",""),"^-?\d+(\.\d+)?,-?\d+(\.\d+)?$"),VALUE(REGEXEXTRACT(SUBSTITUTE(TRIM(F263)," ",""),"^-?\d+(\.\d+)?"))&gt;=-90,VALUE(REGEXEXTRACT(SUBSTITUTE(TRIM(F263)," ",""),"^-?\d+(\.\d+)?"))&lt;=90,VALUE(REGEXEXTRACT(SUBSTITUTE(TRIM(F263)," ",""),"-?\d+(\.\d+)?$"))&gt;=-180,VALUE(REGEXEXTRACT(SUBSTITUTE(TRIM(F263)," ",""),"-?\d+(\.\d+)?$"))&lt;=180),"OK","REVISAR"),"REVISAR"),"")</f>
        <v/>
      </c>
      <c r="O263">
        <f>IF(A263&lt;&gt;"","https://direcciones507.github.io/direcciones507/panel.html?codigo="&amp;A263&amp;"&amp;nombre="&amp;ENCODEURL(B263)&amp;"&amp;telefono="&amp;SUBSTITUTE(C263,"-","")&amp;"&amp;referencia="&amp;ENCODEURL(E263)&amp;"&amp;lat="&amp;IZQUIERDA(SUBSTITUTE(F263," ",""),ENCONTRAR(",",SUBSTITUTE(F263," ",""))-1)&amp;"&amp;lng="&amp;DERECHA(SUBSTITUTE(F263," ",""),LARGO(SUBSTITUTE(F263," ",""))-ENCONTRAR(",",SUBSTITUTE(F263," ",""))),"")</f>
        <v/>
      </c>
    </row>
    <row r="264" ht="15.75" customHeight="1" s="10">
      <c r="A264" s="8">
        <f>CONCAT("AD507-",TEXT(ROW()-2,"0000"))</f>
        <v/>
      </c>
      <c r="C264" s="8" t="n"/>
      <c r="F264" s="8" t="n"/>
      <c r="G264" s="8">
        <f>IF(F264&lt;&gt;"",HYPERLINK("https://www.google.com/maps/search/?api=1&amp;query="&amp;SUBSTITUTE(F264," ",""),"🗺 Google Maps"),"")</f>
        <v/>
      </c>
      <c r="H264" s="8">
        <f>IF(F264&lt;&gt;"",HYPERLINK("https://waze.com/ul?ll="&amp;SUBSTITUTE(F264," ","")&amp;"&amp;navigate=yes","🚗 Waze"),"")</f>
        <v/>
      </c>
      <c r="I264" s="8">
        <f>IF(F264&lt;&gt;"",HYPERLINK("https://m.uber.com/ul/?action=setPickup&amp;pickup=my_location&amp;dropoff[latitude]="&amp;LEFT(SUBSTITUTE(F264," ",""),FIND(",",SUBSTITUTE(F264," ",""))-1)&amp;"&amp;dropoff[longitude]="&amp;MID(SUBSTITUTE(F264," ",""),FIND(",",SUBSTITUTE(F264," ",""))+1,99),"🚕 Uber"),"")</f>
        <v/>
      </c>
      <c r="J264" s="8">
        <f>IF(F264&lt;&gt;"","https://api.qrserver.com/v1/create-qr-code/?size=200x200&amp;data="&amp;ENCODEURL("https://www.google.com/maps/search/?api=1&amp;query="&amp;SUBSTITUTE(F264," ","")),"")</f>
        <v/>
      </c>
      <c r="K264" s="8">
        <f>IF(C264&lt;&gt;"",HYPERLINK("https://wa.me/507"&amp;REGEXREPLACE(C264,"[^0-9]","")&amp;"?text="&amp;ENCODEURL("Ya llegue. Codigo: "&amp;A264&amp;". Ubicacion: "&amp;"https://www.google.com/maps/search/?api=1&amp;query="&amp;SUBSTITUTE(F264," ","")),"📲 Avisar al cliente"),"")</f>
        <v/>
      </c>
      <c r="L264" s="8">
        <f>IF(C264&lt;&gt;"","https://api.qrserver.com/v1/create-qr-code/?size=200x200&amp;data="&amp;ENCODEURL("https://wa.me/507"&amp;REGEXREPLACE(C264,"[^0-9]","")&amp;"?text="&amp;ENCODEURL("Ya llegue. Codigo: "&amp;A264&amp;". Ubicacion: "&amp;"https://www.google.com/maps/search/?api=1&amp;query="&amp;SUBSTITUTE(F264," ",""))),"")</f>
        <v/>
      </c>
      <c r="M264" s="8">
        <f>IF(B264&lt;&gt;"",TODAY(),"")</f>
        <v/>
      </c>
      <c r="N264" s="8">
        <f>IF(F264&lt;&gt;"",IFERROR(IF(AND(REGEXMATCH(SUBSTITUTE(TRIM(F264)," ",""),"^-?\d+(\.\d+)?,-?\d+(\.\d+)?$"),VALUE(REGEXEXTRACT(SUBSTITUTE(TRIM(F264)," ",""),"^-?\d+(\.\d+)?"))&gt;=-90,VALUE(REGEXEXTRACT(SUBSTITUTE(TRIM(F264)," ",""),"^-?\d+(\.\d+)?"))&lt;=90,VALUE(REGEXEXTRACT(SUBSTITUTE(TRIM(F264)," ",""),"-?\d+(\.\d+)?$"))&gt;=-180,VALUE(REGEXEXTRACT(SUBSTITUTE(TRIM(F264)," ",""),"-?\d+(\.\d+)?$"))&lt;=180),"OK","REVISAR"),"REVISAR"),"")</f>
        <v/>
      </c>
      <c r="O264">
        <f>IF(A264&lt;&gt;"","https://direcciones507.github.io/direcciones507/panel.html?codigo="&amp;A264&amp;"&amp;nombre="&amp;ENCODEURL(B264)&amp;"&amp;telefono="&amp;SUBSTITUTE(C264,"-","")&amp;"&amp;referencia="&amp;ENCODEURL(E264)&amp;"&amp;lat="&amp;IZQUIERDA(SUBSTITUTE(F264," ",""),ENCONTRAR(",",SUBSTITUTE(F264," ",""))-1)&amp;"&amp;lng="&amp;DERECHA(SUBSTITUTE(F264," ",""),LARGO(SUBSTITUTE(F264," ",""))-ENCONTRAR(",",SUBSTITUTE(F264," ",""))),"")</f>
        <v/>
      </c>
    </row>
    <row r="265" ht="15.75" customHeight="1" s="10">
      <c r="A265" s="8">
        <f>CONCAT("AD507-",TEXT(ROW()-2,"0000"))</f>
        <v/>
      </c>
      <c r="C265" s="8" t="n"/>
      <c r="F265" s="8" t="n"/>
      <c r="G265" s="8">
        <f>IF(F265&lt;&gt;"",HYPERLINK("https://www.google.com/maps/search/?api=1&amp;query="&amp;SUBSTITUTE(F265," ",""),"🗺 Google Maps"),"")</f>
        <v/>
      </c>
      <c r="H265" s="8">
        <f>IF(F265&lt;&gt;"",HYPERLINK("https://waze.com/ul?ll="&amp;SUBSTITUTE(F265," ","")&amp;"&amp;navigate=yes","🚗 Waze"),"")</f>
        <v/>
      </c>
      <c r="I265" s="8">
        <f>IF(F265&lt;&gt;"",HYPERLINK("https://m.uber.com/ul/?action=setPickup&amp;pickup=my_location&amp;dropoff[latitude]="&amp;LEFT(SUBSTITUTE(F265," ",""),FIND(",",SUBSTITUTE(F265," ",""))-1)&amp;"&amp;dropoff[longitude]="&amp;MID(SUBSTITUTE(F265," ",""),FIND(",",SUBSTITUTE(F265," ",""))+1,99),"🚕 Uber"),"")</f>
        <v/>
      </c>
      <c r="J265" s="8">
        <f>IF(F265&lt;&gt;"","https://api.qrserver.com/v1/create-qr-code/?size=200x200&amp;data="&amp;ENCODEURL("https://www.google.com/maps/search/?api=1&amp;query="&amp;SUBSTITUTE(F265," ","")),"")</f>
        <v/>
      </c>
      <c r="K265" s="8">
        <f>IF(C265&lt;&gt;"",HYPERLINK("https://wa.me/507"&amp;REGEXREPLACE(C265,"[^0-9]","")&amp;"?text="&amp;ENCODEURL("Ya llegue. Codigo: "&amp;A265&amp;". Ubicacion: "&amp;"https://www.google.com/maps/search/?api=1&amp;query="&amp;SUBSTITUTE(F265," ","")),"📲 Avisar al cliente"),"")</f>
        <v/>
      </c>
      <c r="L265" s="8">
        <f>IF(C265&lt;&gt;"","https://api.qrserver.com/v1/create-qr-code/?size=200x200&amp;data="&amp;ENCODEURL("https://wa.me/507"&amp;REGEXREPLACE(C265,"[^0-9]","")&amp;"?text="&amp;ENCODEURL("Ya llegue. Codigo: "&amp;A265&amp;". Ubicacion: "&amp;"https://www.google.com/maps/search/?api=1&amp;query="&amp;SUBSTITUTE(F265," ",""))),"")</f>
        <v/>
      </c>
      <c r="M265" s="8">
        <f>IF(B265&lt;&gt;"",TODAY(),"")</f>
        <v/>
      </c>
      <c r="N265" s="8">
        <f>IF(F265&lt;&gt;"",IFERROR(IF(AND(REGEXMATCH(SUBSTITUTE(TRIM(F265)," ",""),"^-?\d+(\.\d+)?,-?\d+(\.\d+)?$"),VALUE(REGEXEXTRACT(SUBSTITUTE(TRIM(F265)," ",""),"^-?\d+(\.\d+)?"))&gt;=-90,VALUE(REGEXEXTRACT(SUBSTITUTE(TRIM(F265)," ",""),"^-?\d+(\.\d+)?"))&lt;=90,VALUE(REGEXEXTRACT(SUBSTITUTE(TRIM(F265)," ",""),"-?\d+(\.\d+)?$"))&gt;=-180,VALUE(REGEXEXTRACT(SUBSTITUTE(TRIM(F265)," ",""),"-?\d+(\.\d+)?$"))&lt;=180),"OK","REVISAR"),"REVISAR"),"")</f>
        <v/>
      </c>
      <c r="O265">
        <f>IF(A265&lt;&gt;"","https://direcciones507.github.io/direcciones507/panel.html?codigo="&amp;A265&amp;"&amp;nombre="&amp;ENCODEURL(B265)&amp;"&amp;telefono="&amp;SUBSTITUTE(C265,"-","")&amp;"&amp;referencia="&amp;ENCODEURL(E265)&amp;"&amp;lat="&amp;IZQUIERDA(SUBSTITUTE(F265," ",""),ENCONTRAR(",",SUBSTITUTE(F265," ",""))-1)&amp;"&amp;lng="&amp;DERECHA(SUBSTITUTE(F265," ",""),LARGO(SUBSTITUTE(F265," ",""))-ENCONTRAR(",",SUBSTITUTE(F265," ",""))),"")</f>
        <v/>
      </c>
    </row>
    <row r="266" ht="15.75" customHeight="1" s="10">
      <c r="A266" s="8">
        <f>CONCAT("AD507-",TEXT(ROW()-2,"0000"))</f>
        <v/>
      </c>
      <c r="C266" s="8" t="n"/>
      <c r="F266" s="8" t="n"/>
      <c r="G266" s="8">
        <f>IF(F266&lt;&gt;"",HYPERLINK("https://www.google.com/maps/search/?api=1&amp;query="&amp;SUBSTITUTE(F266," ",""),"🗺 Google Maps"),"")</f>
        <v/>
      </c>
      <c r="H266" s="8">
        <f>IF(F266&lt;&gt;"",HYPERLINK("https://waze.com/ul?ll="&amp;SUBSTITUTE(F266," ","")&amp;"&amp;navigate=yes","🚗 Waze"),"")</f>
        <v/>
      </c>
      <c r="I266" s="8">
        <f>IF(F266&lt;&gt;"",HYPERLINK("https://m.uber.com/ul/?action=setPickup&amp;pickup=my_location&amp;dropoff[latitude]="&amp;LEFT(SUBSTITUTE(F266," ",""),FIND(",",SUBSTITUTE(F266," ",""))-1)&amp;"&amp;dropoff[longitude]="&amp;MID(SUBSTITUTE(F266," ",""),FIND(",",SUBSTITUTE(F266," ",""))+1,99),"🚕 Uber"),"")</f>
        <v/>
      </c>
      <c r="J266" s="8">
        <f>IF(F266&lt;&gt;"","https://api.qrserver.com/v1/create-qr-code/?size=200x200&amp;data="&amp;ENCODEURL("https://www.google.com/maps/search/?api=1&amp;query="&amp;SUBSTITUTE(F266," ","")),"")</f>
        <v/>
      </c>
      <c r="K266" s="8">
        <f>IF(C266&lt;&gt;"",HYPERLINK("https://wa.me/507"&amp;REGEXREPLACE(C266,"[^0-9]","")&amp;"?text="&amp;ENCODEURL("Ya llegue. Codigo: "&amp;A266&amp;". Ubicacion: "&amp;"https://www.google.com/maps/search/?api=1&amp;query="&amp;SUBSTITUTE(F266," ","")),"📲 Avisar al cliente"),"")</f>
        <v/>
      </c>
      <c r="L266" s="8">
        <f>IF(C266&lt;&gt;"","https://api.qrserver.com/v1/create-qr-code/?size=200x200&amp;data="&amp;ENCODEURL("https://wa.me/507"&amp;REGEXREPLACE(C266,"[^0-9]","")&amp;"?text="&amp;ENCODEURL("Ya llegue. Codigo: "&amp;A266&amp;". Ubicacion: "&amp;"https://www.google.com/maps/search/?api=1&amp;query="&amp;SUBSTITUTE(F266," ",""))),"")</f>
        <v/>
      </c>
      <c r="M266" s="8">
        <f>IF(B266&lt;&gt;"",TODAY(),"")</f>
        <v/>
      </c>
      <c r="N266" s="8">
        <f>IF(F266&lt;&gt;"",IFERROR(IF(AND(REGEXMATCH(SUBSTITUTE(TRIM(F266)," ",""),"^-?\d+(\.\d+)?,-?\d+(\.\d+)?$"),VALUE(REGEXEXTRACT(SUBSTITUTE(TRIM(F266)," ",""),"^-?\d+(\.\d+)?"))&gt;=-90,VALUE(REGEXEXTRACT(SUBSTITUTE(TRIM(F266)," ",""),"^-?\d+(\.\d+)?"))&lt;=90,VALUE(REGEXEXTRACT(SUBSTITUTE(TRIM(F266)," ",""),"-?\d+(\.\d+)?$"))&gt;=-180,VALUE(REGEXEXTRACT(SUBSTITUTE(TRIM(F266)," ",""),"-?\d+(\.\d+)?$"))&lt;=180),"OK","REVISAR"),"REVISAR"),"")</f>
        <v/>
      </c>
      <c r="O266">
        <f>IF(A266&lt;&gt;"","https://direcciones507.github.io/direcciones507/panel.html?codigo="&amp;A266&amp;"&amp;nombre="&amp;ENCODEURL(B266)&amp;"&amp;telefono="&amp;SUBSTITUTE(C266,"-","")&amp;"&amp;referencia="&amp;ENCODEURL(E266)&amp;"&amp;lat="&amp;IZQUIERDA(SUBSTITUTE(F266," ",""),ENCONTRAR(",",SUBSTITUTE(F266," ",""))-1)&amp;"&amp;lng="&amp;DERECHA(SUBSTITUTE(F266," ",""),LARGO(SUBSTITUTE(F266," ",""))-ENCONTRAR(",",SUBSTITUTE(F266," ",""))),"")</f>
        <v/>
      </c>
    </row>
    <row r="267" ht="15.75" customHeight="1" s="10">
      <c r="A267" s="8">
        <f>CONCAT("AD507-",TEXT(ROW()-2,"0000"))</f>
        <v/>
      </c>
      <c r="C267" s="8" t="n"/>
      <c r="F267" s="8" t="n"/>
      <c r="G267" s="8">
        <f>IF(F267&lt;&gt;"",HYPERLINK("https://www.google.com/maps/search/?api=1&amp;query="&amp;SUBSTITUTE(F267," ",""),"🗺 Google Maps"),"")</f>
        <v/>
      </c>
      <c r="H267" s="8">
        <f>IF(F267&lt;&gt;"",HYPERLINK("https://waze.com/ul?ll="&amp;SUBSTITUTE(F267," ","")&amp;"&amp;navigate=yes","🚗 Waze"),"")</f>
        <v/>
      </c>
      <c r="I267" s="8">
        <f>IF(F267&lt;&gt;"",HYPERLINK("https://m.uber.com/ul/?action=setPickup&amp;pickup=my_location&amp;dropoff[latitude]="&amp;LEFT(SUBSTITUTE(F267," ",""),FIND(",",SUBSTITUTE(F267," ",""))-1)&amp;"&amp;dropoff[longitude]="&amp;MID(SUBSTITUTE(F267," ",""),FIND(",",SUBSTITUTE(F267," ",""))+1,99),"🚕 Uber"),"")</f>
        <v/>
      </c>
      <c r="J267" s="8">
        <f>IF(F267&lt;&gt;"","https://api.qrserver.com/v1/create-qr-code/?size=200x200&amp;data="&amp;ENCODEURL("https://www.google.com/maps/search/?api=1&amp;query="&amp;SUBSTITUTE(F267," ","")),"")</f>
        <v/>
      </c>
      <c r="K267" s="8">
        <f>IF(C267&lt;&gt;"",HYPERLINK("https://wa.me/507"&amp;REGEXREPLACE(C267,"[^0-9]","")&amp;"?text="&amp;ENCODEURL("Ya llegue. Codigo: "&amp;A267&amp;". Ubicacion: "&amp;"https://www.google.com/maps/search/?api=1&amp;query="&amp;SUBSTITUTE(F267," ","")),"📲 Avisar al cliente"),"")</f>
        <v/>
      </c>
      <c r="L267" s="8">
        <f>IF(C267&lt;&gt;"","https://api.qrserver.com/v1/create-qr-code/?size=200x200&amp;data="&amp;ENCODEURL("https://wa.me/507"&amp;REGEXREPLACE(C267,"[^0-9]","")&amp;"?text="&amp;ENCODEURL("Ya llegue. Codigo: "&amp;A267&amp;". Ubicacion: "&amp;"https://www.google.com/maps/search/?api=1&amp;query="&amp;SUBSTITUTE(F267," ",""))),"")</f>
        <v/>
      </c>
      <c r="M267" s="8">
        <f>IF(B267&lt;&gt;"",TODAY(),"")</f>
        <v/>
      </c>
      <c r="N267" s="8">
        <f>IF(F267&lt;&gt;"",IFERROR(IF(AND(REGEXMATCH(SUBSTITUTE(TRIM(F267)," ",""),"^-?\d+(\.\d+)?,-?\d+(\.\d+)?$"),VALUE(REGEXEXTRACT(SUBSTITUTE(TRIM(F267)," ",""),"^-?\d+(\.\d+)?"))&gt;=-90,VALUE(REGEXEXTRACT(SUBSTITUTE(TRIM(F267)," ",""),"^-?\d+(\.\d+)?"))&lt;=90,VALUE(REGEXEXTRACT(SUBSTITUTE(TRIM(F267)," ",""),"-?\d+(\.\d+)?$"))&gt;=-180,VALUE(REGEXEXTRACT(SUBSTITUTE(TRIM(F267)," ",""),"-?\d+(\.\d+)?$"))&lt;=180),"OK","REVISAR"),"REVISAR"),"")</f>
        <v/>
      </c>
      <c r="O267">
        <f>IF(A267&lt;&gt;"","https://direcciones507.github.io/direcciones507/panel.html?codigo="&amp;A267&amp;"&amp;nombre="&amp;ENCODEURL(B267)&amp;"&amp;telefono="&amp;SUBSTITUTE(C267,"-","")&amp;"&amp;referencia="&amp;ENCODEURL(E267)&amp;"&amp;lat="&amp;IZQUIERDA(SUBSTITUTE(F267," ",""),ENCONTRAR(",",SUBSTITUTE(F267," ",""))-1)&amp;"&amp;lng="&amp;DERECHA(SUBSTITUTE(F267," ",""),LARGO(SUBSTITUTE(F267," ",""))-ENCONTRAR(",",SUBSTITUTE(F267," ",""))),"")</f>
        <v/>
      </c>
    </row>
    <row r="268" ht="15.75" customHeight="1" s="10">
      <c r="A268" s="8">
        <f>CONCAT("AD507-",TEXT(ROW()-2,"0000"))</f>
        <v/>
      </c>
      <c r="C268" s="8" t="n"/>
      <c r="F268" s="8" t="n"/>
      <c r="G268" s="8">
        <f>IF(F268&lt;&gt;"",HYPERLINK("https://www.google.com/maps/search/?api=1&amp;query="&amp;SUBSTITUTE(F268," ",""),"🗺 Google Maps"),"")</f>
        <v/>
      </c>
      <c r="H268" s="8">
        <f>IF(F268&lt;&gt;"",HYPERLINK("https://waze.com/ul?ll="&amp;SUBSTITUTE(F268," ","")&amp;"&amp;navigate=yes","🚗 Waze"),"")</f>
        <v/>
      </c>
      <c r="I268" s="8">
        <f>IF(F268&lt;&gt;"",HYPERLINK("https://m.uber.com/ul/?action=setPickup&amp;pickup=my_location&amp;dropoff[latitude]="&amp;LEFT(SUBSTITUTE(F268," ",""),FIND(",",SUBSTITUTE(F268," ",""))-1)&amp;"&amp;dropoff[longitude]="&amp;MID(SUBSTITUTE(F268," ",""),FIND(",",SUBSTITUTE(F268," ",""))+1,99),"🚕 Uber"),"")</f>
        <v/>
      </c>
      <c r="J268" s="8">
        <f>IF(F268&lt;&gt;"","https://api.qrserver.com/v1/create-qr-code/?size=200x200&amp;data="&amp;ENCODEURL("https://www.google.com/maps/search/?api=1&amp;query="&amp;SUBSTITUTE(F268," ","")),"")</f>
        <v/>
      </c>
      <c r="K268" s="8">
        <f>IF(C268&lt;&gt;"",HYPERLINK("https://wa.me/507"&amp;REGEXREPLACE(C268,"[^0-9]","")&amp;"?text="&amp;ENCODEURL("Ya llegue. Codigo: "&amp;A268&amp;". Ubicacion: "&amp;"https://www.google.com/maps/search/?api=1&amp;query="&amp;SUBSTITUTE(F268," ","")),"📲 Avisar al cliente"),"")</f>
        <v/>
      </c>
      <c r="L268" s="8">
        <f>IF(C268&lt;&gt;"","https://api.qrserver.com/v1/create-qr-code/?size=200x200&amp;data="&amp;ENCODEURL("https://wa.me/507"&amp;REGEXREPLACE(C268,"[^0-9]","")&amp;"?text="&amp;ENCODEURL("Ya llegue. Codigo: "&amp;A268&amp;". Ubicacion: "&amp;"https://www.google.com/maps/search/?api=1&amp;query="&amp;SUBSTITUTE(F268," ",""))),"")</f>
        <v/>
      </c>
      <c r="M268" s="8">
        <f>IF(B268&lt;&gt;"",TODAY(),"")</f>
        <v/>
      </c>
      <c r="N268" s="8">
        <f>IF(F268&lt;&gt;"",IFERROR(IF(AND(REGEXMATCH(SUBSTITUTE(TRIM(F268)," ",""),"^-?\d+(\.\d+)?,-?\d+(\.\d+)?$"),VALUE(REGEXEXTRACT(SUBSTITUTE(TRIM(F268)," ",""),"^-?\d+(\.\d+)?"))&gt;=-90,VALUE(REGEXEXTRACT(SUBSTITUTE(TRIM(F268)," ",""),"^-?\d+(\.\d+)?"))&lt;=90,VALUE(REGEXEXTRACT(SUBSTITUTE(TRIM(F268)," ",""),"-?\d+(\.\d+)?$"))&gt;=-180,VALUE(REGEXEXTRACT(SUBSTITUTE(TRIM(F268)," ",""),"-?\d+(\.\d+)?$"))&lt;=180),"OK","REVISAR"),"REVISAR"),"")</f>
        <v/>
      </c>
      <c r="O268">
        <f>IF(A268&lt;&gt;"","https://direcciones507.github.io/direcciones507/panel.html?codigo="&amp;A268&amp;"&amp;nombre="&amp;ENCODEURL(B268)&amp;"&amp;telefono="&amp;SUBSTITUTE(C268,"-","")&amp;"&amp;referencia="&amp;ENCODEURL(E268)&amp;"&amp;lat="&amp;IZQUIERDA(SUBSTITUTE(F268," ",""),ENCONTRAR(",",SUBSTITUTE(F268," ",""))-1)&amp;"&amp;lng="&amp;DERECHA(SUBSTITUTE(F268," ",""),LARGO(SUBSTITUTE(F268," ",""))-ENCONTRAR(",",SUBSTITUTE(F268," ",""))),"")</f>
        <v/>
      </c>
    </row>
    <row r="269" ht="15.75" customHeight="1" s="10">
      <c r="A269" s="8">
        <f>CONCAT("AD507-",TEXT(ROW()-2,"0000"))</f>
        <v/>
      </c>
      <c r="C269" s="8" t="n"/>
      <c r="F269" s="8" t="n"/>
      <c r="G269" s="8">
        <f>IF(F269&lt;&gt;"",HYPERLINK("https://www.google.com/maps/search/?api=1&amp;query="&amp;SUBSTITUTE(F269," ",""),"🗺 Google Maps"),"")</f>
        <v/>
      </c>
      <c r="H269" s="8">
        <f>IF(F269&lt;&gt;"",HYPERLINK("https://waze.com/ul?ll="&amp;SUBSTITUTE(F269," ","")&amp;"&amp;navigate=yes","🚗 Waze"),"")</f>
        <v/>
      </c>
      <c r="I269" s="8">
        <f>IF(F269&lt;&gt;"",HYPERLINK("https://m.uber.com/ul/?action=setPickup&amp;pickup=my_location&amp;dropoff[latitude]="&amp;LEFT(SUBSTITUTE(F269," ",""),FIND(",",SUBSTITUTE(F269," ",""))-1)&amp;"&amp;dropoff[longitude]="&amp;MID(SUBSTITUTE(F269," ",""),FIND(",",SUBSTITUTE(F269," ",""))+1,99),"🚕 Uber"),"")</f>
        <v/>
      </c>
      <c r="J269" s="8">
        <f>IF(F269&lt;&gt;"","https://api.qrserver.com/v1/create-qr-code/?size=200x200&amp;data="&amp;ENCODEURL("https://www.google.com/maps/search/?api=1&amp;query="&amp;SUBSTITUTE(F269," ","")),"")</f>
        <v/>
      </c>
      <c r="K269" s="8">
        <f>IF(C269&lt;&gt;"",HYPERLINK("https://wa.me/507"&amp;REGEXREPLACE(C269,"[^0-9]","")&amp;"?text="&amp;ENCODEURL("Ya llegue. Codigo: "&amp;A269&amp;". Ubicacion: "&amp;"https://www.google.com/maps/search/?api=1&amp;query="&amp;SUBSTITUTE(F269," ","")),"📲 Avisar al cliente"),"")</f>
        <v/>
      </c>
      <c r="L269" s="8">
        <f>IF(C269&lt;&gt;"","https://api.qrserver.com/v1/create-qr-code/?size=200x200&amp;data="&amp;ENCODEURL("https://wa.me/507"&amp;REGEXREPLACE(C269,"[^0-9]","")&amp;"?text="&amp;ENCODEURL("Ya llegue. Codigo: "&amp;A269&amp;". Ubicacion: "&amp;"https://www.google.com/maps/search/?api=1&amp;query="&amp;SUBSTITUTE(F269," ",""))),"")</f>
        <v/>
      </c>
      <c r="M269" s="8">
        <f>IF(B269&lt;&gt;"",TODAY(),"")</f>
        <v/>
      </c>
      <c r="N269" s="8">
        <f>IF(F269&lt;&gt;"",IFERROR(IF(AND(REGEXMATCH(SUBSTITUTE(TRIM(F269)," ",""),"^-?\d+(\.\d+)?,-?\d+(\.\d+)?$"),VALUE(REGEXEXTRACT(SUBSTITUTE(TRIM(F269)," ",""),"^-?\d+(\.\d+)?"))&gt;=-90,VALUE(REGEXEXTRACT(SUBSTITUTE(TRIM(F269)," ",""),"^-?\d+(\.\d+)?"))&lt;=90,VALUE(REGEXEXTRACT(SUBSTITUTE(TRIM(F269)," ",""),"-?\d+(\.\d+)?$"))&gt;=-180,VALUE(REGEXEXTRACT(SUBSTITUTE(TRIM(F269)," ",""),"-?\d+(\.\d+)?$"))&lt;=180),"OK","REVISAR"),"REVISAR"),"")</f>
        <v/>
      </c>
      <c r="O269">
        <f>IF(A269&lt;&gt;"","https://direcciones507.github.io/direcciones507/panel.html?codigo="&amp;A269&amp;"&amp;nombre="&amp;ENCODEURL(B269)&amp;"&amp;telefono="&amp;SUBSTITUTE(C269,"-","")&amp;"&amp;referencia="&amp;ENCODEURL(E269)&amp;"&amp;lat="&amp;IZQUIERDA(SUBSTITUTE(F269," ",""),ENCONTRAR(",",SUBSTITUTE(F269," ",""))-1)&amp;"&amp;lng="&amp;DERECHA(SUBSTITUTE(F269," ",""),LARGO(SUBSTITUTE(F269," ",""))-ENCONTRAR(",",SUBSTITUTE(F269," ",""))),"")</f>
        <v/>
      </c>
    </row>
    <row r="270" ht="15.75" customHeight="1" s="10">
      <c r="A270" s="8">
        <f>CONCAT("AD507-",TEXT(ROW()-2,"0000"))</f>
        <v/>
      </c>
      <c r="C270" s="8" t="n"/>
      <c r="F270" s="8" t="n"/>
      <c r="G270" s="8">
        <f>IF(F270&lt;&gt;"",HYPERLINK("https://www.google.com/maps/search/?api=1&amp;query="&amp;SUBSTITUTE(F270," ",""),"🗺 Google Maps"),"")</f>
        <v/>
      </c>
      <c r="H270" s="8">
        <f>IF(F270&lt;&gt;"",HYPERLINK("https://waze.com/ul?ll="&amp;SUBSTITUTE(F270," ","")&amp;"&amp;navigate=yes","🚗 Waze"),"")</f>
        <v/>
      </c>
      <c r="I270" s="8">
        <f>IF(F270&lt;&gt;"",HYPERLINK("https://m.uber.com/ul/?action=setPickup&amp;pickup=my_location&amp;dropoff[latitude]="&amp;LEFT(SUBSTITUTE(F270," ",""),FIND(",",SUBSTITUTE(F270," ",""))-1)&amp;"&amp;dropoff[longitude]="&amp;MID(SUBSTITUTE(F270," ",""),FIND(",",SUBSTITUTE(F270," ",""))+1,99),"🚕 Uber"),"")</f>
        <v/>
      </c>
      <c r="J270" s="8">
        <f>IF(F270&lt;&gt;"","https://api.qrserver.com/v1/create-qr-code/?size=200x200&amp;data="&amp;ENCODEURL("https://www.google.com/maps/search/?api=1&amp;query="&amp;SUBSTITUTE(F270," ","")),"")</f>
        <v/>
      </c>
      <c r="K270" s="8">
        <f>IF(C270&lt;&gt;"",HYPERLINK("https://wa.me/507"&amp;REGEXREPLACE(C270,"[^0-9]","")&amp;"?text="&amp;ENCODEURL("Ya llegue. Codigo: "&amp;A270&amp;". Ubicacion: "&amp;"https://www.google.com/maps/search/?api=1&amp;query="&amp;SUBSTITUTE(F270," ","")),"📲 Avisar al cliente"),"")</f>
        <v/>
      </c>
      <c r="L270" s="8">
        <f>IF(C270&lt;&gt;"","https://api.qrserver.com/v1/create-qr-code/?size=200x200&amp;data="&amp;ENCODEURL("https://wa.me/507"&amp;REGEXREPLACE(C270,"[^0-9]","")&amp;"?text="&amp;ENCODEURL("Ya llegue. Codigo: "&amp;A270&amp;". Ubicacion: "&amp;"https://www.google.com/maps/search/?api=1&amp;query="&amp;SUBSTITUTE(F270," ",""))),"")</f>
        <v/>
      </c>
      <c r="M270" s="8">
        <f>IF(B270&lt;&gt;"",TODAY(),"")</f>
        <v/>
      </c>
      <c r="N270" s="8">
        <f>IF(F270&lt;&gt;"",IFERROR(IF(AND(REGEXMATCH(SUBSTITUTE(TRIM(F270)," ",""),"^-?\d+(\.\d+)?,-?\d+(\.\d+)?$"),VALUE(REGEXEXTRACT(SUBSTITUTE(TRIM(F270)," ",""),"^-?\d+(\.\d+)?"))&gt;=-90,VALUE(REGEXEXTRACT(SUBSTITUTE(TRIM(F270)," ",""),"^-?\d+(\.\d+)?"))&lt;=90,VALUE(REGEXEXTRACT(SUBSTITUTE(TRIM(F270)," ",""),"-?\d+(\.\d+)?$"))&gt;=-180,VALUE(REGEXEXTRACT(SUBSTITUTE(TRIM(F270)," ",""),"-?\d+(\.\d+)?$"))&lt;=180),"OK","REVISAR"),"REVISAR"),"")</f>
        <v/>
      </c>
      <c r="O270">
        <f>IF(A270&lt;&gt;"","https://direcciones507.github.io/direcciones507/panel.html?codigo="&amp;A270&amp;"&amp;nombre="&amp;ENCODEURL(B270)&amp;"&amp;telefono="&amp;SUBSTITUTE(C270,"-","")&amp;"&amp;referencia="&amp;ENCODEURL(E270)&amp;"&amp;lat="&amp;IZQUIERDA(SUBSTITUTE(F270," ",""),ENCONTRAR(",",SUBSTITUTE(F270," ",""))-1)&amp;"&amp;lng="&amp;DERECHA(SUBSTITUTE(F270," ",""),LARGO(SUBSTITUTE(F270," ",""))-ENCONTRAR(",",SUBSTITUTE(F270," ",""))),"")</f>
        <v/>
      </c>
    </row>
    <row r="271" ht="15.75" customHeight="1" s="10">
      <c r="A271" s="8">
        <f>CONCAT("AD507-",TEXT(ROW()-2,"0000"))</f>
        <v/>
      </c>
      <c r="C271" s="8" t="n"/>
      <c r="F271" s="8" t="n"/>
      <c r="G271" s="8">
        <f>IF(F271&lt;&gt;"",HYPERLINK("https://www.google.com/maps/search/?api=1&amp;query="&amp;SUBSTITUTE(F271," ",""),"🗺 Google Maps"),"")</f>
        <v/>
      </c>
      <c r="H271" s="8">
        <f>IF(F271&lt;&gt;"",HYPERLINK("https://waze.com/ul?ll="&amp;SUBSTITUTE(F271," ","")&amp;"&amp;navigate=yes","🚗 Waze"),"")</f>
        <v/>
      </c>
      <c r="I271" s="8">
        <f>IF(F271&lt;&gt;"",HYPERLINK("https://m.uber.com/ul/?action=setPickup&amp;pickup=my_location&amp;dropoff[latitude]="&amp;LEFT(SUBSTITUTE(F271," ",""),FIND(",",SUBSTITUTE(F271," ",""))-1)&amp;"&amp;dropoff[longitude]="&amp;MID(SUBSTITUTE(F271," ",""),FIND(",",SUBSTITUTE(F271," ",""))+1,99),"🚕 Uber"),"")</f>
        <v/>
      </c>
      <c r="J271" s="8">
        <f>IF(F271&lt;&gt;"","https://api.qrserver.com/v1/create-qr-code/?size=200x200&amp;data="&amp;ENCODEURL("https://www.google.com/maps/search/?api=1&amp;query="&amp;SUBSTITUTE(F271," ","")),"")</f>
        <v/>
      </c>
      <c r="K271" s="8">
        <f>IF(C271&lt;&gt;"",HYPERLINK("https://wa.me/507"&amp;REGEXREPLACE(C271,"[^0-9]","")&amp;"?text="&amp;ENCODEURL("Ya llegue. Codigo: "&amp;A271&amp;". Ubicacion: "&amp;"https://www.google.com/maps/search/?api=1&amp;query="&amp;SUBSTITUTE(F271," ","")),"📲 Avisar al cliente"),"")</f>
        <v/>
      </c>
      <c r="L271" s="8">
        <f>IF(C271&lt;&gt;"","https://api.qrserver.com/v1/create-qr-code/?size=200x200&amp;data="&amp;ENCODEURL("https://wa.me/507"&amp;REGEXREPLACE(C271,"[^0-9]","")&amp;"?text="&amp;ENCODEURL("Ya llegue. Codigo: "&amp;A271&amp;". Ubicacion: "&amp;"https://www.google.com/maps/search/?api=1&amp;query="&amp;SUBSTITUTE(F271," ",""))),"")</f>
        <v/>
      </c>
      <c r="M271" s="8">
        <f>IF(B271&lt;&gt;"",TODAY(),"")</f>
        <v/>
      </c>
      <c r="N271" s="8">
        <f>IF(F271&lt;&gt;"",IFERROR(IF(AND(REGEXMATCH(SUBSTITUTE(TRIM(F271)," ",""),"^-?\d+(\.\d+)?,-?\d+(\.\d+)?$"),VALUE(REGEXEXTRACT(SUBSTITUTE(TRIM(F271)," ",""),"^-?\d+(\.\d+)?"))&gt;=-90,VALUE(REGEXEXTRACT(SUBSTITUTE(TRIM(F271)," ",""),"^-?\d+(\.\d+)?"))&lt;=90,VALUE(REGEXEXTRACT(SUBSTITUTE(TRIM(F271)," ",""),"-?\d+(\.\d+)?$"))&gt;=-180,VALUE(REGEXEXTRACT(SUBSTITUTE(TRIM(F271)," ",""),"-?\d+(\.\d+)?$"))&lt;=180),"OK","REVISAR"),"REVISAR"),"")</f>
        <v/>
      </c>
      <c r="O271">
        <f>IF(A271&lt;&gt;"","https://direcciones507.github.io/direcciones507/panel.html?codigo="&amp;A271&amp;"&amp;nombre="&amp;ENCODEURL(B271)&amp;"&amp;telefono="&amp;SUBSTITUTE(C271,"-","")&amp;"&amp;referencia="&amp;ENCODEURL(E271)&amp;"&amp;lat="&amp;IZQUIERDA(SUBSTITUTE(F271," ",""),ENCONTRAR(",",SUBSTITUTE(F271," ",""))-1)&amp;"&amp;lng="&amp;DERECHA(SUBSTITUTE(F271," ",""),LARGO(SUBSTITUTE(F271," ",""))-ENCONTRAR(",",SUBSTITUTE(F271," ",""))),"")</f>
        <v/>
      </c>
    </row>
    <row r="272" ht="15.75" customHeight="1" s="10">
      <c r="A272" s="8">
        <f>CONCAT("AD507-",TEXT(ROW()-2,"0000"))</f>
        <v/>
      </c>
      <c r="C272" s="8" t="n"/>
      <c r="F272" s="8" t="n"/>
      <c r="G272" s="8">
        <f>IF(F272&lt;&gt;"",HYPERLINK("https://www.google.com/maps/search/?api=1&amp;query="&amp;SUBSTITUTE(F272," ",""),"🗺 Google Maps"),"")</f>
        <v/>
      </c>
      <c r="H272" s="8">
        <f>IF(F272&lt;&gt;"",HYPERLINK("https://waze.com/ul?ll="&amp;SUBSTITUTE(F272," ","")&amp;"&amp;navigate=yes","🚗 Waze"),"")</f>
        <v/>
      </c>
      <c r="I272" s="8">
        <f>IF(F272&lt;&gt;"",HYPERLINK("https://m.uber.com/ul/?action=setPickup&amp;pickup=my_location&amp;dropoff[latitude]="&amp;LEFT(SUBSTITUTE(F272," ",""),FIND(",",SUBSTITUTE(F272," ",""))-1)&amp;"&amp;dropoff[longitude]="&amp;MID(SUBSTITUTE(F272," ",""),FIND(",",SUBSTITUTE(F272," ",""))+1,99),"🚕 Uber"),"")</f>
        <v/>
      </c>
      <c r="J272" s="8">
        <f>IF(F272&lt;&gt;"","https://api.qrserver.com/v1/create-qr-code/?size=200x200&amp;data="&amp;ENCODEURL("https://www.google.com/maps/search/?api=1&amp;query="&amp;SUBSTITUTE(F272," ","")),"")</f>
        <v/>
      </c>
      <c r="K272" s="8">
        <f>IF(C272&lt;&gt;"",HYPERLINK("https://wa.me/507"&amp;REGEXREPLACE(C272,"[^0-9]","")&amp;"?text="&amp;ENCODEURL("Ya llegue. Codigo: "&amp;A272&amp;". Ubicacion: "&amp;"https://www.google.com/maps/search/?api=1&amp;query="&amp;SUBSTITUTE(F272," ","")),"📲 Avisar al cliente"),"")</f>
        <v/>
      </c>
      <c r="L272" s="8">
        <f>IF(C272&lt;&gt;"","https://api.qrserver.com/v1/create-qr-code/?size=200x200&amp;data="&amp;ENCODEURL("https://wa.me/507"&amp;REGEXREPLACE(C272,"[^0-9]","")&amp;"?text="&amp;ENCODEURL("Ya llegue. Codigo: "&amp;A272&amp;". Ubicacion: "&amp;"https://www.google.com/maps/search/?api=1&amp;query="&amp;SUBSTITUTE(F272," ",""))),"")</f>
        <v/>
      </c>
      <c r="M272" s="8">
        <f>IF(B272&lt;&gt;"",TODAY(),"")</f>
        <v/>
      </c>
      <c r="N272" s="8">
        <f>IF(F272&lt;&gt;"",IFERROR(IF(AND(REGEXMATCH(SUBSTITUTE(TRIM(F272)," ",""),"^-?\d+(\.\d+)?,-?\d+(\.\d+)?$"),VALUE(REGEXEXTRACT(SUBSTITUTE(TRIM(F272)," ",""),"^-?\d+(\.\d+)?"))&gt;=-90,VALUE(REGEXEXTRACT(SUBSTITUTE(TRIM(F272)," ",""),"^-?\d+(\.\d+)?"))&lt;=90,VALUE(REGEXEXTRACT(SUBSTITUTE(TRIM(F272)," ",""),"-?\d+(\.\d+)?$"))&gt;=-180,VALUE(REGEXEXTRACT(SUBSTITUTE(TRIM(F272)," ",""),"-?\d+(\.\d+)?$"))&lt;=180),"OK","REVISAR"),"REVISAR"),"")</f>
        <v/>
      </c>
      <c r="O272">
        <f>IF(A272&lt;&gt;"","https://direcciones507.github.io/direcciones507/panel.html?codigo="&amp;A272&amp;"&amp;nombre="&amp;ENCODEURL(B272)&amp;"&amp;telefono="&amp;SUBSTITUTE(C272,"-","")&amp;"&amp;referencia="&amp;ENCODEURL(E272)&amp;"&amp;lat="&amp;IZQUIERDA(SUBSTITUTE(F272," ",""),ENCONTRAR(",",SUBSTITUTE(F272," ",""))-1)&amp;"&amp;lng="&amp;DERECHA(SUBSTITUTE(F272," ",""),LARGO(SUBSTITUTE(F272," ",""))-ENCONTRAR(",",SUBSTITUTE(F272," ",""))),"")</f>
        <v/>
      </c>
    </row>
    <row r="273" ht="15.75" customHeight="1" s="10">
      <c r="A273" s="8">
        <f>CONCAT("AD507-",TEXT(ROW()-2,"0000"))</f>
        <v/>
      </c>
      <c r="C273" s="8" t="n"/>
      <c r="F273" s="8" t="n"/>
      <c r="G273" s="8">
        <f>IF(F273&lt;&gt;"",HYPERLINK("https://www.google.com/maps/search/?api=1&amp;query="&amp;SUBSTITUTE(F273," ",""),"🗺 Google Maps"),"")</f>
        <v/>
      </c>
      <c r="H273" s="8">
        <f>IF(F273&lt;&gt;"",HYPERLINK("https://waze.com/ul?ll="&amp;SUBSTITUTE(F273," ","")&amp;"&amp;navigate=yes","🚗 Waze"),"")</f>
        <v/>
      </c>
      <c r="I273" s="8">
        <f>IF(F273&lt;&gt;"",HYPERLINK("https://m.uber.com/ul/?action=setPickup&amp;pickup=my_location&amp;dropoff[latitude]="&amp;LEFT(SUBSTITUTE(F273," ",""),FIND(",",SUBSTITUTE(F273," ",""))-1)&amp;"&amp;dropoff[longitude]="&amp;MID(SUBSTITUTE(F273," ",""),FIND(",",SUBSTITUTE(F273," ",""))+1,99),"🚕 Uber"),"")</f>
        <v/>
      </c>
      <c r="J273" s="8">
        <f>IF(F273&lt;&gt;"","https://api.qrserver.com/v1/create-qr-code/?size=200x200&amp;data="&amp;ENCODEURL("https://www.google.com/maps/search/?api=1&amp;query="&amp;SUBSTITUTE(F273," ","")),"")</f>
        <v/>
      </c>
      <c r="K273" s="8">
        <f>IF(C273&lt;&gt;"",HYPERLINK("https://wa.me/507"&amp;REGEXREPLACE(C273,"[^0-9]","")&amp;"?text="&amp;ENCODEURL("Ya llegue. Codigo: "&amp;A273&amp;". Ubicacion: "&amp;"https://www.google.com/maps/search/?api=1&amp;query="&amp;SUBSTITUTE(F273," ","")),"📲 Avisar al cliente"),"")</f>
        <v/>
      </c>
      <c r="L273" s="8">
        <f>IF(C273&lt;&gt;"","https://api.qrserver.com/v1/create-qr-code/?size=200x200&amp;data="&amp;ENCODEURL("https://wa.me/507"&amp;REGEXREPLACE(C273,"[^0-9]","")&amp;"?text="&amp;ENCODEURL("Ya llegue. Codigo: "&amp;A273&amp;". Ubicacion: "&amp;"https://www.google.com/maps/search/?api=1&amp;query="&amp;SUBSTITUTE(F273," ",""))),"")</f>
        <v/>
      </c>
      <c r="M273" s="8">
        <f>IF(B273&lt;&gt;"",TODAY(),"")</f>
        <v/>
      </c>
      <c r="N273" s="8">
        <f>IF(F273&lt;&gt;"",IFERROR(IF(AND(REGEXMATCH(SUBSTITUTE(TRIM(F273)," ",""),"^-?\d+(\.\d+)?,-?\d+(\.\d+)?$"),VALUE(REGEXEXTRACT(SUBSTITUTE(TRIM(F273)," ",""),"^-?\d+(\.\d+)?"))&gt;=-90,VALUE(REGEXEXTRACT(SUBSTITUTE(TRIM(F273)," ",""),"^-?\d+(\.\d+)?"))&lt;=90,VALUE(REGEXEXTRACT(SUBSTITUTE(TRIM(F273)," ",""),"-?\d+(\.\d+)?$"))&gt;=-180,VALUE(REGEXEXTRACT(SUBSTITUTE(TRIM(F273)," ",""),"-?\d+(\.\d+)?$"))&lt;=180),"OK","REVISAR"),"REVISAR"),"")</f>
        <v/>
      </c>
      <c r="O273">
        <f>IF(A273&lt;&gt;"","https://direcciones507.github.io/direcciones507/panel.html?codigo="&amp;A273&amp;"&amp;nombre="&amp;ENCODEURL(B273)&amp;"&amp;telefono="&amp;SUBSTITUTE(C273,"-","")&amp;"&amp;referencia="&amp;ENCODEURL(E273)&amp;"&amp;lat="&amp;IZQUIERDA(SUBSTITUTE(F273," ",""),ENCONTRAR(",",SUBSTITUTE(F273," ",""))-1)&amp;"&amp;lng="&amp;DERECHA(SUBSTITUTE(F273," ",""),LARGO(SUBSTITUTE(F273," ",""))-ENCONTRAR(",",SUBSTITUTE(F273," ",""))),"")</f>
        <v/>
      </c>
    </row>
    <row r="274" ht="15.75" customHeight="1" s="10">
      <c r="A274" s="8">
        <f>CONCAT("AD507-",TEXT(ROW()-2,"0000"))</f>
        <v/>
      </c>
      <c r="C274" s="8" t="n"/>
      <c r="F274" s="8" t="n"/>
      <c r="G274" s="8">
        <f>IF(F274&lt;&gt;"",HYPERLINK("https://www.google.com/maps/search/?api=1&amp;query="&amp;SUBSTITUTE(F274," ",""),"🗺 Google Maps"),"")</f>
        <v/>
      </c>
      <c r="H274" s="8">
        <f>IF(F274&lt;&gt;"",HYPERLINK("https://waze.com/ul?ll="&amp;SUBSTITUTE(F274," ","")&amp;"&amp;navigate=yes","🚗 Waze"),"")</f>
        <v/>
      </c>
      <c r="I274" s="8">
        <f>IF(F274&lt;&gt;"",HYPERLINK("https://m.uber.com/ul/?action=setPickup&amp;pickup=my_location&amp;dropoff[latitude]="&amp;LEFT(SUBSTITUTE(F274," ",""),FIND(",",SUBSTITUTE(F274," ",""))-1)&amp;"&amp;dropoff[longitude]="&amp;MID(SUBSTITUTE(F274," ",""),FIND(",",SUBSTITUTE(F274," ",""))+1,99),"🚕 Uber"),"")</f>
        <v/>
      </c>
      <c r="J274" s="8">
        <f>IF(F274&lt;&gt;"","https://api.qrserver.com/v1/create-qr-code/?size=200x200&amp;data="&amp;ENCODEURL("https://www.google.com/maps/search/?api=1&amp;query="&amp;SUBSTITUTE(F274," ","")),"")</f>
        <v/>
      </c>
      <c r="K274" s="8">
        <f>IF(C274&lt;&gt;"",HYPERLINK("https://wa.me/507"&amp;REGEXREPLACE(C274,"[^0-9]","")&amp;"?text="&amp;ENCODEURL("Ya llegue. Codigo: "&amp;A274&amp;". Ubicacion: "&amp;"https://www.google.com/maps/search/?api=1&amp;query="&amp;SUBSTITUTE(F274," ","")),"📲 Avisar al cliente"),"")</f>
        <v/>
      </c>
      <c r="L274" s="8">
        <f>IF(C274&lt;&gt;"","https://api.qrserver.com/v1/create-qr-code/?size=200x200&amp;data="&amp;ENCODEURL("https://wa.me/507"&amp;REGEXREPLACE(C274,"[^0-9]","")&amp;"?text="&amp;ENCODEURL("Ya llegue. Codigo: "&amp;A274&amp;". Ubicacion: "&amp;"https://www.google.com/maps/search/?api=1&amp;query="&amp;SUBSTITUTE(F274," ",""))),"")</f>
        <v/>
      </c>
      <c r="M274" s="8">
        <f>IF(B274&lt;&gt;"",TODAY(),"")</f>
        <v/>
      </c>
      <c r="N274" s="8">
        <f>IF(F274&lt;&gt;"",IFERROR(IF(AND(REGEXMATCH(SUBSTITUTE(TRIM(F274)," ",""),"^-?\d+(\.\d+)?,-?\d+(\.\d+)?$"),VALUE(REGEXEXTRACT(SUBSTITUTE(TRIM(F274)," ",""),"^-?\d+(\.\d+)?"))&gt;=-90,VALUE(REGEXEXTRACT(SUBSTITUTE(TRIM(F274)," ",""),"^-?\d+(\.\d+)?"))&lt;=90,VALUE(REGEXEXTRACT(SUBSTITUTE(TRIM(F274)," ",""),"-?\d+(\.\d+)?$"))&gt;=-180,VALUE(REGEXEXTRACT(SUBSTITUTE(TRIM(F274)," ",""),"-?\d+(\.\d+)?$"))&lt;=180),"OK","REVISAR"),"REVISAR"),"")</f>
        <v/>
      </c>
      <c r="O274">
        <f>IF(A274&lt;&gt;"","https://direcciones507.github.io/direcciones507/panel.html?codigo="&amp;A274&amp;"&amp;nombre="&amp;ENCODEURL(B274)&amp;"&amp;telefono="&amp;SUBSTITUTE(C274,"-","")&amp;"&amp;referencia="&amp;ENCODEURL(E274)&amp;"&amp;lat="&amp;IZQUIERDA(SUBSTITUTE(F274," ",""),ENCONTRAR(",",SUBSTITUTE(F274," ",""))-1)&amp;"&amp;lng="&amp;DERECHA(SUBSTITUTE(F274," ",""),LARGO(SUBSTITUTE(F274," ",""))-ENCONTRAR(",",SUBSTITUTE(F274," ",""))),"")</f>
        <v/>
      </c>
    </row>
    <row r="275" ht="15.75" customHeight="1" s="10">
      <c r="A275" s="8">
        <f>CONCAT("AD507-",TEXT(ROW()-2,"0000"))</f>
        <v/>
      </c>
      <c r="C275" s="8" t="n"/>
      <c r="F275" s="8" t="n"/>
      <c r="G275" s="8">
        <f>IF(F275&lt;&gt;"",HYPERLINK("https://www.google.com/maps/search/?api=1&amp;query="&amp;SUBSTITUTE(F275," ",""),"🗺 Google Maps"),"")</f>
        <v/>
      </c>
      <c r="H275" s="8">
        <f>IF(F275&lt;&gt;"",HYPERLINK("https://waze.com/ul?ll="&amp;SUBSTITUTE(F275," ","")&amp;"&amp;navigate=yes","🚗 Waze"),"")</f>
        <v/>
      </c>
      <c r="I275" s="8">
        <f>IF(F275&lt;&gt;"",HYPERLINK("https://m.uber.com/ul/?action=setPickup&amp;pickup=my_location&amp;dropoff[latitude]="&amp;LEFT(SUBSTITUTE(F275," ",""),FIND(",",SUBSTITUTE(F275," ",""))-1)&amp;"&amp;dropoff[longitude]="&amp;MID(SUBSTITUTE(F275," ",""),FIND(",",SUBSTITUTE(F275," ",""))+1,99),"🚕 Uber"),"")</f>
        <v/>
      </c>
      <c r="J275" s="8">
        <f>IF(F275&lt;&gt;"","https://api.qrserver.com/v1/create-qr-code/?size=200x200&amp;data="&amp;ENCODEURL("https://www.google.com/maps/search/?api=1&amp;query="&amp;SUBSTITUTE(F275," ","")),"")</f>
        <v/>
      </c>
      <c r="K275" s="8">
        <f>IF(C275&lt;&gt;"",HYPERLINK("https://wa.me/507"&amp;REGEXREPLACE(C275,"[^0-9]","")&amp;"?text="&amp;ENCODEURL("Ya llegue. Codigo: "&amp;A275&amp;". Ubicacion: "&amp;"https://www.google.com/maps/search/?api=1&amp;query="&amp;SUBSTITUTE(F275," ","")),"📲 Avisar al cliente"),"")</f>
        <v/>
      </c>
      <c r="L275" s="8">
        <f>IF(C275&lt;&gt;"","https://api.qrserver.com/v1/create-qr-code/?size=200x200&amp;data="&amp;ENCODEURL("https://wa.me/507"&amp;REGEXREPLACE(C275,"[^0-9]","")&amp;"?text="&amp;ENCODEURL("Ya llegue. Codigo: "&amp;A275&amp;". Ubicacion: "&amp;"https://www.google.com/maps/search/?api=1&amp;query="&amp;SUBSTITUTE(F275," ",""))),"")</f>
        <v/>
      </c>
      <c r="M275" s="8">
        <f>IF(B275&lt;&gt;"",TODAY(),"")</f>
        <v/>
      </c>
      <c r="N275" s="8">
        <f>IF(F275&lt;&gt;"",IFERROR(IF(AND(REGEXMATCH(SUBSTITUTE(TRIM(F275)," ",""),"^-?\d+(\.\d+)?,-?\d+(\.\d+)?$"),VALUE(REGEXEXTRACT(SUBSTITUTE(TRIM(F275)," ",""),"^-?\d+(\.\d+)?"))&gt;=-90,VALUE(REGEXEXTRACT(SUBSTITUTE(TRIM(F275)," ",""),"^-?\d+(\.\d+)?"))&lt;=90,VALUE(REGEXEXTRACT(SUBSTITUTE(TRIM(F275)," ",""),"-?\d+(\.\d+)?$"))&gt;=-180,VALUE(REGEXEXTRACT(SUBSTITUTE(TRIM(F275)," ",""),"-?\d+(\.\d+)?$"))&lt;=180),"OK","REVISAR"),"REVISAR"),"")</f>
        <v/>
      </c>
      <c r="O275">
        <f>IF(A275&lt;&gt;"","https://direcciones507.github.io/direcciones507/panel.html?codigo="&amp;A275&amp;"&amp;nombre="&amp;ENCODEURL(B275)&amp;"&amp;telefono="&amp;SUBSTITUTE(C275,"-","")&amp;"&amp;referencia="&amp;ENCODEURL(E275)&amp;"&amp;lat="&amp;IZQUIERDA(SUBSTITUTE(F275," ",""),ENCONTRAR(",",SUBSTITUTE(F275," ",""))-1)&amp;"&amp;lng="&amp;DERECHA(SUBSTITUTE(F275," ",""),LARGO(SUBSTITUTE(F275," ",""))-ENCONTRAR(",",SUBSTITUTE(F275," ",""))),"")</f>
        <v/>
      </c>
    </row>
    <row r="276" ht="15.75" customHeight="1" s="10">
      <c r="A276" s="8">
        <f>CONCAT("AD507-",TEXT(ROW()-2,"0000"))</f>
        <v/>
      </c>
      <c r="C276" s="8" t="n"/>
      <c r="F276" s="8" t="n"/>
      <c r="G276" s="8">
        <f>IF(F276&lt;&gt;"",HYPERLINK("https://www.google.com/maps/search/?api=1&amp;query="&amp;SUBSTITUTE(F276," ",""),"🗺 Google Maps"),"")</f>
        <v/>
      </c>
      <c r="H276" s="8">
        <f>IF(F276&lt;&gt;"",HYPERLINK("https://waze.com/ul?ll="&amp;SUBSTITUTE(F276," ","")&amp;"&amp;navigate=yes","🚗 Waze"),"")</f>
        <v/>
      </c>
      <c r="I276" s="8">
        <f>IF(F276&lt;&gt;"",HYPERLINK("https://m.uber.com/ul/?action=setPickup&amp;pickup=my_location&amp;dropoff[latitude]="&amp;LEFT(SUBSTITUTE(F276," ",""),FIND(",",SUBSTITUTE(F276," ",""))-1)&amp;"&amp;dropoff[longitude]="&amp;MID(SUBSTITUTE(F276," ",""),FIND(",",SUBSTITUTE(F276," ",""))+1,99),"🚕 Uber"),"")</f>
        <v/>
      </c>
      <c r="J276" s="8">
        <f>IF(F276&lt;&gt;"","https://api.qrserver.com/v1/create-qr-code/?size=200x200&amp;data="&amp;ENCODEURL("https://www.google.com/maps/search/?api=1&amp;query="&amp;SUBSTITUTE(F276," ","")),"")</f>
        <v/>
      </c>
      <c r="K276" s="8">
        <f>IF(C276&lt;&gt;"",HYPERLINK("https://wa.me/507"&amp;REGEXREPLACE(C276,"[^0-9]","")&amp;"?text="&amp;ENCODEURL("Ya llegue. Codigo: "&amp;A276&amp;". Ubicacion: "&amp;"https://www.google.com/maps/search/?api=1&amp;query="&amp;SUBSTITUTE(F276," ","")),"📲 Avisar al cliente"),"")</f>
        <v/>
      </c>
      <c r="L276" s="8">
        <f>IF(C276&lt;&gt;"","https://api.qrserver.com/v1/create-qr-code/?size=200x200&amp;data="&amp;ENCODEURL("https://wa.me/507"&amp;REGEXREPLACE(C276,"[^0-9]","")&amp;"?text="&amp;ENCODEURL("Ya llegue. Codigo: "&amp;A276&amp;". Ubicacion: "&amp;"https://www.google.com/maps/search/?api=1&amp;query="&amp;SUBSTITUTE(F276," ",""))),"")</f>
        <v/>
      </c>
      <c r="M276" s="8">
        <f>IF(B276&lt;&gt;"",TODAY(),"")</f>
        <v/>
      </c>
      <c r="N276" s="8">
        <f>IF(F276&lt;&gt;"",IFERROR(IF(AND(REGEXMATCH(SUBSTITUTE(TRIM(F276)," ",""),"^-?\d+(\.\d+)?,-?\d+(\.\d+)?$"),VALUE(REGEXEXTRACT(SUBSTITUTE(TRIM(F276)," ",""),"^-?\d+(\.\d+)?"))&gt;=-90,VALUE(REGEXEXTRACT(SUBSTITUTE(TRIM(F276)," ",""),"^-?\d+(\.\d+)?"))&lt;=90,VALUE(REGEXEXTRACT(SUBSTITUTE(TRIM(F276)," ",""),"-?\d+(\.\d+)?$"))&gt;=-180,VALUE(REGEXEXTRACT(SUBSTITUTE(TRIM(F276)," ",""),"-?\d+(\.\d+)?$"))&lt;=180),"OK","REVISAR"),"REVISAR"),"")</f>
        <v/>
      </c>
      <c r="O276">
        <f>IF(A276&lt;&gt;"","https://direcciones507.github.io/direcciones507/panel.html?codigo="&amp;A276&amp;"&amp;nombre="&amp;ENCODEURL(B276)&amp;"&amp;telefono="&amp;SUBSTITUTE(C276,"-","")&amp;"&amp;referencia="&amp;ENCODEURL(E276)&amp;"&amp;lat="&amp;IZQUIERDA(SUBSTITUTE(F276," ",""),ENCONTRAR(",",SUBSTITUTE(F276," ",""))-1)&amp;"&amp;lng="&amp;DERECHA(SUBSTITUTE(F276," ",""),LARGO(SUBSTITUTE(F276," ",""))-ENCONTRAR(",",SUBSTITUTE(F276," ",""))),"")</f>
        <v/>
      </c>
    </row>
    <row r="277" ht="15.75" customHeight="1" s="10">
      <c r="A277" s="8">
        <f>CONCAT("AD507-",TEXT(ROW()-2,"0000"))</f>
        <v/>
      </c>
      <c r="C277" s="8" t="n"/>
      <c r="F277" s="8" t="n"/>
      <c r="G277" s="8">
        <f>IF(F277&lt;&gt;"",HYPERLINK("https://www.google.com/maps/search/?api=1&amp;query="&amp;SUBSTITUTE(F277," ",""),"🗺 Google Maps"),"")</f>
        <v/>
      </c>
      <c r="H277" s="8">
        <f>IF(F277&lt;&gt;"",HYPERLINK("https://waze.com/ul?ll="&amp;SUBSTITUTE(F277," ","")&amp;"&amp;navigate=yes","🚗 Waze"),"")</f>
        <v/>
      </c>
      <c r="I277" s="8">
        <f>IF(F277&lt;&gt;"",HYPERLINK("https://m.uber.com/ul/?action=setPickup&amp;pickup=my_location&amp;dropoff[latitude]="&amp;LEFT(SUBSTITUTE(F277," ",""),FIND(",",SUBSTITUTE(F277," ",""))-1)&amp;"&amp;dropoff[longitude]="&amp;MID(SUBSTITUTE(F277," ",""),FIND(",",SUBSTITUTE(F277," ",""))+1,99),"🚕 Uber"),"")</f>
        <v/>
      </c>
      <c r="J277" s="8">
        <f>IF(F277&lt;&gt;"","https://api.qrserver.com/v1/create-qr-code/?size=200x200&amp;data="&amp;ENCODEURL("https://www.google.com/maps/search/?api=1&amp;query="&amp;SUBSTITUTE(F277," ","")),"")</f>
        <v/>
      </c>
      <c r="K277" s="8">
        <f>IF(C277&lt;&gt;"",HYPERLINK("https://wa.me/507"&amp;REGEXREPLACE(C277,"[^0-9]","")&amp;"?text="&amp;ENCODEURL("Ya llegue. Codigo: "&amp;A277&amp;". Ubicacion: "&amp;"https://www.google.com/maps/search/?api=1&amp;query="&amp;SUBSTITUTE(F277," ","")),"📲 Avisar al cliente"),"")</f>
        <v/>
      </c>
      <c r="L277" s="8">
        <f>IF(C277&lt;&gt;"","https://api.qrserver.com/v1/create-qr-code/?size=200x200&amp;data="&amp;ENCODEURL("https://wa.me/507"&amp;REGEXREPLACE(C277,"[^0-9]","")&amp;"?text="&amp;ENCODEURL("Ya llegue. Codigo: "&amp;A277&amp;". Ubicacion: "&amp;"https://www.google.com/maps/search/?api=1&amp;query="&amp;SUBSTITUTE(F277," ",""))),"")</f>
        <v/>
      </c>
      <c r="M277" s="8">
        <f>IF(B277&lt;&gt;"",TODAY(),"")</f>
        <v/>
      </c>
      <c r="N277" s="8">
        <f>IF(F277&lt;&gt;"",IFERROR(IF(AND(REGEXMATCH(SUBSTITUTE(TRIM(F277)," ",""),"^-?\d+(\.\d+)?,-?\d+(\.\d+)?$"),VALUE(REGEXEXTRACT(SUBSTITUTE(TRIM(F277)," ",""),"^-?\d+(\.\d+)?"))&gt;=-90,VALUE(REGEXEXTRACT(SUBSTITUTE(TRIM(F277)," ",""),"^-?\d+(\.\d+)?"))&lt;=90,VALUE(REGEXEXTRACT(SUBSTITUTE(TRIM(F277)," ",""),"-?\d+(\.\d+)?$"))&gt;=-180,VALUE(REGEXEXTRACT(SUBSTITUTE(TRIM(F277)," ",""),"-?\d+(\.\d+)?$"))&lt;=180),"OK","REVISAR"),"REVISAR"),"")</f>
        <v/>
      </c>
      <c r="O277">
        <f>IF(A277&lt;&gt;"","https://direcciones507.github.io/direcciones507/panel.html?codigo="&amp;A277&amp;"&amp;nombre="&amp;ENCODEURL(B277)&amp;"&amp;telefono="&amp;SUBSTITUTE(C277,"-","")&amp;"&amp;referencia="&amp;ENCODEURL(E277)&amp;"&amp;lat="&amp;IZQUIERDA(SUBSTITUTE(F277," ",""),ENCONTRAR(",",SUBSTITUTE(F277," ",""))-1)&amp;"&amp;lng="&amp;DERECHA(SUBSTITUTE(F277," ",""),LARGO(SUBSTITUTE(F277," ",""))-ENCONTRAR(",",SUBSTITUTE(F277," ",""))),"")</f>
        <v/>
      </c>
    </row>
    <row r="278" ht="15.75" customHeight="1" s="10">
      <c r="A278" s="8">
        <f>CONCAT("AD507-",TEXT(ROW()-2,"0000"))</f>
        <v/>
      </c>
      <c r="C278" s="8" t="n"/>
      <c r="F278" s="8" t="n"/>
      <c r="G278" s="8">
        <f>IF(F278&lt;&gt;"",HYPERLINK("https://www.google.com/maps/search/?api=1&amp;query="&amp;SUBSTITUTE(F278," ",""),"🗺 Google Maps"),"")</f>
        <v/>
      </c>
      <c r="H278" s="8">
        <f>IF(F278&lt;&gt;"",HYPERLINK("https://waze.com/ul?ll="&amp;SUBSTITUTE(F278," ","")&amp;"&amp;navigate=yes","🚗 Waze"),"")</f>
        <v/>
      </c>
      <c r="I278" s="8">
        <f>IF(F278&lt;&gt;"",HYPERLINK("https://m.uber.com/ul/?action=setPickup&amp;pickup=my_location&amp;dropoff[latitude]="&amp;LEFT(SUBSTITUTE(F278," ",""),FIND(",",SUBSTITUTE(F278," ",""))-1)&amp;"&amp;dropoff[longitude]="&amp;MID(SUBSTITUTE(F278," ",""),FIND(",",SUBSTITUTE(F278," ",""))+1,99),"🚕 Uber"),"")</f>
        <v/>
      </c>
      <c r="J278" s="8">
        <f>IF(F278&lt;&gt;"","https://api.qrserver.com/v1/create-qr-code/?size=200x200&amp;data="&amp;ENCODEURL("https://www.google.com/maps/search/?api=1&amp;query="&amp;SUBSTITUTE(F278," ","")),"")</f>
        <v/>
      </c>
      <c r="K278" s="8">
        <f>IF(C278&lt;&gt;"",HYPERLINK("https://wa.me/507"&amp;REGEXREPLACE(C278,"[^0-9]","")&amp;"?text="&amp;ENCODEURL("Ya llegue. Codigo: "&amp;A278&amp;". Ubicacion: "&amp;"https://www.google.com/maps/search/?api=1&amp;query="&amp;SUBSTITUTE(F278," ","")),"📲 Avisar al cliente"),"")</f>
        <v/>
      </c>
      <c r="L278" s="8">
        <f>IF(C278&lt;&gt;"","https://api.qrserver.com/v1/create-qr-code/?size=200x200&amp;data="&amp;ENCODEURL("https://wa.me/507"&amp;REGEXREPLACE(C278,"[^0-9]","")&amp;"?text="&amp;ENCODEURL("Ya llegue. Codigo: "&amp;A278&amp;". Ubicacion: "&amp;"https://www.google.com/maps/search/?api=1&amp;query="&amp;SUBSTITUTE(F278," ",""))),"")</f>
        <v/>
      </c>
      <c r="M278" s="8">
        <f>IF(B278&lt;&gt;"",TODAY(),"")</f>
        <v/>
      </c>
      <c r="N278" s="8">
        <f>IF(F278&lt;&gt;"",IFERROR(IF(AND(REGEXMATCH(SUBSTITUTE(TRIM(F278)," ",""),"^-?\d+(\.\d+)?,-?\d+(\.\d+)?$"),VALUE(REGEXEXTRACT(SUBSTITUTE(TRIM(F278)," ",""),"^-?\d+(\.\d+)?"))&gt;=-90,VALUE(REGEXEXTRACT(SUBSTITUTE(TRIM(F278)," ",""),"^-?\d+(\.\d+)?"))&lt;=90,VALUE(REGEXEXTRACT(SUBSTITUTE(TRIM(F278)," ",""),"-?\d+(\.\d+)?$"))&gt;=-180,VALUE(REGEXEXTRACT(SUBSTITUTE(TRIM(F278)," ",""),"-?\d+(\.\d+)?$"))&lt;=180),"OK","REVISAR"),"REVISAR"),"")</f>
        <v/>
      </c>
      <c r="O278">
        <f>IF(A278&lt;&gt;"","https://direcciones507.github.io/direcciones507/panel.html?codigo="&amp;A278&amp;"&amp;nombre="&amp;ENCODEURL(B278)&amp;"&amp;telefono="&amp;SUBSTITUTE(C278,"-","")&amp;"&amp;referencia="&amp;ENCODEURL(E278)&amp;"&amp;lat="&amp;IZQUIERDA(SUBSTITUTE(F278," ",""),ENCONTRAR(",",SUBSTITUTE(F278," ",""))-1)&amp;"&amp;lng="&amp;DERECHA(SUBSTITUTE(F278," ",""),LARGO(SUBSTITUTE(F278," ",""))-ENCONTRAR(",",SUBSTITUTE(F278," ",""))),"")</f>
        <v/>
      </c>
    </row>
    <row r="279" ht="15.75" customHeight="1" s="10">
      <c r="A279" s="8">
        <f>CONCAT("AD507-",TEXT(ROW()-2,"0000"))</f>
        <v/>
      </c>
      <c r="C279" s="8" t="n"/>
      <c r="F279" s="8" t="n"/>
      <c r="G279" s="8">
        <f>IF(F279&lt;&gt;"",HYPERLINK("https://www.google.com/maps/search/?api=1&amp;query="&amp;SUBSTITUTE(F279," ",""),"🗺 Google Maps"),"")</f>
        <v/>
      </c>
      <c r="H279" s="8">
        <f>IF(F279&lt;&gt;"",HYPERLINK("https://waze.com/ul?ll="&amp;SUBSTITUTE(F279," ","")&amp;"&amp;navigate=yes","🚗 Waze"),"")</f>
        <v/>
      </c>
      <c r="I279" s="8">
        <f>IF(F279&lt;&gt;"",HYPERLINK("https://m.uber.com/ul/?action=setPickup&amp;pickup=my_location&amp;dropoff[latitude]="&amp;LEFT(SUBSTITUTE(F279," ",""),FIND(",",SUBSTITUTE(F279," ",""))-1)&amp;"&amp;dropoff[longitude]="&amp;MID(SUBSTITUTE(F279," ",""),FIND(",",SUBSTITUTE(F279," ",""))+1,99),"🚕 Uber"),"")</f>
        <v/>
      </c>
      <c r="J279" s="8">
        <f>IF(F279&lt;&gt;"","https://api.qrserver.com/v1/create-qr-code/?size=200x200&amp;data="&amp;ENCODEURL("https://www.google.com/maps/search/?api=1&amp;query="&amp;SUBSTITUTE(F279," ","")),"")</f>
        <v/>
      </c>
      <c r="K279" s="8">
        <f>IF(C279&lt;&gt;"",HYPERLINK("https://wa.me/507"&amp;REGEXREPLACE(C279,"[^0-9]","")&amp;"?text="&amp;ENCODEURL("Ya llegue. Codigo: "&amp;A279&amp;". Ubicacion: "&amp;"https://www.google.com/maps/search/?api=1&amp;query="&amp;SUBSTITUTE(F279," ","")),"📲 Avisar al cliente"),"")</f>
        <v/>
      </c>
      <c r="L279" s="8">
        <f>IF(C279&lt;&gt;"","https://api.qrserver.com/v1/create-qr-code/?size=200x200&amp;data="&amp;ENCODEURL("https://wa.me/507"&amp;REGEXREPLACE(C279,"[^0-9]","")&amp;"?text="&amp;ENCODEURL("Ya llegue. Codigo: "&amp;A279&amp;". Ubicacion: "&amp;"https://www.google.com/maps/search/?api=1&amp;query="&amp;SUBSTITUTE(F279," ",""))),"")</f>
        <v/>
      </c>
      <c r="M279" s="8">
        <f>IF(B279&lt;&gt;"",TODAY(),"")</f>
        <v/>
      </c>
      <c r="N279" s="8">
        <f>IF(F279&lt;&gt;"",IFERROR(IF(AND(REGEXMATCH(SUBSTITUTE(TRIM(F279)," ",""),"^-?\d+(\.\d+)?,-?\d+(\.\d+)?$"),VALUE(REGEXEXTRACT(SUBSTITUTE(TRIM(F279)," ",""),"^-?\d+(\.\d+)?"))&gt;=-90,VALUE(REGEXEXTRACT(SUBSTITUTE(TRIM(F279)," ",""),"^-?\d+(\.\d+)?"))&lt;=90,VALUE(REGEXEXTRACT(SUBSTITUTE(TRIM(F279)," ",""),"-?\d+(\.\d+)?$"))&gt;=-180,VALUE(REGEXEXTRACT(SUBSTITUTE(TRIM(F279)," ",""),"-?\d+(\.\d+)?$"))&lt;=180),"OK","REVISAR"),"REVISAR"),"")</f>
        <v/>
      </c>
      <c r="O279">
        <f>IF(A279&lt;&gt;"","https://direcciones507.github.io/direcciones507/panel.html?codigo="&amp;A279&amp;"&amp;nombre="&amp;ENCODEURL(B279)&amp;"&amp;telefono="&amp;SUBSTITUTE(C279,"-","")&amp;"&amp;referencia="&amp;ENCODEURL(E279)&amp;"&amp;lat="&amp;IZQUIERDA(SUBSTITUTE(F279," ",""),ENCONTRAR(",",SUBSTITUTE(F279," ",""))-1)&amp;"&amp;lng="&amp;DERECHA(SUBSTITUTE(F279," ",""),LARGO(SUBSTITUTE(F279," ",""))-ENCONTRAR(",",SUBSTITUTE(F279," ",""))),"")</f>
        <v/>
      </c>
    </row>
    <row r="280" ht="15.75" customHeight="1" s="10">
      <c r="A280" s="8">
        <f>CONCAT("AD507-",TEXT(ROW()-2,"0000"))</f>
        <v/>
      </c>
      <c r="C280" s="8" t="n"/>
      <c r="F280" s="8" t="n"/>
      <c r="G280" s="8">
        <f>IF(F280&lt;&gt;"",HYPERLINK("https://www.google.com/maps/search/?api=1&amp;query="&amp;SUBSTITUTE(F280," ",""),"🗺 Google Maps"),"")</f>
        <v/>
      </c>
      <c r="H280" s="8">
        <f>IF(F280&lt;&gt;"",HYPERLINK("https://waze.com/ul?ll="&amp;SUBSTITUTE(F280," ","")&amp;"&amp;navigate=yes","🚗 Waze"),"")</f>
        <v/>
      </c>
      <c r="I280" s="8">
        <f>IF(F280&lt;&gt;"",HYPERLINK("https://m.uber.com/ul/?action=setPickup&amp;pickup=my_location&amp;dropoff[latitude]="&amp;LEFT(SUBSTITUTE(F280," ",""),FIND(",",SUBSTITUTE(F280," ",""))-1)&amp;"&amp;dropoff[longitude]="&amp;MID(SUBSTITUTE(F280," ",""),FIND(",",SUBSTITUTE(F280," ",""))+1,99),"🚕 Uber"),"")</f>
        <v/>
      </c>
      <c r="J280" s="8">
        <f>IF(F280&lt;&gt;"","https://api.qrserver.com/v1/create-qr-code/?size=200x200&amp;data="&amp;ENCODEURL("https://www.google.com/maps/search/?api=1&amp;query="&amp;SUBSTITUTE(F280," ","")),"")</f>
        <v/>
      </c>
      <c r="K280" s="8">
        <f>IF(C280&lt;&gt;"",HYPERLINK("https://wa.me/507"&amp;REGEXREPLACE(C280,"[^0-9]","")&amp;"?text="&amp;ENCODEURL("Ya llegue. Codigo: "&amp;A280&amp;". Ubicacion: "&amp;"https://www.google.com/maps/search/?api=1&amp;query="&amp;SUBSTITUTE(F280," ","")),"📲 Avisar al cliente"),"")</f>
        <v/>
      </c>
      <c r="L280" s="8">
        <f>IF(C280&lt;&gt;"","https://api.qrserver.com/v1/create-qr-code/?size=200x200&amp;data="&amp;ENCODEURL("https://wa.me/507"&amp;REGEXREPLACE(C280,"[^0-9]","")&amp;"?text="&amp;ENCODEURL("Ya llegue. Codigo: "&amp;A280&amp;". Ubicacion: "&amp;"https://www.google.com/maps/search/?api=1&amp;query="&amp;SUBSTITUTE(F280," ",""))),"")</f>
        <v/>
      </c>
      <c r="M280" s="8">
        <f>IF(B280&lt;&gt;"",TODAY(),"")</f>
        <v/>
      </c>
      <c r="N280" s="8">
        <f>IF(F280&lt;&gt;"",IFERROR(IF(AND(REGEXMATCH(SUBSTITUTE(TRIM(F280)," ",""),"^-?\d+(\.\d+)?,-?\d+(\.\d+)?$"),VALUE(REGEXEXTRACT(SUBSTITUTE(TRIM(F280)," ",""),"^-?\d+(\.\d+)?"))&gt;=-90,VALUE(REGEXEXTRACT(SUBSTITUTE(TRIM(F280)," ",""),"^-?\d+(\.\d+)?"))&lt;=90,VALUE(REGEXEXTRACT(SUBSTITUTE(TRIM(F280)," ",""),"-?\d+(\.\d+)?$"))&gt;=-180,VALUE(REGEXEXTRACT(SUBSTITUTE(TRIM(F280)," ",""),"-?\d+(\.\d+)?$"))&lt;=180),"OK","REVISAR"),"REVISAR"),"")</f>
        <v/>
      </c>
      <c r="O280">
        <f>IF(A280&lt;&gt;"","https://direcciones507.github.io/direcciones507/panel.html?codigo="&amp;A280&amp;"&amp;nombre="&amp;ENCODEURL(B280)&amp;"&amp;telefono="&amp;SUBSTITUTE(C280,"-","")&amp;"&amp;referencia="&amp;ENCODEURL(E280)&amp;"&amp;lat="&amp;IZQUIERDA(SUBSTITUTE(F280," ",""),ENCONTRAR(",",SUBSTITUTE(F280," ",""))-1)&amp;"&amp;lng="&amp;DERECHA(SUBSTITUTE(F280," ",""),LARGO(SUBSTITUTE(F280," ",""))-ENCONTRAR(",",SUBSTITUTE(F280," ",""))),"")</f>
        <v/>
      </c>
    </row>
    <row r="281" ht="15.75" customHeight="1" s="10">
      <c r="A281" s="8">
        <f>CONCAT("AD507-",TEXT(ROW()-2,"0000"))</f>
        <v/>
      </c>
      <c r="C281" s="8" t="n"/>
      <c r="F281" s="8" t="n"/>
      <c r="G281" s="8">
        <f>IF(F281&lt;&gt;"",HYPERLINK("https://www.google.com/maps/search/?api=1&amp;query="&amp;SUBSTITUTE(F281," ",""),"🗺 Google Maps"),"")</f>
        <v/>
      </c>
      <c r="H281" s="8">
        <f>IF(F281&lt;&gt;"",HYPERLINK("https://waze.com/ul?ll="&amp;SUBSTITUTE(F281," ","")&amp;"&amp;navigate=yes","🚗 Waze"),"")</f>
        <v/>
      </c>
      <c r="I281" s="8">
        <f>IF(F281&lt;&gt;"",HYPERLINK("https://m.uber.com/ul/?action=setPickup&amp;pickup=my_location&amp;dropoff[latitude]="&amp;LEFT(SUBSTITUTE(F281," ",""),FIND(",",SUBSTITUTE(F281," ",""))-1)&amp;"&amp;dropoff[longitude]="&amp;MID(SUBSTITUTE(F281," ",""),FIND(",",SUBSTITUTE(F281," ",""))+1,99),"🚕 Uber"),"")</f>
        <v/>
      </c>
      <c r="J281" s="8">
        <f>IF(F281&lt;&gt;"","https://api.qrserver.com/v1/create-qr-code/?size=200x200&amp;data="&amp;ENCODEURL("https://www.google.com/maps/search/?api=1&amp;query="&amp;SUBSTITUTE(F281," ","")),"")</f>
        <v/>
      </c>
      <c r="K281" s="8">
        <f>IF(C281&lt;&gt;"",HYPERLINK("https://wa.me/507"&amp;REGEXREPLACE(C281,"[^0-9]","")&amp;"?text="&amp;ENCODEURL("Ya llegue. Codigo: "&amp;A281&amp;". Ubicacion: "&amp;"https://www.google.com/maps/search/?api=1&amp;query="&amp;SUBSTITUTE(F281," ","")),"📲 Avisar al cliente"),"")</f>
        <v/>
      </c>
      <c r="L281" s="8">
        <f>IF(C281&lt;&gt;"","https://api.qrserver.com/v1/create-qr-code/?size=200x200&amp;data="&amp;ENCODEURL("https://wa.me/507"&amp;REGEXREPLACE(C281,"[^0-9]","")&amp;"?text="&amp;ENCODEURL("Ya llegue. Codigo: "&amp;A281&amp;". Ubicacion: "&amp;"https://www.google.com/maps/search/?api=1&amp;query="&amp;SUBSTITUTE(F281," ",""))),"")</f>
        <v/>
      </c>
      <c r="M281" s="8">
        <f>IF(B281&lt;&gt;"",TODAY(),"")</f>
        <v/>
      </c>
      <c r="N281" s="8">
        <f>IF(F281&lt;&gt;"",IFERROR(IF(AND(REGEXMATCH(SUBSTITUTE(TRIM(F281)," ",""),"^-?\d+(\.\d+)?,-?\d+(\.\d+)?$"),VALUE(REGEXEXTRACT(SUBSTITUTE(TRIM(F281)," ",""),"^-?\d+(\.\d+)?"))&gt;=-90,VALUE(REGEXEXTRACT(SUBSTITUTE(TRIM(F281)," ",""),"^-?\d+(\.\d+)?"))&lt;=90,VALUE(REGEXEXTRACT(SUBSTITUTE(TRIM(F281)," ",""),"-?\d+(\.\d+)?$"))&gt;=-180,VALUE(REGEXEXTRACT(SUBSTITUTE(TRIM(F281)," ",""),"-?\d+(\.\d+)?$"))&lt;=180),"OK","REVISAR"),"REVISAR"),"")</f>
        <v/>
      </c>
      <c r="O281">
        <f>IF(A281&lt;&gt;"","https://direcciones507.github.io/direcciones507/panel.html?codigo="&amp;A281&amp;"&amp;nombre="&amp;ENCODEURL(B281)&amp;"&amp;telefono="&amp;SUBSTITUTE(C281,"-","")&amp;"&amp;referencia="&amp;ENCODEURL(E281)&amp;"&amp;lat="&amp;IZQUIERDA(SUBSTITUTE(F281," ",""),ENCONTRAR(",",SUBSTITUTE(F281," ",""))-1)&amp;"&amp;lng="&amp;DERECHA(SUBSTITUTE(F281," ",""),LARGO(SUBSTITUTE(F281," ",""))-ENCONTRAR(",",SUBSTITUTE(F281," ",""))),"")</f>
        <v/>
      </c>
    </row>
    <row r="282" ht="15.75" customHeight="1" s="10">
      <c r="A282" s="8">
        <f>CONCAT("AD507-",TEXT(ROW()-2,"0000"))</f>
        <v/>
      </c>
      <c r="C282" s="8" t="n"/>
      <c r="F282" s="8" t="n"/>
      <c r="G282" s="8">
        <f>IF(F282&lt;&gt;"",HYPERLINK("https://www.google.com/maps/search/?api=1&amp;query="&amp;SUBSTITUTE(F282," ",""),"🗺 Google Maps"),"")</f>
        <v/>
      </c>
      <c r="H282" s="8">
        <f>IF(F282&lt;&gt;"",HYPERLINK("https://waze.com/ul?ll="&amp;SUBSTITUTE(F282," ","")&amp;"&amp;navigate=yes","🚗 Waze"),"")</f>
        <v/>
      </c>
      <c r="I282" s="8">
        <f>IF(F282&lt;&gt;"",HYPERLINK("https://m.uber.com/ul/?action=setPickup&amp;pickup=my_location&amp;dropoff[latitude]="&amp;LEFT(SUBSTITUTE(F282," ",""),FIND(",",SUBSTITUTE(F282," ",""))-1)&amp;"&amp;dropoff[longitude]="&amp;MID(SUBSTITUTE(F282," ",""),FIND(",",SUBSTITUTE(F282," ",""))+1,99),"🚕 Uber"),"")</f>
        <v/>
      </c>
      <c r="J282" s="8">
        <f>IF(F282&lt;&gt;"","https://api.qrserver.com/v1/create-qr-code/?size=200x200&amp;data="&amp;ENCODEURL("https://www.google.com/maps/search/?api=1&amp;query="&amp;SUBSTITUTE(F282," ","")),"")</f>
        <v/>
      </c>
      <c r="K282" s="8">
        <f>IF(C282&lt;&gt;"",HYPERLINK("https://wa.me/507"&amp;REGEXREPLACE(C282,"[^0-9]","")&amp;"?text="&amp;ENCODEURL("Ya llegue. Codigo: "&amp;A282&amp;". Ubicacion: "&amp;"https://www.google.com/maps/search/?api=1&amp;query="&amp;SUBSTITUTE(F282," ","")),"📲 Avisar al cliente"),"")</f>
        <v/>
      </c>
      <c r="L282" s="8">
        <f>IF(C282&lt;&gt;"","https://api.qrserver.com/v1/create-qr-code/?size=200x200&amp;data="&amp;ENCODEURL("https://wa.me/507"&amp;REGEXREPLACE(C282,"[^0-9]","")&amp;"?text="&amp;ENCODEURL("Ya llegue. Codigo: "&amp;A282&amp;". Ubicacion: "&amp;"https://www.google.com/maps/search/?api=1&amp;query="&amp;SUBSTITUTE(F282," ",""))),"")</f>
        <v/>
      </c>
      <c r="M282" s="8">
        <f>IF(B282&lt;&gt;"",TODAY(),"")</f>
        <v/>
      </c>
      <c r="N282" s="8">
        <f>IF(F282&lt;&gt;"",IFERROR(IF(AND(REGEXMATCH(SUBSTITUTE(TRIM(F282)," ",""),"^-?\d+(\.\d+)?,-?\d+(\.\d+)?$"),VALUE(REGEXEXTRACT(SUBSTITUTE(TRIM(F282)," ",""),"^-?\d+(\.\d+)?"))&gt;=-90,VALUE(REGEXEXTRACT(SUBSTITUTE(TRIM(F282)," ",""),"^-?\d+(\.\d+)?"))&lt;=90,VALUE(REGEXEXTRACT(SUBSTITUTE(TRIM(F282)," ",""),"-?\d+(\.\d+)?$"))&gt;=-180,VALUE(REGEXEXTRACT(SUBSTITUTE(TRIM(F282)," ",""),"-?\d+(\.\d+)?$"))&lt;=180),"OK","REVISAR"),"REVISAR"),"")</f>
        <v/>
      </c>
      <c r="O282">
        <f>IF(A282&lt;&gt;"","https://direcciones507.github.io/direcciones507/panel.html?codigo="&amp;A282&amp;"&amp;nombre="&amp;ENCODEURL(B282)&amp;"&amp;telefono="&amp;SUBSTITUTE(C282,"-","")&amp;"&amp;referencia="&amp;ENCODEURL(E282)&amp;"&amp;lat="&amp;IZQUIERDA(SUBSTITUTE(F282," ",""),ENCONTRAR(",",SUBSTITUTE(F282," ",""))-1)&amp;"&amp;lng="&amp;DERECHA(SUBSTITUTE(F282," ",""),LARGO(SUBSTITUTE(F282," ",""))-ENCONTRAR(",",SUBSTITUTE(F282," ",""))),"")</f>
        <v/>
      </c>
    </row>
    <row r="283" ht="15.75" customHeight="1" s="10">
      <c r="A283" s="8">
        <f>CONCAT("AD507-",TEXT(ROW()-2,"0000"))</f>
        <v/>
      </c>
      <c r="C283" s="8" t="n"/>
      <c r="F283" s="8" t="n"/>
      <c r="G283" s="8">
        <f>IF(F283&lt;&gt;"",HYPERLINK("https://www.google.com/maps/search/?api=1&amp;query="&amp;SUBSTITUTE(F283," ",""),"🗺 Google Maps"),"")</f>
        <v/>
      </c>
      <c r="H283" s="8">
        <f>IF(F283&lt;&gt;"",HYPERLINK("https://waze.com/ul?ll="&amp;SUBSTITUTE(F283," ","")&amp;"&amp;navigate=yes","🚗 Waze"),"")</f>
        <v/>
      </c>
      <c r="I283" s="8">
        <f>IF(F283&lt;&gt;"",HYPERLINK("https://m.uber.com/ul/?action=setPickup&amp;pickup=my_location&amp;dropoff[latitude]="&amp;LEFT(SUBSTITUTE(F283," ",""),FIND(",",SUBSTITUTE(F283," ",""))-1)&amp;"&amp;dropoff[longitude]="&amp;MID(SUBSTITUTE(F283," ",""),FIND(",",SUBSTITUTE(F283," ",""))+1,99),"🚕 Uber"),"")</f>
        <v/>
      </c>
      <c r="J283" s="8">
        <f>IF(F283&lt;&gt;"","https://api.qrserver.com/v1/create-qr-code/?size=200x200&amp;data="&amp;ENCODEURL("https://www.google.com/maps/search/?api=1&amp;query="&amp;SUBSTITUTE(F283," ","")),"")</f>
        <v/>
      </c>
      <c r="K283" s="8">
        <f>IF(C283&lt;&gt;"",HYPERLINK("https://wa.me/507"&amp;REGEXREPLACE(C283,"[^0-9]","")&amp;"?text="&amp;ENCODEURL("Ya llegue. Codigo: "&amp;A283&amp;". Ubicacion: "&amp;"https://www.google.com/maps/search/?api=1&amp;query="&amp;SUBSTITUTE(F283," ","")),"📲 Avisar al cliente"),"")</f>
        <v/>
      </c>
      <c r="L283" s="8">
        <f>IF(C283&lt;&gt;"","https://api.qrserver.com/v1/create-qr-code/?size=200x200&amp;data="&amp;ENCODEURL("https://wa.me/507"&amp;REGEXREPLACE(C283,"[^0-9]","")&amp;"?text="&amp;ENCODEURL("Ya llegue. Codigo: "&amp;A283&amp;". Ubicacion: "&amp;"https://www.google.com/maps/search/?api=1&amp;query="&amp;SUBSTITUTE(F283," ",""))),"")</f>
        <v/>
      </c>
      <c r="M283" s="8">
        <f>IF(B283&lt;&gt;"",TODAY(),"")</f>
        <v/>
      </c>
      <c r="N283" s="8">
        <f>IF(F283&lt;&gt;"",IFERROR(IF(AND(REGEXMATCH(SUBSTITUTE(TRIM(F283)," ",""),"^-?\d+(\.\d+)?,-?\d+(\.\d+)?$"),VALUE(REGEXEXTRACT(SUBSTITUTE(TRIM(F283)," ",""),"^-?\d+(\.\d+)?"))&gt;=-90,VALUE(REGEXEXTRACT(SUBSTITUTE(TRIM(F283)," ",""),"^-?\d+(\.\d+)?"))&lt;=90,VALUE(REGEXEXTRACT(SUBSTITUTE(TRIM(F283)," ",""),"-?\d+(\.\d+)?$"))&gt;=-180,VALUE(REGEXEXTRACT(SUBSTITUTE(TRIM(F283)," ",""),"-?\d+(\.\d+)?$"))&lt;=180),"OK","REVISAR"),"REVISAR"),"")</f>
        <v/>
      </c>
      <c r="O283">
        <f>IF(A283&lt;&gt;"","https://direcciones507.github.io/direcciones507/panel.html?codigo="&amp;A283&amp;"&amp;nombre="&amp;ENCODEURL(B283)&amp;"&amp;telefono="&amp;SUBSTITUTE(C283,"-","")&amp;"&amp;referencia="&amp;ENCODEURL(E283)&amp;"&amp;lat="&amp;IZQUIERDA(SUBSTITUTE(F283," ",""),ENCONTRAR(",",SUBSTITUTE(F283," ",""))-1)&amp;"&amp;lng="&amp;DERECHA(SUBSTITUTE(F283," ",""),LARGO(SUBSTITUTE(F283," ",""))-ENCONTRAR(",",SUBSTITUTE(F283," ",""))),"")</f>
        <v/>
      </c>
    </row>
    <row r="284" ht="15.75" customHeight="1" s="10">
      <c r="A284" s="8">
        <f>CONCAT("AD507-",TEXT(ROW()-2,"0000"))</f>
        <v/>
      </c>
      <c r="C284" s="8" t="n"/>
      <c r="F284" s="8" t="n"/>
      <c r="G284" s="8">
        <f>IF(F284&lt;&gt;"",HYPERLINK("https://www.google.com/maps/search/?api=1&amp;query="&amp;SUBSTITUTE(F284," ",""),"🗺 Google Maps"),"")</f>
        <v/>
      </c>
      <c r="H284" s="8">
        <f>IF(F284&lt;&gt;"",HYPERLINK("https://waze.com/ul?ll="&amp;SUBSTITUTE(F284," ","")&amp;"&amp;navigate=yes","🚗 Waze"),"")</f>
        <v/>
      </c>
      <c r="I284" s="8">
        <f>IF(F284&lt;&gt;"",HYPERLINK("https://m.uber.com/ul/?action=setPickup&amp;pickup=my_location&amp;dropoff[latitude]="&amp;LEFT(SUBSTITUTE(F284," ",""),FIND(",",SUBSTITUTE(F284," ",""))-1)&amp;"&amp;dropoff[longitude]="&amp;MID(SUBSTITUTE(F284," ",""),FIND(",",SUBSTITUTE(F284," ",""))+1,99),"🚕 Uber"),"")</f>
        <v/>
      </c>
      <c r="J284" s="8">
        <f>IF(F284&lt;&gt;"","https://api.qrserver.com/v1/create-qr-code/?size=200x200&amp;data="&amp;ENCODEURL("https://www.google.com/maps/search/?api=1&amp;query="&amp;SUBSTITUTE(F284," ","")),"")</f>
        <v/>
      </c>
      <c r="K284" s="8">
        <f>IF(C284&lt;&gt;"",HYPERLINK("https://wa.me/507"&amp;REGEXREPLACE(C284,"[^0-9]","")&amp;"?text="&amp;ENCODEURL("Ya llegue. Codigo: "&amp;A284&amp;". Ubicacion: "&amp;"https://www.google.com/maps/search/?api=1&amp;query="&amp;SUBSTITUTE(F284," ","")),"📲 Avisar al cliente"),"")</f>
        <v/>
      </c>
      <c r="L284" s="8">
        <f>IF(C284&lt;&gt;"","https://api.qrserver.com/v1/create-qr-code/?size=200x200&amp;data="&amp;ENCODEURL("https://wa.me/507"&amp;REGEXREPLACE(C284,"[^0-9]","")&amp;"?text="&amp;ENCODEURL("Ya llegue. Codigo: "&amp;A284&amp;". Ubicacion: "&amp;"https://www.google.com/maps/search/?api=1&amp;query="&amp;SUBSTITUTE(F284," ",""))),"")</f>
        <v/>
      </c>
      <c r="M284" s="8">
        <f>IF(B284&lt;&gt;"",TODAY(),"")</f>
        <v/>
      </c>
      <c r="N284" s="8">
        <f>IF(F284&lt;&gt;"",IFERROR(IF(AND(REGEXMATCH(SUBSTITUTE(TRIM(F284)," ",""),"^-?\d+(\.\d+)?,-?\d+(\.\d+)?$"),VALUE(REGEXEXTRACT(SUBSTITUTE(TRIM(F284)," ",""),"^-?\d+(\.\d+)?"))&gt;=-90,VALUE(REGEXEXTRACT(SUBSTITUTE(TRIM(F284)," ",""),"^-?\d+(\.\d+)?"))&lt;=90,VALUE(REGEXEXTRACT(SUBSTITUTE(TRIM(F284)," ",""),"-?\d+(\.\d+)?$"))&gt;=-180,VALUE(REGEXEXTRACT(SUBSTITUTE(TRIM(F284)," ",""),"-?\d+(\.\d+)?$"))&lt;=180),"OK","REVISAR"),"REVISAR"),"")</f>
        <v/>
      </c>
      <c r="O284">
        <f>IF(A284&lt;&gt;"","https://direcciones507.github.io/direcciones507/panel.html?codigo="&amp;A284&amp;"&amp;nombre="&amp;ENCODEURL(B284)&amp;"&amp;telefono="&amp;SUBSTITUTE(C284,"-","")&amp;"&amp;referencia="&amp;ENCODEURL(E284)&amp;"&amp;lat="&amp;IZQUIERDA(SUBSTITUTE(F284," ",""),ENCONTRAR(",",SUBSTITUTE(F284," ",""))-1)&amp;"&amp;lng="&amp;DERECHA(SUBSTITUTE(F284," ",""),LARGO(SUBSTITUTE(F284," ",""))-ENCONTRAR(",",SUBSTITUTE(F284," ",""))),"")</f>
        <v/>
      </c>
    </row>
    <row r="285" ht="15.75" customHeight="1" s="10">
      <c r="A285" s="8">
        <f>CONCAT("AD507-",TEXT(ROW()-2,"0000"))</f>
        <v/>
      </c>
      <c r="C285" s="8" t="n"/>
      <c r="F285" s="8" t="n"/>
      <c r="G285" s="8">
        <f>IF(F285&lt;&gt;"",HYPERLINK("https://www.google.com/maps/search/?api=1&amp;query="&amp;SUBSTITUTE(F285," ",""),"🗺 Google Maps"),"")</f>
        <v/>
      </c>
      <c r="H285" s="8">
        <f>IF(F285&lt;&gt;"",HYPERLINK("https://waze.com/ul?ll="&amp;SUBSTITUTE(F285," ","")&amp;"&amp;navigate=yes","🚗 Waze"),"")</f>
        <v/>
      </c>
      <c r="I285" s="8">
        <f>IF(F285&lt;&gt;"",HYPERLINK("https://m.uber.com/ul/?action=setPickup&amp;pickup=my_location&amp;dropoff[latitude]="&amp;LEFT(SUBSTITUTE(F285," ",""),FIND(",",SUBSTITUTE(F285," ",""))-1)&amp;"&amp;dropoff[longitude]="&amp;MID(SUBSTITUTE(F285," ",""),FIND(",",SUBSTITUTE(F285," ",""))+1,99),"🚕 Uber"),"")</f>
        <v/>
      </c>
      <c r="J285" s="8">
        <f>IF(F285&lt;&gt;"","https://api.qrserver.com/v1/create-qr-code/?size=200x200&amp;data="&amp;ENCODEURL("https://www.google.com/maps/search/?api=1&amp;query="&amp;SUBSTITUTE(F285," ","")),"")</f>
        <v/>
      </c>
      <c r="K285" s="8">
        <f>IF(C285&lt;&gt;"",HYPERLINK("https://wa.me/507"&amp;REGEXREPLACE(C285,"[^0-9]","")&amp;"?text="&amp;ENCODEURL("Ya llegue. Codigo: "&amp;A285&amp;". Ubicacion: "&amp;"https://www.google.com/maps/search/?api=1&amp;query="&amp;SUBSTITUTE(F285," ","")),"📲 Avisar al cliente"),"")</f>
        <v/>
      </c>
      <c r="L285" s="8">
        <f>IF(C285&lt;&gt;"","https://api.qrserver.com/v1/create-qr-code/?size=200x200&amp;data="&amp;ENCODEURL("https://wa.me/507"&amp;REGEXREPLACE(C285,"[^0-9]","")&amp;"?text="&amp;ENCODEURL("Ya llegue. Codigo: "&amp;A285&amp;". Ubicacion: "&amp;"https://www.google.com/maps/search/?api=1&amp;query="&amp;SUBSTITUTE(F285," ",""))),"")</f>
        <v/>
      </c>
      <c r="M285" s="8">
        <f>IF(B285&lt;&gt;"",TODAY(),"")</f>
        <v/>
      </c>
      <c r="N285" s="8">
        <f>IF(F285&lt;&gt;"",IFERROR(IF(AND(REGEXMATCH(SUBSTITUTE(TRIM(F285)," ",""),"^-?\d+(\.\d+)?,-?\d+(\.\d+)?$"),VALUE(REGEXEXTRACT(SUBSTITUTE(TRIM(F285)," ",""),"^-?\d+(\.\d+)?"))&gt;=-90,VALUE(REGEXEXTRACT(SUBSTITUTE(TRIM(F285)," ",""),"^-?\d+(\.\d+)?"))&lt;=90,VALUE(REGEXEXTRACT(SUBSTITUTE(TRIM(F285)," ",""),"-?\d+(\.\d+)?$"))&gt;=-180,VALUE(REGEXEXTRACT(SUBSTITUTE(TRIM(F285)," ",""),"-?\d+(\.\d+)?$"))&lt;=180),"OK","REVISAR"),"REVISAR"),"")</f>
        <v/>
      </c>
      <c r="O285">
        <f>IF(A285&lt;&gt;"","https://direcciones507.github.io/direcciones507/panel.html?codigo="&amp;A285&amp;"&amp;nombre="&amp;ENCODEURL(B285)&amp;"&amp;telefono="&amp;SUBSTITUTE(C285,"-","")&amp;"&amp;referencia="&amp;ENCODEURL(E285)&amp;"&amp;lat="&amp;IZQUIERDA(SUBSTITUTE(F285," ",""),ENCONTRAR(",",SUBSTITUTE(F285," ",""))-1)&amp;"&amp;lng="&amp;DERECHA(SUBSTITUTE(F285," ",""),LARGO(SUBSTITUTE(F285," ",""))-ENCONTRAR(",",SUBSTITUTE(F285," ",""))),"")</f>
        <v/>
      </c>
    </row>
    <row r="286" ht="15.75" customHeight="1" s="10">
      <c r="A286" s="8">
        <f>CONCAT("AD507-",TEXT(ROW()-2,"0000"))</f>
        <v/>
      </c>
      <c r="C286" s="8" t="n"/>
      <c r="F286" s="8" t="n"/>
      <c r="G286" s="8">
        <f>IF(F286&lt;&gt;"",HYPERLINK("https://www.google.com/maps/search/?api=1&amp;query="&amp;SUBSTITUTE(F286," ",""),"🗺 Google Maps"),"")</f>
        <v/>
      </c>
      <c r="H286" s="8">
        <f>IF(F286&lt;&gt;"",HYPERLINK("https://waze.com/ul?ll="&amp;SUBSTITUTE(F286," ","")&amp;"&amp;navigate=yes","🚗 Waze"),"")</f>
        <v/>
      </c>
      <c r="I286" s="8">
        <f>IF(F286&lt;&gt;"",HYPERLINK("https://m.uber.com/ul/?action=setPickup&amp;pickup=my_location&amp;dropoff[latitude]="&amp;LEFT(SUBSTITUTE(F286," ",""),FIND(",",SUBSTITUTE(F286," ",""))-1)&amp;"&amp;dropoff[longitude]="&amp;MID(SUBSTITUTE(F286," ",""),FIND(",",SUBSTITUTE(F286," ",""))+1,99),"🚕 Uber"),"")</f>
        <v/>
      </c>
      <c r="J286" s="8">
        <f>IF(F286&lt;&gt;"","https://api.qrserver.com/v1/create-qr-code/?size=200x200&amp;data="&amp;ENCODEURL("https://www.google.com/maps/search/?api=1&amp;query="&amp;SUBSTITUTE(F286," ","")),"")</f>
        <v/>
      </c>
      <c r="K286" s="8">
        <f>IF(C286&lt;&gt;"",HYPERLINK("https://wa.me/507"&amp;REGEXREPLACE(C286,"[^0-9]","")&amp;"?text="&amp;ENCODEURL("Ya llegue. Codigo: "&amp;A286&amp;". Ubicacion: "&amp;"https://www.google.com/maps/search/?api=1&amp;query="&amp;SUBSTITUTE(F286," ","")),"📲 Avisar al cliente"),"")</f>
        <v/>
      </c>
      <c r="L286" s="8">
        <f>IF(C286&lt;&gt;"","https://api.qrserver.com/v1/create-qr-code/?size=200x200&amp;data="&amp;ENCODEURL("https://wa.me/507"&amp;REGEXREPLACE(C286,"[^0-9]","")&amp;"?text="&amp;ENCODEURL("Ya llegue. Codigo: "&amp;A286&amp;". Ubicacion: "&amp;"https://www.google.com/maps/search/?api=1&amp;query="&amp;SUBSTITUTE(F286," ",""))),"")</f>
        <v/>
      </c>
      <c r="M286" s="8">
        <f>IF(B286&lt;&gt;"",TODAY(),"")</f>
        <v/>
      </c>
      <c r="N286" s="8">
        <f>IF(F286&lt;&gt;"",IFERROR(IF(AND(REGEXMATCH(SUBSTITUTE(TRIM(F286)," ",""),"^-?\d+(\.\d+)?,-?\d+(\.\d+)?$"),VALUE(REGEXEXTRACT(SUBSTITUTE(TRIM(F286)," ",""),"^-?\d+(\.\d+)?"))&gt;=-90,VALUE(REGEXEXTRACT(SUBSTITUTE(TRIM(F286)," ",""),"^-?\d+(\.\d+)?"))&lt;=90,VALUE(REGEXEXTRACT(SUBSTITUTE(TRIM(F286)," ",""),"-?\d+(\.\d+)?$"))&gt;=-180,VALUE(REGEXEXTRACT(SUBSTITUTE(TRIM(F286)," ",""),"-?\d+(\.\d+)?$"))&lt;=180),"OK","REVISAR"),"REVISAR"),"")</f>
        <v/>
      </c>
      <c r="O286">
        <f>IF(A286&lt;&gt;"","https://direcciones507.github.io/direcciones507/panel.html?codigo="&amp;A286&amp;"&amp;nombre="&amp;ENCODEURL(B286)&amp;"&amp;telefono="&amp;SUBSTITUTE(C286,"-","")&amp;"&amp;referencia="&amp;ENCODEURL(E286)&amp;"&amp;lat="&amp;IZQUIERDA(SUBSTITUTE(F286," ",""),ENCONTRAR(",",SUBSTITUTE(F286," ",""))-1)&amp;"&amp;lng="&amp;DERECHA(SUBSTITUTE(F286," ",""),LARGO(SUBSTITUTE(F286," ",""))-ENCONTRAR(",",SUBSTITUTE(F286," ",""))),"")</f>
        <v/>
      </c>
    </row>
    <row r="287" ht="15.75" customHeight="1" s="10">
      <c r="A287" s="8">
        <f>CONCAT("AD507-",TEXT(ROW()-2,"0000"))</f>
        <v/>
      </c>
      <c r="C287" s="8" t="n"/>
      <c r="F287" s="8" t="n"/>
      <c r="G287" s="8">
        <f>IF(F287&lt;&gt;"",HYPERLINK("https://www.google.com/maps/search/?api=1&amp;query="&amp;SUBSTITUTE(F287," ",""),"🗺 Google Maps"),"")</f>
        <v/>
      </c>
      <c r="H287" s="8">
        <f>IF(F287&lt;&gt;"",HYPERLINK("https://waze.com/ul?ll="&amp;SUBSTITUTE(F287," ","")&amp;"&amp;navigate=yes","🚗 Waze"),"")</f>
        <v/>
      </c>
      <c r="I287" s="8">
        <f>IF(F287&lt;&gt;"",HYPERLINK("https://m.uber.com/ul/?action=setPickup&amp;pickup=my_location&amp;dropoff[latitude]="&amp;LEFT(SUBSTITUTE(F287," ",""),FIND(",",SUBSTITUTE(F287," ",""))-1)&amp;"&amp;dropoff[longitude]="&amp;MID(SUBSTITUTE(F287," ",""),FIND(",",SUBSTITUTE(F287," ",""))+1,99),"🚕 Uber"),"")</f>
        <v/>
      </c>
      <c r="J287" s="8">
        <f>IF(F287&lt;&gt;"","https://api.qrserver.com/v1/create-qr-code/?size=200x200&amp;data="&amp;ENCODEURL("https://www.google.com/maps/search/?api=1&amp;query="&amp;SUBSTITUTE(F287," ","")),"")</f>
        <v/>
      </c>
      <c r="K287" s="8">
        <f>IF(C287&lt;&gt;"",HYPERLINK("https://wa.me/507"&amp;REGEXREPLACE(C287,"[^0-9]","")&amp;"?text="&amp;ENCODEURL("Ya llegue. Codigo: "&amp;A287&amp;". Ubicacion: "&amp;"https://www.google.com/maps/search/?api=1&amp;query="&amp;SUBSTITUTE(F287," ","")),"📲 Avisar al cliente"),"")</f>
        <v/>
      </c>
      <c r="L287" s="8">
        <f>IF(C287&lt;&gt;"","https://api.qrserver.com/v1/create-qr-code/?size=200x200&amp;data="&amp;ENCODEURL("https://wa.me/507"&amp;REGEXREPLACE(C287,"[^0-9]","")&amp;"?text="&amp;ENCODEURL("Ya llegue. Codigo: "&amp;A287&amp;". Ubicacion: "&amp;"https://www.google.com/maps/search/?api=1&amp;query="&amp;SUBSTITUTE(F287," ",""))),"")</f>
        <v/>
      </c>
      <c r="M287" s="8">
        <f>IF(B287&lt;&gt;"",TODAY(),"")</f>
        <v/>
      </c>
      <c r="N287" s="8">
        <f>IF(F287&lt;&gt;"",IFERROR(IF(AND(REGEXMATCH(SUBSTITUTE(TRIM(F287)," ",""),"^-?\d+(\.\d+)?,-?\d+(\.\d+)?$"),VALUE(REGEXEXTRACT(SUBSTITUTE(TRIM(F287)," ",""),"^-?\d+(\.\d+)?"))&gt;=-90,VALUE(REGEXEXTRACT(SUBSTITUTE(TRIM(F287)," ",""),"^-?\d+(\.\d+)?"))&lt;=90,VALUE(REGEXEXTRACT(SUBSTITUTE(TRIM(F287)," ",""),"-?\d+(\.\d+)?$"))&gt;=-180,VALUE(REGEXEXTRACT(SUBSTITUTE(TRIM(F287)," ",""),"-?\d+(\.\d+)?$"))&lt;=180),"OK","REVISAR"),"REVISAR"),"")</f>
        <v/>
      </c>
      <c r="O287">
        <f>IF(A287&lt;&gt;"","https://direcciones507.github.io/direcciones507/panel.html?codigo="&amp;A287&amp;"&amp;nombre="&amp;ENCODEURL(B287)&amp;"&amp;telefono="&amp;SUBSTITUTE(C287,"-","")&amp;"&amp;referencia="&amp;ENCODEURL(E287)&amp;"&amp;lat="&amp;IZQUIERDA(SUBSTITUTE(F287," ",""),ENCONTRAR(",",SUBSTITUTE(F287," ",""))-1)&amp;"&amp;lng="&amp;DERECHA(SUBSTITUTE(F287," ",""),LARGO(SUBSTITUTE(F287," ",""))-ENCONTRAR(",",SUBSTITUTE(F287," ",""))),"")</f>
        <v/>
      </c>
    </row>
    <row r="288" ht="15.75" customHeight="1" s="10">
      <c r="A288" s="8">
        <f>CONCAT("AD507-",TEXT(ROW()-2,"0000"))</f>
        <v/>
      </c>
      <c r="C288" s="8" t="n"/>
      <c r="F288" s="8" t="n"/>
      <c r="G288" s="8">
        <f>IF(F288&lt;&gt;"",HYPERLINK("https://www.google.com/maps/search/?api=1&amp;query="&amp;SUBSTITUTE(F288," ",""),"🗺 Google Maps"),"")</f>
        <v/>
      </c>
      <c r="H288" s="8">
        <f>IF(F288&lt;&gt;"",HYPERLINK("https://waze.com/ul?ll="&amp;SUBSTITUTE(F288," ","")&amp;"&amp;navigate=yes","🚗 Waze"),"")</f>
        <v/>
      </c>
      <c r="I288" s="8">
        <f>IF(F288&lt;&gt;"",HYPERLINK("https://m.uber.com/ul/?action=setPickup&amp;pickup=my_location&amp;dropoff[latitude]="&amp;LEFT(SUBSTITUTE(F288," ",""),FIND(",",SUBSTITUTE(F288," ",""))-1)&amp;"&amp;dropoff[longitude]="&amp;MID(SUBSTITUTE(F288," ",""),FIND(",",SUBSTITUTE(F288," ",""))+1,99),"🚕 Uber"),"")</f>
        <v/>
      </c>
      <c r="J288" s="8">
        <f>IF(F288&lt;&gt;"","https://api.qrserver.com/v1/create-qr-code/?size=200x200&amp;data="&amp;ENCODEURL("https://www.google.com/maps/search/?api=1&amp;query="&amp;SUBSTITUTE(F288," ","")),"")</f>
        <v/>
      </c>
      <c r="K288" s="8">
        <f>IF(C288&lt;&gt;"",HYPERLINK("https://wa.me/507"&amp;REGEXREPLACE(C288,"[^0-9]","")&amp;"?text="&amp;ENCODEURL("Ya llegue. Codigo: "&amp;A288&amp;". Ubicacion: "&amp;"https://www.google.com/maps/search/?api=1&amp;query="&amp;SUBSTITUTE(F288," ","")),"📲 Avisar al cliente"),"")</f>
        <v/>
      </c>
      <c r="L288" s="8">
        <f>IF(C288&lt;&gt;"","https://api.qrserver.com/v1/create-qr-code/?size=200x200&amp;data="&amp;ENCODEURL("https://wa.me/507"&amp;REGEXREPLACE(C288,"[^0-9]","")&amp;"?text="&amp;ENCODEURL("Ya llegue. Codigo: "&amp;A288&amp;". Ubicacion: "&amp;"https://www.google.com/maps/search/?api=1&amp;query="&amp;SUBSTITUTE(F288," ",""))),"")</f>
        <v/>
      </c>
      <c r="M288" s="8">
        <f>IF(B288&lt;&gt;"",TODAY(),"")</f>
        <v/>
      </c>
      <c r="N288" s="8">
        <f>IF(F288&lt;&gt;"",IFERROR(IF(AND(REGEXMATCH(SUBSTITUTE(TRIM(F288)," ",""),"^-?\d+(\.\d+)?,-?\d+(\.\d+)?$"),VALUE(REGEXEXTRACT(SUBSTITUTE(TRIM(F288)," ",""),"^-?\d+(\.\d+)?"))&gt;=-90,VALUE(REGEXEXTRACT(SUBSTITUTE(TRIM(F288)," ",""),"^-?\d+(\.\d+)?"))&lt;=90,VALUE(REGEXEXTRACT(SUBSTITUTE(TRIM(F288)," ",""),"-?\d+(\.\d+)?$"))&gt;=-180,VALUE(REGEXEXTRACT(SUBSTITUTE(TRIM(F288)," ",""),"-?\d+(\.\d+)?$"))&lt;=180),"OK","REVISAR"),"REVISAR"),"")</f>
        <v/>
      </c>
      <c r="O288">
        <f>IF(A288&lt;&gt;"","https://direcciones507.github.io/direcciones507/panel.html?codigo="&amp;A288&amp;"&amp;nombre="&amp;ENCODEURL(B288)&amp;"&amp;telefono="&amp;SUBSTITUTE(C288,"-","")&amp;"&amp;referencia="&amp;ENCODEURL(E288)&amp;"&amp;lat="&amp;IZQUIERDA(SUBSTITUTE(F288," ",""),ENCONTRAR(",",SUBSTITUTE(F288," ",""))-1)&amp;"&amp;lng="&amp;DERECHA(SUBSTITUTE(F288," ",""),LARGO(SUBSTITUTE(F288," ",""))-ENCONTRAR(",",SUBSTITUTE(F288," ",""))),"")</f>
        <v/>
      </c>
    </row>
    <row r="289" ht="15.75" customHeight="1" s="10">
      <c r="A289" s="8">
        <f>CONCAT("AD507-",TEXT(ROW()-2,"0000"))</f>
        <v/>
      </c>
      <c r="C289" s="8" t="n"/>
      <c r="F289" s="8" t="n"/>
      <c r="G289" s="8">
        <f>IF(F289&lt;&gt;"",HYPERLINK("https://www.google.com/maps/search/?api=1&amp;query="&amp;SUBSTITUTE(F289," ",""),"🗺 Google Maps"),"")</f>
        <v/>
      </c>
      <c r="H289" s="8">
        <f>IF(F289&lt;&gt;"",HYPERLINK("https://waze.com/ul?ll="&amp;SUBSTITUTE(F289," ","")&amp;"&amp;navigate=yes","🚗 Waze"),"")</f>
        <v/>
      </c>
      <c r="I289" s="8">
        <f>IF(F289&lt;&gt;"",HYPERLINK("https://m.uber.com/ul/?action=setPickup&amp;pickup=my_location&amp;dropoff[latitude]="&amp;LEFT(SUBSTITUTE(F289," ",""),FIND(",",SUBSTITUTE(F289," ",""))-1)&amp;"&amp;dropoff[longitude]="&amp;MID(SUBSTITUTE(F289," ",""),FIND(",",SUBSTITUTE(F289," ",""))+1,99),"🚕 Uber"),"")</f>
        <v/>
      </c>
      <c r="J289" s="8">
        <f>IF(F289&lt;&gt;"","https://api.qrserver.com/v1/create-qr-code/?size=200x200&amp;data="&amp;ENCODEURL("https://www.google.com/maps/search/?api=1&amp;query="&amp;SUBSTITUTE(F289," ","")),"")</f>
        <v/>
      </c>
      <c r="K289" s="8">
        <f>IF(C289&lt;&gt;"",HYPERLINK("https://wa.me/507"&amp;REGEXREPLACE(C289,"[^0-9]","")&amp;"?text="&amp;ENCODEURL("Ya llegue. Codigo: "&amp;A289&amp;". Ubicacion: "&amp;"https://www.google.com/maps/search/?api=1&amp;query="&amp;SUBSTITUTE(F289," ","")),"📲 Avisar al cliente"),"")</f>
        <v/>
      </c>
      <c r="L289" s="8">
        <f>IF(C289&lt;&gt;"","https://api.qrserver.com/v1/create-qr-code/?size=200x200&amp;data="&amp;ENCODEURL("https://wa.me/507"&amp;REGEXREPLACE(C289,"[^0-9]","")&amp;"?text="&amp;ENCODEURL("Ya llegue. Codigo: "&amp;A289&amp;". Ubicacion: "&amp;"https://www.google.com/maps/search/?api=1&amp;query="&amp;SUBSTITUTE(F289," ",""))),"")</f>
        <v/>
      </c>
      <c r="M289" s="8">
        <f>IF(B289&lt;&gt;"",TODAY(),"")</f>
        <v/>
      </c>
      <c r="N289" s="8">
        <f>IF(F289&lt;&gt;"",IFERROR(IF(AND(REGEXMATCH(SUBSTITUTE(TRIM(F289)," ",""),"^-?\d+(\.\d+)?,-?\d+(\.\d+)?$"),VALUE(REGEXEXTRACT(SUBSTITUTE(TRIM(F289)," ",""),"^-?\d+(\.\d+)?"))&gt;=-90,VALUE(REGEXEXTRACT(SUBSTITUTE(TRIM(F289)," ",""),"^-?\d+(\.\d+)?"))&lt;=90,VALUE(REGEXEXTRACT(SUBSTITUTE(TRIM(F289)," ",""),"-?\d+(\.\d+)?$"))&gt;=-180,VALUE(REGEXEXTRACT(SUBSTITUTE(TRIM(F289)," ",""),"-?\d+(\.\d+)?$"))&lt;=180),"OK","REVISAR"),"REVISAR"),"")</f>
        <v/>
      </c>
      <c r="O289">
        <f>IF(A289&lt;&gt;"","https://direcciones507.github.io/direcciones507/panel.html?codigo="&amp;A289&amp;"&amp;nombre="&amp;ENCODEURL(B289)&amp;"&amp;telefono="&amp;SUBSTITUTE(C289,"-","")&amp;"&amp;referencia="&amp;ENCODEURL(E289)&amp;"&amp;lat="&amp;IZQUIERDA(SUBSTITUTE(F289," ",""),ENCONTRAR(",",SUBSTITUTE(F289," ",""))-1)&amp;"&amp;lng="&amp;DERECHA(SUBSTITUTE(F289," ",""),LARGO(SUBSTITUTE(F289," ",""))-ENCONTRAR(",",SUBSTITUTE(F289," ",""))),"")</f>
        <v/>
      </c>
    </row>
    <row r="290" ht="15.75" customHeight="1" s="10">
      <c r="A290" s="8">
        <f>CONCAT("AD507-",TEXT(ROW()-2,"0000"))</f>
        <v/>
      </c>
      <c r="C290" s="8" t="n"/>
      <c r="F290" s="8" t="n"/>
      <c r="G290" s="8">
        <f>IF(F290&lt;&gt;"",HYPERLINK("https://www.google.com/maps/search/?api=1&amp;query="&amp;SUBSTITUTE(F290," ",""),"🗺 Google Maps"),"")</f>
        <v/>
      </c>
      <c r="H290" s="8">
        <f>IF(F290&lt;&gt;"",HYPERLINK("https://waze.com/ul?ll="&amp;SUBSTITUTE(F290," ","")&amp;"&amp;navigate=yes","🚗 Waze"),"")</f>
        <v/>
      </c>
      <c r="I290" s="8">
        <f>IF(F290&lt;&gt;"",HYPERLINK("https://m.uber.com/ul/?action=setPickup&amp;pickup=my_location&amp;dropoff[latitude]="&amp;LEFT(SUBSTITUTE(F290," ",""),FIND(",",SUBSTITUTE(F290," ",""))-1)&amp;"&amp;dropoff[longitude]="&amp;MID(SUBSTITUTE(F290," ",""),FIND(",",SUBSTITUTE(F290," ",""))+1,99),"🚕 Uber"),"")</f>
        <v/>
      </c>
      <c r="J290" s="8">
        <f>IF(F290&lt;&gt;"","https://api.qrserver.com/v1/create-qr-code/?size=200x200&amp;data="&amp;ENCODEURL("https://www.google.com/maps/search/?api=1&amp;query="&amp;SUBSTITUTE(F290," ","")),"")</f>
        <v/>
      </c>
      <c r="K290" s="8">
        <f>IF(C290&lt;&gt;"",HYPERLINK("https://wa.me/507"&amp;REGEXREPLACE(C290,"[^0-9]","")&amp;"?text="&amp;ENCODEURL("Ya llegue. Codigo: "&amp;A290&amp;". Ubicacion: "&amp;"https://www.google.com/maps/search/?api=1&amp;query="&amp;SUBSTITUTE(F290," ","")),"📲 Avisar al cliente"),"")</f>
        <v/>
      </c>
      <c r="L290" s="8">
        <f>IF(C290&lt;&gt;"","https://api.qrserver.com/v1/create-qr-code/?size=200x200&amp;data="&amp;ENCODEURL("https://wa.me/507"&amp;REGEXREPLACE(C290,"[^0-9]","")&amp;"?text="&amp;ENCODEURL("Ya llegue. Codigo: "&amp;A290&amp;". Ubicacion: "&amp;"https://www.google.com/maps/search/?api=1&amp;query="&amp;SUBSTITUTE(F290," ",""))),"")</f>
        <v/>
      </c>
      <c r="M290" s="8">
        <f>IF(B290&lt;&gt;"",TODAY(),"")</f>
        <v/>
      </c>
      <c r="N290" s="8">
        <f>IF(F290&lt;&gt;"",IFERROR(IF(AND(REGEXMATCH(SUBSTITUTE(TRIM(F290)," ",""),"^-?\d+(\.\d+)?,-?\d+(\.\d+)?$"),VALUE(REGEXEXTRACT(SUBSTITUTE(TRIM(F290)," ",""),"^-?\d+(\.\d+)?"))&gt;=-90,VALUE(REGEXEXTRACT(SUBSTITUTE(TRIM(F290)," ",""),"^-?\d+(\.\d+)?"))&lt;=90,VALUE(REGEXEXTRACT(SUBSTITUTE(TRIM(F290)," ",""),"-?\d+(\.\d+)?$"))&gt;=-180,VALUE(REGEXEXTRACT(SUBSTITUTE(TRIM(F290)," ",""),"-?\d+(\.\d+)?$"))&lt;=180),"OK","REVISAR"),"REVISAR"),"")</f>
        <v/>
      </c>
      <c r="O290">
        <f>IF(A290&lt;&gt;"","https://direcciones507.github.io/direcciones507/panel.html?codigo="&amp;A290&amp;"&amp;nombre="&amp;ENCODEURL(B290)&amp;"&amp;telefono="&amp;SUBSTITUTE(C290,"-","")&amp;"&amp;referencia="&amp;ENCODEURL(E290)&amp;"&amp;lat="&amp;IZQUIERDA(SUBSTITUTE(F290," ",""),ENCONTRAR(",",SUBSTITUTE(F290," ",""))-1)&amp;"&amp;lng="&amp;DERECHA(SUBSTITUTE(F290," ",""),LARGO(SUBSTITUTE(F290," ",""))-ENCONTRAR(",",SUBSTITUTE(F290," ",""))),"")</f>
        <v/>
      </c>
    </row>
    <row r="291" ht="15.75" customHeight="1" s="10">
      <c r="A291" s="8">
        <f>CONCAT("AD507-",TEXT(ROW()-2,"0000"))</f>
        <v/>
      </c>
      <c r="C291" s="8" t="n"/>
      <c r="F291" s="8" t="n"/>
      <c r="G291" s="8">
        <f>IF(F291&lt;&gt;"",HYPERLINK("https://www.google.com/maps/search/?api=1&amp;query="&amp;SUBSTITUTE(F291," ",""),"🗺 Google Maps"),"")</f>
        <v/>
      </c>
      <c r="H291" s="8">
        <f>IF(F291&lt;&gt;"",HYPERLINK("https://waze.com/ul?ll="&amp;SUBSTITUTE(F291," ","")&amp;"&amp;navigate=yes","🚗 Waze"),"")</f>
        <v/>
      </c>
      <c r="I291" s="8">
        <f>IF(F291&lt;&gt;"",HYPERLINK("https://m.uber.com/ul/?action=setPickup&amp;pickup=my_location&amp;dropoff[latitude]="&amp;LEFT(SUBSTITUTE(F291," ",""),FIND(",",SUBSTITUTE(F291," ",""))-1)&amp;"&amp;dropoff[longitude]="&amp;MID(SUBSTITUTE(F291," ",""),FIND(",",SUBSTITUTE(F291," ",""))+1,99),"🚕 Uber"),"")</f>
        <v/>
      </c>
      <c r="J291" s="8">
        <f>IF(F291&lt;&gt;"","https://api.qrserver.com/v1/create-qr-code/?size=200x200&amp;data="&amp;ENCODEURL("https://www.google.com/maps/search/?api=1&amp;query="&amp;SUBSTITUTE(F291," ","")),"")</f>
        <v/>
      </c>
      <c r="K291" s="8">
        <f>IF(C291&lt;&gt;"",HYPERLINK("https://wa.me/507"&amp;REGEXREPLACE(C291,"[^0-9]","")&amp;"?text="&amp;ENCODEURL("Ya llegue. Codigo: "&amp;A291&amp;". Ubicacion: "&amp;"https://www.google.com/maps/search/?api=1&amp;query="&amp;SUBSTITUTE(F291," ","")),"📲 Avisar al cliente"),"")</f>
        <v/>
      </c>
      <c r="L291" s="8">
        <f>IF(C291&lt;&gt;"","https://api.qrserver.com/v1/create-qr-code/?size=200x200&amp;data="&amp;ENCODEURL("https://wa.me/507"&amp;REGEXREPLACE(C291,"[^0-9]","")&amp;"?text="&amp;ENCODEURL("Ya llegue. Codigo: "&amp;A291&amp;". Ubicacion: "&amp;"https://www.google.com/maps/search/?api=1&amp;query="&amp;SUBSTITUTE(F291," ",""))),"")</f>
        <v/>
      </c>
      <c r="M291" s="8">
        <f>IF(B291&lt;&gt;"",TODAY(),"")</f>
        <v/>
      </c>
      <c r="N291" s="8">
        <f>IF(F291&lt;&gt;"",IFERROR(IF(AND(REGEXMATCH(SUBSTITUTE(TRIM(F291)," ",""),"^-?\d+(\.\d+)?,-?\d+(\.\d+)?$"),VALUE(REGEXEXTRACT(SUBSTITUTE(TRIM(F291)," ",""),"^-?\d+(\.\d+)?"))&gt;=-90,VALUE(REGEXEXTRACT(SUBSTITUTE(TRIM(F291)," ",""),"^-?\d+(\.\d+)?"))&lt;=90,VALUE(REGEXEXTRACT(SUBSTITUTE(TRIM(F291)," ",""),"-?\d+(\.\d+)?$"))&gt;=-180,VALUE(REGEXEXTRACT(SUBSTITUTE(TRIM(F291)," ",""),"-?\d+(\.\d+)?$"))&lt;=180),"OK","REVISAR"),"REVISAR"),"")</f>
        <v/>
      </c>
      <c r="O291">
        <f>IF(A291&lt;&gt;"","https://direcciones507.github.io/direcciones507/panel.html?codigo="&amp;A291&amp;"&amp;nombre="&amp;ENCODEURL(B291)&amp;"&amp;telefono="&amp;SUBSTITUTE(C291,"-","")&amp;"&amp;referencia="&amp;ENCODEURL(E291)&amp;"&amp;lat="&amp;IZQUIERDA(SUBSTITUTE(F291," ",""),ENCONTRAR(",",SUBSTITUTE(F291," ",""))-1)&amp;"&amp;lng="&amp;DERECHA(SUBSTITUTE(F291," ",""),LARGO(SUBSTITUTE(F291," ",""))-ENCONTRAR(",",SUBSTITUTE(F291," ",""))),"")</f>
        <v/>
      </c>
    </row>
    <row r="292" ht="15.75" customHeight="1" s="10">
      <c r="A292" s="8">
        <f>CONCAT("AD507-",TEXT(ROW()-2,"0000"))</f>
        <v/>
      </c>
      <c r="C292" s="8" t="n"/>
      <c r="F292" s="8" t="n"/>
      <c r="G292" s="8">
        <f>IF(F292&lt;&gt;"",HYPERLINK("https://www.google.com/maps/search/?api=1&amp;query="&amp;SUBSTITUTE(F292," ",""),"🗺 Google Maps"),"")</f>
        <v/>
      </c>
      <c r="H292" s="8">
        <f>IF(F292&lt;&gt;"",HYPERLINK("https://waze.com/ul?ll="&amp;SUBSTITUTE(F292," ","")&amp;"&amp;navigate=yes","🚗 Waze"),"")</f>
        <v/>
      </c>
      <c r="I292" s="8">
        <f>IF(F292&lt;&gt;"",HYPERLINK("https://m.uber.com/ul/?action=setPickup&amp;pickup=my_location&amp;dropoff[latitude]="&amp;LEFT(SUBSTITUTE(F292," ",""),FIND(",",SUBSTITUTE(F292," ",""))-1)&amp;"&amp;dropoff[longitude]="&amp;MID(SUBSTITUTE(F292," ",""),FIND(",",SUBSTITUTE(F292," ",""))+1,99),"🚕 Uber"),"")</f>
        <v/>
      </c>
      <c r="J292" s="8">
        <f>IF(F292&lt;&gt;"","https://api.qrserver.com/v1/create-qr-code/?size=200x200&amp;data="&amp;ENCODEURL("https://www.google.com/maps/search/?api=1&amp;query="&amp;SUBSTITUTE(F292," ","")),"")</f>
        <v/>
      </c>
      <c r="K292" s="8">
        <f>IF(C292&lt;&gt;"",HYPERLINK("https://wa.me/507"&amp;REGEXREPLACE(C292,"[^0-9]","")&amp;"?text="&amp;ENCODEURL("Ya llegue. Codigo: "&amp;A292&amp;". Ubicacion: "&amp;"https://www.google.com/maps/search/?api=1&amp;query="&amp;SUBSTITUTE(F292," ","")),"📲 Avisar al cliente"),"")</f>
        <v/>
      </c>
      <c r="L292" s="8">
        <f>IF(C292&lt;&gt;"","https://api.qrserver.com/v1/create-qr-code/?size=200x200&amp;data="&amp;ENCODEURL("https://wa.me/507"&amp;REGEXREPLACE(C292,"[^0-9]","")&amp;"?text="&amp;ENCODEURL("Ya llegue. Codigo: "&amp;A292&amp;". Ubicacion: "&amp;"https://www.google.com/maps/search/?api=1&amp;query="&amp;SUBSTITUTE(F292," ",""))),"")</f>
        <v/>
      </c>
      <c r="M292" s="8">
        <f>IF(B292&lt;&gt;"",TODAY(),"")</f>
        <v/>
      </c>
      <c r="N292" s="8">
        <f>IF(F292&lt;&gt;"",IFERROR(IF(AND(REGEXMATCH(SUBSTITUTE(TRIM(F292)," ",""),"^-?\d+(\.\d+)?,-?\d+(\.\d+)?$"),VALUE(REGEXEXTRACT(SUBSTITUTE(TRIM(F292)," ",""),"^-?\d+(\.\d+)?"))&gt;=-90,VALUE(REGEXEXTRACT(SUBSTITUTE(TRIM(F292)," ",""),"^-?\d+(\.\d+)?"))&lt;=90,VALUE(REGEXEXTRACT(SUBSTITUTE(TRIM(F292)," ",""),"-?\d+(\.\d+)?$"))&gt;=-180,VALUE(REGEXEXTRACT(SUBSTITUTE(TRIM(F292)," ",""),"-?\d+(\.\d+)?$"))&lt;=180),"OK","REVISAR"),"REVISAR"),"")</f>
        <v/>
      </c>
      <c r="O292">
        <f>IF(A292&lt;&gt;"","https://direcciones507.github.io/direcciones507/panel.html?codigo="&amp;A292&amp;"&amp;nombre="&amp;ENCODEURL(B292)&amp;"&amp;telefono="&amp;SUBSTITUTE(C292,"-","")&amp;"&amp;referencia="&amp;ENCODEURL(E292)&amp;"&amp;lat="&amp;IZQUIERDA(SUBSTITUTE(F292," ",""),ENCONTRAR(",",SUBSTITUTE(F292," ",""))-1)&amp;"&amp;lng="&amp;DERECHA(SUBSTITUTE(F292," ",""),LARGO(SUBSTITUTE(F292," ",""))-ENCONTRAR(",",SUBSTITUTE(F292," ",""))),"")</f>
        <v/>
      </c>
    </row>
    <row r="293" ht="15.75" customHeight="1" s="10">
      <c r="A293" s="8">
        <f>CONCAT("AD507-",TEXT(ROW()-2,"0000"))</f>
        <v/>
      </c>
      <c r="C293" s="8" t="n"/>
      <c r="F293" s="8" t="n"/>
      <c r="G293" s="8">
        <f>IF(F293&lt;&gt;"",HYPERLINK("https://www.google.com/maps/search/?api=1&amp;query="&amp;SUBSTITUTE(F293," ",""),"🗺 Google Maps"),"")</f>
        <v/>
      </c>
      <c r="H293" s="8">
        <f>IF(F293&lt;&gt;"",HYPERLINK("https://waze.com/ul?ll="&amp;SUBSTITUTE(F293," ","")&amp;"&amp;navigate=yes","🚗 Waze"),"")</f>
        <v/>
      </c>
      <c r="I293" s="8">
        <f>IF(F293&lt;&gt;"",HYPERLINK("https://m.uber.com/ul/?action=setPickup&amp;pickup=my_location&amp;dropoff[latitude]="&amp;LEFT(SUBSTITUTE(F293," ",""),FIND(",",SUBSTITUTE(F293," ",""))-1)&amp;"&amp;dropoff[longitude]="&amp;MID(SUBSTITUTE(F293," ",""),FIND(",",SUBSTITUTE(F293," ",""))+1,99),"🚕 Uber"),"")</f>
        <v/>
      </c>
      <c r="J293" s="8">
        <f>IF(F293&lt;&gt;"","https://api.qrserver.com/v1/create-qr-code/?size=200x200&amp;data="&amp;ENCODEURL("https://www.google.com/maps/search/?api=1&amp;query="&amp;SUBSTITUTE(F293," ","")),"")</f>
        <v/>
      </c>
      <c r="K293" s="8">
        <f>IF(C293&lt;&gt;"",HYPERLINK("https://wa.me/507"&amp;REGEXREPLACE(C293,"[^0-9]","")&amp;"?text="&amp;ENCODEURL("Ya llegue. Codigo: "&amp;A293&amp;". Ubicacion: "&amp;"https://www.google.com/maps/search/?api=1&amp;query="&amp;SUBSTITUTE(F293," ","")),"📲 Avisar al cliente"),"")</f>
        <v/>
      </c>
      <c r="L293" s="8">
        <f>IF(C293&lt;&gt;"","https://api.qrserver.com/v1/create-qr-code/?size=200x200&amp;data="&amp;ENCODEURL("https://wa.me/507"&amp;REGEXREPLACE(C293,"[^0-9]","")&amp;"?text="&amp;ENCODEURL("Ya llegue. Codigo: "&amp;A293&amp;". Ubicacion: "&amp;"https://www.google.com/maps/search/?api=1&amp;query="&amp;SUBSTITUTE(F293," ",""))),"")</f>
        <v/>
      </c>
      <c r="M293" s="8">
        <f>IF(B293&lt;&gt;"",TODAY(),"")</f>
        <v/>
      </c>
      <c r="N293" s="8">
        <f>IF(F293&lt;&gt;"",IFERROR(IF(AND(REGEXMATCH(SUBSTITUTE(TRIM(F293)," ",""),"^-?\d+(\.\d+)?,-?\d+(\.\d+)?$"),VALUE(REGEXEXTRACT(SUBSTITUTE(TRIM(F293)," ",""),"^-?\d+(\.\d+)?"))&gt;=-90,VALUE(REGEXEXTRACT(SUBSTITUTE(TRIM(F293)," ",""),"^-?\d+(\.\d+)?"))&lt;=90,VALUE(REGEXEXTRACT(SUBSTITUTE(TRIM(F293)," ",""),"-?\d+(\.\d+)?$"))&gt;=-180,VALUE(REGEXEXTRACT(SUBSTITUTE(TRIM(F293)," ",""),"-?\d+(\.\d+)?$"))&lt;=180),"OK","REVISAR"),"REVISAR"),"")</f>
        <v/>
      </c>
      <c r="O293">
        <f>IF(A293&lt;&gt;"","https://direcciones507.github.io/direcciones507/panel.html?codigo="&amp;A293&amp;"&amp;nombre="&amp;ENCODEURL(B293)&amp;"&amp;telefono="&amp;SUBSTITUTE(C293,"-","")&amp;"&amp;referencia="&amp;ENCODEURL(E293)&amp;"&amp;lat="&amp;IZQUIERDA(SUBSTITUTE(F293," ",""),ENCONTRAR(",",SUBSTITUTE(F293," ",""))-1)&amp;"&amp;lng="&amp;DERECHA(SUBSTITUTE(F293," ",""),LARGO(SUBSTITUTE(F293," ",""))-ENCONTRAR(",",SUBSTITUTE(F293," ",""))),"")</f>
        <v/>
      </c>
    </row>
    <row r="294" ht="15.75" customHeight="1" s="10">
      <c r="A294" s="8">
        <f>CONCAT("AD507-",TEXT(ROW()-2,"0000"))</f>
        <v/>
      </c>
      <c r="C294" s="8" t="n"/>
      <c r="F294" s="8" t="n"/>
      <c r="G294" s="8">
        <f>IF(F294&lt;&gt;"",HYPERLINK("https://www.google.com/maps/search/?api=1&amp;query="&amp;SUBSTITUTE(F294," ",""),"🗺 Google Maps"),"")</f>
        <v/>
      </c>
      <c r="H294" s="8">
        <f>IF(F294&lt;&gt;"",HYPERLINK("https://waze.com/ul?ll="&amp;SUBSTITUTE(F294," ","")&amp;"&amp;navigate=yes","🚗 Waze"),"")</f>
        <v/>
      </c>
      <c r="I294" s="8">
        <f>IF(F294&lt;&gt;"",HYPERLINK("https://m.uber.com/ul/?action=setPickup&amp;pickup=my_location&amp;dropoff[latitude]="&amp;LEFT(SUBSTITUTE(F294," ",""),FIND(",",SUBSTITUTE(F294," ",""))-1)&amp;"&amp;dropoff[longitude]="&amp;MID(SUBSTITUTE(F294," ",""),FIND(",",SUBSTITUTE(F294," ",""))+1,99),"🚕 Uber"),"")</f>
        <v/>
      </c>
      <c r="J294" s="8">
        <f>IF(F294&lt;&gt;"","https://api.qrserver.com/v1/create-qr-code/?size=200x200&amp;data="&amp;ENCODEURL("https://www.google.com/maps/search/?api=1&amp;query="&amp;SUBSTITUTE(F294," ","")),"")</f>
        <v/>
      </c>
      <c r="K294" s="8">
        <f>IF(C294&lt;&gt;"",HYPERLINK("https://wa.me/507"&amp;REGEXREPLACE(C294,"[^0-9]","")&amp;"?text="&amp;ENCODEURL("Ya llegue. Codigo: "&amp;A294&amp;". Ubicacion: "&amp;"https://www.google.com/maps/search/?api=1&amp;query="&amp;SUBSTITUTE(F294," ","")),"📲 Avisar al cliente"),"")</f>
        <v/>
      </c>
      <c r="L294" s="8">
        <f>IF(C294&lt;&gt;"","https://api.qrserver.com/v1/create-qr-code/?size=200x200&amp;data="&amp;ENCODEURL("https://wa.me/507"&amp;REGEXREPLACE(C294,"[^0-9]","")&amp;"?text="&amp;ENCODEURL("Ya llegue. Codigo: "&amp;A294&amp;". Ubicacion: "&amp;"https://www.google.com/maps/search/?api=1&amp;query="&amp;SUBSTITUTE(F294," ",""))),"")</f>
        <v/>
      </c>
      <c r="M294" s="8">
        <f>IF(B294&lt;&gt;"",TODAY(),"")</f>
        <v/>
      </c>
      <c r="N294" s="8">
        <f>IF(F294&lt;&gt;"",IFERROR(IF(AND(REGEXMATCH(SUBSTITUTE(TRIM(F294)," ",""),"^-?\d+(\.\d+)?,-?\d+(\.\d+)?$"),VALUE(REGEXEXTRACT(SUBSTITUTE(TRIM(F294)," ",""),"^-?\d+(\.\d+)?"))&gt;=-90,VALUE(REGEXEXTRACT(SUBSTITUTE(TRIM(F294)," ",""),"^-?\d+(\.\d+)?"))&lt;=90,VALUE(REGEXEXTRACT(SUBSTITUTE(TRIM(F294)," ",""),"-?\d+(\.\d+)?$"))&gt;=-180,VALUE(REGEXEXTRACT(SUBSTITUTE(TRIM(F294)," ",""),"-?\d+(\.\d+)?$"))&lt;=180),"OK","REVISAR"),"REVISAR"),"")</f>
        <v/>
      </c>
      <c r="O294">
        <f>IF(A294&lt;&gt;"","https://direcciones507.github.io/direcciones507/panel.html?codigo="&amp;A294&amp;"&amp;nombre="&amp;ENCODEURL(B294)&amp;"&amp;telefono="&amp;SUBSTITUTE(C294,"-","")&amp;"&amp;referencia="&amp;ENCODEURL(E294)&amp;"&amp;lat="&amp;IZQUIERDA(SUBSTITUTE(F294," ",""),ENCONTRAR(",",SUBSTITUTE(F294," ",""))-1)&amp;"&amp;lng="&amp;DERECHA(SUBSTITUTE(F294," ",""),LARGO(SUBSTITUTE(F294," ",""))-ENCONTRAR(",",SUBSTITUTE(F294," ",""))),"")</f>
        <v/>
      </c>
    </row>
    <row r="295" ht="15.75" customHeight="1" s="10">
      <c r="A295" s="8">
        <f>CONCAT("AD507-",TEXT(ROW()-2,"0000"))</f>
        <v/>
      </c>
      <c r="C295" s="8" t="n"/>
      <c r="F295" s="8" t="n"/>
      <c r="G295" s="8">
        <f>IF(F295&lt;&gt;"",HYPERLINK("https://www.google.com/maps/search/?api=1&amp;query="&amp;SUBSTITUTE(F295," ",""),"🗺 Google Maps"),"")</f>
        <v/>
      </c>
      <c r="H295" s="8">
        <f>IF(F295&lt;&gt;"",HYPERLINK("https://waze.com/ul?ll="&amp;SUBSTITUTE(F295," ","")&amp;"&amp;navigate=yes","🚗 Waze"),"")</f>
        <v/>
      </c>
      <c r="I295" s="8">
        <f>IF(F295&lt;&gt;"",HYPERLINK("https://m.uber.com/ul/?action=setPickup&amp;pickup=my_location&amp;dropoff[latitude]="&amp;LEFT(SUBSTITUTE(F295," ",""),FIND(",",SUBSTITUTE(F295," ",""))-1)&amp;"&amp;dropoff[longitude]="&amp;MID(SUBSTITUTE(F295," ",""),FIND(",",SUBSTITUTE(F295," ",""))+1,99),"🚕 Uber"),"")</f>
        <v/>
      </c>
      <c r="J295" s="8">
        <f>IF(F295&lt;&gt;"","https://api.qrserver.com/v1/create-qr-code/?size=200x200&amp;data="&amp;ENCODEURL("https://www.google.com/maps/search/?api=1&amp;query="&amp;SUBSTITUTE(F295," ","")),"")</f>
        <v/>
      </c>
      <c r="K295" s="8">
        <f>IF(C295&lt;&gt;"",HYPERLINK("https://wa.me/507"&amp;REGEXREPLACE(C295,"[^0-9]","")&amp;"?text="&amp;ENCODEURL("Ya llegue. Codigo: "&amp;A295&amp;". Ubicacion: "&amp;"https://www.google.com/maps/search/?api=1&amp;query="&amp;SUBSTITUTE(F295," ","")),"📲 Avisar al cliente"),"")</f>
        <v/>
      </c>
      <c r="L295" s="8">
        <f>IF(C295&lt;&gt;"","https://api.qrserver.com/v1/create-qr-code/?size=200x200&amp;data="&amp;ENCODEURL("https://wa.me/507"&amp;REGEXREPLACE(C295,"[^0-9]","")&amp;"?text="&amp;ENCODEURL("Ya llegue. Codigo: "&amp;A295&amp;". Ubicacion: "&amp;"https://www.google.com/maps/search/?api=1&amp;query="&amp;SUBSTITUTE(F295," ",""))),"")</f>
        <v/>
      </c>
      <c r="M295" s="8">
        <f>IF(B295&lt;&gt;"",TODAY(),"")</f>
        <v/>
      </c>
      <c r="N295" s="8">
        <f>IF(F295&lt;&gt;"",IFERROR(IF(AND(REGEXMATCH(SUBSTITUTE(TRIM(F295)," ",""),"^-?\d+(\.\d+)?,-?\d+(\.\d+)?$"),VALUE(REGEXEXTRACT(SUBSTITUTE(TRIM(F295)," ",""),"^-?\d+(\.\d+)?"))&gt;=-90,VALUE(REGEXEXTRACT(SUBSTITUTE(TRIM(F295)," ",""),"^-?\d+(\.\d+)?"))&lt;=90,VALUE(REGEXEXTRACT(SUBSTITUTE(TRIM(F295)," ",""),"-?\d+(\.\d+)?$"))&gt;=-180,VALUE(REGEXEXTRACT(SUBSTITUTE(TRIM(F295)," ",""),"-?\d+(\.\d+)?$"))&lt;=180),"OK","REVISAR"),"REVISAR"),"")</f>
        <v/>
      </c>
      <c r="O295">
        <f>IF(A295&lt;&gt;"","https://direcciones507.github.io/direcciones507/panel.html?codigo="&amp;A295&amp;"&amp;nombre="&amp;ENCODEURL(B295)&amp;"&amp;telefono="&amp;SUBSTITUTE(C295,"-","")&amp;"&amp;referencia="&amp;ENCODEURL(E295)&amp;"&amp;lat="&amp;IZQUIERDA(SUBSTITUTE(F295," ",""),ENCONTRAR(",",SUBSTITUTE(F295," ",""))-1)&amp;"&amp;lng="&amp;DERECHA(SUBSTITUTE(F295," ",""),LARGO(SUBSTITUTE(F295," ",""))-ENCONTRAR(",",SUBSTITUTE(F295," ",""))),"")</f>
        <v/>
      </c>
    </row>
    <row r="296" ht="15.75" customHeight="1" s="10">
      <c r="A296" s="8">
        <f>CONCAT("AD507-",TEXT(ROW()-2,"0000"))</f>
        <v/>
      </c>
      <c r="C296" s="8" t="n"/>
      <c r="F296" s="8" t="n"/>
      <c r="G296" s="8">
        <f>IF(F296&lt;&gt;"",HYPERLINK("https://www.google.com/maps/search/?api=1&amp;query="&amp;SUBSTITUTE(F296," ",""),"🗺 Google Maps"),"")</f>
        <v/>
      </c>
      <c r="H296" s="8">
        <f>IF(F296&lt;&gt;"",HYPERLINK("https://waze.com/ul?ll="&amp;SUBSTITUTE(F296," ","")&amp;"&amp;navigate=yes","🚗 Waze"),"")</f>
        <v/>
      </c>
      <c r="I296" s="8">
        <f>IF(F296&lt;&gt;"",HYPERLINK("https://m.uber.com/ul/?action=setPickup&amp;pickup=my_location&amp;dropoff[latitude]="&amp;LEFT(SUBSTITUTE(F296," ",""),FIND(",",SUBSTITUTE(F296," ",""))-1)&amp;"&amp;dropoff[longitude]="&amp;MID(SUBSTITUTE(F296," ",""),FIND(",",SUBSTITUTE(F296," ",""))+1,99),"🚕 Uber"),"")</f>
        <v/>
      </c>
      <c r="J296" s="8">
        <f>IF(F296&lt;&gt;"","https://api.qrserver.com/v1/create-qr-code/?size=200x200&amp;data="&amp;ENCODEURL("https://www.google.com/maps/search/?api=1&amp;query="&amp;SUBSTITUTE(F296," ","")),"")</f>
        <v/>
      </c>
      <c r="K296" s="8">
        <f>IF(C296&lt;&gt;"",HYPERLINK("https://wa.me/507"&amp;REGEXREPLACE(C296,"[^0-9]","")&amp;"?text="&amp;ENCODEURL("Ya llegue. Codigo: "&amp;A296&amp;". Ubicacion: "&amp;"https://www.google.com/maps/search/?api=1&amp;query="&amp;SUBSTITUTE(F296," ","")),"📲 Avisar al cliente"),"")</f>
        <v/>
      </c>
      <c r="L296" s="8">
        <f>IF(C296&lt;&gt;"","https://api.qrserver.com/v1/create-qr-code/?size=200x200&amp;data="&amp;ENCODEURL("https://wa.me/507"&amp;REGEXREPLACE(C296,"[^0-9]","")&amp;"?text="&amp;ENCODEURL("Ya llegue. Codigo: "&amp;A296&amp;". Ubicacion: "&amp;"https://www.google.com/maps/search/?api=1&amp;query="&amp;SUBSTITUTE(F296," ",""))),"")</f>
        <v/>
      </c>
      <c r="M296" s="8">
        <f>IF(B296&lt;&gt;"",TODAY(),"")</f>
        <v/>
      </c>
      <c r="N296" s="8">
        <f>IF(F296&lt;&gt;"",IFERROR(IF(AND(REGEXMATCH(SUBSTITUTE(TRIM(F296)," ",""),"^-?\d+(\.\d+)?,-?\d+(\.\d+)?$"),VALUE(REGEXEXTRACT(SUBSTITUTE(TRIM(F296)," ",""),"^-?\d+(\.\d+)?"))&gt;=-90,VALUE(REGEXEXTRACT(SUBSTITUTE(TRIM(F296)," ",""),"^-?\d+(\.\d+)?"))&lt;=90,VALUE(REGEXEXTRACT(SUBSTITUTE(TRIM(F296)," ",""),"-?\d+(\.\d+)?$"))&gt;=-180,VALUE(REGEXEXTRACT(SUBSTITUTE(TRIM(F296)," ",""),"-?\d+(\.\d+)?$"))&lt;=180),"OK","REVISAR"),"REVISAR"),"")</f>
        <v/>
      </c>
      <c r="O296">
        <f>IF(A296&lt;&gt;"","https://direcciones507.github.io/direcciones507/panel.html?codigo="&amp;A296&amp;"&amp;nombre="&amp;ENCODEURL(B296)&amp;"&amp;telefono="&amp;SUBSTITUTE(C296,"-","")&amp;"&amp;referencia="&amp;ENCODEURL(E296)&amp;"&amp;lat="&amp;IZQUIERDA(SUBSTITUTE(F296," ",""),ENCONTRAR(",",SUBSTITUTE(F296," ",""))-1)&amp;"&amp;lng="&amp;DERECHA(SUBSTITUTE(F296," ",""),LARGO(SUBSTITUTE(F296," ",""))-ENCONTRAR(",",SUBSTITUTE(F296," ",""))),"")</f>
        <v/>
      </c>
    </row>
    <row r="297" ht="15.75" customHeight="1" s="10">
      <c r="A297" s="8">
        <f>CONCAT("AD507-",TEXT(ROW()-2,"0000"))</f>
        <v/>
      </c>
      <c r="C297" s="8" t="n"/>
      <c r="F297" s="8" t="n"/>
      <c r="G297" s="8">
        <f>IF(F297&lt;&gt;"",HYPERLINK("https://www.google.com/maps/search/?api=1&amp;query="&amp;SUBSTITUTE(F297," ",""),"🗺 Google Maps"),"")</f>
        <v/>
      </c>
      <c r="H297" s="8">
        <f>IF(F297&lt;&gt;"",HYPERLINK("https://waze.com/ul?ll="&amp;SUBSTITUTE(F297," ","")&amp;"&amp;navigate=yes","🚗 Waze"),"")</f>
        <v/>
      </c>
      <c r="I297" s="8">
        <f>IF(F297&lt;&gt;"",HYPERLINK("https://m.uber.com/ul/?action=setPickup&amp;pickup=my_location&amp;dropoff[latitude]="&amp;LEFT(SUBSTITUTE(F297," ",""),FIND(",",SUBSTITUTE(F297," ",""))-1)&amp;"&amp;dropoff[longitude]="&amp;MID(SUBSTITUTE(F297," ",""),FIND(",",SUBSTITUTE(F297," ",""))+1,99),"🚕 Uber"),"")</f>
        <v/>
      </c>
      <c r="J297" s="8">
        <f>IF(F297&lt;&gt;"","https://api.qrserver.com/v1/create-qr-code/?size=200x200&amp;data="&amp;ENCODEURL("https://www.google.com/maps/search/?api=1&amp;query="&amp;SUBSTITUTE(F297," ","")),"")</f>
        <v/>
      </c>
      <c r="K297" s="8">
        <f>IF(C297&lt;&gt;"",HYPERLINK("https://wa.me/507"&amp;REGEXREPLACE(C297,"[^0-9]","")&amp;"?text="&amp;ENCODEURL("Ya llegue. Codigo: "&amp;A297&amp;". Ubicacion: "&amp;"https://www.google.com/maps/search/?api=1&amp;query="&amp;SUBSTITUTE(F297," ","")),"📲 Avisar al cliente"),"")</f>
        <v/>
      </c>
      <c r="L297" s="8">
        <f>IF(C297&lt;&gt;"","https://api.qrserver.com/v1/create-qr-code/?size=200x200&amp;data="&amp;ENCODEURL("https://wa.me/507"&amp;REGEXREPLACE(C297,"[^0-9]","")&amp;"?text="&amp;ENCODEURL("Ya llegue. Codigo: "&amp;A297&amp;". Ubicacion: "&amp;"https://www.google.com/maps/search/?api=1&amp;query="&amp;SUBSTITUTE(F297," ",""))),"")</f>
        <v/>
      </c>
      <c r="M297" s="8">
        <f>IF(B297&lt;&gt;"",TODAY(),"")</f>
        <v/>
      </c>
      <c r="N297" s="8">
        <f>IF(F297&lt;&gt;"",IFERROR(IF(AND(REGEXMATCH(SUBSTITUTE(TRIM(F297)," ",""),"^-?\d+(\.\d+)?,-?\d+(\.\d+)?$"),VALUE(REGEXEXTRACT(SUBSTITUTE(TRIM(F297)," ",""),"^-?\d+(\.\d+)?"))&gt;=-90,VALUE(REGEXEXTRACT(SUBSTITUTE(TRIM(F297)," ",""),"^-?\d+(\.\d+)?"))&lt;=90,VALUE(REGEXEXTRACT(SUBSTITUTE(TRIM(F297)," ",""),"-?\d+(\.\d+)?$"))&gt;=-180,VALUE(REGEXEXTRACT(SUBSTITUTE(TRIM(F297)," ",""),"-?\d+(\.\d+)?$"))&lt;=180),"OK","REVISAR"),"REVISAR"),"")</f>
        <v/>
      </c>
      <c r="O297">
        <f>IF(A297&lt;&gt;"","https://direcciones507.github.io/direcciones507/panel.html?codigo="&amp;A297&amp;"&amp;nombre="&amp;ENCODEURL(B297)&amp;"&amp;telefono="&amp;SUBSTITUTE(C297,"-","")&amp;"&amp;referencia="&amp;ENCODEURL(E297)&amp;"&amp;lat="&amp;IZQUIERDA(SUBSTITUTE(F297," ",""),ENCONTRAR(",",SUBSTITUTE(F297," ",""))-1)&amp;"&amp;lng="&amp;DERECHA(SUBSTITUTE(F297," ",""),LARGO(SUBSTITUTE(F297," ",""))-ENCONTRAR(",",SUBSTITUTE(F297," ",""))),"")</f>
        <v/>
      </c>
    </row>
    <row r="298" ht="15.75" customHeight="1" s="10">
      <c r="A298" s="8">
        <f>CONCAT("AD507-",TEXT(ROW()-2,"0000"))</f>
        <v/>
      </c>
      <c r="C298" s="8" t="n"/>
      <c r="F298" s="8" t="n"/>
      <c r="G298" s="8">
        <f>IF(F298&lt;&gt;"",HYPERLINK("https://www.google.com/maps/search/?api=1&amp;query="&amp;SUBSTITUTE(F298," ",""),"🗺 Google Maps"),"")</f>
        <v/>
      </c>
      <c r="H298" s="8">
        <f>IF(F298&lt;&gt;"",HYPERLINK("https://waze.com/ul?ll="&amp;SUBSTITUTE(F298," ","")&amp;"&amp;navigate=yes","🚗 Waze"),"")</f>
        <v/>
      </c>
      <c r="I298" s="8">
        <f>IF(F298&lt;&gt;"",HYPERLINK("https://m.uber.com/ul/?action=setPickup&amp;pickup=my_location&amp;dropoff[latitude]="&amp;LEFT(SUBSTITUTE(F298," ",""),FIND(",",SUBSTITUTE(F298," ",""))-1)&amp;"&amp;dropoff[longitude]="&amp;MID(SUBSTITUTE(F298," ",""),FIND(",",SUBSTITUTE(F298," ",""))+1,99),"🚕 Uber"),"")</f>
        <v/>
      </c>
      <c r="J298" s="8">
        <f>IF(F298&lt;&gt;"","https://api.qrserver.com/v1/create-qr-code/?size=200x200&amp;data="&amp;ENCODEURL("https://www.google.com/maps/search/?api=1&amp;query="&amp;SUBSTITUTE(F298," ","")),"")</f>
        <v/>
      </c>
      <c r="K298" s="8">
        <f>IF(C298&lt;&gt;"",HYPERLINK("https://wa.me/507"&amp;REGEXREPLACE(C298,"[^0-9]","")&amp;"?text="&amp;ENCODEURL("Ya llegue. Codigo: "&amp;A298&amp;". Ubicacion: "&amp;"https://www.google.com/maps/search/?api=1&amp;query="&amp;SUBSTITUTE(F298," ","")),"📲 Avisar al cliente"),"")</f>
        <v/>
      </c>
      <c r="L298" s="8">
        <f>IF(C298&lt;&gt;"","https://api.qrserver.com/v1/create-qr-code/?size=200x200&amp;data="&amp;ENCODEURL("https://wa.me/507"&amp;REGEXREPLACE(C298,"[^0-9]","")&amp;"?text="&amp;ENCODEURL("Ya llegue. Codigo: "&amp;A298&amp;". Ubicacion: "&amp;"https://www.google.com/maps/search/?api=1&amp;query="&amp;SUBSTITUTE(F298," ",""))),"")</f>
        <v/>
      </c>
      <c r="M298" s="8">
        <f>IF(B298&lt;&gt;"",TODAY(),"")</f>
        <v/>
      </c>
      <c r="N298" s="8">
        <f>IF(F298&lt;&gt;"",IFERROR(IF(AND(REGEXMATCH(SUBSTITUTE(TRIM(F298)," ",""),"^-?\d+(\.\d+)?,-?\d+(\.\d+)?$"),VALUE(REGEXEXTRACT(SUBSTITUTE(TRIM(F298)," ",""),"^-?\d+(\.\d+)?"))&gt;=-90,VALUE(REGEXEXTRACT(SUBSTITUTE(TRIM(F298)," ",""),"^-?\d+(\.\d+)?"))&lt;=90,VALUE(REGEXEXTRACT(SUBSTITUTE(TRIM(F298)," ",""),"-?\d+(\.\d+)?$"))&gt;=-180,VALUE(REGEXEXTRACT(SUBSTITUTE(TRIM(F298)," ",""),"-?\d+(\.\d+)?$"))&lt;=180),"OK","REVISAR"),"REVISAR"),"")</f>
        <v/>
      </c>
      <c r="O298">
        <f>IF(A298&lt;&gt;"","https://direcciones507.github.io/direcciones507/panel.html?codigo="&amp;A298&amp;"&amp;nombre="&amp;ENCODEURL(B298)&amp;"&amp;telefono="&amp;SUBSTITUTE(C298,"-","")&amp;"&amp;referencia="&amp;ENCODEURL(E298)&amp;"&amp;lat="&amp;IZQUIERDA(SUBSTITUTE(F298," ",""),ENCONTRAR(",",SUBSTITUTE(F298," ",""))-1)&amp;"&amp;lng="&amp;DERECHA(SUBSTITUTE(F298," ",""),LARGO(SUBSTITUTE(F298," ",""))-ENCONTRAR(",",SUBSTITUTE(F298," ",""))),"")</f>
        <v/>
      </c>
    </row>
    <row r="299" ht="15.75" customHeight="1" s="10">
      <c r="A299" s="8">
        <f>CONCAT("AD507-",TEXT(ROW()-2,"0000"))</f>
        <v/>
      </c>
      <c r="C299" s="8" t="n"/>
      <c r="F299" s="8" t="n"/>
      <c r="G299" s="8">
        <f>IF(F299&lt;&gt;"",HYPERLINK("https://www.google.com/maps/search/?api=1&amp;query="&amp;SUBSTITUTE(F299," ",""),"🗺 Google Maps"),"")</f>
        <v/>
      </c>
      <c r="H299" s="8">
        <f>IF(F299&lt;&gt;"",HYPERLINK("https://waze.com/ul?ll="&amp;SUBSTITUTE(F299," ","")&amp;"&amp;navigate=yes","🚗 Waze"),"")</f>
        <v/>
      </c>
      <c r="I299" s="8">
        <f>IF(F299&lt;&gt;"",HYPERLINK("https://m.uber.com/ul/?action=setPickup&amp;pickup=my_location&amp;dropoff[latitude]="&amp;LEFT(SUBSTITUTE(F299," ",""),FIND(",",SUBSTITUTE(F299," ",""))-1)&amp;"&amp;dropoff[longitude]="&amp;MID(SUBSTITUTE(F299," ",""),FIND(",",SUBSTITUTE(F299," ",""))+1,99),"🚕 Uber"),"")</f>
        <v/>
      </c>
      <c r="J299" s="8">
        <f>IF(F299&lt;&gt;"","https://api.qrserver.com/v1/create-qr-code/?size=200x200&amp;data="&amp;ENCODEURL("https://www.google.com/maps/search/?api=1&amp;query="&amp;SUBSTITUTE(F299," ","")),"")</f>
        <v/>
      </c>
      <c r="K299" s="8">
        <f>IF(C299&lt;&gt;"",HYPERLINK("https://wa.me/507"&amp;REGEXREPLACE(C299,"[^0-9]","")&amp;"?text="&amp;ENCODEURL("Ya llegue. Codigo: "&amp;A299&amp;". Ubicacion: "&amp;"https://www.google.com/maps/search/?api=1&amp;query="&amp;SUBSTITUTE(F299," ","")),"📲 Avisar al cliente"),"")</f>
        <v/>
      </c>
      <c r="L299" s="8">
        <f>IF(C299&lt;&gt;"","https://api.qrserver.com/v1/create-qr-code/?size=200x200&amp;data="&amp;ENCODEURL("https://wa.me/507"&amp;REGEXREPLACE(C299,"[^0-9]","")&amp;"?text="&amp;ENCODEURL("Ya llegue. Codigo: "&amp;A299&amp;". Ubicacion: "&amp;"https://www.google.com/maps/search/?api=1&amp;query="&amp;SUBSTITUTE(F299," ",""))),"")</f>
        <v/>
      </c>
      <c r="M299" s="8">
        <f>IF(B299&lt;&gt;"",TODAY(),"")</f>
        <v/>
      </c>
      <c r="N299" s="8">
        <f>IF(F299&lt;&gt;"",IFERROR(IF(AND(REGEXMATCH(SUBSTITUTE(TRIM(F299)," ",""),"^-?\d+(\.\d+)?,-?\d+(\.\d+)?$"),VALUE(REGEXEXTRACT(SUBSTITUTE(TRIM(F299)," ",""),"^-?\d+(\.\d+)?"))&gt;=-90,VALUE(REGEXEXTRACT(SUBSTITUTE(TRIM(F299)," ",""),"^-?\d+(\.\d+)?"))&lt;=90,VALUE(REGEXEXTRACT(SUBSTITUTE(TRIM(F299)," ",""),"-?\d+(\.\d+)?$"))&gt;=-180,VALUE(REGEXEXTRACT(SUBSTITUTE(TRIM(F299)," ",""),"-?\d+(\.\d+)?$"))&lt;=180),"OK","REVISAR"),"REVISAR"),"")</f>
        <v/>
      </c>
      <c r="O299">
        <f>IF(A299&lt;&gt;"","https://direcciones507.github.io/direcciones507/panel.html?codigo="&amp;A299&amp;"&amp;nombre="&amp;ENCODEURL(B299)&amp;"&amp;telefono="&amp;SUBSTITUTE(C299,"-","")&amp;"&amp;referencia="&amp;ENCODEURL(E299)&amp;"&amp;lat="&amp;IZQUIERDA(SUBSTITUTE(F299," ",""),ENCONTRAR(",",SUBSTITUTE(F299," ",""))-1)&amp;"&amp;lng="&amp;DERECHA(SUBSTITUTE(F299," ",""),LARGO(SUBSTITUTE(F299," ",""))-ENCONTRAR(",",SUBSTITUTE(F299," ",""))),"")</f>
        <v/>
      </c>
    </row>
    <row r="300" ht="15.75" customHeight="1" s="10">
      <c r="A300" s="8">
        <f>CONCAT("AD507-",TEXT(ROW()-2,"0000"))</f>
        <v/>
      </c>
      <c r="C300" s="8" t="n"/>
      <c r="F300" s="8" t="n"/>
      <c r="G300" s="8">
        <f>IF(F300&lt;&gt;"",HYPERLINK("https://www.google.com/maps/search/?api=1&amp;query="&amp;SUBSTITUTE(F300," ",""),"🗺 Google Maps"),"")</f>
        <v/>
      </c>
      <c r="H300" s="8">
        <f>IF(F300&lt;&gt;"",HYPERLINK("https://waze.com/ul?ll="&amp;SUBSTITUTE(F300," ","")&amp;"&amp;navigate=yes","🚗 Waze"),"")</f>
        <v/>
      </c>
      <c r="I300" s="8">
        <f>IF(F300&lt;&gt;"",HYPERLINK("https://m.uber.com/ul/?action=setPickup&amp;pickup=my_location&amp;dropoff[latitude]="&amp;LEFT(SUBSTITUTE(F300," ",""),FIND(",",SUBSTITUTE(F300," ",""))-1)&amp;"&amp;dropoff[longitude]="&amp;MID(SUBSTITUTE(F300," ",""),FIND(",",SUBSTITUTE(F300," ",""))+1,99),"🚕 Uber"),"")</f>
        <v/>
      </c>
      <c r="J300" s="8">
        <f>IF(F300&lt;&gt;"","https://api.qrserver.com/v1/create-qr-code/?size=200x200&amp;data="&amp;ENCODEURL("https://www.google.com/maps/search/?api=1&amp;query="&amp;SUBSTITUTE(F300," ","")),"")</f>
        <v/>
      </c>
      <c r="K300" s="8">
        <f>IF(C300&lt;&gt;"",HYPERLINK("https://wa.me/507"&amp;REGEXREPLACE(C300,"[^0-9]","")&amp;"?text="&amp;ENCODEURL("Ya llegue. Codigo: "&amp;A300&amp;". Ubicacion: "&amp;"https://www.google.com/maps/search/?api=1&amp;query="&amp;SUBSTITUTE(F300," ","")),"📲 Avisar al cliente"),"")</f>
        <v/>
      </c>
      <c r="L300" s="8">
        <f>IF(C300&lt;&gt;"","https://api.qrserver.com/v1/create-qr-code/?size=200x200&amp;data="&amp;ENCODEURL("https://wa.me/507"&amp;REGEXREPLACE(C300,"[^0-9]","")&amp;"?text="&amp;ENCODEURL("Ya llegue. Codigo: "&amp;A300&amp;". Ubicacion: "&amp;"https://www.google.com/maps/search/?api=1&amp;query="&amp;SUBSTITUTE(F300," ",""))),"")</f>
        <v/>
      </c>
      <c r="M300" s="8">
        <f>IF(B300&lt;&gt;"",TODAY(),"")</f>
        <v/>
      </c>
      <c r="N300" s="8">
        <f>IF(F300&lt;&gt;"",IFERROR(IF(AND(REGEXMATCH(SUBSTITUTE(TRIM(F300)," ",""),"^-?\d+(\.\d+)?,-?\d+(\.\d+)?$"),VALUE(REGEXEXTRACT(SUBSTITUTE(TRIM(F300)," ",""),"^-?\d+(\.\d+)?"))&gt;=-90,VALUE(REGEXEXTRACT(SUBSTITUTE(TRIM(F300)," ",""),"^-?\d+(\.\d+)?"))&lt;=90,VALUE(REGEXEXTRACT(SUBSTITUTE(TRIM(F300)," ",""),"-?\d+(\.\d+)?$"))&gt;=-180,VALUE(REGEXEXTRACT(SUBSTITUTE(TRIM(F300)," ",""),"-?\d+(\.\d+)?$"))&lt;=180),"OK","REVISAR"),"REVISAR"),"")</f>
        <v/>
      </c>
      <c r="O300">
        <f>IF(A300&lt;&gt;"","https://direcciones507.github.io/direcciones507/panel.html?codigo="&amp;A300&amp;"&amp;nombre="&amp;ENCODEURL(B300)&amp;"&amp;telefono="&amp;SUBSTITUTE(C300,"-","")&amp;"&amp;referencia="&amp;ENCODEURL(E300)&amp;"&amp;lat="&amp;IZQUIERDA(SUBSTITUTE(F300," ",""),ENCONTRAR(",",SUBSTITUTE(F300," ",""))-1)&amp;"&amp;lng="&amp;DERECHA(SUBSTITUTE(F300," ",""),LARGO(SUBSTITUTE(F300," ",""))-ENCONTRAR(",",SUBSTITUTE(F300," ",""))),"")</f>
        <v/>
      </c>
    </row>
    <row r="301" ht="15.75" customHeight="1" s="10">
      <c r="A301" s="8">
        <f>CONCAT("AD507-",TEXT(ROW()-2,"0000"))</f>
        <v/>
      </c>
      <c r="C301" s="8" t="n"/>
      <c r="F301" s="8" t="n"/>
      <c r="G301" s="8">
        <f>IF(F301&lt;&gt;"",HYPERLINK("https://www.google.com/maps/search/?api=1&amp;query="&amp;SUBSTITUTE(F301," ",""),"🗺 Google Maps"),"")</f>
        <v/>
      </c>
      <c r="H301" s="8">
        <f>IF(F301&lt;&gt;"",HYPERLINK("https://waze.com/ul?ll="&amp;SUBSTITUTE(F301," ","")&amp;"&amp;navigate=yes","🚗 Waze"),"")</f>
        <v/>
      </c>
      <c r="I301" s="8">
        <f>IF(F301&lt;&gt;"",HYPERLINK("https://m.uber.com/ul/?action=setPickup&amp;pickup=my_location&amp;dropoff[latitude]="&amp;LEFT(SUBSTITUTE(F301," ",""),FIND(",",SUBSTITUTE(F301," ",""))-1)&amp;"&amp;dropoff[longitude]="&amp;MID(SUBSTITUTE(F301," ",""),FIND(",",SUBSTITUTE(F301," ",""))+1,99),"🚕 Uber"),"")</f>
        <v/>
      </c>
      <c r="J301" s="8">
        <f>IF(F301&lt;&gt;"","https://api.qrserver.com/v1/create-qr-code/?size=200x200&amp;data="&amp;ENCODEURL("https://www.google.com/maps/search/?api=1&amp;query="&amp;SUBSTITUTE(F301," ","")),"")</f>
        <v/>
      </c>
      <c r="K301" s="8">
        <f>IF(C301&lt;&gt;"",HYPERLINK("https://wa.me/507"&amp;REGEXREPLACE(C301,"[^0-9]","")&amp;"?text="&amp;ENCODEURL("Ya llegue. Codigo: "&amp;A301&amp;". Ubicacion: "&amp;"https://www.google.com/maps/search/?api=1&amp;query="&amp;SUBSTITUTE(F301," ","")),"📲 Avisar al cliente"),"")</f>
        <v/>
      </c>
      <c r="L301" s="8">
        <f>IF(C301&lt;&gt;"","https://api.qrserver.com/v1/create-qr-code/?size=200x200&amp;data="&amp;ENCODEURL("https://wa.me/507"&amp;REGEXREPLACE(C301,"[^0-9]","")&amp;"?text="&amp;ENCODEURL("Ya llegue. Codigo: "&amp;A301&amp;". Ubicacion: "&amp;"https://www.google.com/maps/search/?api=1&amp;query="&amp;SUBSTITUTE(F301," ",""))),"")</f>
        <v/>
      </c>
      <c r="M301" s="8">
        <f>IF(B301&lt;&gt;"",TODAY(),"")</f>
        <v/>
      </c>
      <c r="N301" s="8">
        <f>IF(F301&lt;&gt;"",IFERROR(IF(AND(REGEXMATCH(SUBSTITUTE(TRIM(F301)," ",""),"^-?\d+(\.\d+)?,-?\d+(\.\d+)?$"),VALUE(REGEXEXTRACT(SUBSTITUTE(TRIM(F301)," ",""),"^-?\d+(\.\d+)?"))&gt;=-90,VALUE(REGEXEXTRACT(SUBSTITUTE(TRIM(F301)," ",""),"^-?\d+(\.\d+)?"))&lt;=90,VALUE(REGEXEXTRACT(SUBSTITUTE(TRIM(F301)," ",""),"-?\d+(\.\d+)?$"))&gt;=-180,VALUE(REGEXEXTRACT(SUBSTITUTE(TRIM(F301)," ",""),"-?\d+(\.\d+)?$"))&lt;=180),"OK","REVISAR"),"REVISAR"),"")</f>
        <v/>
      </c>
      <c r="O301">
        <f>IF(A301&lt;&gt;"","https://direcciones507.github.io/direcciones507/panel.html?codigo="&amp;A301&amp;"&amp;nombre="&amp;ENCODEURL(B301)&amp;"&amp;telefono="&amp;SUBSTITUTE(C301,"-","")&amp;"&amp;referencia="&amp;ENCODEURL(E301)&amp;"&amp;lat="&amp;IZQUIERDA(SUBSTITUTE(F301," ",""),ENCONTRAR(",",SUBSTITUTE(F301," ",""))-1)&amp;"&amp;lng="&amp;DERECHA(SUBSTITUTE(F301," ",""),LARGO(SUBSTITUTE(F301," ",""))-ENCONTRAR(",",SUBSTITUTE(F301," ",""))),"")</f>
        <v/>
      </c>
    </row>
    <row r="302" ht="15.75" customHeight="1" s="10">
      <c r="A302" s="8">
        <f>CONCAT("AD507-",TEXT(ROW()-2,"0000"))</f>
        <v/>
      </c>
      <c r="C302" s="8" t="n"/>
      <c r="F302" s="8" t="n"/>
      <c r="G302" s="8">
        <f>IF(F302&lt;&gt;"",HYPERLINK("https://www.google.com/maps/search/?api=1&amp;query="&amp;SUBSTITUTE(F302," ",""),"🗺 Google Maps"),"")</f>
        <v/>
      </c>
      <c r="H302" s="8">
        <f>IF(F302&lt;&gt;"",HYPERLINK("https://waze.com/ul?ll="&amp;SUBSTITUTE(F302," ","")&amp;"&amp;navigate=yes","🚗 Waze"),"")</f>
        <v/>
      </c>
      <c r="I302" s="8">
        <f>IF(F302&lt;&gt;"",HYPERLINK("https://m.uber.com/ul/?action=setPickup&amp;pickup=my_location&amp;dropoff[latitude]="&amp;LEFT(SUBSTITUTE(F302," ",""),FIND(",",SUBSTITUTE(F302," ",""))-1)&amp;"&amp;dropoff[longitude]="&amp;MID(SUBSTITUTE(F302," ",""),FIND(",",SUBSTITUTE(F302," ",""))+1,99),"🚕 Uber"),"")</f>
        <v/>
      </c>
      <c r="J302" s="8">
        <f>IF(F302&lt;&gt;"","https://api.qrserver.com/v1/create-qr-code/?size=200x200&amp;data="&amp;ENCODEURL("https://www.google.com/maps/search/?api=1&amp;query="&amp;SUBSTITUTE(F302," ","")),"")</f>
        <v/>
      </c>
      <c r="K302" s="8">
        <f>IF(C302&lt;&gt;"",HYPERLINK("https://wa.me/507"&amp;REGEXREPLACE(C302,"[^0-9]","")&amp;"?text="&amp;ENCODEURL("Ya llegue. Codigo: "&amp;A302&amp;". Ubicacion: "&amp;"https://www.google.com/maps/search/?api=1&amp;query="&amp;SUBSTITUTE(F302," ","")),"📲 Avisar al cliente"),"")</f>
        <v/>
      </c>
      <c r="L302" s="8">
        <f>IF(C302&lt;&gt;"","https://api.qrserver.com/v1/create-qr-code/?size=200x200&amp;data="&amp;ENCODEURL("https://wa.me/507"&amp;REGEXREPLACE(C302,"[^0-9]","")&amp;"?text="&amp;ENCODEURL("Ya llegue. Codigo: "&amp;A302&amp;". Ubicacion: "&amp;"https://www.google.com/maps/search/?api=1&amp;query="&amp;SUBSTITUTE(F302," ",""))),"")</f>
        <v/>
      </c>
      <c r="M302" s="8">
        <f>IF(B302&lt;&gt;"",TODAY(),"")</f>
        <v/>
      </c>
      <c r="N302" s="8">
        <f>IF(F302&lt;&gt;"",IFERROR(IF(AND(REGEXMATCH(SUBSTITUTE(TRIM(F302)," ",""),"^-?\d+(\.\d+)?,-?\d+(\.\d+)?$"),VALUE(REGEXEXTRACT(SUBSTITUTE(TRIM(F302)," ",""),"^-?\d+(\.\d+)?"))&gt;=-90,VALUE(REGEXEXTRACT(SUBSTITUTE(TRIM(F302)," ",""),"^-?\d+(\.\d+)?"))&lt;=90,VALUE(REGEXEXTRACT(SUBSTITUTE(TRIM(F302)," ",""),"-?\d+(\.\d+)?$"))&gt;=-180,VALUE(REGEXEXTRACT(SUBSTITUTE(TRIM(F302)," ",""),"-?\d+(\.\d+)?$"))&lt;=180),"OK","REVISAR"),"REVISAR"),"")</f>
        <v/>
      </c>
      <c r="O302">
        <f>IF(A302&lt;&gt;"","https://direcciones507.github.io/direcciones507/panel.html?codigo="&amp;A302&amp;"&amp;nombre="&amp;ENCODEURL(B302)&amp;"&amp;telefono="&amp;SUBSTITUTE(C302,"-","")&amp;"&amp;referencia="&amp;ENCODEURL(E302)&amp;"&amp;lat="&amp;IZQUIERDA(SUBSTITUTE(F302," ",""),ENCONTRAR(",",SUBSTITUTE(F302," ",""))-1)&amp;"&amp;lng="&amp;DERECHA(SUBSTITUTE(F302," ",""),LARGO(SUBSTITUTE(F302," ",""))-ENCONTRAR(",",SUBSTITUTE(F302," ",""))),"")</f>
        <v/>
      </c>
    </row>
    <row r="303" ht="15.75" customHeight="1" s="10">
      <c r="A303" s="8">
        <f>CONCAT("AD507-",TEXT(ROW()-2,"0000"))</f>
        <v/>
      </c>
      <c r="C303" s="8" t="n"/>
      <c r="F303" s="8" t="n"/>
      <c r="G303" s="8">
        <f>IF(F303&lt;&gt;"",HYPERLINK("https://www.google.com/maps/search/?api=1&amp;query="&amp;SUBSTITUTE(F303," ",""),"🗺 Google Maps"),"")</f>
        <v/>
      </c>
      <c r="H303" s="8">
        <f>IF(F303&lt;&gt;"",HYPERLINK("https://waze.com/ul?ll="&amp;SUBSTITUTE(F303," ","")&amp;"&amp;navigate=yes","🚗 Waze"),"")</f>
        <v/>
      </c>
      <c r="I303" s="8">
        <f>IF(F303&lt;&gt;"",HYPERLINK("https://m.uber.com/ul/?action=setPickup&amp;pickup=my_location&amp;dropoff[latitude]="&amp;LEFT(SUBSTITUTE(F303," ",""),FIND(",",SUBSTITUTE(F303," ",""))-1)&amp;"&amp;dropoff[longitude]="&amp;MID(SUBSTITUTE(F303," ",""),FIND(",",SUBSTITUTE(F303," ",""))+1,99),"🚕 Uber"),"")</f>
        <v/>
      </c>
      <c r="J303" s="8">
        <f>IF(F303&lt;&gt;"","https://api.qrserver.com/v1/create-qr-code/?size=200x200&amp;data="&amp;ENCODEURL("https://www.google.com/maps/search/?api=1&amp;query="&amp;SUBSTITUTE(F303," ","")),"")</f>
        <v/>
      </c>
      <c r="K303" s="8">
        <f>IF(C303&lt;&gt;"",HYPERLINK("https://wa.me/507"&amp;REGEXREPLACE(C303,"[^0-9]","")&amp;"?text="&amp;ENCODEURL("Ya llegue. Codigo: "&amp;A303&amp;". Ubicacion: "&amp;"https://www.google.com/maps/search/?api=1&amp;query="&amp;SUBSTITUTE(F303," ","")),"📲 Avisar al cliente"),"")</f>
        <v/>
      </c>
      <c r="L303" s="8">
        <f>IF(C303&lt;&gt;"","https://api.qrserver.com/v1/create-qr-code/?size=200x200&amp;data="&amp;ENCODEURL("https://wa.me/507"&amp;REGEXREPLACE(C303,"[^0-9]","")&amp;"?text="&amp;ENCODEURL("Ya llegue. Codigo: "&amp;A303&amp;". Ubicacion: "&amp;"https://www.google.com/maps/search/?api=1&amp;query="&amp;SUBSTITUTE(F303," ",""))),"")</f>
        <v/>
      </c>
      <c r="M303" s="8">
        <f>IF(B303&lt;&gt;"",TODAY(),"")</f>
        <v/>
      </c>
      <c r="N303" s="8">
        <f>IF(F303&lt;&gt;"",IFERROR(IF(AND(REGEXMATCH(SUBSTITUTE(TRIM(F303)," ",""),"^-?\d+(\.\d+)?,-?\d+(\.\d+)?$"),VALUE(REGEXEXTRACT(SUBSTITUTE(TRIM(F303)," ",""),"^-?\d+(\.\d+)?"))&gt;=-90,VALUE(REGEXEXTRACT(SUBSTITUTE(TRIM(F303)," ",""),"^-?\d+(\.\d+)?"))&lt;=90,VALUE(REGEXEXTRACT(SUBSTITUTE(TRIM(F303)," ",""),"-?\d+(\.\d+)?$"))&gt;=-180,VALUE(REGEXEXTRACT(SUBSTITUTE(TRIM(F303)," ",""),"-?\d+(\.\d+)?$"))&lt;=180),"OK","REVISAR"),"REVISAR"),"")</f>
        <v/>
      </c>
      <c r="O303">
        <f>IF(A303&lt;&gt;"","https://direcciones507.github.io/direcciones507/panel.html?codigo="&amp;A303&amp;"&amp;nombre="&amp;ENCODEURL(B303)&amp;"&amp;telefono="&amp;SUBSTITUTE(C303,"-","")&amp;"&amp;referencia="&amp;ENCODEURL(E303)&amp;"&amp;lat="&amp;IZQUIERDA(SUBSTITUTE(F303," ",""),ENCONTRAR(",",SUBSTITUTE(F303," ",""))-1)&amp;"&amp;lng="&amp;DERECHA(SUBSTITUTE(F303," ",""),LARGO(SUBSTITUTE(F303," ",""))-ENCONTRAR(",",SUBSTITUTE(F303," ",""))),"")</f>
        <v/>
      </c>
    </row>
    <row r="304" ht="15.75" customHeight="1" s="10">
      <c r="A304" s="8">
        <f>CONCAT("AD507-",TEXT(ROW()-2,"0000"))</f>
        <v/>
      </c>
      <c r="C304" s="8" t="n"/>
      <c r="F304" s="8" t="n"/>
      <c r="G304" s="8">
        <f>IF(F304&lt;&gt;"",HYPERLINK("https://www.google.com/maps/search/?api=1&amp;query="&amp;SUBSTITUTE(F304," ",""),"🗺 Google Maps"),"")</f>
        <v/>
      </c>
      <c r="H304" s="8">
        <f>IF(F304&lt;&gt;"",HYPERLINK("https://waze.com/ul?ll="&amp;SUBSTITUTE(F304," ","")&amp;"&amp;navigate=yes","🚗 Waze"),"")</f>
        <v/>
      </c>
      <c r="I304" s="8">
        <f>IF(F304&lt;&gt;"",HYPERLINK("https://m.uber.com/ul/?action=setPickup&amp;pickup=my_location&amp;dropoff[latitude]="&amp;LEFT(SUBSTITUTE(F304," ",""),FIND(",",SUBSTITUTE(F304," ",""))-1)&amp;"&amp;dropoff[longitude]="&amp;MID(SUBSTITUTE(F304," ",""),FIND(",",SUBSTITUTE(F304," ",""))+1,99),"🚕 Uber"),"")</f>
        <v/>
      </c>
      <c r="J304" s="8">
        <f>IF(F304&lt;&gt;"","https://api.qrserver.com/v1/create-qr-code/?size=200x200&amp;data="&amp;ENCODEURL("https://www.google.com/maps/search/?api=1&amp;query="&amp;SUBSTITUTE(F304," ","")),"")</f>
        <v/>
      </c>
      <c r="K304" s="8">
        <f>IF(C304&lt;&gt;"",HYPERLINK("https://wa.me/507"&amp;REGEXREPLACE(C304,"[^0-9]","")&amp;"?text="&amp;ENCODEURL("Ya llegue. Codigo: "&amp;A304&amp;". Ubicacion: "&amp;"https://www.google.com/maps/search/?api=1&amp;query="&amp;SUBSTITUTE(F304," ","")),"📲 Avisar al cliente"),"")</f>
        <v/>
      </c>
      <c r="L304" s="8">
        <f>IF(C304&lt;&gt;"","https://api.qrserver.com/v1/create-qr-code/?size=200x200&amp;data="&amp;ENCODEURL("https://wa.me/507"&amp;REGEXREPLACE(C304,"[^0-9]","")&amp;"?text="&amp;ENCODEURL("Ya llegue. Codigo: "&amp;A304&amp;". Ubicacion: "&amp;"https://www.google.com/maps/search/?api=1&amp;query="&amp;SUBSTITUTE(F304," ",""))),"")</f>
        <v/>
      </c>
      <c r="M304" s="8">
        <f>IF(B304&lt;&gt;"",TODAY(),"")</f>
        <v/>
      </c>
      <c r="N304" s="8">
        <f>IF(F304&lt;&gt;"",IFERROR(IF(AND(REGEXMATCH(SUBSTITUTE(TRIM(F304)," ",""),"^-?\d+(\.\d+)?,-?\d+(\.\d+)?$"),VALUE(REGEXEXTRACT(SUBSTITUTE(TRIM(F304)," ",""),"^-?\d+(\.\d+)?"))&gt;=-90,VALUE(REGEXEXTRACT(SUBSTITUTE(TRIM(F304)," ",""),"^-?\d+(\.\d+)?"))&lt;=90,VALUE(REGEXEXTRACT(SUBSTITUTE(TRIM(F304)," ",""),"-?\d+(\.\d+)?$"))&gt;=-180,VALUE(REGEXEXTRACT(SUBSTITUTE(TRIM(F304)," ",""),"-?\d+(\.\d+)?$"))&lt;=180),"OK","REVISAR"),"REVISAR"),"")</f>
        <v/>
      </c>
      <c r="O304">
        <f>IF(A304&lt;&gt;"","https://direcciones507.github.io/direcciones507/panel.html?codigo="&amp;A304&amp;"&amp;nombre="&amp;ENCODEURL(B304)&amp;"&amp;telefono="&amp;SUBSTITUTE(C304,"-","")&amp;"&amp;referencia="&amp;ENCODEURL(E304)&amp;"&amp;lat="&amp;IZQUIERDA(SUBSTITUTE(F304," ",""),ENCONTRAR(",",SUBSTITUTE(F304," ",""))-1)&amp;"&amp;lng="&amp;DERECHA(SUBSTITUTE(F304," ",""),LARGO(SUBSTITUTE(F304," ",""))-ENCONTRAR(",",SUBSTITUTE(F304," ",""))),"")</f>
        <v/>
      </c>
    </row>
    <row r="305" ht="15.75" customHeight="1" s="10">
      <c r="A305" s="8">
        <f>CONCAT("AD507-",TEXT(ROW()-2,"0000"))</f>
        <v/>
      </c>
      <c r="C305" s="8" t="n"/>
      <c r="F305" s="8" t="n"/>
      <c r="G305" s="8">
        <f>IF(F305&lt;&gt;"",HYPERLINK("https://www.google.com/maps/search/?api=1&amp;query="&amp;SUBSTITUTE(F305," ",""),"🗺 Google Maps"),"")</f>
        <v/>
      </c>
      <c r="H305" s="8">
        <f>IF(F305&lt;&gt;"",HYPERLINK("https://waze.com/ul?ll="&amp;SUBSTITUTE(F305," ","")&amp;"&amp;navigate=yes","🚗 Waze"),"")</f>
        <v/>
      </c>
      <c r="I305" s="8">
        <f>IF(F305&lt;&gt;"",HYPERLINK("https://m.uber.com/ul/?action=setPickup&amp;pickup=my_location&amp;dropoff[latitude]="&amp;LEFT(SUBSTITUTE(F305," ",""),FIND(",",SUBSTITUTE(F305," ",""))-1)&amp;"&amp;dropoff[longitude]="&amp;MID(SUBSTITUTE(F305," ",""),FIND(",",SUBSTITUTE(F305," ",""))+1,99),"🚕 Uber"),"")</f>
        <v/>
      </c>
      <c r="J305" s="8">
        <f>IF(F305&lt;&gt;"","https://api.qrserver.com/v1/create-qr-code/?size=200x200&amp;data="&amp;ENCODEURL("https://www.google.com/maps/search/?api=1&amp;query="&amp;SUBSTITUTE(F305," ","")),"")</f>
        <v/>
      </c>
      <c r="K305" s="8">
        <f>IF(C305&lt;&gt;"",HYPERLINK("https://wa.me/507"&amp;REGEXREPLACE(C305,"[^0-9]","")&amp;"?text="&amp;ENCODEURL("Ya llegue. Codigo: "&amp;A305&amp;". Ubicacion: "&amp;"https://www.google.com/maps/search/?api=1&amp;query="&amp;SUBSTITUTE(F305," ","")),"📲 Avisar al cliente"),"")</f>
        <v/>
      </c>
      <c r="L305" s="8">
        <f>IF(C305&lt;&gt;"","https://api.qrserver.com/v1/create-qr-code/?size=200x200&amp;data="&amp;ENCODEURL("https://wa.me/507"&amp;REGEXREPLACE(C305,"[^0-9]","")&amp;"?text="&amp;ENCODEURL("Ya llegue. Codigo: "&amp;A305&amp;". Ubicacion: "&amp;"https://www.google.com/maps/search/?api=1&amp;query="&amp;SUBSTITUTE(F305," ",""))),"")</f>
        <v/>
      </c>
      <c r="M305" s="8">
        <f>IF(B305&lt;&gt;"",TODAY(),"")</f>
        <v/>
      </c>
      <c r="N305" s="8">
        <f>IF(F305&lt;&gt;"",IFERROR(IF(AND(REGEXMATCH(SUBSTITUTE(TRIM(F305)," ",""),"^-?\d+(\.\d+)?,-?\d+(\.\d+)?$"),VALUE(REGEXEXTRACT(SUBSTITUTE(TRIM(F305)," ",""),"^-?\d+(\.\d+)?"))&gt;=-90,VALUE(REGEXEXTRACT(SUBSTITUTE(TRIM(F305)," ",""),"^-?\d+(\.\d+)?"))&lt;=90,VALUE(REGEXEXTRACT(SUBSTITUTE(TRIM(F305)," ",""),"-?\d+(\.\d+)?$"))&gt;=-180,VALUE(REGEXEXTRACT(SUBSTITUTE(TRIM(F305)," ",""),"-?\d+(\.\d+)?$"))&lt;=180),"OK","REVISAR"),"REVISAR"),"")</f>
        <v/>
      </c>
      <c r="O305">
        <f>IF(A305&lt;&gt;"","https://direcciones507.github.io/direcciones507/panel.html?codigo="&amp;A305&amp;"&amp;nombre="&amp;ENCODEURL(B305)&amp;"&amp;telefono="&amp;SUBSTITUTE(C305,"-","")&amp;"&amp;referencia="&amp;ENCODEURL(E305)&amp;"&amp;lat="&amp;IZQUIERDA(SUBSTITUTE(F305," ",""),ENCONTRAR(",",SUBSTITUTE(F305," ",""))-1)&amp;"&amp;lng="&amp;DERECHA(SUBSTITUTE(F305," ",""),LARGO(SUBSTITUTE(F305," ",""))-ENCONTRAR(",",SUBSTITUTE(F305," ",""))),"")</f>
        <v/>
      </c>
    </row>
    <row r="306" ht="15.75" customHeight="1" s="10">
      <c r="A306" s="8">
        <f>CONCAT("AD507-",TEXT(ROW()-2,"0000"))</f>
        <v/>
      </c>
      <c r="C306" s="8" t="n"/>
      <c r="F306" s="8" t="n"/>
      <c r="G306" s="8">
        <f>IF(F306&lt;&gt;"",HYPERLINK("https://www.google.com/maps/search/?api=1&amp;query="&amp;SUBSTITUTE(F306," ",""),"🗺 Google Maps"),"")</f>
        <v/>
      </c>
      <c r="H306" s="8">
        <f>IF(F306&lt;&gt;"",HYPERLINK("https://waze.com/ul?ll="&amp;SUBSTITUTE(F306," ","")&amp;"&amp;navigate=yes","🚗 Waze"),"")</f>
        <v/>
      </c>
      <c r="I306" s="8">
        <f>IF(F306&lt;&gt;"",HYPERLINK("https://m.uber.com/ul/?action=setPickup&amp;pickup=my_location&amp;dropoff[latitude]="&amp;LEFT(SUBSTITUTE(F306," ",""),FIND(",",SUBSTITUTE(F306," ",""))-1)&amp;"&amp;dropoff[longitude]="&amp;MID(SUBSTITUTE(F306," ",""),FIND(",",SUBSTITUTE(F306," ",""))+1,99),"🚕 Uber"),"")</f>
        <v/>
      </c>
      <c r="J306" s="8">
        <f>IF(F306&lt;&gt;"","https://api.qrserver.com/v1/create-qr-code/?size=200x200&amp;data="&amp;ENCODEURL("https://www.google.com/maps/search/?api=1&amp;query="&amp;SUBSTITUTE(F306," ","")),"")</f>
        <v/>
      </c>
      <c r="K306" s="8">
        <f>IF(C306&lt;&gt;"",HYPERLINK("https://wa.me/507"&amp;REGEXREPLACE(C306,"[^0-9]","")&amp;"?text="&amp;ENCODEURL("Ya llegue. Codigo: "&amp;A306&amp;". Ubicacion: "&amp;"https://www.google.com/maps/search/?api=1&amp;query="&amp;SUBSTITUTE(F306," ","")),"📲 Avisar al cliente"),"")</f>
        <v/>
      </c>
      <c r="L306" s="8">
        <f>IF(C306&lt;&gt;"","https://api.qrserver.com/v1/create-qr-code/?size=200x200&amp;data="&amp;ENCODEURL("https://wa.me/507"&amp;REGEXREPLACE(C306,"[^0-9]","")&amp;"?text="&amp;ENCODEURL("Ya llegue. Codigo: "&amp;A306&amp;". Ubicacion: "&amp;"https://www.google.com/maps/search/?api=1&amp;query="&amp;SUBSTITUTE(F306," ",""))),"")</f>
        <v/>
      </c>
      <c r="M306" s="8">
        <f>IF(B306&lt;&gt;"",TODAY(),"")</f>
        <v/>
      </c>
      <c r="N306" s="8">
        <f>IF(F306&lt;&gt;"",IFERROR(IF(AND(REGEXMATCH(SUBSTITUTE(TRIM(F306)," ",""),"^-?\d+(\.\d+)?,-?\d+(\.\d+)?$"),VALUE(REGEXEXTRACT(SUBSTITUTE(TRIM(F306)," ",""),"^-?\d+(\.\d+)?"))&gt;=-90,VALUE(REGEXEXTRACT(SUBSTITUTE(TRIM(F306)," ",""),"^-?\d+(\.\d+)?"))&lt;=90,VALUE(REGEXEXTRACT(SUBSTITUTE(TRIM(F306)," ",""),"-?\d+(\.\d+)?$"))&gt;=-180,VALUE(REGEXEXTRACT(SUBSTITUTE(TRIM(F306)," ",""),"-?\d+(\.\d+)?$"))&lt;=180),"OK","REVISAR"),"REVISAR"),"")</f>
        <v/>
      </c>
      <c r="O306">
        <f>IF(A306&lt;&gt;"","https://direcciones507.github.io/direcciones507/panel.html?codigo="&amp;A306&amp;"&amp;nombre="&amp;ENCODEURL(B306)&amp;"&amp;telefono="&amp;SUBSTITUTE(C306,"-","")&amp;"&amp;referencia="&amp;ENCODEURL(E306)&amp;"&amp;lat="&amp;IZQUIERDA(SUBSTITUTE(F306," ",""),ENCONTRAR(",",SUBSTITUTE(F306," ",""))-1)&amp;"&amp;lng="&amp;DERECHA(SUBSTITUTE(F306," ",""),LARGO(SUBSTITUTE(F306," ",""))-ENCONTRAR(",",SUBSTITUTE(F306," ",""))),"")</f>
        <v/>
      </c>
    </row>
    <row r="307" ht="15.75" customHeight="1" s="10">
      <c r="A307" s="8">
        <f>CONCAT("AD507-",TEXT(ROW()-2,"0000"))</f>
        <v/>
      </c>
      <c r="C307" s="8" t="n"/>
      <c r="F307" s="8" t="n"/>
      <c r="G307" s="8">
        <f>IF(F307&lt;&gt;"",HYPERLINK("https://www.google.com/maps/search/?api=1&amp;query="&amp;SUBSTITUTE(F307," ",""),"🗺 Google Maps"),"")</f>
        <v/>
      </c>
      <c r="H307" s="8">
        <f>IF(F307&lt;&gt;"",HYPERLINK("https://waze.com/ul?ll="&amp;SUBSTITUTE(F307," ","")&amp;"&amp;navigate=yes","🚗 Waze"),"")</f>
        <v/>
      </c>
      <c r="I307" s="8">
        <f>IF(F307&lt;&gt;"",HYPERLINK("https://m.uber.com/ul/?action=setPickup&amp;pickup=my_location&amp;dropoff[latitude]="&amp;LEFT(SUBSTITUTE(F307," ",""),FIND(",",SUBSTITUTE(F307," ",""))-1)&amp;"&amp;dropoff[longitude]="&amp;MID(SUBSTITUTE(F307," ",""),FIND(",",SUBSTITUTE(F307," ",""))+1,99),"🚕 Uber"),"")</f>
        <v/>
      </c>
      <c r="J307" s="8">
        <f>IF(F307&lt;&gt;"","https://api.qrserver.com/v1/create-qr-code/?size=200x200&amp;data="&amp;ENCODEURL("https://www.google.com/maps/search/?api=1&amp;query="&amp;SUBSTITUTE(F307," ","")),"")</f>
        <v/>
      </c>
      <c r="K307" s="8">
        <f>IF(C307&lt;&gt;"",HYPERLINK("https://wa.me/507"&amp;REGEXREPLACE(C307,"[^0-9]","")&amp;"?text="&amp;ENCODEURL("Ya llegue. Codigo: "&amp;A307&amp;". Ubicacion: "&amp;"https://www.google.com/maps/search/?api=1&amp;query="&amp;SUBSTITUTE(F307," ","")),"📲 Avisar al cliente"),"")</f>
        <v/>
      </c>
      <c r="L307" s="8">
        <f>IF(C307&lt;&gt;"","https://api.qrserver.com/v1/create-qr-code/?size=200x200&amp;data="&amp;ENCODEURL("https://wa.me/507"&amp;REGEXREPLACE(C307,"[^0-9]","")&amp;"?text="&amp;ENCODEURL("Ya llegue. Codigo: "&amp;A307&amp;". Ubicacion: "&amp;"https://www.google.com/maps/search/?api=1&amp;query="&amp;SUBSTITUTE(F307," ",""))),"")</f>
        <v/>
      </c>
      <c r="M307" s="8">
        <f>IF(B307&lt;&gt;"",TODAY(),"")</f>
        <v/>
      </c>
      <c r="N307" s="8">
        <f>IF(F307&lt;&gt;"",IFERROR(IF(AND(REGEXMATCH(SUBSTITUTE(TRIM(F307)," ",""),"^-?\d+(\.\d+)?,-?\d+(\.\d+)?$"),VALUE(REGEXEXTRACT(SUBSTITUTE(TRIM(F307)," ",""),"^-?\d+(\.\d+)?"))&gt;=-90,VALUE(REGEXEXTRACT(SUBSTITUTE(TRIM(F307)," ",""),"^-?\d+(\.\d+)?"))&lt;=90,VALUE(REGEXEXTRACT(SUBSTITUTE(TRIM(F307)," ",""),"-?\d+(\.\d+)?$"))&gt;=-180,VALUE(REGEXEXTRACT(SUBSTITUTE(TRIM(F307)," ",""),"-?\d+(\.\d+)?$"))&lt;=180),"OK","REVISAR"),"REVISAR"),"")</f>
        <v/>
      </c>
      <c r="O307">
        <f>IF(A307&lt;&gt;"","https://direcciones507.github.io/direcciones507/panel.html?codigo="&amp;A307&amp;"&amp;nombre="&amp;ENCODEURL(B307)&amp;"&amp;telefono="&amp;SUBSTITUTE(C307,"-","")&amp;"&amp;referencia="&amp;ENCODEURL(E307)&amp;"&amp;lat="&amp;IZQUIERDA(SUBSTITUTE(F307," ",""),ENCONTRAR(",",SUBSTITUTE(F307," ",""))-1)&amp;"&amp;lng="&amp;DERECHA(SUBSTITUTE(F307," ",""),LARGO(SUBSTITUTE(F307," ",""))-ENCONTRAR(",",SUBSTITUTE(F307," ",""))),"")</f>
        <v/>
      </c>
    </row>
    <row r="308" ht="15.75" customHeight="1" s="10">
      <c r="A308" s="8">
        <f>CONCAT("AD507-",TEXT(ROW()-2,"0000"))</f>
        <v/>
      </c>
      <c r="C308" s="8" t="n"/>
      <c r="F308" s="8" t="n"/>
      <c r="G308" s="8">
        <f>IF(F308&lt;&gt;"",HYPERLINK("https://www.google.com/maps/search/?api=1&amp;query="&amp;SUBSTITUTE(F308," ",""),"🗺 Google Maps"),"")</f>
        <v/>
      </c>
      <c r="H308" s="8">
        <f>IF(F308&lt;&gt;"",HYPERLINK("https://waze.com/ul?ll="&amp;SUBSTITUTE(F308," ","")&amp;"&amp;navigate=yes","🚗 Waze"),"")</f>
        <v/>
      </c>
      <c r="I308" s="8">
        <f>IF(F308&lt;&gt;"",HYPERLINK("https://m.uber.com/ul/?action=setPickup&amp;pickup=my_location&amp;dropoff[latitude]="&amp;LEFT(SUBSTITUTE(F308," ",""),FIND(",",SUBSTITUTE(F308," ",""))-1)&amp;"&amp;dropoff[longitude]="&amp;MID(SUBSTITUTE(F308," ",""),FIND(",",SUBSTITUTE(F308," ",""))+1,99),"🚕 Uber"),"")</f>
        <v/>
      </c>
      <c r="J308" s="8">
        <f>IF(F308&lt;&gt;"","https://api.qrserver.com/v1/create-qr-code/?size=200x200&amp;data="&amp;ENCODEURL("https://www.google.com/maps/search/?api=1&amp;query="&amp;SUBSTITUTE(F308," ","")),"")</f>
        <v/>
      </c>
      <c r="K308" s="8">
        <f>IF(C308&lt;&gt;"",HYPERLINK("https://wa.me/507"&amp;REGEXREPLACE(C308,"[^0-9]","")&amp;"?text="&amp;ENCODEURL("Ya llegue. Codigo: "&amp;A308&amp;". Ubicacion: "&amp;"https://www.google.com/maps/search/?api=1&amp;query="&amp;SUBSTITUTE(F308," ","")),"📲 Avisar al cliente"),"")</f>
        <v/>
      </c>
      <c r="L308" s="8">
        <f>IF(C308&lt;&gt;"","https://api.qrserver.com/v1/create-qr-code/?size=200x200&amp;data="&amp;ENCODEURL("https://wa.me/507"&amp;REGEXREPLACE(C308,"[^0-9]","")&amp;"?text="&amp;ENCODEURL("Ya llegue. Codigo: "&amp;A308&amp;". Ubicacion: "&amp;"https://www.google.com/maps/search/?api=1&amp;query="&amp;SUBSTITUTE(F308," ",""))),"")</f>
        <v/>
      </c>
      <c r="M308" s="8">
        <f>IF(B308&lt;&gt;"",TODAY(),"")</f>
        <v/>
      </c>
      <c r="N308" s="8">
        <f>IF(F308&lt;&gt;"",IFERROR(IF(AND(REGEXMATCH(SUBSTITUTE(TRIM(F308)," ",""),"^-?\d+(\.\d+)?,-?\d+(\.\d+)?$"),VALUE(REGEXEXTRACT(SUBSTITUTE(TRIM(F308)," ",""),"^-?\d+(\.\d+)?"))&gt;=-90,VALUE(REGEXEXTRACT(SUBSTITUTE(TRIM(F308)," ",""),"^-?\d+(\.\d+)?"))&lt;=90,VALUE(REGEXEXTRACT(SUBSTITUTE(TRIM(F308)," ",""),"-?\d+(\.\d+)?$"))&gt;=-180,VALUE(REGEXEXTRACT(SUBSTITUTE(TRIM(F308)," ",""),"-?\d+(\.\d+)?$"))&lt;=180),"OK","REVISAR"),"REVISAR"),"")</f>
        <v/>
      </c>
      <c r="O308">
        <f>IF(A308&lt;&gt;"","https://direcciones507.github.io/direcciones507/panel.html?codigo="&amp;A308&amp;"&amp;nombre="&amp;ENCODEURL(B308)&amp;"&amp;telefono="&amp;SUBSTITUTE(C308,"-","")&amp;"&amp;referencia="&amp;ENCODEURL(E308)&amp;"&amp;lat="&amp;IZQUIERDA(SUBSTITUTE(F308," ",""),ENCONTRAR(",",SUBSTITUTE(F308," ",""))-1)&amp;"&amp;lng="&amp;DERECHA(SUBSTITUTE(F308," ",""),LARGO(SUBSTITUTE(F308," ",""))-ENCONTRAR(",",SUBSTITUTE(F308," ",""))),"")</f>
        <v/>
      </c>
    </row>
    <row r="309" ht="15.75" customHeight="1" s="10">
      <c r="A309" s="8">
        <f>CONCAT("AD507-",TEXT(ROW()-2,"0000"))</f>
        <v/>
      </c>
      <c r="C309" s="8" t="n"/>
      <c r="F309" s="8" t="n"/>
      <c r="G309" s="8">
        <f>IF(F309&lt;&gt;"",HYPERLINK("https://www.google.com/maps/search/?api=1&amp;query="&amp;SUBSTITUTE(F309," ",""),"🗺 Google Maps"),"")</f>
        <v/>
      </c>
      <c r="H309" s="8">
        <f>IF(F309&lt;&gt;"",HYPERLINK("https://waze.com/ul?ll="&amp;SUBSTITUTE(F309," ","")&amp;"&amp;navigate=yes","🚗 Waze"),"")</f>
        <v/>
      </c>
      <c r="I309" s="8">
        <f>IF(F309&lt;&gt;"",HYPERLINK("https://m.uber.com/ul/?action=setPickup&amp;pickup=my_location&amp;dropoff[latitude]="&amp;LEFT(SUBSTITUTE(F309," ",""),FIND(",",SUBSTITUTE(F309," ",""))-1)&amp;"&amp;dropoff[longitude]="&amp;MID(SUBSTITUTE(F309," ",""),FIND(",",SUBSTITUTE(F309," ",""))+1,99),"🚕 Uber"),"")</f>
        <v/>
      </c>
      <c r="J309" s="8">
        <f>IF(F309&lt;&gt;"","https://api.qrserver.com/v1/create-qr-code/?size=200x200&amp;data="&amp;ENCODEURL("https://www.google.com/maps/search/?api=1&amp;query="&amp;SUBSTITUTE(F309," ","")),"")</f>
        <v/>
      </c>
      <c r="K309" s="8">
        <f>IF(C309&lt;&gt;"",HYPERLINK("https://wa.me/507"&amp;REGEXREPLACE(C309,"[^0-9]","")&amp;"?text="&amp;ENCODEURL("Ya llegue. Codigo: "&amp;A309&amp;". Ubicacion: "&amp;"https://www.google.com/maps/search/?api=1&amp;query="&amp;SUBSTITUTE(F309," ","")),"📲 Avisar al cliente"),"")</f>
        <v/>
      </c>
      <c r="L309" s="8">
        <f>IF(C309&lt;&gt;"","https://api.qrserver.com/v1/create-qr-code/?size=200x200&amp;data="&amp;ENCODEURL("https://wa.me/507"&amp;REGEXREPLACE(C309,"[^0-9]","")&amp;"?text="&amp;ENCODEURL("Ya llegue. Codigo: "&amp;A309&amp;". Ubicacion: "&amp;"https://www.google.com/maps/search/?api=1&amp;query="&amp;SUBSTITUTE(F309," ",""))),"")</f>
        <v/>
      </c>
      <c r="M309" s="8">
        <f>IF(B309&lt;&gt;"",TODAY(),"")</f>
        <v/>
      </c>
      <c r="N309" s="8">
        <f>IF(F309&lt;&gt;"",IFERROR(IF(AND(REGEXMATCH(SUBSTITUTE(TRIM(F309)," ",""),"^-?\d+(\.\d+)?,-?\d+(\.\d+)?$"),VALUE(REGEXEXTRACT(SUBSTITUTE(TRIM(F309)," ",""),"^-?\d+(\.\d+)?"))&gt;=-90,VALUE(REGEXEXTRACT(SUBSTITUTE(TRIM(F309)," ",""),"^-?\d+(\.\d+)?"))&lt;=90,VALUE(REGEXEXTRACT(SUBSTITUTE(TRIM(F309)," ",""),"-?\d+(\.\d+)?$"))&gt;=-180,VALUE(REGEXEXTRACT(SUBSTITUTE(TRIM(F309)," ",""),"-?\d+(\.\d+)?$"))&lt;=180),"OK","REVISAR"),"REVISAR"),"")</f>
        <v/>
      </c>
      <c r="O309">
        <f>IF(A309&lt;&gt;"","https://direcciones507.github.io/direcciones507/panel.html?codigo="&amp;A309&amp;"&amp;nombre="&amp;ENCODEURL(B309)&amp;"&amp;telefono="&amp;SUBSTITUTE(C309,"-","")&amp;"&amp;referencia="&amp;ENCODEURL(E309)&amp;"&amp;lat="&amp;IZQUIERDA(SUBSTITUTE(F309," ",""),ENCONTRAR(",",SUBSTITUTE(F309," ",""))-1)&amp;"&amp;lng="&amp;DERECHA(SUBSTITUTE(F309," ",""),LARGO(SUBSTITUTE(F309," ",""))-ENCONTRAR(",",SUBSTITUTE(F309," ",""))),"")</f>
        <v/>
      </c>
    </row>
    <row r="310" ht="15.75" customHeight="1" s="10">
      <c r="A310" s="8">
        <f>CONCAT("AD507-",TEXT(ROW()-2,"0000"))</f>
        <v/>
      </c>
      <c r="C310" s="8" t="n"/>
      <c r="F310" s="8" t="n"/>
      <c r="G310" s="8">
        <f>IF(F310&lt;&gt;"",HYPERLINK("https://www.google.com/maps/search/?api=1&amp;query="&amp;SUBSTITUTE(F310," ",""),"🗺 Google Maps"),"")</f>
        <v/>
      </c>
      <c r="H310" s="8">
        <f>IF(F310&lt;&gt;"",HYPERLINK("https://waze.com/ul?ll="&amp;SUBSTITUTE(F310," ","")&amp;"&amp;navigate=yes","🚗 Waze"),"")</f>
        <v/>
      </c>
      <c r="I310" s="8">
        <f>IF(F310&lt;&gt;"",HYPERLINK("https://m.uber.com/ul/?action=setPickup&amp;pickup=my_location&amp;dropoff[latitude]="&amp;LEFT(SUBSTITUTE(F310," ",""),FIND(",",SUBSTITUTE(F310," ",""))-1)&amp;"&amp;dropoff[longitude]="&amp;MID(SUBSTITUTE(F310," ",""),FIND(",",SUBSTITUTE(F310," ",""))+1,99),"🚕 Uber"),"")</f>
        <v/>
      </c>
      <c r="J310" s="8">
        <f>IF(F310&lt;&gt;"","https://api.qrserver.com/v1/create-qr-code/?size=200x200&amp;data="&amp;ENCODEURL("https://www.google.com/maps/search/?api=1&amp;query="&amp;SUBSTITUTE(F310," ","")),"")</f>
        <v/>
      </c>
      <c r="K310" s="8">
        <f>IF(C310&lt;&gt;"",HYPERLINK("https://wa.me/507"&amp;REGEXREPLACE(C310,"[^0-9]","")&amp;"?text="&amp;ENCODEURL("Ya llegue. Codigo: "&amp;A310&amp;". Ubicacion: "&amp;"https://www.google.com/maps/search/?api=1&amp;query="&amp;SUBSTITUTE(F310," ","")),"📲 Avisar al cliente"),"")</f>
        <v/>
      </c>
      <c r="L310" s="8">
        <f>IF(C310&lt;&gt;"","https://api.qrserver.com/v1/create-qr-code/?size=200x200&amp;data="&amp;ENCODEURL("https://wa.me/507"&amp;REGEXREPLACE(C310,"[^0-9]","")&amp;"?text="&amp;ENCODEURL("Ya llegue. Codigo: "&amp;A310&amp;". Ubicacion: "&amp;"https://www.google.com/maps/search/?api=1&amp;query="&amp;SUBSTITUTE(F310," ",""))),"")</f>
        <v/>
      </c>
      <c r="M310" s="8">
        <f>IF(B310&lt;&gt;"",TODAY(),"")</f>
        <v/>
      </c>
      <c r="N310" s="8">
        <f>IF(F310&lt;&gt;"",IFERROR(IF(AND(REGEXMATCH(SUBSTITUTE(TRIM(F310)," ",""),"^-?\d+(\.\d+)?,-?\d+(\.\d+)?$"),VALUE(REGEXEXTRACT(SUBSTITUTE(TRIM(F310)," ",""),"^-?\d+(\.\d+)?"))&gt;=-90,VALUE(REGEXEXTRACT(SUBSTITUTE(TRIM(F310)," ",""),"^-?\d+(\.\d+)?"))&lt;=90,VALUE(REGEXEXTRACT(SUBSTITUTE(TRIM(F310)," ",""),"-?\d+(\.\d+)?$"))&gt;=-180,VALUE(REGEXEXTRACT(SUBSTITUTE(TRIM(F310)," ",""),"-?\d+(\.\d+)?$"))&lt;=180),"OK","REVISAR"),"REVISAR"),"")</f>
        <v/>
      </c>
      <c r="O310">
        <f>IF(A310&lt;&gt;"","https://direcciones507.github.io/direcciones507/panel.html?codigo="&amp;A310&amp;"&amp;nombre="&amp;ENCODEURL(B310)&amp;"&amp;telefono="&amp;SUBSTITUTE(C310,"-","")&amp;"&amp;referencia="&amp;ENCODEURL(E310)&amp;"&amp;lat="&amp;IZQUIERDA(SUBSTITUTE(F310," ",""),ENCONTRAR(",",SUBSTITUTE(F310," ",""))-1)&amp;"&amp;lng="&amp;DERECHA(SUBSTITUTE(F310," ",""),LARGO(SUBSTITUTE(F310," ",""))-ENCONTRAR(",",SUBSTITUTE(F310," ",""))),"")</f>
        <v/>
      </c>
    </row>
    <row r="311" ht="15.75" customHeight="1" s="10">
      <c r="A311" s="8">
        <f>CONCAT("AD507-",TEXT(ROW()-2,"0000"))</f>
        <v/>
      </c>
      <c r="C311" s="8" t="n"/>
      <c r="F311" s="8" t="n"/>
      <c r="G311" s="8">
        <f>IF(F311&lt;&gt;"",HYPERLINK("https://www.google.com/maps/search/?api=1&amp;query="&amp;SUBSTITUTE(F311," ",""),"🗺 Google Maps"),"")</f>
        <v/>
      </c>
      <c r="H311" s="8">
        <f>IF(F311&lt;&gt;"",HYPERLINK("https://waze.com/ul?ll="&amp;SUBSTITUTE(F311," ","")&amp;"&amp;navigate=yes","🚗 Waze"),"")</f>
        <v/>
      </c>
      <c r="I311" s="8">
        <f>IF(F311&lt;&gt;"",HYPERLINK("https://m.uber.com/ul/?action=setPickup&amp;pickup=my_location&amp;dropoff[latitude]="&amp;LEFT(SUBSTITUTE(F311," ",""),FIND(",",SUBSTITUTE(F311," ",""))-1)&amp;"&amp;dropoff[longitude]="&amp;MID(SUBSTITUTE(F311," ",""),FIND(",",SUBSTITUTE(F311," ",""))+1,99),"🚕 Uber"),"")</f>
        <v/>
      </c>
      <c r="J311" s="8">
        <f>IF(F311&lt;&gt;"","https://api.qrserver.com/v1/create-qr-code/?size=200x200&amp;data="&amp;ENCODEURL("https://www.google.com/maps/search/?api=1&amp;query="&amp;SUBSTITUTE(F311," ","")),"")</f>
        <v/>
      </c>
      <c r="K311" s="8">
        <f>IF(C311&lt;&gt;"",HYPERLINK("https://wa.me/507"&amp;REGEXREPLACE(C311,"[^0-9]","")&amp;"?text="&amp;ENCODEURL("Ya llegue. Codigo: "&amp;A311&amp;". Ubicacion: "&amp;"https://www.google.com/maps/search/?api=1&amp;query="&amp;SUBSTITUTE(F311," ","")),"📲 Avisar al cliente"),"")</f>
        <v/>
      </c>
      <c r="L311" s="8">
        <f>IF(C311&lt;&gt;"","https://api.qrserver.com/v1/create-qr-code/?size=200x200&amp;data="&amp;ENCODEURL("https://wa.me/507"&amp;REGEXREPLACE(C311,"[^0-9]","")&amp;"?text="&amp;ENCODEURL("Ya llegue. Codigo: "&amp;A311&amp;". Ubicacion: "&amp;"https://www.google.com/maps/search/?api=1&amp;query="&amp;SUBSTITUTE(F311," ",""))),"")</f>
        <v/>
      </c>
      <c r="M311" s="8">
        <f>IF(B311&lt;&gt;"",TODAY(),"")</f>
        <v/>
      </c>
      <c r="N311" s="8">
        <f>IF(F311&lt;&gt;"",IFERROR(IF(AND(REGEXMATCH(SUBSTITUTE(TRIM(F311)," ",""),"^-?\d+(\.\d+)?,-?\d+(\.\d+)?$"),VALUE(REGEXEXTRACT(SUBSTITUTE(TRIM(F311)," ",""),"^-?\d+(\.\d+)?"))&gt;=-90,VALUE(REGEXEXTRACT(SUBSTITUTE(TRIM(F311)," ",""),"^-?\d+(\.\d+)?"))&lt;=90,VALUE(REGEXEXTRACT(SUBSTITUTE(TRIM(F311)," ",""),"-?\d+(\.\d+)?$"))&gt;=-180,VALUE(REGEXEXTRACT(SUBSTITUTE(TRIM(F311)," ",""),"-?\d+(\.\d+)?$"))&lt;=180),"OK","REVISAR"),"REVISAR"),"")</f>
        <v/>
      </c>
      <c r="O311">
        <f>IF(A311&lt;&gt;"","https://direcciones507.github.io/direcciones507/panel.html?codigo="&amp;A311&amp;"&amp;nombre="&amp;ENCODEURL(B311)&amp;"&amp;telefono="&amp;SUBSTITUTE(C311,"-","")&amp;"&amp;referencia="&amp;ENCODEURL(E311)&amp;"&amp;lat="&amp;IZQUIERDA(SUBSTITUTE(F311," ",""),ENCONTRAR(",",SUBSTITUTE(F311," ",""))-1)&amp;"&amp;lng="&amp;DERECHA(SUBSTITUTE(F311," ",""),LARGO(SUBSTITUTE(F311," ",""))-ENCONTRAR(",",SUBSTITUTE(F311," ",""))),"")</f>
        <v/>
      </c>
    </row>
    <row r="312" ht="15.75" customHeight="1" s="10">
      <c r="A312" s="8">
        <f>CONCAT("AD507-",TEXT(ROW()-2,"0000"))</f>
        <v/>
      </c>
      <c r="C312" s="8" t="n"/>
      <c r="F312" s="8" t="n"/>
      <c r="G312" s="8">
        <f>IF(F312&lt;&gt;"",HYPERLINK("https://www.google.com/maps/search/?api=1&amp;query="&amp;SUBSTITUTE(F312," ",""),"🗺 Google Maps"),"")</f>
        <v/>
      </c>
      <c r="H312" s="8">
        <f>IF(F312&lt;&gt;"",HYPERLINK("https://waze.com/ul?ll="&amp;SUBSTITUTE(F312," ","")&amp;"&amp;navigate=yes","🚗 Waze"),"")</f>
        <v/>
      </c>
      <c r="I312" s="8">
        <f>IF(F312&lt;&gt;"",HYPERLINK("https://m.uber.com/ul/?action=setPickup&amp;pickup=my_location&amp;dropoff[latitude]="&amp;LEFT(SUBSTITUTE(F312," ",""),FIND(",",SUBSTITUTE(F312," ",""))-1)&amp;"&amp;dropoff[longitude]="&amp;MID(SUBSTITUTE(F312," ",""),FIND(",",SUBSTITUTE(F312," ",""))+1,99),"🚕 Uber"),"")</f>
        <v/>
      </c>
      <c r="J312" s="8">
        <f>IF(F312&lt;&gt;"","https://api.qrserver.com/v1/create-qr-code/?size=200x200&amp;data="&amp;ENCODEURL("https://www.google.com/maps/search/?api=1&amp;query="&amp;SUBSTITUTE(F312," ","")),"")</f>
        <v/>
      </c>
      <c r="K312" s="8">
        <f>IF(C312&lt;&gt;"",HYPERLINK("https://wa.me/507"&amp;REGEXREPLACE(C312,"[^0-9]","")&amp;"?text="&amp;ENCODEURL("Ya llegue. Codigo: "&amp;A312&amp;". Ubicacion: "&amp;"https://www.google.com/maps/search/?api=1&amp;query="&amp;SUBSTITUTE(F312," ","")),"📲 Avisar al cliente"),"")</f>
        <v/>
      </c>
      <c r="L312" s="8">
        <f>IF(C312&lt;&gt;"","https://api.qrserver.com/v1/create-qr-code/?size=200x200&amp;data="&amp;ENCODEURL("https://wa.me/507"&amp;REGEXREPLACE(C312,"[^0-9]","")&amp;"?text="&amp;ENCODEURL("Ya llegue. Codigo: "&amp;A312&amp;". Ubicacion: "&amp;"https://www.google.com/maps/search/?api=1&amp;query="&amp;SUBSTITUTE(F312," ",""))),"")</f>
        <v/>
      </c>
      <c r="M312" s="8">
        <f>IF(B312&lt;&gt;"",TODAY(),"")</f>
        <v/>
      </c>
      <c r="N312" s="8">
        <f>IF(F312&lt;&gt;"",IFERROR(IF(AND(REGEXMATCH(SUBSTITUTE(TRIM(F312)," ",""),"^-?\d+(\.\d+)?,-?\d+(\.\d+)?$"),VALUE(REGEXEXTRACT(SUBSTITUTE(TRIM(F312)," ",""),"^-?\d+(\.\d+)?"))&gt;=-90,VALUE(REGEXEXTRACT(SUBSTITUTE(TRIM(F312)," ",""),"^-?\d+(\.\d+)?"))&lt;=90,VALUE(REGEXEXTRACT(SUBSTITUTE(TRIM(F312)," ",""),"-?\d+(\.\d+)?$"))&gt;=-180,VALUE(REGEXEXTRACT(SUBSTITUTE(TRIM(F312)," ",""),"-?\d+(\.\d+)?$"))&lt;=180),"OK","REVISAR"),"REVISAR"),"")</f>
        <v/>
      </c>
      <c r="O312">
        <f>IF(A312&lt;&gt;"","https://direcciones507.github.io/direcciones507/panel.html?codigo="&amp;A312&amp;"&amp;nombre="&amp;ENCODEURL(B312)&amp;"&amp;telefono="&amp;SUBSTITUTE(C312,"-","")&amp;"&amp;referencia="&amp;ENCODEURL(E312)&amp;"&amp;lat="&amp;IZQUIERDA(SUBSTITUTE(F312," ",""),ENCONTRAR(",",SUBSTITUTE(F312," ",""))-1)&amp;"&amp;lng="&amp;DERECHA(SUBSTITUTE(F312," ",""),LARGO(SUBSTITUTE(F312," ",""))-ENCONTRAR(",",SUBSTITUTE(F312," ",""))),"")</f>
        <v/>
      </c>
    </row>
    <row r="313" ht="15.75" customHeight="1" s="10">
      <c r="A313" s="8">
        <f>CONCAT("AD507-",TEXT(ROW()-2,"0000"))</f>
        <v/>
      </c>
      <c r="C313" s="8" t="n"/>
      <c r="F313" s="8" t="n"/>
      <c r="G313" s="8">
        <f>IF(F313&lt;&gt;"",HYPERLINK("https://www.google.com/maps/search/?api=1&amp;query="&amp;SUBSTITUTE(F313," ",""),"🗺 Google Maps"),"")</f>
        <v/>
      </c>
      <c r="H313" s="8">
        <f>IF(F313&lt;&gt;"",HYPERLINK("https://waze.com/ul?ll="&amp;SUBSTITUTE(F313," ","")&amp;"&amp;navigate=yes","🚗 Waze"),"")</f>
        <v/>
      </c>
      <c r="I313" s="8">
        <f>IF(F313&lt;&gt;"",HYPERLINK("https://m.uber.com/ul/?action=setPickup&amp;pickup=my_location&amp;dropoff[latitude]="&amp;LEFT(SUBSTITUTE(F313," ",""),FIND(",",SUBSTITUTE(F313," ",""))-1)&amp;"&amp;dropoff[longitude]="&amp;MID(SUBSTITUTE(F313," ",""),FIND(",",SUBSTITUTE(F313," ",""))+1,99),"🚕 Uber"),"")</f>
        <v/>
      </c>
      <c r="J313" s="8">
        <f>IF(F313&lt;&gt;"","https://api.qrserver.com/v1/create-qr-code/?size=200x200&amp;data="&amp;ENCODEURL("https://www.google.com/maps/search/?api=1&amp;query="&amp;SUBSTITUTE(F313," ","")),"")</f>
        <v/>
      </c>
      <c r="K313" s="8">
        <f>IF(C313&lt;&gt;"",HYPERLINK("https://wa.me/507"&amp;REGEXREPLACE(C313,"[^0-9]","")&amp;"?text="&amp;ENCODEURL("Ya llegue. Codigo: "&amp;A313&amp;". Ubicacion: "&amp;"https://www.google.com/maps/search/?api=1&amp;query="&amp;SUBSTITUTE(F313," ","")),"📲 Avisar al cliente"),"")</f>
        <v/>
      </c>
      <c r="L313" s="8">
        <f>IF(C313&lt;&gt;"","https://api.qrserver.com/v1/create-qr-code/?size=200x200&amp;data="&amp;ENCODEURL("https://wa.me/507"&amp;REGEXREPLACE(C313,"[^0-9]","")&amp;"?text="&amp;ENCODEURL("Ya llegue. Codigo: "&amp;A313&amp;". Ubicacion: "&amp;"https://www.google.com/maps/search/?api=1&amp;query="&amp;SUBSTITUTE(F313," ",""))),"")</f>
        <v/>
      </c>
      <c r="M313" s="8">
        <f>IF(B313&lt;&gt;"",TODAY(),"")</f>
        <v/>
      </c>
      <c r="N313" s="8">
        <f>IF(F313&lt;&gt;"",IFERROR(IF(AND(REGEXMATCH(SUBSTITUTE(TRIM(F313)," ",""),"^-?\d+(\.\d+)?,-?\d+(\.\d+)?$"),VALUE(REGEXEXTRACT(SUBSTITUTE(TRIM(F313)," ",""),"^-?\d+(\.\d+)?"))&gt;=-90,VALUE(REGEXEXTRACT(SUBSTITUTE(TRIM(F313)," ",""),"^-?\d+(\.\d+)?"))&lt;=90,VALUE(REGEXEXTRACT(SUBSTITUTE(TRIM(F313)," ",""),"-?\d+(\.\d+)?$"))&gt;=-180,VALUE(REGEXEXTRACT(SUBSTITUTE(TRIM(F313)," ",""),"-?\d+(\.\d+)?$"))&lt;=180),"OK","REVISAR"),"REVISAR"),"")</f>
        <v/>
      </c>
      <c r="O313">
        <f>IF(A313&lt;&gt;"","https://direcciones507.github.io/direcciones507/panel.html?codigo="&amp;A313&amp;"&amp;nombre="&amp;ENCODEURL(B313)&amp;"&amp;telefono="&amp;SUBSTITUTE(C313,"-","")&amp;"&amp;referencia="&amp;ENCODEURL(E313)&amp;"&amp;lat="&amp;IZQUIERDA(SUBSTITUTE(F313," ",""),ENCONTRAR(",",SUBSTITUTE(F313," ",""))-1)&amp;"&amp;lng="&amp;DERECHA(SUBSTITUTE(F313," ",""),LARGO(SUBSTITUTE(F313," ",""))-ENCONTRAR(",",SUBSTITUTE(F313," ",""))),"")</f>
        <v/>
      </c>
    </row>
    <row r="314" ht="15.75" customHeight="1" s="10">
      <c r="A314" s="8">
        <f>CONCAT("AD507-",TEXT(ROW()-2,"0000"))</f>
        <v/>
      </c>
      <c r="C314" s="8" t="n"/>
      <c r="F314" s="8" t="n"/>
      <c r="G314" s="8">
        <f>IF(F314&lt;&gt;"",HYPERLINK("https://www.google.com/maps/search/?api=1&amp;query="&amp;SUBSTITUTE(F314," ",""),"🗺 Google Maps"),"")</f>
        <v/>
      </c>
      <c r="H314" s="8">
        <f>IF(F314&lt;&gt;"",HYPERLINK("https://waze.com/ul?ll="&amp;SUBSTITUTE(F314," ","")&amp;"&amp;navigate=yes","🚗 Waze"),"")</f>
        <v/>
      </c>
      <c r="I314" s="8">
        <f>IF(F314&lt;&gt;"",HYPERLINK("https://m.uber.com/ul/?action=setPickup&amp;pickup=my_location&amp;dropoff[latitude]="&amp;LEFT(SUBSTITUTE(F314," ",""),FIND(",",SUBSTITUTE(F314," ",""))-1)&amp;"&amp;dropoff[longitude]="&amp;MID(SUBSTITUTE(F314," ",""),FIND(",",SUBSTITUTE(F314," ",""))+1,99),"🚕 Uber"),"")</f>
        <v/>
      </c>
      <c r="J314" s="8">
        <f>IF(F314&lt;&gt;"","https://api.qrserver.com/v1/create-qr-code/?size=200x200&amp;data="&amp;ENCODEURL("https://www.google.com/maps/search/?api=1&amp;query="&amp;SUBSTITUTE(F314," ","")),"")</f>
        <v/>
      </c>
      <c r="K314" s="8">
        <f>IF(C314&lt;&gt;"",HYPERLINK("https://wa.me/507"&amp;REGEXREPLACE(C314,"[^0-9]","")&amp;"?text="&amp;ENCODEURL("Ya llegue. Codigo: "&amp;A314&amp;". Ubicacion: "&amp;"https://www.google.com/maps/search/?api=1&amp;query="&amp;SUBSTITUTE(F314," ","")),"📲 Avisar al cliente"),"")</f>
        <v/>
      </c>
      <c r="L314" s="8">
        <f>IF(C314&lt;&gt;"","https://api.qrserver.com/v1/create-qr-code/?size=200x200&amp;data="&amp;ENCODEURL("https://wa.me/507"&amp;REGEXREPLACE(C314,"[^0-9]","")&amp;"?text="&amp;ENCODEURL("Ya llegue. Codigo: "&amp;A314&amp;". Ubicacion: "&amp;"https://www.google.com/maps/search/?api=1&amp;query="&amp;SUBSTITUTE(F314," ",""))),"")</f>
        <v/>
      </c>
      <c r="M314" s="8">
        <f>IF(B314&lt;&gt;"",TODAY(),"")</f>
        <v/>
      </c>
      <c r="N314" s="8">
        <f>IF(F314&lt;&gt;"",IFERROR(IF(AND(REGEXMATCH(SUBSTITUTE(TRIM(F314)," ",""),"^-?\d+(\.\d+)?,-?\d+(\.\d+)?$"),VALUE(REGEXEXTRACT(SUBSTITUTE(TRIM(F314)," ",""),"^-?\d+(\.\d+)?"))&gt;=-90,VALUE(REGEXEXTRACT(SUBSTITUTE(TRIM(F314)," ",""),"^-?\d+(\.\d+)?"))&lt;=90,VALUE(REGEXEXTRACT(SUBSTITUTE(TRIM(F314)," ",""),"-?\d+(\.\d+)?$"))&gt;=-180,VALUE(REGEXEXTRACT(SUBSTITUTE(TRIM(F314)," ",""),"-?\d+(\.\d+)?$"))&lt;=180),"OK","REVISAR"),"REVISAR"),"")</f>
        <v/>
      </c>
      <c r="O314">
        <f>IF(A314&lt;&gt;"","https://direcciones507.github.io/direcciones507/panel.html?codigo="&amp;A314&amp;"&amp;nombre="&amp;ENCODEURL(B314)&amp;"&amp;telefono="&amp;SUBSTITUTE(C314,"-","")&amp;"&amp;referencia="&amp;ENCODEURL(E314)&amp;"&amp;lat="&amp;IZQUIERDA(SUBSTITUTE(F314," ",""),ENCONTRAR(",",SUBSTITUTE(F314," ",""))-1)&amp;"&amp;lng="&amp;DERECHA(SUBSTITUTE(F314," ",""),LARGO(SUBSTITUTE(F314," ",""))-ENCONTRAR(",",SUBSTITUTE(F314," ",""))),"")</f>
        <v/>
      </c>
    </row>
    <row r="315" ht="15.75" customHeight="1" s="10">
      <c r="A315" s="8">
        <f>CONCAT("AD507-",TEXT(ROW()-2,"0000"))</f>
        <v/>
      </c>
      <c r="C315" s="8" t="n"/>
      <c r="F315" s="8" t="n"/>
      <c r="G315" s="8">
        <f>IF(F315&lt;&gt;"",HYPERLINK("https://www.google.com/maps/search/?api=1&amp;query="&amp;SUBSTITUTE(F315," ",""),"🗺 Google Maps"),"")</f>
        <v/>
      </c>
      <c r="H315" s="8">
        <f>IF(F315&lt;&gt;"",HYPERLINK("https://waze.com/ul?ll="&amp;SUBSTITUTE(F315," ","")&amp;"&amp;navigate=yes","🚗 Waze"),"")</f>
        <v/>
      </c>
      <c r="I315" s="8">
        <f>IF(F315&lt;&gt;"",HYPERLINK("https://m.uber.com/ul/?action=setPickup&amp;pickup=my_location&amp;dropoff[latitude]="&amp;LEFT(SUBSTITUTE(F315," ",""),FIND(",",SUBSTITUTE(F315," ",""))-1)&amp;"&amp;dropoff[longitude]="&amp;MID(SUBSTITUTE(F315," ",""),FIND(",",SUBSTITUTE(F315," ",""))+1,99),"🚕 Uber"),"")</f>
        <v/>
      </c>
      <c r="J315" s="8">
        <f>IF(F315&lt;&gt;"","https://api.qrserver.com/v1/create-qr-code/?size=200x200&amp;data="&amp;ENCODEURL("https://www.google.com/maps/search/?api=1&amp;query="&amp;SUBSTITUTE(F315," ","")),"")</f>
        <v/>
      </c>
      <c r="K315" s="8">
        <f>IF(C315&lt;&gt;"",HYPERLINK("https://wa.me/507"&amp;REGEXREPLACE(C315,"[^0-9]","")&amp;"?text="&amp;ENCODEURL("Ya llegue. Codigo: "&amp;A315&amp;". Ubicacion: "&amp;"https://www.google.com/maps/search/?api=1&amp;query="&amp;SUBSTITUTE(F315," ","")),"📲 Avisar al cliente"),"")</f>
        <v/>
      </c>
      <c r="L315" s="8">
        <f>IF(C315&lt;&gt;"","https://api.qrserver.com/v1/create-qr-code/?size=200x200&amp;data="&amp;ENCODEURL("https://wa.me/507"&amp;REGEXREPLACE(C315,"[^0-9]","")&amp;"?text="&amp;ENCODEURL("Ya llegue. Codigo: "&amp;A315&amp;". Ubicacion: "&amp;"https://www.google.com/maps/search/?api=1&amp;query="&amp;SUBSTITUTE(F315," ",""))),"")</f>
        <v/>
      </c>
      <c r="M315" s="8">
        <f>IF(B315&lt;&gt;"",TODAY(),"")</f>
        <v/>
      </c>
      <c r="N315" s="8">
        <f>IF(F315&lt;&gt;"",IFERROR(IF(AND(REGEXMATCH(SUBSTITUTE(TRIM(F315)," ",""),"^-?\d+(\.\d+)?,-?\d+(\.\d+)?$"),VALUE(REGEXEXTRACT(SUBSTITUTE(TRIM(F315)," ",""),"^-?\d+(\.\d+)?"))&gt;=-90,VALUE(REGEXEXTRACT(SUBSTITUTE(TRIM(F315)," ",""),"^-?\d+(\.\d+)?"))&lt;=90,VALUE(REGEXEXTRACT(SUBSTITUTE(TRIM(F315)," ",""),"-?\d+(\.\d+)?$"))&gt;=-180,VALUE(REGEXEXTRACT(SUBSTITUTE(TRIM(F315)," ",""),"-?\d+(\.\d+)?$"))&lt;=180),"OK","REVISAR"),"REVISAR"),"")</f>
        <v/>
      </c>
      <c r="O315">
        <f>IF(A315&lt;&gt;"","https://direcciones507.github.io/direcciones507/panel.html?codigo="&amp;A315&amp;"&amp;nombre="&amp;ENCODEURL(B315)&amp;"&amp;telefono="&amp;SUBSTITUTE(C315,"-","")&amp;"&amp;referencia="&amp;ENCODEURL(E315)&amp;"&amp;lat="&amp;IZQUIERDA(SUBSTITUTE(F315," ",""),ENCONTRAR(",",SUBSTITUTE(F315," ",""))-1)&amp;"&amp;lng="&amp;DERECHA(SUBSTITUTE(F315," ",""),LARGO(SUBSTITUTE(F315," ",""))-ENCONTRAR(",",SUBSTITUTE(F315," ",""))),"")</f>
        <v/>
      </c>
    </row>
    <row r="316" ht="15.75" customHeight="1" s="10">
      <c r="A316" s="8">
        <f>CONCAT("AD507-",TEXT(ROW()-2,"0000"))</f>
        <v/>
      </c>
      <c r="C316" s="8" t="n"/>
      <c r="F316" s="8" t="n"/>
      <c r="G316" s="8">
        <f>IF(F316&lt;&gt;"",HYPERLINK("https://www.google.com/maps/search/?api=1&amp;query="&amp;SUBSTITUTE(F316," ",""),"🗺 Google Maps"),"")</f>
        <v/>
      </c>
      <c r="H316" s="8">
        <f>IF(F316&lt;&gt;"",HYPERLINK("https://waze.com/ul?ll="&amp;SUBSTITUTE(F316," ","")&amp;"&amp;navigate=yes","🚗 Waze"),"")</f>
        <v/>
      </c>
      <c r="I316" s="8">
        <f>IF(F316&lt;&gt;"",HYPERLINK("https://m.uber.com/ul/?action=setPickup&amp;pickup=my_location&amp;dropoff[latitude]="&amp;LEFT(SUBSTITUTE(F316," ",""),FIND(",",SUBSTITUTE(F316," ",""))-1)&amp;"&amp;dropoff[longitude]="&amp;MID(SUBSTITUTE(F316," ",""),FIND(",",SUBSTITUTE(F316," ",""))+1,99),"🚕 Uber"),"")</f>
        <v/>
      </c>
      <c r="J316" s="8">
        <f>IF(F316&lt;&gt;"","https://api.qrserver.com/v1/create-qr-code/?size=200x200&amp;data="&amp;ENCODEURL("https://www.google.com/maps/search/?api=1&amp;query="&amp;SUBSTITUTE(F316," ","")),"")</f>
        <v/>
      </c>
      <c r="K316" s="8">
        <f>IF(C316&lt;&gt;"",HYPERLINK("https://wa.me/507"&amp;REGEXREPLACE(C316,"[^0-9]","")&amp;"?text="&amp;ENCODEURL("Ya llegue. Codigo: "&amp;A316&amp;". Ubicacion: "&amp;"https://www.google.com/maps/search/?api=1&amp;query="&amp;SUBSTITUTE(F316," ","")),"📲 Avisar al cliente"),"")</f>
        <v/>
      </c>
      <c r="L316" s="8">
        <f>IF(C316&lt;&gt;"","https://api.qrserver.com/v1/create-qr-code/?size=200x200&amp;data="&amp;ENCODEURL("https://wa.me/507"&amp;REGEXREPLACE(C316,"[^0-9]","")&amp;"?text="&amp;ENCODEURL("Ya llegue. Codigo: "&amp;A316&amp;". Ubicacion: "&amp;"https://www.google.com/maps/search/?api=1&amp;query="&amp;SUBSTITUTE(F316," ",""))),"")</f>
        <v/>
      </c>
      <c r="M316" s="8">
        <f>IF(B316&lt;&gt;"",TODAY(),"")</f>
        <v/>
      </c>
      <c r="N316" s="8">
        <f>IF(F316&lt;&gt;"",IFERROR(IF(AND(REGEXMATCH(SUBSTITUTE(TRIM(F316)," ",""),"^-?\d+(\.\d+)?,-?\d+(\.\d+)?$"),VALUE(REGEXEXTRACT(SUBSTITUTE(TRIM(F316)," ",""),"^-?\d+(\.\d+)?"))&gt;=-90,VALUE(REGEXEXTRACT(SUBSTITUTE(TRIM(F316)," ",""),"^-?\d+(\.\d+)?"))&lt;=90,VALUE(REGEXEXTRACT(SUBSTITUTE(TRIM(F316)," ",""),"-?\d+(\.\d+)?$"))&gt;=-180,VALUE(REGEXEXTRACT(SUBSTITUTE(TRIM(F316)," ",""),"-?\d+(\.\d+)?$"))&lt;=180),"OK","REVISAR"),"REVISAR"),"")</f>
        <v/>
      </c>
      <c r="O316">
        <f>IF(A316&lt;&gt;"","https://direcciones507.github.io/direcciones507/panel.html?codigo="&amp;A316&amp;"&amp;nombre="&amp;ENCODEURL(B316)&amp;"&amp;telefono="&amp;SUBSTITUTE(C316,"-","")&amp;"&amp;referencia="&amp;ENCODEURL(E316)&amp;"&amp;lat="&amp;IZQUIERDA(SUBSTITUTE(F316," ",""),ENCONTRAR(",",SUBSTITUTE(F316," ",""))-1)&amp;"&amp;lng="&amp;DERECHA(SUBSTITUTE(F316," ",""),LARGO(SUBSTITUTE(F316," ",""))-ENCONTRAR(",",SUBSTITUTE(F316," ",""))),"")</f>
        <v/>
      </c>
    </row>
    <row r="317" ht="15.75" customHeight="1" s="10">
      <c r="A317" s="8">
        <f>CONCAT("AD507-",TEXT(ROW()-2,"0000"))</f>
        <v/>
      </c>
      <c r="C317" s="8" t="n"/>
      <c r="F317" s="8" t="n"/>
      <c r="G317" s="8">
        <f>IF(F317&lt;&gt;"",HYPERLINK("https://www.google.com/maps/search/?api=1&amp;query="&amp;SUBSTITUTE(F317," ",""),"🗺 Google Maps"),"")</f>
        <v/>
      </c>
      <c r="H317" s="8">
        <f>IF(F317&lt;&gt;"",HYPERLINK("https://waze.com/ul?ll="&amp;SUBSTITUTE(F317," ","")&amp;"&amp;navigate=yes","🚗 Waze"),"")</f>
        <v/>
      </c>
      <c r="I317" s="8">
        <f>IF(F317&lt;&gt;"",HYPERLINK("https://m.uber.com/ul/?action=setPickup&amp;pickup=my_location&amp;dropoff[latitude]="&amp;LEFT(SUBSTITUTE(F317," ",""),FIND(",",SUBSTITUTE(F317," ",""))-1)&amp;"&amp;dropoff[longitude]="&amp;MID(SUBSTITUTE(F317," ",""),FIND(",",SUBSTITUTE(F317," ",""))+1,99),"🚕 Uber"),"")</f>
        <v/>
      </c>
      <c r="J317" s="8">
        <f>IF(F317&lt;&gt;"","https://api.qrserver.com/v1/create-qr-code/?size=200x200&amp;data="&amp;ENCODEURL("https://www.google.com/maps/search/?api=1&amp;query="&amp;SUBSTITUTE(F317," ","")),"")</f>
        <v/>
      </c>
      <c r="K317" s="8">
        <f>IF(C317&lt;&gt;"",HYPERLINK("https://wa.me/507"&amp;REGEXREPLACE(C317,"[^0-9]","")&amp;"?text="&amp;ENCODEURL("Ya llegue. Codigo: "&amp;A317&amp;". Ubicacion: "&amp;"https://www.google.com/maps/search/?api=1&amp;query="&amp;SUBSTITUTE(F317," ","")),"📲 Avisar al cliente"),"")</f>
        <v/>
      </c>
      <c r="L317" s="8">
        <f>IF(C317&lt;&gt;"","https://api.qrserver.com/v1/create-qr-code/?size=200x200&amp;data="&amp;ENCODEURL("https://wa.me/507"&amp;REGEXREPLACE(C317,"[^0-9]","")&amp;"?text="&amp;ENCODEURL("Ya llegue. Codigo: "&amp;A317&amp;". Ubicacion: "&amp;"https://www.google.com/maps/search/?api=1&amp;query="&amp;SUBSTITUTE(F317," ",""))),"")</f>
        <v/>
      </c>
      <c r="M317" s="8">
        <f>IF(B317&lt;&gt;"",TODAY(),"")</f>
        <v/>
      </c>
      <c r="N317" s="8">
        <f>IF(F317&lt;&gt;"",IFERROR(IF(AND(REGEXMATCH(SUBSTITUTE(TRIM(F317)," ",""),"^-?\d+(\.\d+)?,-?\d+(\.\d+)?$"),VALUE(REGEXEXTRACT(SUBSTITUTE(TRIM(F317)," ",""),"^-?\d+(\.\d+)?"))&gt;=-90,VALUE(REGEXEXTRACT(SUBSTITUTE(TRIM(F317)," ",""),"^-?\d+(\.\d+)?"))&lt;=90,VALUE(REGEXEXTRACT(SUBSTITUTE(TRIM(F317)," ",""),"-?\d+(\.\d+)?$"))&gt;=-180,VALUE(REGEXEXTRACT(SUBSTITUTE(TRIM(F317)," ",""),"-?\d+(\.\d+)?$"))&lt;=180),"OK","REVISAR"),"REVISAR"),"")</f>
        <v/>
      </c>
      <c r="O317">
        <f>IF(A317&lt;&gt;"","https://direcciones507.github.io/direcciones507/panel.html?codigo="&amp;A317&amp;"&amp;nombre="&amp;ENCODEURL(B317)&amp;"&amp;telefono="&amp;SUBSTITUTE(C317,"-","")&amp;"&amp;referencia="&amp;ENCODEURL(E317)&amp;"&amp;lat="&amp;IZQUIERDA(SUBSTITUTE(F317," ",""),ENCONTRAR(",",SUBSTITUTE(F317," ",""))-1)&amp;"&amp;lng="&amp;DERECHA(SUBSTITUTE(F317," ",""),LARGO(SUBSTITUTE(F317," ",""))-ENCONTRAR(",",SUBSTITUTE(F317," ",""))),"")</f>
        <v/>
      </c>
    </row>
    <row r="318" ht="15.75" customHeight="1" s="10">
      <c r="A318" s="8">
        <f>CONCAT("AD507-",TEXT(ROW()-2,"0000"))</f>
        <v/>
      </c>
      <c r="C318" s="8" t="n"/>
      <c r="F318" s="8" t="n"/>
      <c r="G318" s="8">
        <f>IF(F318&lt;&gt;"",HYPERLINK("https://www.google.com/maps/search/?api=1&amp;query="&amp;SUBSTITUTE(F318," ",""),"🗺 Google Maps"),"")</f>
        <v/>
      </c>
      <c r="H318" s="8">
        <f>IF(F318&lt;&gt;"",HYPERLINK("https://waze.com/ul?ll="&amp;SUBSTITUTE(F318," ","")&amp;"&amp;navigate=yes","🚗 Waze"),"")</f>
        <v/>
      </c>
      <c r="I318" s="8">
        <f>IF(F318&lt;&gt;"",HYPERLINK("https://m.uber.com/ul/?action=setPickup&amp;pickup=my_location&amp;dropoff[latitude]="&amp;LEFT(SUBSTITUTE(F318," ",""),FIND(",",SUBSTITUTE(F318," ",""))-1)&amp;"&amp;dropoff[longitude]="&amp;MID(SUBSTITUTE(F318," ",""),FIND(",",SUBSTITUTE(F318," ",""))+1,99),"🚕 Uber"),"")</f>
        <v/>
      </c>
      <c r="J318" s="8">
        <f>IF(F318&lt;&gt;"","https://api.qrserver.com/v1/create-qr-code/?size=200x200&amp;data="&amp;ENCODEURL("https://www.google.com/maps/search/?api=1&amp;query="&amp;SUBSTITUTE(F318," ","")),"")</f>
        <v/>
      </c>
      <c r="K318" s="8">
        <f>IF(C318&lt;&gt;"",HYPERLINK("https://wa.me/507"&amp;REGEXREPLACE(C318,"[^0-9]","")&amp;"?text="&amp;ENCODEURL("Ya llegue. Codigo: "&amp;A318&amp;". Ubicacion: "&amp;"https://www.google.com/maps/search/?api=1&amp;query="&amp;SUBSTITUTE(F318," ","")),"📲 Avisar al cliente"),"")</f>
        <v/>
      </c>
      <c r="L318" s="8">
        <f>IF(C318&lt;&gt;"","https://api.qrserver.com/v1/create-qr-code/?size=200x200&amp;data="&amp;ENCODEURL("https://wa.me/507"&amp;REGEXREPLACE(C318,"[^0-9]","")&amp;"?text="&amp;ENCODEURL("Ya llegue. Codigo: "&amp;A318&amp;". Ubicacion: "&amp;"https://www.google.com/maps/search/?api=1&amp;query="&amp;SUBSTITUTE(F318," ",""))),"")</f>
        <v/>
      </c>
      <c r="M318" s="8">
        <f>IF(B318&lt;&gt;"",TODAY(),"")</f>
        <v/>
      </c>
      <c r="N318" s="8">
        <f>IF(F318&lt;&gt;"",IFERROR(IF(AND(REGEXMATCH(SUBSTITUTE(TRIM(F318)," ",""),"^-?\d+(\.\d+)?,-?\d+(\.\d+)?$"),VALUE(REGEXEXTRACT(SUBSTITUTE(TRIM(F318)," ",""),"^-?\d+(\.\d+)?"))&gt;=-90,VALUE(REGEXEXTRACT(SUBSTITUTE(TRIM(F318)," ",""),"^-?\d+(\.\d+)?"))&lt;=90,VALUE(REGEXEXTRACT(SUBSTITUTE(TRIM(F318)," ",""),"-?\d+(\.\d+)?$"))&gt;=-180,VALUE(REGEXEXTRACT(SUBSTITUTE(TRIM(F318)," ",""),"-?\d+(\.\d+)?$"))&lt;=180),"OK","REVISAR"),"REVISAR"),"")</f>
        <v/>
      </c>
      <c r="O318">
        <f>IF(A318&lt;&gt;"","https://direcciones507.github.io/direcciones507/panel.html?codigo="&amp;A318&amp;"&amp;nombre="&amp;ENCODEURL(B318)&amp;"&amp;telefono="&amp;SUBSTITUTE(C318,"-","")&amp;"&amp;referencia="&amp;ENCODEURL(E318)&amp;"&amp;lat="&amp;IZQUIERDA(SUBSTITUTE(F318," ",""),ENCONTRAR(",",SUBSTITUTE(F318," ",""))-1)&amp;"&amp;lng="&amp;DERECHA(SUBSTITUTE(F318," ",""),LARGO(SUBSTITUTE(F318," ",""))-ENCONTRAR(",",SUBSTITUTE(F318," ",""))),"")</f>
        <v/>
      </c>
    </row>
    <row r="319" ht="15.75" customHeight="1" s="10">
      <c r="A319" s="8">
        <f>CONCAT("AD507-",TEXT(ROW()-2,"0000"))</f>
        <v/>
      </c>
      <c r="C319" s="8" t="n"/>
      <c r="F319" s="8" t="n"/>
      <c r="G319" s="8">
        <f>IF(F319&lt;&gt;"",HYPERLINK("https://www.google.com/maps/search/?api=1&amp;query="&amp;SUBSTITUTE(F319," ",""),"🗺 Google Maps"),"")</f>
        <v/>
      </c>
      <c r="H319" s="8">
        <f>IF(F319&lt;&gt;"",HYPERLINK("https://waze.com/ul?ll="&amp;SUBSTITUTE(F319," ","")&amp;"&amp;navigate=yes","🚗 Waze"),"")</f>
        <v/>
      </c>
      <c r="I319" s="8">
        <f>IF(F319&lt;&gt;"",HYPERLINK("https://m.uber.com/ul/?action=setPickup&amp;pickup=my_location&amp;dropoff[latitude]="&amp;LEFT(SUBSTITUTE(F319," ",""),FIND(",",SUBSTITUTE(F319," ",""))-1)&amp;"&amp;dropoff[longitude]="&amp;MID(SUBSTITUTE(F319," ",""),FIND(",",SUBSTITUTE(F319," ",""))+1,99),"🚕 Uber"),"")</f>
        <v/>
      </c>
      <c r="J319" s="8">
        <f>IF(F319&lt;&gt;"","https://api.qrserver.com/v1/create-qr-code/?size=200x200&amp;data="&amp;ENCODEURL("https://www.google.com/maps/search/?api=1&amp;query="&amp;SUBSTITUTE(F319," ","")),"")</f>
        <v/>
      </c>
      <c r="K319" s="8">
        <f>IF(C319&lt;&gt;"",HYPERLINK("https://wa.me/507"&amp;REGEXREPLACE(C319,"[^0-9]","")&amp;"?text="&amp;ENCODEURL("Ya llegue. Codigo: "&amp;A319&amp;". Ubicacion: "&amp;"https://www.google.com/maps/search/?api=1&amp;query="&amp;SUBSTITUTE(F319," ","")),"📲 Avisar al cliente"),"")</f>
        <v/>
      </c>
      <c r="L319" s="8">
        <f>IF(C319&lt;&gt;"","https://api.qrserver.com/v1/create-qr-code/?size=200x200&amp;data="&amp;ENCODEURL("https://wa.me/507"&amp;REGEXREPLACE(C319,"[^0-9]","")&amp;"?text="&amp;ENCODEURL("Ya llegue. Codigo: "&amp;A319&amp;". Ubicacion: "&amp;"https://www.google.com/maps/search/?api=1&amp;query="&amp;SUBSTITUTE(F319," ",""))),"")</f>
        <v/>
      </c>
      <c r="M319" s="8">
        <f>IF(B319&lt;&gt;"",TODAY(),"")</f>
        <v/>
      </c>
      <c r="N319" s="8">
        <f>IF(F319&lt;&gt;"",IFERROR(IF(AND(REGEXMATCH(SUBSTITUTE(TRIM(F319)," ",""),"^-?\d+(\.\d+)?,-?\d+(\.\d+)?$"),VALUE(REGEXEXTRACT(SUBSTITUTE(TRIM(F319)," ",""),"^-?\d+(\.\d+)?"))&gt;=-90,VALUE(REGEXEXTRACT(SUBSTITUTE(TRIM(F319)," ",""),"^-?\d+(\.\d+)?"))&lt;=90,VALUE(REGEXEXTRACT(SUBSTITUTE(TRIM(F319)," ",""),"-?\d+(\.\d+)?$"))&gt;=-180,VALUE(REGEXEXTRACT(SUBSTITUTE(TRIM(F319)," ",""),"-?\d+(\.\d+)?$"))&lt;=180),"OK","REVISAR"),"REVISAR"),"")</f>
        <v/>
      </c>
      <c r="O319">
        <f>IF(A319&lt;&gt;"","https://direcciones507.github.io/direcciones507/panel.html?codigo="&amp;A319&amp;"&amp;nombre="&amp;ENCODEURL(B319)&amp;"&amp;telefono="&amp;SUBSTITUTE(C319,"-","")&amp;"&amp;referencia="&amp;ENCODEURL(E319)&amp;"&amp;lat="&amp;IZQUIERDA(SUBSTITUTE(F319," ",""),ENCONTRAR(",",SUBSTITUTE(F319," ",""))-1)&amp;"&amp;lng="&amp;DERECHA(SUBSTITUTE(F319," ",""),LARGO(SUBSTITUTE(F319," ",""))-ENCONTRAR(",",SUBSTITUTE(F319," ",""))),"")</f>
        <v/>
      </c>
    </row>
    <row r="320" ht="15.75" customHeight="1" s="10">
      <c r="A320" s="8">
        <f>CONCAT("AD507-",TEXT(ROW()-2,"0000"))</f>
        <v/>
      </c>
      <c r="C320" s="8" t="n"/>
      <c r="F320" s="8" t="n"/>
      <c r="G320" s="8">
        <f>IF(F320&lt;&gt;"",HYPERLINK("https://www.google.com/maps/search/?api=1&amp;query="&amp;SUBSTITUTE(F320," ",""),"🗺 Google Maps"),"")</f>
        <v/>
      </c>
      <c r="H320" s="8">
        <f>IF(F320&lt;&gt;"",HYPERLINK("https://waze.com/ul?ll="&amp;SUBSTITUTE(F320," ","")&amp;"&amp;navigate=yes","🚗 Waze"),"")</f>
        <v/>
      </c>
      <c r="I320" s="8">
        <f>IF(F320&lt;&gt;"",HYPERLINK("https://m.uber.com/ul/?action=setPickup&amp;pickup=my_location&amp;dropoff[latitude]="&amp;LEFT(SUBSTITUTE(F320," ",""),FIND(",",SUBSTITUTE(F320," ",""))-1)&amp;"&amp;dropoff[longitude]="&amp;MID(SUBSTITUTE(F320," ",""),FIND(",",SUBSTITUTE(F320," ",""))+1,99),"🚕 Uber"),"")</f>
        <v/>
      </c>
      <c r="J320" s="8">
        <f>IF(F320&lt;&gt;"","https://api.qrserver.com/v1/create-qr-code/?size=200x200&amp;data="&amp;ENCODEURL("https://www.google.com/maps/search/?api=1&amp;query="&amp;SUBSTITUTE(F320," ","")),"")</f>
        <v/>
      </c>
      <c r="K320" s="8">
        <f>IF(C320&lt;&gt;"",HYPERLINK("https://wa.me/507"&amp;REGEXREPLACE(C320,"[^0-9]","")&amp;"?text="&amp;ENCODEURL("Ya llegue. Codigo: "&amp;A320&amp;". Ubicacion: "&amp;"https://www.google.com/maps/search/?api=1&amp;query="&amp;SUBSTITUTE(F320," ","")),"📲 Avisar al cliente"),"")</f>
        <v/>
      </c>
      <c r="L320" s="8">
        <f>IF(C320&lt;&gt;"","https://api.qrserver.com/v1/create-qr-code/?size=200x200&amp;data="&amp;ENCODEURL("https://wa.me/507"&amp;REGEXREPLACE(C320,"[^0-9]","")&amp;"?text="&amp;ENCODEURL("Ya llegue. Codigo: "&amp;A320&amp;". Ubicacion: "&amp;"https://www.google.com/maps/search/?api=1&amp;query="&amp;SUBSTITUTE(F320," ",""))),"")</f>
        <v/>
      </c>
      <c r="M320" s="8">
        <f>IF(B320&lt;&gt;"",TODAY(),"")</f>
        <v/>
      </c>
      <c r="N320" s="8">
        <f>IF(F320&lt;&gt;"",IFERROR(IF(AND(REGEXMATCH(SUBSTITUTE(TRIM(F320)," ",""),"^-?\d+(\.\d+)?,-?\d+(\.\d+)?$"),VALUE(REGEXEXTRACT(SUBSTITUTE(TRIM(F320)," ",""),"^-?\d+(\.\d+)?"))&gt;=-90,VALUE(REGEXEXTRACT(SUBSTITUTE(TRIM(F320)," ",""),"^-?\d+(\.\d+)?"))&lt;=90,VALUE(REGEXEXTRACT(SUBSTITUTE(TRIM(F320)," ",""),"-?\d+(\.\d+)?$"))&gt;=-180,VALUE(REGEXEXTRACT(SUBSTITUTE(TRIM(F320)," ",""),"-?\d+(\.\d+)?$"))&lt;=180),"OK","REVISAR"),"REVISAR"),"")</f>
        <v/>
      </c>
      <c r="O320">
        <f>IF(A320&lt;&gt;"","https://direcciones507.github.io/direcciones507/panel.html?codigo="&amp;A320&amp;"&amp;nombre="&amp;ENCODEURL(B320)&amp;"&amp;telefono="&amp;SUBSTITUTE(C320,"-","")&amp;"&amp;referencia="&amp;ENCODEURL(E320)&amp;"&amp;lat="&amp;IZQUIERDA(SUBSTITUTE(F320," ",""),ENCONTRAR(",",SUBSTITUTE(F320," ",""))-1)&amp;"&amp;lng="&amp;DERECHA(SUBSTITUTE(F320," ",""),LARGO(SUBSTITUTE(F320," ",""))-ENCONTRAR(",",SUBSTITUTE(F320," ",""))),"")</f>
        <v/>
      </c>
    </row>
    <row r="321" ht="15.75" customHeight="1" s="10">
      <c r="A321" s="8">
        <f>CONCAT("AD507-",TEXT(ROW()-2,"0000"))</f>
        <v/>
      </c>
      <c r="C321" s="8" t="n"/>
      <c r="F321" s="8" t="n"/>
      <c r="G321" s="8">
        <f>IF(F321&lt;&gt;"",HYPERLINK("https://www.google.com/maps/search/?api=1&amp;query="&amp;SUBSTITUTE(F321," ",""),"🗺 Google Maps"),"")</f>
        <v/>
      </c>
      <c r="H321" s="8">
        <f>IF(F321&lt;&gt;"",HYPERLINK("https://waze.com/ul?ll="&amp;SUBSTITUTE(F321," ","")&amp;"&amp;navigate=yes","🚗 Waze"),"")</f>
        <v/>
      </c>
      <c r="I321" s="8">
        <f>IF(F321&lt;&gt;"",HYPERLINK("https://m.uber.com/ul/?action=setPickup&amp;pickup=my_location&amp;dropoff[latitude]="&amp;LEFT(SUBSTITUTE(F321," ",""),FIND(",",SUBSTITUTE(F321," ",""))-1)&amp;"&amp;dropoff[longitude]="&amp;MID(SUBSTITUTE(F321," ",""),FIND(",",SUBSTITUTE(F321," ",""))+1,99),"🚕 Uber"),"")</f>
        <v/>
      </c>
      <c r="J321" s="8">
        <f>IF(F321&lt;&gt;"","https://api.qrserver.com/v1/create-qr-code/?size=200x200&amp;data="&amp;ENCODEURL("https://www.google.com/maps/search/?api=1&amp;query="&amp;SUBSTITUTE(F321," ","")),"")</f>
        <v/>
      </c>
      <c r="K321" s="8">
        <f>IF(C321&lt;&gt;"",HYPERLINK("https://wa.me/507"&amp;REGEXREPLACE(C321,"[^0-9]","")&amp;"?text="&amp;ENCODEURL("Ya llegue. Codigo: "&amp;A321&amp;". Ubicacion: "&amp;"https://www.google.com/maps/search/?api=1&amp;query="&amp;SUBSTITUTE(F321," ","")),"📲 Avisar al cliente"),"")</f>
        <v/>
      </c>
      <c r="L321" s="8">
        <f>IF(C321&lt;&gt;"","https://api.qrserver.com/v1/create-qr-code/?size=200x200&amp;data="&amp;ENCODEURL("https://wa.me/507"&amp;REGEXREPLACE(C321,"[^0-9]","")&amp;"?text="&amp;ENCODEURL("Ya llegue. Codigo: "&amp;A321&amp;". Ubicacion: "&amp;"https://www.google.com/maps/search/?api=1&amp;query="&amp;SUBSTITUTE(F321," ",""))),"")</f>
        <v/>
      </c>
      <c r="M321" s="8">
        <f>IF(B321&lt;&gt;"",TODAY(),"")</f>
        <v/>
      </c>
      <c r="N321" s="8">
        <f>IF(F321&lt;&gt;"",IFERROR(IF(AND(REGEXMATCH(SUBSTITUTE(TRIM(F321)," ",""),"^-?\d+(\.\d+)?,-?\d+(\.\d+)?$"),VALUE(REGEXEXTRACT(SUBSTITUTE(TRIM(F321)," ",""),"^-?\d+(\.\d+)?"))&gt;=-90,VALUE(REGEXEXTRACT(SUBSTITUTE(TRIM(F321)," ",""),"^-?\d+(\.\d+)?"))&lt;=90,VALUE(REGEXEXTRACT(SUBSTITUTE(TRIM(F321)," ",""),"-?\d+(\.\d+)?$"))&gt;=-180,VALUE(REGEXEXTRACT(SUBSTITUTE(TRIM(F321)," ",""),"-?\d+(\.\d+)?$"))&lt;=180),"OK","REVISAR"),"REVISAR"),"")</f>
        <v/>
      </c>
      <c r="O321">
        <f>IF(A321&lt;&gt;"","https://direcciones507.github.io/direcciones507/panel.html?codigo="&amp;A321&amp;"&amp;nombre="&amp;ENCODEURL(B321)&amp;"&amp;telefono="&amp;SUBSTITUTE(C321,"-","")&amp;"&amp;referencia="&amp;ENCODEURL(E321)&amp;"&amp;lat="&amp;IZQUIERDA(SUBSTITUTE(F321," ",""),ENCONTRAR(",",SUBSTITUTE(F321," ",""))-1)&amp;"&amp;lng="&amp;DERECHA(SUBSTITUTE(F321," ",""),LARGO(SUBSTITUTE(F321," ",""))-ENCONTRAR(",",SUBSTITUTE(F321," ",""))),"")</f>
        <v/>
      </c>
    </row>
    <row r="322" ht="15.75" customHeight="1" s="10">
      <c r="A322" s="8">
        <f>CONCAT("AD507-",TEXT(ROW()-2,"0000"))</f>
        <v/>
      </c>
      <c r="C322" s="8" t="n"/>
      <c r="F322" s="8" t="n"/>
      <c r="G322" s="8">
        <f>IF(F322&lt;&gt;"",HYPERLINK("https://www.google.com/maps/search/?api=1&amp;query="&amp;SUBSTITUTE(F322," ",""),"🗺 Google Maps"),"")</f>
        <v/>
      </c>
      <c r="H322" s="8">
        <f>IF(F322&lt;&gt;"",HYPERLINK("https://waze.com/ul?ll="&amp;SUBSTITUTE(F322," ","")&amp;"&amp;navigate=yes","🚗 Waze"),"")</f>
        <v/>
      </c>
      <c r="I322" s="8">
        <f>IF(F322&lt;&gt;"",HYPERLINK("https://m.uber.com/ul/?action=setPickup&amp;pickup=my_location&amp;dropoff[latitude]="&amp;LEFT(SUBSTITUTE(F322," ",""),FIND(",",SUBSTITUTE(F322," ",""))-1)&amp;"&amp;dropoff[longitude]="&amp;MID(SUBSTITUTE(F322," ",""),FIND(",",SUBSTITUTE(F322," ",""))+1,99),"🚕 Uber"),"")</f>
        <v/>
      </c>
      <c r="J322" s="8">
        <f>IF(F322&lt;&gt;"","https://api.qrserver.com/v1/create-qr-code/?size=200x200&amp;data="&amp;ENCODEURL("https://www.google.com/maps/search/?api=1&amp;query="&amp;SUBSTITUTE(F322," ","")),"")</f>
        <v/>
      </c>
      <c r="K322" s="8">
        <f>IF(C322&lt;&gt;"",HYPERLINK("https://wa.me/507"&amp;REGEXREPLACE(C322,"[^0-9]","")&amp;"?text="&amp;ENCODEURL("Ya llegue. Codigo: "&amp;A322&amp;". Ubicacion: "&amp;"https://www.google.com/maps/search/?api=1&amp;query="&amp;SUBSTITUTE(F322," ","")),"📲 Avisar al cliente"),"")</f>
        <v/>
      </c>
      <c r="L322" s="8">
        <f>IF(C322&lt;&gt;"","https://api.qrserver.com/v1/create-qr-code/?size=200x200&amp;data="&amp;ENCODEURL("https://wa.me/507"&amp;REGEXREPLACE(C322,"[^0-9]","")&amp;"?text="&amp;ENCODEURL("Ya llegue. Codigo: "&amp;A322&amp;". Ubicacion: "&amp;"https://www.google.com/maps/search/?api=1&amp;query="&amp;SUBSTITUTE(F322," ",""))),"")</f>
        <v/>
      </c>
      <c r="M322" s="8">
        <f>IF(B322&lt;&gt;"",TODAY(),"")</f>
        <v/>
      </c>
      <c r="N322" s="8">
        <f>IF(F322&lt;&gt;"",IFERROR(IF(AND(REGEXMATCH(SUBSTITUTE(TRIM(F322)," ",""),"^-?\d+(\.\d+)?,-?\d+(\.\d+)?$"),VALUE(REGEXEXTRACT(SUBSTITUTE(TRIM(F322)," ",""),"^-?\d+(\.\d+)?"))&gt;=-90,VALUE(REGEXEXTRACT(SUBSTITUTE(TRIM(F322)," ",""),"^-?\d+(\.\d+)?"))&lt;=90,VALUE(REGEXEXTRACT(SUBSTITUTE(TRIM(F322)," ",""),"-?\d+(\.\d+)?$"))&gt;=-180,VALUE(REGEXEXTRACT(SUBSTITUTE(TRIM(F322)," ",""),"-?\d+(\.\d+)?$"))&lt;=180),"OK","REVISAR"),"REVISAR"),"")</f>
        <v/>
      </c>
      <c r="O322">
        <f>IF(A322&lt;&gt;"","https://direcciones507.github.io/direcciones507/panel.html?codigo="&amp;A322&amp;"&amp;nombre="&amp;ENCODEURL(B322)&amp;"&amp;telefono="&amp;SUBSTITUTE(C322,"-","")&amp;"&amp;referencia="&amp;ENCODEURL(E322)&amp;"&amp;lat="&amp;IZQUIERDA(SUBSTITUTE(F322," ",""),ENCONTRAR(",",SUBSTITUTE(F322," ",""))-1)&amp;"&amp;lng="&amp;DERECHA(SUBSTITUTE(F322," ",""),LARGO(SUBSTITUTE(F322," ",""))-ENCONTRAR(",",SUBSTITUTE(F322," ",""))),"")</f>
        <v/>
      </c>
    </row>
    <row r="323" ht="15.75" customHeight="1" s="10">
      <c r="A323" s="8">
        <f>CONCAT("AD507-",TEXT(ROW()-2,"0000"))</f>
        <v/>
      </c>
      <c r="C323" s="8" t="n"/>
      <c r="F323" s="8" t="n"/>
      <c r="G323" s="8">
        <f>IF(F323&lt;&gt;"",HYPERLINK("https://www.google.com/maps/search/?api=1&amp;query="&amp;SUBSTITUTE(F323," ",""),"🗺 Google Maps"),"")</f>
        <v/>
      </c>
      <c r="H323" s="8">
        <f>IF(F323&lt;&gt;"",HYPERLINK("https://waze.com/ul?ll="&amp;SUBSTITUTE(F323," ","")&amp;"&amp;navigate=yes","🚗 Waze"),"")</f>
        <v/>
      </c>
      <c r="I323" s="8">
        <f>IF(F323&lt;&gt;"",HYPERLINK("https://m.uber.com/ul/?action=setPickup&amp;pickup=my_location&amp;dropoff[latitude]="&amp;LEFT(SUBSTITUTE(F323," ",""),FIND(",",SUBSTITUTE(F323," ",""))-1)&amp;"&amp;dropoff[longitude]="&amp;MID(SUBSTITUTE(F323," ",""),FIND(",",SUBSTITUTE(F323," ",""))+1,99),"🚕 Uber"),"")</f>
        <v/>
      </c>
      <c r="J323" s="8">
        <f>IF(F323&lt;&gt;"","https://api.qrserver.com/v1/create-qr-code/?size=200x200&amp;data="&amp;ENCODEURL("https://www.google.com/maps/search/?api=1&amp;query="&amp;SUBSTITUTE(F323," ","")),"")</f>
        <v/>
      </c>
      <c r="K323" s="8">
        <f>IF(C323&lt;&gt;"",HYPERLINK("https://wa.me/507"&amp;REGEXREPLACE(C323,"[^0-9]","")&amp;"?text="&amp;ENCODEURL("Ya llegue. Codigo: "&amp;A323&amp;". Ubicacion: "&amp;"https://www.google.com/maps/search/?api=1&amp;query="&amp;SUBSTITUTE(F323," ","")),"📲 Avisar al cliente"),"")</f>
        <v/>
      </c>
      <c r="L323" s="8">
        <f>IF(C323&lt;&gt;"","https://api.qrserver.com/v1/create-qr-code/?size=200x200&amp;data="&amp;ENCODEURL("https://wa.me/507"&amp;REGEXREPLACE(C323,"[^0-9]","")&amp;"?text="&amp;ENCODEURL("Ya llegue. Codigo: "&amp;A323&amp;". Ubicacion: "&amp;"https://www.google.com/maps/search/?api=1&amp;query="&amp;SUBSTITUTE(F323," ",""))),"")</f>
        <v/>
      </c>
      <c r="M323" s="8">
        <f>IF(B323&lt;&gt;"",TODAY(),"")</f>
        <v/>
      </c>
      <c r="N323" s="8">
        <f>IF(F323&lt;&gt;"",IFERROR(IF(AND(REGEXMATCH(SUBSTITUTE(TRIM(F323)," ",""),"^-?\d+(\.\d+)?,-?\d+(\.\d+)?$"),VALUE(REGEXEXTRACT(SUBSTITUTE(TRIM(F323)," ",""),"^-?\d+(\.\d+)?"))&gt;=-90,VALUE(REGEXEXTRACT(SUBSTITUTE(TRIM(F323)," ",""),"^-?\d+(\.\d+)?"))&lt;=90,VALUE(REGEXEXTRACT(SUBSTITUTE(TRIM(F323)," ",""),"-?\d+(\.\d+)?$"))&gt;=-180,VALUE(REGEXEXTRACT(SUBSTITUTE(TRIM(F323)," ",""),"-?\d+(\.\d+)?$"))&lt;=180),"OK","REVISAR"),"REVISAR"),"")</f>
        <v/>
      </c>
      <c r="O323">
        <f>IF(A323&lt;&gt;"","https://direcciones507.github.io/direcciones507/panel.html?codigo="&amp;A323&amp;"&amp;nombre="&amp;ENCODEURL(B323)&amp;"&amp;telefono="&amp;SUBSTITUTE(C323,"-","")&amp;"&amp;referencia="&amp;ENCODEURL(E323)&amp;"&amp;lat="&amp;IZQUIERDA(SUBSTITUTE(F323," ",""),ENCONTRAR(",",SUBSTITUTE(F323," ",""))-1)&amp;"&amp;lng="&amp;DERECHA(SUBSTITUTE(F323," ",""),LARGO(SUBSTITUTE(F323," ",""))-ENCONTRAR(",",SUBSTITUTE(F323," ",""))),"")</f>
        <v/>
      </c>
    </row>
    <row r="324" ht="15.75" customHeight="1" s="10">
      <c r="A324" s="8">
        <f>CONCAT("AD507-",TEXT(ROW()-2,"0000"))</f>
        <v/>
      </c>
      <c r="C324" s="8" t="n"/>
      <c r="F324" s="8" t="n"/>
      <c r="G324" s="8">
        <f>IF(F324&lt;&gt;"",HYPERLINK("https://www.google.com/maps/search/?api=1&amp;query="&amp;SUBSTITUTE(F324," ",""),"🗺 Google Maps"),"")</f>
        <v/>
      </c>
      <c r="H324" s="8">
        <f>IF(F324&lt;&gt;"",HYPERLINK("https://waze.com/ul?ll="&amp;SUBSTITUTE(F324," ","")&amp;"&amp;navigate=yes","🚗 Waze"),"")</f>
        <v/>
      </c>
      <c r="I324" s="8">
        <f>IF(F324&lt;&gt;"",HYPERLINK("https://m.uber.com/ul/?action=setPickup&amp;pickup=my_location&amp;dropoff[latitude]="&amp;LEFT(SUBSTITUTE(F324," ",""),FIND(",",SUBSTITUTE(F324," ",""))-1)&amp;"&amp;dropoff[longitude]="&amp;MID(SUBSTITUTE(F324," ",""),FIND(",",SUBSTITUTE(F324," ",""))+1,99),"🚕 Uber"),"")</f>
        <v/>
      </c>
      <c r="J324" s="8">
        <f>IF(F324&lt;&gt;"","https://api.qrserver.com/v1/create-qr-code/?size=200x200&amp;data="&amp;ENCODEURL("https://www.google.com/maps/search/?api=1&amp;query="&amp;SUBSTITUTE(F324," ","")),"")</f>
        <v/>
      </c>
      <c r="K324" s="8">
        <f>IF(C324&lt;&gt;"",HYPERLINK("https://wa.me/507"&amp;REGEXREPLACE(C324,"[^0-9]","")&amp;"?text="&amp;ENCODEURL("Ya llegue. Codigo: "&amp;A324&amp;". Ubicacion: "&amp;"https://www.google.com/maps/search/?api=1&amp;query="&amp;SUBSTITUTE(F324," ","")),"📲 Avisar al cliente"),"")</f>
        <v/>
      </c>
      <c r="L324" s="8">
        <f>IF(C324&lt;&gt;"","https://api.qrserver.com/v1/create-qr-code/?size=200x200&amp;data="&amp;ENCODEURL("https://wa.me/507"&amp;REGEXREPLACE(C324,"[^0-9]","")&amp;"?text="&amp;ENCODEURL("Ya llegue. Codigo: "&amp;A324&amp;". Ubicacion: "&amp;"https://www.google.com/maps/search/?api=1&amp;query="&amp;SUBSTITUTE(F324," ",""))),"")</f>
        <v/>
      </c>
      <c r="M324" s="8">
        <f>IF(B324&lt;&gt;"",TODAY(),"")</f>
        <v/>
      </c>
      <c r="N324" s="8">
        <f>IF(F324&lt;&gt;"",IFERROR(IF(AND(REGEXMATCH(SUBSTITUTE(TRIM(F324)," ",""),"^-?\d+(\.\d+)?,-?\d+(\.\d+)?$"),VALUE(REGEXEXTRACT(SUBSTITUTE(TRIM(F324)," ",""),"^-?\d+(\.\d+)?"))&gt;=-90,VALUE(REGEXEXTRACT(SUBSTITUTE(TRIM(F324)," ",""),"^-?\d+(\.\d+)?"))&lt;=90,VALUE(REGEXEXTRACT(SUBSTITUTE(TRIM(F324)," ",""),"-?\d+(\.\d+)?$"))&gt;=-180,VALUE(REGEXEXTRACT(SUBSTITUTE(TRIM(F324)," ",""),"-?\d+(\.\d+)?$"))&lt;=180),"OK","REVISAR"),"REVISAR"),"")</f>
        <v/>
      </c>
      <c r="O324">
        <f>IF(A324&lt;&gt;"","https://direcciones507.github.io/direcciones507/panel.html?codigo="&amp;A324&amp;"&amp;nombre="&amp;ENCODEURL(B324)&amp;"&amp;telefono="&amp;SUBSTITUTE(C324,"-","")&amp;"&amp;referencia="&amp;ENCODEURL(E324)&amp;"&amp;lat="&amp;IZQUIERDA(SUBSTITUTE(F324," ",""),ENCONTRAR(",",SUBSTITUTE(F324," ",""))-1)&amp;"&amp;lng="&amp;DERECHA(SUBSTITUTE(F324," ",""),LARGO(SUBSTITUTE(F324," ",""))-ENCONTRAR(",",SUBSTITUTE(F324," ",""))),"")</f>
        <v/>
      </c>
    </row>
    <row r="325" ht="15.75" customHeight="1" s="10">
      <c r="A325" s="8">
        <f>CONCAT("AD507-",TEXT(ROW()-2,"0000"))</f>
        <v/>
      </c>
      <c r="C325" s="8" t="n"/>
      <c r="F325" s="8" t="n"/>
      <c r="G325" s="8">
        <f>IF(F325&lt;&gt;"",HYPERLINK("https://www.google.com/maps/search/?api=1&amp;query="&amp;SUBSTITUTE(F325," ",""),"🗺 Google Maps"),"")</f>
        <v/>
      </c>
      <c r="H325" s="8">
        <f>IF(F325&lt;&gt;"",HYPERLINK("https://waze.com/ul?ll="&amp;SUBSTITUTE(F325," ","")&amp;"&amp;navigate=yes","🚗 Waze"),"")</f>
        <v/>
      </c>
      <c r="I325" s="8">
        <f>IF(F325&lt;&gt;"",HYPERLINK("https://m.uber.com/ul/?action=setPickup&amp;pickup=my_location&amp;dropoff[latitude]="&amp;LEFT(SUBSTITUTE(F325," ",""),FIND(",",SUBSTITUTE(F325," ",""))-1)&amp;"&amp;dropoff[longitude]="&amp;MID(SUBSTITUTE(F325," ",""),FIND(",",SUBSTITUTE(F325," ",""))+1,99),"🚕 Uber"),"")</f>
        <v/>
      </c>
      <c r="J325" s="8">
        <f>IF(F325&lt;&gt;"","https://api.qrserver.com/v1/create-qr-code/?size=200x200&amp;data="&amp;ENCODEURL("https://www.google.com/maps/search/?api=1&amp;query="&amp;SUBSTITUTE(F325," ","")),"")</f>
        <v/>
      </c>
      <c r="K325" s="8">
        <f>IF(C325&lt;&gt;"",HYPERLINK("https://wa.me/507"&amp;REGEXREPLACE(C325,"[^0-9]","")&amp;"?text="&amp;ENCODEURL("Ya llegue. Codigo: "&amp;A325&amp;". Ubicacion: "&amp;"https://www.google.com/maps/search/?api=1&amp;query="&amp;SUBSTITUTE(F325," ","")),"📲 Avisar al cliente"),"")</f>
        <v/>
      </c>
      <c r="L325" s="8">
        <f>IF(C325&lt;&gt;"","https://api.qrserver.com/v1/create-qr-code/?size=200x200&amp;data="&amp;ENCODEURL("https://wa.me/507"&amp;REGEXREPLACE(C325,"[^0-9]","")&amp;"?text="&amp;ENCODEURL("Ya llegue. Codigo: "&amp;A325&amp;". Ubicacion: "&amp;"https://www.google.com/maps/search/?api=1&amp;query="&amp;SUBSTITUTE(F325," ",""))),"")</f>
        <v/>
      </c>
      <c r="M325" s="8">
        <f>IF(B325&lt;&gt;"",TODAY(),"")</f>
        <v/>
      </c>
      <c r="N325" s="8">
        <f>IF(F325&lt;&gt;"",IFERROR(IF(AND(REGEXMATCH(SUBSTITUTE(TRIM(F325)," ",""),"^-?\d+(\.\d+)?,-?\d+(\.\d+)?$"),VALUE(REGEXEXTRACT(SUBSTITUTE(TRIM(F325)," ",""),"^-?\d+(\.\d+)?"))&gt;=-90,VALUE(REGEXEXTRACT(SUBSTITUTE(TRIM(F325)," ",""),"^-?\d+(\.\d+)?"))&lt;=90,VALUE(REGEXEXTRACT(SUBSTITUTE(TRIM(F325)," ",""),"-?\d+(\.\d+)?$"))&gt;=-180,VALUE(REGEXEXTRACT(SUBSTITUTE(TRIM(F325)," ",""),"-?\d+(\.\d+)?$"))&lt;=180),"OK","REVISAR"),"REVISAR"),"")</f>
        <v/>
      </c>
      <c r="O325">
        <f>IF(A325&lt;&gt;"","https://direcciones507.github.io/direcciones507/panel.html?codigo="&amp;A325&amp;"&amp;nombre="&amp;ENCODEURL(B325)&amp;"&amp;telefono="&amp;SUBSTITUTE(C325,"-","")&amp;"&amp;referencia="&amp;ENCODEURL(E325)&amp;"&amp;lat="&amp;IZQUIERDA(SUBSTITUTE(F325," ",""),ENCONTRAR(",",SUBSTITUTE(F325," ",""))-1)&amp;"&amp;lng="&amp;DERECHA(SUBSTITUTE(F325," ",""),LARGO(SUBSTITUTE(F325," ",""))-ENCONTRAR(",",SUBSTITUTE(F325," ",""))),"")</f>
        <v/>
      </c>
    </row>
    <row r="326" ht="15.75" customHeight="1" s="10">
      <c r="A326" s="8">
        <f>CONCAT("AD507-",TEXT(ROW()-2,"0000"))</f>
        <v/>
      </c>
      <c r="C326" s="8" t="n"/>
      <c r="F326" s="8" t="n"/>
      <c r="G326" s="8">
        <f>IF(F326&lt;&gt;"",HYPERLINK("https://www.google.com/maps/search/?api=1&amp;query="&amp;SUBSTITUTE(F326," ",""),"🗺 Google Maps"),"")</f>
        <v/>
      </c>
      <c r="H326" s="8">
        <f>IF(F326&lt;&gt;"",HYPERLINK("https://waze.com/ul?ll="&amp;SUBSTITUTE(F326," ","")&amp;"&amp;navigate=yes","🚗 Waze"),"")</f>
        <v/>
      </c>
      <c r="I326" s="8">
        <f>IF(F326&lt;&gt;"",HYPERLINK("https://m.uber.com/ul/?action=setPickup&amp;pickup=my_location&amp;dropoff[latitude]="&amp;LEFT(SUBSTITUTE(F326," ",""),FIND(",",SUBSTITUTE(F326," ",""))-1)&amp;"&amp;dropoff[longitude]="&amp;MID(SUBSTITUTE(F326," ",""),FIND(",",SUBSTITUTE(F326," ",""))+1,99),"🚕 Uber"),"")</f>
        <v/>
      </c>
      <c r="J326" s="8">
        <f>IF(F326&lt;&gt;"","https://api.qrserver.com/v1/create-qr-code/?size=200x200&amp;data="&amp;ENCODEURL("https://www.google.com/maps/search/?api=1&amp;query="&amp;SUBSTITUTE(F326," ","")),"")</f>
        <v/>
      </c>
      <c r="K326" s="8">
        <f>IF(C326&lt;&gt;"",HYPERLINK("https://wa.me/507"&amp;REGEXREPLACE(C326,"[^0-9]","")&amp;"?text="&amp;ENCODEURL("Ya llegue. Codigo: "&amp;A326&amp;". Ubicacion: "&amp;"https://www.google.com/maps/search/?api=1&amp;query="&amp;SUBSTITUTE(F326," ","")),"📲 Avisar al cliente"),"")</f>
        <v/>
      </c>
      <c r="L326" s="8">
        <f>IF(C326&lt;&gt;"","https://api.qrserver.com/v1/create-qr-code/?size=200x200&amp;data="&amp;ENCODEURL("https://wa.me/507"&amp;REGEXREPLACE(C326,"[^0-9]","")&amp;"?text="&amp;ENCODEURL("Ya llegue. Codigo: "&amp;A326&amp;". Ubicacion: "&amp;"https://www.google.com/maps/search/?api=1&amp;query="&amp;SUBSTITUTE(F326," ",""))),"")</f>
        <v/>
      </c>
      <c r="M326" s="8">
        <f>IF(B326&lt;&gt;"",TODAY(),"")</f>
        <v/>
      </c>
      <c r="N326" s="8">
        <f>IF(F326&lt;&gt;"",IFERROR(IF(AND(REGEXMATCH(SUBSTITUTE(TRIM(F326)," ",""),"^-?\d+(\.\d+)?,-?\d+(\.\d+)?$"),VALUE(REGEXEXTRACT(SUBSTITUTE(TRIM(F326)," ",""),"^-?\d+(\.\d+)?"))&gt;=-90,VALUE(REGEXEXTRACT(SUBSTITUTE(TRIM(F326)," ",""),"^-?\d+(\.\d+)?"))&lt;=90,VALUE(REGEXEXTRACT(SUBSTITUTE(TRIM(F326)," ",""),"-?\d+(\.\d+)?$"))&gt;=-180,VALUE(REGEXEXTRACT(SUBSTITUTE(TRIM(F326)," ",""),"-?\d+(\.\d+)?$"))&lt;=180),"OK","REVISAR"),"REVISAR"),"")</f>
        <v/>
      </c>
      <c r="O326">
        <f>IF(A326&lt;&gt;"","https://direcciones507.github.io/direcciones507/panel.html?codigo="&amp;A326&amp;"&amp;nombre="&amp;ENCODEURL(B326)&amp;"&amp;telefono="&amp;SUBSTITUTE(C326,"-","")&amp;"&amp;referencia="&amp;ENCODEURL(E326)&amp;"&amp;lat="&amp;IZQUIERDA(SUBSTITUTE(F326," ",""),ENCONTRAR(",",SUBSTITUTE(F326," ",""))-1)&amp;"&amp;lng="&amp;DERECHA(SUBSTITUTE(F326," ",""),LARGO(SUBSTITUTE(F326," ",""))-ENCONTRAR(",",SUBSTITUTE(F326," ",""))),"")</f>
        <v/>
      </c>
    </row>
    <row r="327" ht="15.75" customHeight="1" s="10">
      <c r="A327" s="8">
        <f>CONCAT("AD507-",TEXT(ROW()-2,"0000"))</f>
        <v/>
      </c>
      <c r="C327" s="8" t="n"/>
      <c r="F327" s="8" t="n"/>
      <c r="G327" s="8">
        <f>IF(F327&lt;&gt;"",HYPERLINK("https://www.google.com/maps/search/?api=1&amp;query="&amp;SUBSTITUTE(F327," ",""),"🗺 Google Maps"),"")</f>
        <v/>
      </c>
      <c r="H327" s="8">
        <f>IF(F327&lt;&gt;"",HYPERLINK("https://waze.com/ul?ll="&amp;SUBSTITUTE(F327," ","")&amp;"&amp;navigate=yes","🚗 Waze"),"")</f>
        <v/>
      </c>
      <c r="I327" s="8">
        <f>IF(F327&lt;&gt;"",HYPERLINK("https://m.uber.com/ul/?action=setPickup&amp;pickup=my_location&amp;dropoff[latitude]="&amp;LEFT(SUBSTITUTE(F327," ",""),FIND(",",SUBSTITUTE(F327," ",""))-1)&amp;"&amp;dropoff[longitude]="&amp;MID(SUBSTITUTE(F327," ",""),FIND(",",SUBSTITUTE(F327," ",""))+1,99),"🚕 Uber"),"")</f>
        <v/>
      </c>
      <c r="J327" s="8">
        <f>IF(F327&lt;&gt;"","https://api.qrserver.com/v1/create-qr-code/?size=200x200&amp;data="&amp;ENCODEURL("https://www.google.com/maps/search/?api=1&amp;query="&amp;SUBSTITUTE(F327," ","")),"")</f>
        <v/>
      </c>
      <c r="K327" s="8">
        <f>IF(C327&lt;&gt;"",HYPERLINK("https://wa.me/507"&amp;REGEXREPLACE(C327,"[^0-9]","")&amp;"?text="&amp;ENCODEURL("Ya llegue. Codigo: "&amp;A327&amp;". Ubicacion: "&amp;"https://www.google.com/maps/search/?api=1&amp;query="&amp;SUBSTITUTE(F327," ","")),"📲 Avisar al cliente"),"")</f>
        <v/>
      </c>
      <c r="L327" s="8">
        <f>IF(C327&lt;&gt;"","https://api.qrserver.com/v1/create-qr-code/?size=200x200&amp;data="&amp;ENCODEURL("https://wa.me/507"&amp;REGEXREPLACE(C327,"[^0-9]","")&amp;"?text="&amp;ENCODEURL("Ya llegue. Codigo: "&amp;A327&amp;". Ubicacion: "&amp;"https://www.google.com/maps/search/?api=1&amp;query="&amp;SUBSTITUTE(F327," ",""))),"")</f>
        <v/>
      </c>
      <c r="M327" s="8">
        <f>IF(B327&lt;&gt;"",TODAY(),"")</f>
        <v/>
      </c>
      <c r="N327" s="8">
        <f>IF(F327&lt;&gt;"",IFERROR(IF(AND(REGEXMATCH(SUBSTITUTE(TRIM(F327)," ",""),"^-?\d+(\.\d+)?,-?\d+(\.\d+)?$"),VALUE(REGEXEXTRACT(SUBSTITUTE(TRIM(F327)," ",""),"^-?\d+(\.\d+)?"))&gt;=-90,VALUE(REGEXEXTRACT(SUBSTITUTE(TRIM(F327)," ",""),"^-?\d+(\.\d+)?"))&lt;=90,VALUE(REGEXEXTRACT(SUBSTITUTE(TRIM(F327)," ",""),"-?\d+(\.\d+)?$"))&gt;=-180,VALUE(REGEXEXTRACT(SUBSTITUTE(TRIM(F327)," ",""),"-?\d+(\.\d+)?$"))&lt;=180),"OK","REVISAR"),"REVISAR"),"")</f>
        <v/>
      </c>
      <c r="O327">
        <f>IF(A327&lt;&gt;"","https://direcciones507.github.io/direcciones507/panel.html?codigo="&amp;A327&amp;"&amp;nombre="&amp;ENCODEURL(B327)&amp;"&amp;telefono="&amp;SUBSTITUTE(C327,"-","")&amp;"&amp;referencia="&amp;ENCODEURL(E327)&amp;"&amp;lat="&amp;IZQUIERDA(SUBSTITUTE(F327," ",""),ENCONTRAR(",",SUBSTITUTE(F327," ",""))-1)&amp;"&amp;lng="&amp;DERECHA(SUBSTITUTE(F327," ",""),LARGO(SUBSTITUTE(F327," ",""))-ENCONTRAR(",",SUBSTITUTE(F327," ",""))),"")</f>
        <v/>
      </c>
    </row>
    <row r="328" ht="15.75" customHeight="1" s="10">
      <c r="A328" s="8">
        <f>CONCAT("AD507-",TEXT(ROW()-2,"0000"))</f>
        <v/>
      </c>
      <c r="C328" s="8" t="n"/>
      <c r="F328" s="8" t="n"/>
      <c r="G328" s="8">
        <f>IF(F328&lt;&gt;"",HYPERLINK("https://www.google.com/maps/search/?api=1&amp;query="&amp;SUBSTITUTE(F328," ",""),"🗺 Google Maps"),"")</f>
        <v/>
      </c>
      <c r="H328" s="8">
        <f>IF(F328&lt;&gt;"",HYPERLINK("https://waze.com/ul?ll="&amp;SUBSTITUTE(F328," ","")&amp;"&amp;navigate=yes","🚗 Waze"),"")</f>
        <v/>
      </c>
      <c r="I328" s="8">
        <f>IF(F328&lt;&gt;"",HYPERLINK("https://m.uber.com/ul/?action=setPickup&amp;pickup=my_location&amp;dropoff[latitude]="&amp;LEFT(SUBSTITUTE(F328," ",""),FIND(",",SUBSTITUTE(F328," ",""))-1)&amp;"&amp;dropoff[longitude]="&amp;MID(SUBSTITUTE(F328," ",""),FIND(",",SUBSTITUTE(F328," ",""))+1,99),"🚕 Uber"),"")</f>
        <v/>
      </c>
      <c r="J328" s="8">
        <f>IF(F328&lt;&gt;"","https://api.qrserver.com/v1/create-qr-code/?size=200x200&amp;data="&amp;ENCODEURL("https://www.google.com/maps/search/?api=1&amp;query="&amp;SUBSTITUTE(F328," ","")),"")</f>
        <v/>
      </c>
      <c r="K328" s="8">
        <f>IF(C328&lt;&gt;"",HYPERLINK("https://wa.me/507"&amp;REGEXREPLACE(C328,"[^0-9]","")&amp;"?text="&amp;ENCODEURL("Ya llegue. Codigo: "&amp;A328&amp;". Ubicacion: "&amp;"https://www.google.com/maps/search/?api=1&amp;query="&amp;SUBSTITUTE(F328," ","")),"📲 Avisar al cliente"),"")</f>
        <v/>
      </c>
      <c r="L328" s="8">
        <f>IF(C328&lt;&gt;"","https://api.qrserver.com/v1/create-qr-code/?size=200x200&amp;data="&amp;ENCODEURL("https://wa.me/507"&amp;REGEXREPLACE(C328,"[^0-9]","")&amp;"?text="&amp;ENCODEURL("Ya llegue. Codigo: "&amp;A328&amp;". Ubicacion: "&amp;"https://www.google.com/maps/search/?api=1&amp;query="&amp;SUBSTITUTE(F328," ",""))),"")</f>
        <v/>
      </c>
      <c r="M328" s="8">
        <f>IF(B328&lt;&gt;"",TODAY(),"")</f>
        <v/>
      </c>
      <c r="N328" s="8">
        <f>IF(F328&lt;&gt;"",IFERROR(IF(AND(REGEXMATCH(SUBSTITUTE(TRIM(F328)," ",""),"^-?\d+(\.\d+)?,-?\d+(\.\d+)?$"),VALUE(REGEXEXTRACT(SUBSTITUTE(TRIM(F328)," ",""),"^-?\d+(\.\d+)?"))&gt;=-90,VALUE(REGEXEXTRACT(SUBSTITUTE(TRIM(F328)," ",""),"^-?\d+(\.\d+)?"))&lt;=90,VALUE(REGEXEXTRACT(SUBSTITUTE(TRIM(F328)," ",""),"-?\d+(\.\d+)?$"))&gt;=-180,VALUE(REGEXEXTRACT(SUBSTITUTE(TRIM(F328)," ",""),"-?\d+(\.\d+)?$"))&lt;=180),"OK","REVISAR"),"REVISAR"),"")</f>
        <v/>
      </c>
      <c r="O328">
        <f>IF(A328&lt;&gt;"","https://direcciones507.github.io/direcciones507/panel.html?codigo="&amp;A328&amp;"&amp;nombre="&amp;ENCODEURL(B328)&amp;"&amp;telefono="&amp;SUBSTITUTE(C328,"-","")&amp;"&amp;referencia="&amp;ENCODEURL(E328)&amp;"&amp;lat="&amp;IZQUIERDA(SUBSTITUTE(F328," ",""),ENCONTRAR(",",SUBSTITUTE(F328," ",""))-1)&amp;"&amp;lng="&amp;DERECHA(SUBSTITUTE(F328," ",""),LARGO(SUBSTITUTE(F328," ",""))-ENCONTRAR(",",SUBSTITUTE(F328," ",""))),"")</f>
        <v/>
      </c>
    </row>
    <row r="329" ht="15.75" customHeight="1" s="10">
      <c r="A329" s="8">
        <f>CONCAT("AD507-",TEXT(ROW()-2,"0000"))</f>
        <v/>
      </c>
      <c r="C329" s="8" t="n"/>
      <c r="F329" s="8" t="n"/>
      <c r="G329" s="8">
        <f>IF(F329&lt;&gt;"",HYPERLINK("https://www.google.com/maps/search/?api=1&amp;query="&amp;SUBSTITUTE(F329," ",""),"🗺 Google Maps"),"")</f>
        <v/>
      </c>
      <c r="H329" s="8">
        <f>IF(F329&lt;&gt;"",HYPERLINK("https://waze.com/ul?ll="&amp;SUBSTITUTE(F329," ","")&amp;"&amp;navigate=yes","🚗 Waze"),"")</f>
        <v/>
      </c>
      <c r="I329" s="8">
        <f>IF(F329&lt;&gt;"",HYPERLINK("https://m.uber.com/ul/?action=setPickup&amp;pickup=my_location&amp;dropoff[latitude]="&amp;LEFT(SUBSTITUTE(F329," ",""),FIND(",",SUBSTITUTE(F329," ",""))-1)&amp;"&amp;dropoff[longitude]="&amp;MID(SUBSTITUTE(F329," ",""),FIND(",",SUBSTITUTE(F329," ",""))+1,99),"🚕 Uber"),"")</f>
        <v/>
      </c>
      <c r="J329" s="8">
        <f>IF(F329&lt;&gt;"","https://api.qrserver.com/v1/create-qr-code/?size=200x200&amp;data="&amp;ENCODEURL("https://www.google.com/maps/search/?api=1&amp;query="&amp;SUBSTITUTE(F329," ","")),"")</f>
        <v/>
      </c>
      <c r="K329" s="8">
        <f>IF(C329&lt;&gt;"",HYPERLINK("https://wa.me/507"&amp;REGEXREPLACE(C329,"[^0-9]","")&amp;"?text="&amp;ENCODEURL("Ya llegue. Codigo: "&amp;A329&amp;". Ubicacion: "&amp;"https://www.google.com/maps/search/?api=1&amp;query="&amp;SUBSTITUTE(F329," ","")),"📲 Avisar al cliente"),"")</f>
        <v/>
      </c>
      <c r="L329" s="8">
        <f>IF(C329&lt;&gt;"","https://api.qrserver.com/v1/create-qr-code/?size=200x200&amp;data="&amp;ENCODEURL("https://wa.me/507"&amp;REGEXREPLACE(C329,"[^0-9]","")&amp;"?text="&amp;ENCODEURL("Ya llegue. Codigo: "&amp;A329&amp;". Ubicacion: "&amp;"https://www.google.com/maps/search/?api=1&amp;query="&amp;SUBSTITUTE(F329," ",""))),"")</f>
        <v/>
      </c>
      <c r="M329" s="8">
        <f>IF(B329&lt;&gt;"",TODAY(),"")</f>
        <v/>
      </c>
      <c r="N329" s="8">
        <f>IF(F329&lt;&gt;"",IFERROR(IF(AND(REGEXMATCH(SUBSTITUTE(TRIM(F329)," ",""),"^-?\d+(\.\d+)?,-?\d+(\.\d+)?$"),VALUE(REGEXEXTRACT(SUBSTITUTE(TRIM(F329)," ",""),"^-?\d+(\.\d+)?"))&gt;=-90,VALUE(REGEXEXTRACT(SUBSTITUTE(TRIM(F329)," ",""),"^-?\d+(\.\d+)?"))&lt;=90,VALUE(REGEXEXTRACT(SUBSTITUTE(TRIM(F329)," ",""),"-?\d+(\.\d+)?$"))&gt;=-180,VALUE(REGEXEXTRACT(SUBSTITUTE(TRIM(F329)," ",""),"-?\d+(\.\d+)?$"))&lt;=180),"OK","REVISAR"),"REVISAR"),"")</f>
        <v/>
      </c>
      <c r="O329">
        <f>IF(A329&lt;&gt;"","https://direcciones507.github.io/direcciones507/panel.html?codigo="&amp;A329&amp;"&amp;nombre="&amp;ENCODEURL(B329)&amp;"&amp;telefono="&amp;SUBSTITUTE(C329,"-","")&amp;"&amp;referencia="&amp;ENCODEURL(E329)&amp;"&amp;lat="&amp;IZQUIERDA(SUBSTITUTE(F329," ",""),ENCONTRAR(",",SUBSTITUTE(F329," ",""))-1)&amp;"&amp;lng="&amp;DERECHA(SUBSTITUTE(F329," ",""),LARGO(SUBSTITUTE(F329," ",""))-ENCONTRAR(",",SUBSTITUTE(F329," ",""))),"")</f>
        <v/>
      </c>
    </row>
    <row r="330" ht="15.75" customHeight="1" s="10">
      <c r="A330" s="8">
        <f>CONCAT("AD507-",TEXT(ROW()-2,"0000"))</f>
        <v/>
      </c>
      <c r="C330" s="8" t="n"/>
      <c r="F330" s="8" t="n"/>
      <c r="G330" s="8">
        <f>IF(F330&lt;&gt;"",HYPERLINK("https://www.google.com/maps/search/?api=1&amp;query="&amp;SUBSTITUTE(F330," ",""),"🗺 Google Maps"),"")</f>
        <v/>
      </c>
      <c r="H330" s="8">
        <f>IF(F330&lt;&gt;"",HYPERLINK("https://waze.com/ul?ll="&amp;SUBSTITUTE(F330," ","")&amp;"&amp;navigate=yes","🚗 Waze"),"")</f>
        <v/>
      </c>
      <c r="I330" s="8">
        <f>IF(F330&lt;&gt;"",HYPERLINK("https://m.uber.com/ul/?action=setPickup&amp;pickup=my_location&amp;dropoff[latitude]="&amp;LEFT(SUBSTITUTE(F330," ",""),FIND(",",SUBSTITUTE(F330," ",""))-1)&amp;"&amp;dropoff[longitude]="&amp;MID(SUBSTITUTE(F330," ",""),FIND(",",SUBSTITUTE(F330," ",""))+1,99),"🚕 Uber"),"")</f>
        <v/>
      </c>
      <c r="J330" s="8">
        <f>IF(F330&lt;&gt;"","https://api.qrserver.com/v1/create-qr-code/?size=200x200&amp;data="&amp;ENCODEURL("https://www.google.com/maps/search/?api=1&amp;query="&amp;SUBSTITUTE(F330," ","")),"")</f>
        <v/>
      </c>
      <c r="K330" s="8">
        <f>IF(C330&lt;&gt;"",HYPERLINK("https://wa.me/507"&amp;REGEXREPLACE(C330,"[^0-9]","")&amp;"?text="&amp;ENCODEURL("Ya llegue. Codigo: "&amp;A330&amp;". Ubicacion: "&amp;"https://www.google.com/maps/search/?api=1&amp;query="&amp;SUBSTITUTE(F330," ","")),"📲 Avisar al cliente"),"")</f>
        <v/>
      </c>
      <c r="L330" s="8">
        <f>IF(C330&lt;&gt;"","https://api.qrserver.com/v1/create-qr-code/?size=200x200&amp;data="&amp;ENCODEURL("https://wa.me/507"&amp;REGEXREPLACE(C330,"[^0-9]","")&amp;"?text="&amp;ENCODEURL("Ya llegue. Codigo: "&amp;A330&amp;". Ubicacion: "&amp;"https://www.google.com/maps/search/?api=1&amp;query="&amp;SUBSTITUTE(F330," ",""))),"")</f>
        <v/>
      </c>
      <c r="M330" s="8">
        <f>IF(B330&lt;&gt;"",TODAY(),"")</f>
        <v/>
      </c>
      <c r="N330" s="8">
        <f>IF(F330&lt;&gt;"",IFERROR(IF(AND(REGEXMATCH(SUBSTITUTE(TRIM(F330)," ",""),"^-?\d+(\.\d+)?,-?\d+(\.\d+)?$"),VALUE(REGEXEXTRACT(SUBSTITUTE(TRIM(F330)," ",""),"^-?\d+(\.\d+)?"))&gt;=-90,VALUE(REGEXEXTRACT(SUBSTITUTE(TRIM(F330)," ",""),"^-?\d+(\.\d+)?"))&lt;=90,VALUE(REGEXEXTRACT(SUBSTITUTE(TRIM(F330)," ",""),"-?\d+(\.\d+)?$"))&gt;=-180,VALUE(REGEXEXTRACT(SUBSTITUTE(TRIM(F330)," ",""),"-?\d+(\.\d+)?$"))&lt;=180),"OK","REVISAR"),"REVISAR"),"")</f>
        <v/>
      </c>
      <c r="O330">
        <f>IF(A330&lt;&gt;"","https://direcciones507.github.io/direcciones507/panel.html?codigo="&amp;A330&amp;"&amp;nombre="&amp;ENCODEURL(B330)&amp;"&amp;telefono="&amp;SUBSTITUTE(C330,"-","")&amp;"&amp;referencia="&amp;ENCODEURL(E330)&amp;"&amp;lat="&amp;IZQUIERDA(SUBSTITUTE(F330," ",""),ENCONTRAR(",",SUBSTITUTE(F330," ",""))-1)&amp;"&amp;lng="&amp;DERECHA(SUBSTITUTE(F330," ",""),LARGO(SUBSTITUTE(F330," ",""))-ENCONTRAR(",",SUBSTITUTE(F330," ",""))),"")</f>
        <v/>
      </c>
    </row>
    <row r="331" ht="15.75" customHeight="1" s="10">
      <c r="A331" s="8">
        <f>CONCAT("AD507-",TEXT(ROW()-2,"0000"))</f>
        <v/>
      </c>
      <c r="C331" s="8" t="n"/>
      <c r="F331" s="8" t="n"/>
      <c r="G331" s="8">
        <f>IF(F331&lt;&gt;"",HYPERLINK("https://www.google.com/maps/search/?api=1&amp;query="&amp;SUBSTITUTE(F331," ",""),"🗺 Google Maps"),"")</f>
        <v/>
      </c>
      <c r="H331" s="8">
        <f>IF(F331&lt;&gt;"",HYPERLINK("https://waze.com/ul?ll="&amp;SUBSTITUTE(F331," ","")&amp;"&amp;navigate=yes","🚗 Waze"),"")</f>
        <v/>
      </c>
      <c r="I331" s="8">
        <f>IF(F331&lt;&gt;"",HYPERLINK("https://m.uber.com/ul/?action=setPickup&amp;pickup=my_location&amp;dropoff[latitude]="&amp;LEFT(SUBSTITUTE(F331," ",""),FIND(",",SUBSTITUTE(F331," ",""))-1)&amp;"&amp;dropoff[longitude]="&amp;MID(SUBSTITUTE(F331," ",""),FIND(",",SUBSTITUTE(F331," ",""))+1,99),"🚕 Uber"),"")</f>
        <v/>
      </c>
      <c r="J331" s="8">
        <f>IF(F331&lt;&gt;"","https://api.qrserver.com/v1/create-qr-code/?size=200x200&amp;data="&amp;ENCODEURL("https://www.google.com/maps/search/?api=1&amp;query="&amp;SUBSTITUTE(F331," ","")),"")</f>
        <v/>
      </c>
      <c r="K331" s="8">
        <f>IF(C331&lt;&gt;"",HYPERLINK("https://wa.me/507"&amp;REGEXREPLACE(C331,"[^0-9]","")&amp;"?text="&amp;ENCODEURL("Ya llegue. Codigo: "&amp;A331&amp;". Ubicacion: "&amp;"https://www.google.com/maps/search/?api=1&amp;query="&amp;SUBSTITUTE(F331," ","")),"📲 Avisar al cliente"),"")</f>
        <v/>
      </c>
      <c r="L331" s="8">
        <f>IF(C331&lt;&gt;"","https://api.qrserver.com/v1/create-qr-code/?size=200x200&amp;data="&amp;ENCODEURL("https://wa.me/507"&amp;REGEXREPLACE(C331,"[^0-9]","")&amp;"?text="&amp;ENCODEURL("Ya llegue. Codigo: "&amp;A331&amp;". Ubicacion: "&amp;"https://www.google.com/maps/search/?api=1&amp;query="&amp;SUBSTITUTE(F331," ",""))),"")</f>
        <v/>
      </c>
      <c r="M331" s="8">
        <f>IF(B331&lt;&gt;"",TODAY(),"")</f>
        <v/>
      </c>
      <c r="N331" s="8">
        <f>IF(F331&lt;&gt;"",IFERROR(IF(AND(REGEXMATCH(SUBSTITUTE(TRIM(F331)," ",""),"^-?\d+(\.\d+)?,-?\d+(\.\d+)?$"),VALUE(REGEXEXTRACT(SUBSTITUTE(TRIM(F331)," ",""),"^-?\d+(\.\d+)?"))&gt;=-90,VALUE(REGEXEXTRACT(SUBSTITUTE(TRIM(F331)," ",""),"^-?\d+(\.\d+)?"))&lt;=90,VALUE(REGEXEXTRACT(SUBSTITUTE(TRIM(F331)," ",""),"-?\d+(\.\d+)?$"))&gt;=-180,VALUE(REGEXEXTRACT(SUBSTITUTE(TRIM(F331)," ",""),"-?\d+(\.\d+)?$"))&lt;=180),"OK","REVISAR"),"REVISAR"),"")</f>
        <v/>
      </c>
      <c r="O331">
        <f>IF(A331&lt;&gt;"","https://direcciones507.github.io/direcciones507/panel.html?codigo="&amp;A331&amp;"&amp;nombre="&amp;ENCODEURL(B331)&amp;"&amp;telefono="&amp;SUBSTITUTE(C331,"-","")&amp;"&amp;referencia="&amp;ENCODEURL(E331)&amp;"&amp;lat="&amp;IZQUIERDA(SUBSTITUTE(F331," ",""),ENCONTRAR(",",SUBSTITUTE(F331," ",""))-1)&amp;"&amp;lng="&amp;DERECHA(SUBSTITUTE(F331," ",""),LARGO(SUBSTITUTE(F331," ",""))-ENCONTRAR(",",SUBSTITUTE(F331," ",""))),"")</f>
        <v/>
      </c>
    </row>
    <row r="332" ht="15.75" customHeight="1" s="10">
      <c r="A332" s="8">
        <f>CONCAT("AD507-",TEXT(ROW()-2,"0000"))</f>
        <v/>
      </c>
      <c r="C332" s="8" t="n"/>
      <c r="F332" s="8" t="n"/>
      <c r="G332" s="8">
        <f>IF(F332&lt;&gt;"",HYPERLINK("https://www.google.com/maps/search/?api=1&amp;query="&amp;SUBSTITUTE(F332," ",""),"🗺 Google Maps"),"")</f>
        <v/>
      </c>
      <c r="H332" s="8">
        <f>IF(F332&lt;&gt;"",HYPERLINK("https://waze.com/ul?ll="&amp;SUBSTITUTE(F332," ","")&amp;"&amp;navigate=yes","🚗 Waze"),"")</f>
        <v/>
      </c>
      <c r="I332" s="8">
        <f>IF(F332&lt;&gt;"",HYPERLINK("https://m.uber.com/ul/?action=setPickup&amp;pickup=my_location&amp;dropoff[latitude]="&amp;LEFT(SUBSTITUTE(F332," ",""),FIND(",",SUBSTITUTE(F332," ",""))-1)&amp;"&amp;dropoff[longitude]="&amp;MID(SUBSTITUTE(F332," ",""),FIND(",",SUBSTITUTE(F332," ",""))+1,99),"🚕 Uber"),"")</f>
        <v/>
      </c>
      <c r="J332" s="8">
        <f>IF(F332&lt;&gt;"","https://api.qrserver.com/v1/create-qr-code/?size=200x200&amp;data="&amp;ENCODEURL("https://www.google.com/maps/search/?api=1&amp;query="&amp;SUBSTITUTE(F332," ","")),"")</f>
        <v/>
      </c>
      <c r="K332" s="8">
        <f>IF(C332&lt;&gt;"",HYPERLINK("https://wa.me/507"&amp;REGEXREPLACE(C332,"[^0-9]","")&amp;"?text="&amp;ENCODEURL("Ya llegue. Codigo: "&amp;A332&amp;". Ubicacion: "&amp;"https://www.google.com/maps/search/?api=1&amp;query="&amp;SUBSTITUTE(F332," ","")),"📲 Avisar al cliente"),"")</f>
        <v/>
      </c>
      <c r="L332" s="8">
        <f>IF(C332&lt;&gt;"","https://api.qrserver.com/v1/create-qr-code/?size=200x200&amp;data="&amp;ENCODEURL("https://wa.me/507"&amp;REGEXREPLACE(C332,"[^0-9]","")&amp;"?text="&amp;ENCODEURL("Ya llegue. Codigo: "&amp;A332&amp;". Ubicacion: "&amp;"https://www.google.com/maps/search/?api=1&amp;query="&amp;SUBSTITUTE(F332," ",""))),"")</f>
        <v/>
      </c>
      <c r="M332" s="8">
        <f>IF(B332&lt;&gt;"",TODAY(),"")</f>
        <v/>
      </c>
      <c r="N332" s="8">
        <f>IF(F332&lt;&gt;"",IFERROR(IF(AND(REGEXMATCH(SUBSTITUTE(TRIM(F332)," ",""),"^-?\d+(\.\d+)?,-?\d+(\.\d+)?$"),VALUE(REGEXEXTRACT(SUBSTITUTE(TRIM(F332)," ",""),"^-?\d+(\.\d+)?"))&gt;=-90,VALUE(REGEXEXTRACT(SUBSTITUTE(TRIM(F332)," ",""),"^-?\d+(\.\d+)?"))&lt;=90,VALUE(REGEXEXTRACT(SUBSTITUTE(TRIM(F332)," ",""),"-?\d+(\.\d+)?$"))&gt;=-180,VALUE(REGEXEXTRACT(SUBSTITUTE(TRIM(F332)," ",""),"-?\d+(\.\d+)?$"))&lt;=180),"OK","REVISAR"),"REVISAR"),"")</f>
        <v/>
      </c>
      <c r="O332">
        <f>IF(A332&lt;&gt;"","https://direcciones507.github.io/direcciones507/panel.html?codigo="&amp;A332&amp;"&amp;nombre="&amp;ENCODEURL(B332)&amp;"&amp;telefono="&amp;SUBSTITUTE(C332,"-","")&amp;"&amp;referencia="&amp;ENCODEURL(E332)&amp;"&amp;lat="&amp;IZQUIERDA(SUBSTITUTE(F332," ",""),ENCONTRAR(",",SUBSTITUTE(F332," ",""))-1)&amp;"&amp;lng="&amp;DERECHA(SUBSTITUTE(F332," ",""),LARGO(SUBSTITUTE(F332," ",""))-ENCONTRAR(",",SUBSTITUTE(F332," ",""))),"")</f>
        <v/>
      </c>
    </row>
    <row r="333" ht="15.75" customHeight="1" s="10">
      <c r="A333" s="8">
        <f>CONCAT("AD507-",TEXT(ROW()-2,"0000"))</f>
        <v/>
      </c>
      <c r="C333" s="8" t="n"/>
      <c r="F333" s="8" t="n"/>
      <c r="G333" s="8">
        <f>IF(F333&lt;&gt;"",HYPERLINK("https://www.google.com/maps/search/?api=1&amp;query="&amp;SUBSTITUTE(F333," ",""),"🗺 Google Maps"),"")</f>
        <v/>
      </c>
      <c r="H333" s="8">
        <f>IF(F333&lt;&gt;"",HYPERLINK("https://waze.com/ul?ll="&amp;SUBSTITUTE(F333," ","")&amp;"&amp;navigate=yes","🚗 Waze"),"")</f>
        <v/>
      </c>
      <c r="I333" s="8">
        <f>IF(F333&lt;&gt;"",HYPERLINK("https://m.uber.com/ul/?action=setPickup&amp;pickup=my_location&amp;dropoff[latitude]="&amp;LEFT(SUBSTITUTE(F333," ",""),FIND(",",SUBSTITUTE(F333," ",""))-1)&amp;"&amp;dropoff[longitude]="&amp;MID(SUBSTITUTE(F333," ",""),FIND(",",SUBSTITUTE(F333," ",""))+1,99),"🚕 Uber"),"")</f>
        <v/>
      </c>
      <c r="J333" s="8">
        <f>IF(F333&lt;&gt;"","https://api.qrserver.com/v1/create-qr-code/?size=200x200&amp;data="&amp;ENCODEURL("https://www.google.com/maps/search/?api=1&amp;query="&amp;SUBSTITUTE(F333," ","")),"")</f>
        <v/>
      </c>
      <c r="K333" s="8">
        <f>IF(C333&lt;&gt;"",HYPERLINK("https://wa.me/507"&amp;REGEXREPLACE(C333,"[^0-9]","")&amp;"?text="&amp;ENCODEURL("Ya llegue. Codigo: "&amp;A333&amp;". Ubicacion: "&amp;"https://www.google.com/maps/search/?api=1&amp;query="&amp;SUBSTITUTE(F333," ","")),"📲 Avisar al cliente"),"")</f>
        <v/>
      </c>
      <c r="L333" s="8">
        <f>IF(C333&lt;&gt;"","https://api.qrserver.com/v1/create-qr-code/?size=200x200&amp;data="&amp;ENCODEURL("https://wa.me/507"&amp;REGEXREPLACE(C333,"[^0-9]","")&amp;"?text="&amp;ENCODEURL("Ya llegue. Codigo: "&amp;A333&amp;". Ubicacion: "&amp;"https://www.google.com/maps/search/?api=1&amp;query="&amp;SUBSTITUTE(F333," ",""))),"")</f>
        <v/>
      </c>
      <c r="M333" s="8">
        <f>IF(B333&lt;&gt;"",TODAY(),"")</f>
        <v/>
      </c>
      <c r="N333" s="8">
        <f>IF(F333&lt;&gt;"",IFERROR(IF(AND(REGEXMATCH(SUBSTITUTE(TRIM(F333)," ",""),"^-?\d+(\.\d+)?,-?\d+(\.\d+)?$"),VALUE(REGEXEXTRACT(SUBSTITUTE(TRIM(F333)," ",""),"^-?\d+(\.\d+)?"))&gt;=-90,VALUE(REGEXEXTRACT(SUBSTITUTE(TRIM(F333)," ",""),"^-?\d+(\.\d+)?"))&lt;=90,VALUE(REGEXEXTRACT(SUBSTITUTE(TRIM(F333)," ",""),"-?\d+(\.\d+)?$"))&gt;=-180,VALUE(REGEXEXTRACT(SUBSTITUTE(TRIM(F333)," ",""),"-?\d+(\.\d+)?$"))&lt;=180),"OK","REVISAR"),"REVISAR"),"")</f>
        <v/>
      </c>
      <c r="O333">
        <f>IF(A333&lt;&gt;"","https://direcciones507.github.io/direcciones507/panel.html?codigo="&amp;A333&amp;"&amp;nombre="&amp;ENCODEURL(B333)&amp;"&amp;telefono="&amp;SUBSTITUTE(C333,"-","")&amp;"&amp;referencia="&amp;ENCODEURL(E333)&amp;"&amp;lat="&amp;IZQUIERDA(SUBSTITUTE(F333," ",""),ENCONTRAR(",",SUBSTITUTE(F333," ",""))-1)&amp;"&amp;lng="&amp;DERECHA(SUBSTITUTE(F333," ",""),LARGO(SUBSTITUTE(F333," ",""))-ENCONTRAR(",",SUBSTITUTE(F333," ",""))),"")</f>
        <v/>
      </c>
    </row>
    <row r="334" ht="15.75" customHeight="1" s="10">
      <c r="A334" s="8">
        <f>CONCAT("AD507-",TEXT(ROW()-2,"0000"))</f>
        <v/>
      </c>
      <c r="C334" s="8" t="n"/>
      <c r="F334" s="8" t="n"/>
      <c r="G334" s="8">
        <f>IF(F334&lt;&gt;"",HYPERLINK("https://www.google.com/maps/search/?api=1&amp;query="&amp;SUBSTITUTE(F334," ",""),"🗺 Google Maps"),"")</f>
        <v/>
      </c>
      <c r="H334" s="8">
        <f>IF(F334&lt;&gt;"",HYPERLINK("https://waze.com/ul?ll="&amp;SUBSTITUTE(F334," ","")&amp;"&amp;navigate=yes","🚗 Waze"),"")</f>
        <v/>
      </c>
      <c r="I334" s="8">
        <f>IF(F334&lt;&gt;"",HYPERLINK("https://m.uber.com/ul/?action=setPickup&amp;pickup=my_location&amp;dropoff[latitude]="&amp;LEFT(SUBSTITUTE(F334," ",""),FIND(",",SUBSTITUTE(F334," ",""))-1)&amp;"&amp;dropoff[longitude]="&amp;MID(SUBSTITUTE(F334," ",""),FIND(",",SUBSTITUTE(F334," ",""))+1,99),"🚕 Uber"),"")</f>
        <v/>
      </c>
      <c r="J334" s="8">
        <f>IF(F334&lt;&gt;"","https://api.qrserver.com/v1/create-qr-code/?size=200x200&amp;data="&amp;ENCODEURL("https://www.google.com/maps/search/?api=1&amp;query="&amp;SUBSTITUTE(F334," ","")),"")</f>
        <v/>
      </c>
      <c r="K334" s="8">
        <f>IF(C334&lt;&gt;"",HYPERLINK("https://wa.me/507"&amp;REGEXREPLACE(C334,"[^0-9]","")&amp;"?text="&amp;ENCODEURL("Ya llegue. Codigo: "&amp;A334&amp;". Ubicacion: "&amp;"https://www.google.com/maps/search/?api=1&amp;query="&amp;SUBSTITUTE(F334," ","")),"📲 Avisar al cliente"),"")</f>
        <v/>
      </c>
      <c r="L334" s="8">
        <f>IF(C334&lt;&gt;"","https://api.qrserver.com/v1/create-qr-code/?size=200x200&amp;data="&amp;ENCODEURL("https://wa.me/507"&amp;REGEXREPLACE(C334,"[^0-9]","")&amp;"?text="&amp;ENCODEURL("Ya llegue. Codigo: "&amp;A334&amp;". Ubicacion: "&amp;"https://www.google.com/maps/search/?api=1&amp;query="&amp;SUBSTITUTE(F334," ",""))),"")</f>
        <v/>
      </c>
      <c r="M334" s="8">
        <f>IF(B334&lt;&gt;"",TODAY(),"")</f>
        <v/>
      </c>
      <c r="N334" s="8">
        <f>IF(F334&lt;&gt;"",IFERROR(IF(AND(REGEXMATCH(SUBSTITUTE(TRIM(F334)," ",""),"^-?\d+(\.\d+)?,-?\d+(\.\d+)?$"),VALUE(REGEXEXTRACT(SUBSTITUTE(TRIM(F334)," ",""),"^-?\d+(\.\d+)?"))&gt;=-90,VALUE(REGEXEXTRACT(SUBSTITUTE(TRIM(F334)," ",""),"^-?\d+(\.\d+)?"))&lt;=90,VALUE(REGEXEXTRACT(SUBSTITUTE(TRIM(F334)," ",""),"-?\d+(\.\d+)?$"))&gt;=-180,VALUE(REGEXEXTRACT(SUBSTITUTE(TRIM(F334)," ",""),"-?\d+(\.\d+)?$"))&lt;=180),"OK","REVISAR"),"REVISAR"),"")</f>
        <v/>
      </c>
      <c r="O334">
        <f>IF(A334&lt;&gt;"","https://direcciones507.github.io/direcciones507/panel.html?codigo="&amp;A334&amp;"&amp;nombre="&amp;ENCODEURL(B334)&amp;"&amp;telefono="&amp;SUBSTITUTE(C334,"-","")&amp;"&amp;referencia="&amp;ENCODEURL(E334)&amp;"&amp;lat="&amp;IZQUIERDA(SUBSTITUTE(F334," ",""),ENCONTRAR(",",SUBSTITUTE(F334," ",""))-1)&amp;"&amp;lng="&amp;DERECHA(SUBSTITUTE(F334," ",""),LARGO(SUBSTITUTE(F334," ",""))-ENCONTRAR(",",SUBSTITUTE(F334," ",""))),"")</f>
        <v/>
      </c>
    </row>
    <row r="335" ht="15.75" customHeight="1" s="10">
      <c r="A335" s="8">
        <f>CONCAT("AD507-",TEXT(ROW()-2,"0000"))</f>
        <v/>
      </c>
      <c r="C335" s="8" t="n"/>
      <c r="F335" s="8" t="n"/>
      <c r="G335" s="8">
        <f>IF(F335&lt;&gt;"",HYPERLINK("https://www.google.com/maps/search/?api=1&amp;query="&amp;SUBSTITUTE(F335," ",""),"🗺 Google Maps"),"")</f>
        <v/>
      </c>
      <c r="H335" s="8">
        <f>IF(F335&lt;&gt;"",HYPERLINK("https://waze.com/ul?ll="&amp;SUBSTITUTE(F335," ","")&amp;"&amp;navigate=yes","🚗 Waze"),"")</f>
        <v/>
      </c>
      <c r="I335" s="8">
        <f>IF(F335&lt;&gt;"",HYPERLINK("https://m.uber.com/ul/?action=setPickup&amp;pickup=my_location&amp;dropoff[latitude]="&amp;LEFT(SUBSTITUTE(F335," ",""),FIND(",",SUBSTITUTE(F335," ",""))-1)&amp;"&amp;dropoff[longitude]="&amp;MID(SUBSTITUTE(F335," ",""),FIND(",",SUBSTITUTE(F335," ",""))+1,99),"🚕 Uber"),"")</f>
        <v/>
      </c>
      <c r="J335" s="8">
        <f>IF(F335&lt;&gt;"","https://api.qrserver.com/v1/create-qr-code/?size=200x200&amp;data="&amp;ENCODEURL("https://www.google.com/maps/search/?api=1&amp;query="&amp;SUBSTITUTE(F335," ","")),"")</f>
        <v/>
      </c>
      <c r="K335" s="8">
        <f>IF(C335&lt;&gt;"",HYPERLINK("https://wa.me/507"&amp;REGEXREPLACE(C335,"[^0-9]","")&amp;"?text="&amp;ENCODEURL("Ya llegue. Codigo: "&amp;A335&amp;". Ubicacion: "&amp;"https://www.google.com/maps/search/?api=1&amp;query="&amp;SUBSTITUTE(F335," ","")),"📲 Avisar al cliente"),"")</f>
        <v/>
      </c>
      <c r="L335" s="8">
        <f>IF(C335&lt;&gt;"","https://api.qrserver.com/v1/create-qr-code/?size=200x200&amp;data="&amp;ENCODEURL("https://wa.me/507"&amp;REGEXREPLACE(C335,"[^0-9]","")&amp;"?text="&amp;ENCODEURL("Ya llegue. Codigo: "&amp;A335&amp;". Ubicacion: "&amp;"https://www.google.com/maps/search/?api=1&amp;query="&amp;SUBSTITUTE(F335," ",""))),"")</f>
        <v/>
      </c>
      <c r="M335" s="8">
        <f>IF(B335&lt;&gt;"",TODAY(),"")</f>
        <v/>
      </c>
      <c r="N335" s="8">
        <f>IF(F335&lt;&gt;"",IFERROR(IF(AND(REGEXMATCH(SUBSTITUTE(TRIM(F335)," ",""),"^-?\d+(\.\d+)?,-?\d+(\.\d+)?$"),VALUE(REGEXEXTRACT(SUBSTITUTE(TRIM(F335)," ",""),"^-?\d+(\.\d+)?"))&gt;=-90,VALUE(REGEXEXTRACT(SUBSTITUTE(TRIM(F335)," ",""),"^-?\d+(\.\d+)?"))&lt;=90,VALUE(REGEXEXTRACT(SUBSTITUTE(TRIM(F335)," ",""),"-?\d+(\.\d+)?$"))&gt;=-180,VALUE(REGEXEXTRACT(SUBSTITUTE(TRIM(F335)," ",""),"-?\d+(\.\d+)?$"))&lt;=180),"OK","REVISAR"),"REVISAR"),"")</f>
        <v/>
      </c>
      <c r="O335">
        <f>IF(A335&lt;&gt;"","https://direcciones507.github.io/direcciones507/panel.html?codigo="&amp;A335&amp;"&amp;nombre="&amp;ENCODEURL(B335)&amp;"&amp;telefono="&amp;SUBSTITUTE(C335,"-","")&amp;"&amp;referencia="&amp;ENCODEURL(E335)&amp;"&amp;lat="&amp;IZQUIERDA(SUBSTITUTE(F335," ",""),ENCONTRAR(",",SUBSTITUTE(F335," ",""))-1)&amp;"&amp;lng="&amp;DERECHA(SUBSTITUTE(F335," ",""),LARGO(SUBSTITUTE(F335," ",""))-ENCONTRAR(",",SUBSTITUTE(F335," ",""))),"")</f>
        <v/>
      </c>
    </row>
    <row r="336" ht="15.75" customHeight="1" s="10">
      <c r="A336" s="8">
        <f>CONCAT("AD507-",TEXT(ROW()-2,"0000"))</f>
        <v/>
      </c>
      <c r="C336" s="8" t="n"/>
      <c r="F336" s="8" t="n"/>
      <c r="G336" s="8">
        <f>IF(F336&lt;&gt;"",HYPERLINK("https://www.google.com/maps/search/?api=1&amp;query="&amp;SUBSTITUTE(F336," ",""),"🗺 Google Maps"),"")</f>
        <v/>
      </c>
      <c r="H336" s="8">
        <f>IF(F336&lt;&gt;"",HYPERLINK("https://waze.com/ul?ll="&amp;SUBSTITUTE(F336," ","")&amp;"&amp;navigate=yes","🚗 Waze"),"")</f>
        <v/>
      </c>
      <c r="I336" s="8">
        <f>IF(F336&lt;&gt;"",HYPERLINK("https://m.uber.com/ul/?action=setPickup&amp;pickup=my_location&amp;dropoff[latitude]="&amp;LEFT(SUBSTITUTE(F336," ",""),FIND(",",SUBSTITUTE(F336," ",""))-1)&amp;"&amp;dropoff[longitude]="&amp;MID(SUBSTITUTE(F336," ",""),FIND(",",SUBSTITUTE(F336," ",""))+1,99),"🚕 Uber"),"")</f>
        <v/>
      </c>
      <c r="J336" s="8">
        <f>IF(F336&lt;&gt;"","https://api.qrserver.com/v1/create-qr-code/?size=200x200&amp;data="&amp;ENCODEURL("https://www.google.com/maps/search/?api=1&amp;query="&amp;SUBSTITUTE(F336," ","")),"")</f>
        <v/>
      </c>
      <c r="K336" s="8">
        <f>IF(C336&lt;&gt;"",HYPERLINK("https://wa.me/507"&amp;REGEXREPLACE(C336,"[^0-9]","")&amp;"?text="&amp;ENCODEURL("Ya llegue. Codigo: "&amp;A336&amp;". Ubicacion: "&amp;"https://www.google.com/maps/search/?api=1&amp;query="&amp;SUBSTITUTE(F336," ","")),"📲 Avisar al cliente"),"")</f>
        <v/>
      </c>
      <c r="L336" s="8">
        <f>IF(C336&lt;&gt;"","https://api.qrserver.com/v1/create-qr-code/?size=200x200&amp;data="&amp;ENCODEURL("https://wa.me/507"&amp;REGEXREPLACE(C336,"[^0-9]","")&amp;"?text="&amp;ENCODEURL("Ya llegue. Codigo: "&amp;A336&amp;". Ubicacion: "&amp;"https://www.google.com/maps/search/?api=1&amp;query="&amp;SUBSTITUTE(F336," ",""))),"")</f>
        <v/>
      </c>
      <c r="M336" s="8">
        <f>IF(B336&lt;&gt;"",TODAY(),"")</f>
        <v/>
      </c>
      <c r="N336" s="8">
        <f>IF(F336&lt;&gt;"",IFERROR(IF(AND(REGEXMATCH(SUBSTITUTE(TRIM(F336)," ",""),"^-?\d+(\.\d+)?,-?\d+(\.\d+)?$"),VALUE(REGEXEXTRACT(SUBSTITUTE(TRIM(F336)," ",""),"^-?\d+(\.\d+)?"))&gt;=-90,VALUE(REGEXEXTRACT(SUBSTITUTE(TRIM(F336)," ",""),"^-?\d+(\.\d+)?"))&lt;=90,VALUE(REGEXEXTRACT(SUBSTITUTE(TRIM(F336)," ",""),"-?\d+(\.\d+)?$"))&gt;=-180,VALUE(REGEXEXTRACT(SUBSTITUTE(TRIM(F336)," ",""),"-?\d+(\.\d+)?$"))&lt;=180),"OK","REVISAR"),"REVISAR"),"")</f>
        <v/>
      </c>
      <c r="O336">
        <f>IF(A336&lt;&gt;"","https://direcciones507.github.io/direcciones507/panel.html?codigo="&amp;A336&amp;"&amp;nombre="&amp;ENCODEURL(B336)&amp;"&amp;telefono="&amp;SUBSTITUTE(C336,"-","")&amp;"&amp;referencia="&amp;ENCODEURL(E336)&amp;"&amp;lat="&amp;IZQUIERDA(SUBSTITUTE(F336," ",""),ENCONTRAR(",",SUBSTITUTE(F336," ",""))-1)&amp;"&amp;lng="&amp;DERECHA(SUBSTITUTE(F336," ",""),LARGO(SUBSTITUTE(F336," ",""))-ENCONTRAR(",",SUBSTITUTE(F336," ",""))),"")</f>
        <v/>
      </c>
    </row>
    <row r="337" ht="15.75" customHeight="1" s="10">
      <c r="A337" s="8">
        <f>CONCAT("AD507-",TEXT(ROW()-2,"0000"))</f>
        <v/>
      </c>
      <c r="C337" s="8" t="n"/>
      <c r="F337" s="8" t="n"/>
      <c r="G337" s="8">
        <f>IF(F337&lt;&gt;"",HYPERLINK("https://www.google.com/maps/search/?api=1&amp;query="&amp;SUBSTITUTE(F337," ",""),"🗺 Google Maps"),"")</f>
        <v/>
      </c>
      <c r="H337" s="8">
        <f>IF(F337&lt;&gt;"",HYPERLINK("https://waze.com/ul?ll="&amp;SUBSTITUTE(F337," ","")&amp;"&amp;navigate=yes","🚗 Waze"),"")</f>
        <v/>
      </c>
      <c r="I337" s="8">
        <f>IF(F337&lt;&gt;"",HYPERLINK("https://m.uber.com/ul/?action=setPickup&amp;pickup=my_location&amp;dropoff[latitude]="&amp;LEFT(SUBSTITUTE(F337," ",""),FIND(",",SUBSTITUTE(F337," ",""))-1)&amp;"&amp;dropoff[longitude]="&amp;MID(SUBSTITUTE(F337," ",""),FIND(",",SUBSTITUTE(F337," ",""))+1,99),"🚕 Uber"),"")</f>
        <v/>
      </c>
      <c r="J337" s="8">
        <f>IF(F337&lt;&gt;"","https://api.qrserver.com/v1/create-qr-code/?size=200x200&amp;data="&amp;ENCODEURL("https://www.google.com/maps/search/?api=1&amp;query="&amp;SUBSTITUTE(F337," ","")),"")</f>
        <v/>
      </c>
      <c r="K337" s="8">
        <f>IF(C337&lt;&gt;"",HYPERLINK("https://wa.me/507"&amp;REGEXREPLACE(C337,"[^0-9]","")&amp;"?text="&amp;ENCODEURL("Ya llegue. Codigo: "&amp;A337&amp;". Ubicacion: "&amp;"https://www.google.com/maps/search/?api=1&amp;query="&amp;SUBSTITUTE(F337," ","")),"📲 Avisar al cliente"),"")</f>
        <v/>
      </c>
      <c r="L337" s="8">
        <f>IF(C337&lt;&gt;"","https://api.qrserver.com/v1/create-qr-code/?size=200x200&amp;data="&amp;ENCODEURL("https://wa.me/507"&amp;REGEXREPLACE(C337,"[^0-9]","")&amp;"?text="&amp;ENCODEURL("Ya llegue. Codigo: "&amp;A337&amp;". Ubicacion: "&amp;"https://www.google.com/maps/search/?api=1&amp;query="&amp;SUBSTITUTE(F337," ",""))),"")</f>
        <v/>
      </c>
      <c r="M337" s="8">
        <f>IF(B337&lt;&gt;"",TODAY(),"")</f>
        <v/>
      </c>
      <c r="N337" s="8">
        <f>IF(F337&lt;&gt;"",IFERROR(IF(AND(REGEXMATCH(SUBSTITUTE(TRIM(F337)," ",""),"^-?\d+(\.\d+)?,-?\d+(\.\d+)?$"),VALUE(REGEXEXTRACT(SUBSTITUTE(TRIM(F337)," ",""),"^-?\d+(\.\d+)?"))&gt;=-90,VALUE(REGEXEXTRACT(SUBSTITUTE(TRIM(F337)," ",""),"^-?\d+(\.\d+)?"))&lt;=90,VALUE(REGEXEXTRACT(SUBSTITUTE(TRIM(F337)," ",""),"-?\d+(\.\d+)?$"))&gt;=-180,VALUE(REGEXEXTRACT(SUBSTITUTE(TRIM(F337)," ",""),"-?\d+(\.\d+)?$"))&lt;=180),"OK","REVISAR"),"REVISAR"),"")</f>
        <v/>
      </c>
      <c r="O337">
        <f>IF(A337&lt;&gt;"","https://direcciones507.github.io/direcciones507/panel.html?codigo="&amp;A337&amp;"&amp;nombre="&amp;ENCODEURL(B337)&amp;"&amp;telefono="&amp;SUBSTITUTE(C337,"-","")&amp;"&amp;referencia="&amp;ENCODEURL(E337)&amp;"&amp;lat="&amp;IZQUIERDA(SUBSTITUTE(F337," ",""),ENCONTRAR(",",SUBSTITUTE(F337," ",""))-1)&amp;"&amp;lng="&amp;DERECHA(SUBSTITUTE(F337," ",""),LARGO(SUBSTITUTE(F337," ",""))-ENCONTRAR(",",SUBSTITUTE(F337," ",""))),"")</f>
        <v/>
      </c>
    </row>
    <row r="338" ht="15.75" customHeight="1" s="10">
      <c r="A338" s="8">
        <f>CONCAT("AD507-",TEXT(ROW()-2,"0000"))</f>
        <v/>
      </c>
      <c r="C338" s="8" t="n"/>
      <c r="F338" s="8" t="n"/>
      <c r="G338" s="8">
        <f>IF(F338&lt;&gt;"",HYPERLINK("https://www.google.com/maps/search/?api=1&amp;query="&amp;SUBSTITUTE(F338," ",""),"🗺 Google Maps"),"")</f>
        <v/>
      </c>
      <c r="H338" s="8">
        <f>IF(F338&lt;&gt;"",HYPERLINK("https://waze.com/ul?ll="&amp;SUBSTITUTE(F338," ","")&amp;"&amp;navigate=yes","🚗 Waze"),"")</f>
        <v/>
      </c>
      <c r="I338" s="8">
        <f>IF(F338&lt;&gt;"",HYPERLINK("https://m.uber.com/ul/?action=setPickup&amp;pickup=my_location&amp;dropoff[latitude]="&amp;LEFT(SUBSTITUTE(F338," ",""),FIND(",",SUBSTITUTE(F338," ",""))-1)&amp;"&amp;dropoff[longitude]="&amp;MID(SUBSTITUTE(F338," ",""),FIND(",",SUBSTITUTE(F338," ",""))+1,99),"🚕 Uber"),"")</f>
        <v/>
      </c>
      <c r="J338" s="8">
        <f>IF(F338&lt;&gt;"","https://api.qrserver.com/v1/create-qr-code/?size=200x200&amp;data="&amp;ENCODEURL("https://www.google.com/maps/search/?api=1&amp;query="&amp;SUBSTITUTE(F338," ","")),"")</f>
        <v/>
      </c>
      <c r="K338" s="8">
        <f>IF(C338&lt;&gt;"",HYPERLINK("https://wa.me/507"&amp;REGEXREPLACE(C338,"[^0-9]","")&amp;"?text="&amp;ENCODEURL("Ya llegue. Codigo: "&amp;A338&amp;". Ubicacion: "&amp;"https://www.google.com/maps/search/?api=1&amp;query="&amp;SUBSTITUTE(F338," ","")),"📲 Avisar al cliente"),"")</f>
        <v/>
      </c>
      <c r="L338" s="8">
        <f>IF(C338&lt;&gt;"","https://api.qrserver.com/v1/create-qr-code/?size=200x200&amp;data="&amp;ENCODEURL("https://wa.me/507"&amp;REGEXREPLACE(C338,"[^0-9]","")&amp;"?text="&amp;ENCODEURL("Ya llegue. Codigo: "&amp;A338&amp;". Ubicacion: "&amp;"https://www.google.com/maps/search/?api=1&amp;query="&amp;SUBSTITUTE(F338," ",""))),"")</f>
        <v/>
      </c>
      <c r="M338" s="8">
        <f>IF(B338&lt;&gt;"",TODAY(),"")</f>
        <v/>
      </c>
      <c r="N338" s="8">
        <f>IF(F338&lt;&gt;"",IFERROR(IF(AND(REGEXMATCH(SUBSTITUTE(TRIM(F338)," ",""),"^-?\d+(\.\d+)?,-?\d+(\.\d+)?$"),VALUE(REGEXEXTRACT(SUBSTITUTE(TRIM(F338)," ",""),"^-?\d+(\.\d+)?"))&gt;=-90,VALUE(REGEXEXTRACT(SUBSTITUTE(TRIM(F338)," ",""),"^-?\d+(\.\d+)?"))&lt;=90,VALUE(REGEXEXTRACT(SUBSTITUTE(TRIM(F338)," ",""),"-?\d+(\.\d+)?$"))&gt;=-180,VALUE(REGEXEXTRACT(SUBSTITUTE(TRIM(F338)," ",""),"-?\d+(\.\d+)?$"))&lt;=180),"OK","REVISAR"),"REVISAR"),"")</f>
        <v/>
      </c>
      <c r="O338">
        <f>IF(A338&lt;&gt;"","https://direcciones507.github.io/direcciones507/panel.html?codigo="&amp;A338&amp;"&amp;nombre="&amp;ENCODEURL(B338)&amp;"&amp;telefono="&amp;SUBSTITUTE(C338,"-","")&amp;"&amp;referencia="&amp;ENCODEURL(E338)&amp;"&amp;lat="&amp;IZQUIERDA(SUBSTITUTE(F338," ",""),ENCONTRAR(",",SUBSTITUTE(F338," ",""))-1)&amp;"&amp;lng="&amp;DERECHA(SUBSTITUTE(F338," ",""),LARGO(SUBSTITUTE(F338," ",""))-ENCONTRAR(",",SUBSTITUTE(F338," ",""))),"")</f>
        <v/>
      </c>
    </row>
    <row r="339" ht="15.75" customHeight="1" s="10">
      <c r="A339" s="8">
        <f>CONCAT("AD507-",TEXT(ROW()-2,"0000"))</f>
        <v/>
      </c>
      <c r="C339" s="8" t="n"/>
      <c r="F339" s="8" t="n"/>
      <c r="G339" s="8">
        <f>IF(F339&lt;&gt;"",HYPERLINK("https://www.google.com/maps/search/?api=1&amp;query="&amp;SUBSTITUTE(F339," ",""),"🗺 Google Maps"),"")</f>
        <v/>
      </c>
      <c r="H339" s="8">
        <f>IF(F339&lt;&gt;"",HYPERLINK("https://waze.com/ul?ll="&amp;SUBSTITUTE(F339," ","")&amp;"&amp;navigate=yes","🚗 Waze"),"")</f>
        <v/>
      </c>
      <c r="I339" s="8">
        <f>IF(F339&lt;&gt;"",HYPERLINK("https://m.uber.com/ul/?action=setPickup&amp;pickup=my_location&amp;dropoff[latitude]="&amp;LEFT(SUBSTITUTE(F339," ",""),FIND(",",SUBSTITUTE(F339," ",""))-1)&amp;"&amp;dropoff[longitude]="&amp;MID(SUBSTITUTE(F339," ",""),FIND(",",SUBSTITUTE(F339," ",""))+1,99),"🚕 Uber"),"")</f>
        <v/>
      </c>
      <c r="J339" s="8">
        <f>IF(F339&lt;&gt;"","https://api.qrserver.com/v1/create-qr-code/?size=200x200&amp;data="&amp;ENCODEURL("https://www.google.com/maps/search/?api=1&amp;query="&amp;SUBSTITUTE(F339," ","")),"")</f>
        <v/>
      </c>
      <c r="K339" s="8">
        <f>IF(C339&lt;&gt;"",HYPERLINK("https://wa.me/507"&amp;REGEXREPLACE(C339,"[^0-9]","")&amp;"?text="&amp;ENCODEURL("Ya llegue. Codigo: "&amp;A339&amp;". Ubicacion: "&amp;"https://www.google.com/maps/search/?api=1&amp;query="&amp;SUBSTITUTE(F339," ","")),"📲 Avisar al cliente"),"")</f>
        <v/>
      </c>
      <c r="L339" s="8">
        <f>IF(C339&lt;&gt;"","https://api.qrserver.com/v1/create-qr-code/?size=200x200&amp;data="&amp;ENCODEURL("https://wa.me/507"&amp;REGEXREPLACE(C339,"[^0-9]","")&amp;"?text="&amp;ENCODEURL("Ya llegue. Codigo: "&amp;A339&amp;". Ubicacion: "&amp;"https://www.google.com/maps/search/?api=1&amp;query="&amp;SUBSTITUTE(F339," ",""))),"")</f>
        <v/>
      </c>
      <c r="M339" s="8">
        <f>IF(B339&lt;&gt;"",TODAY(),"")</f>
        <v/>
      </c>
      <c r="N339" s="8">
        <f>IF(F339&lt;&gt;"",IFERROR(IF(AND(REGEXMATCH(SUBSTITUTE(TRIM(F339)," ",""),"^-?\d+(\.\d+)?,-?\d+(\.\d+)?$"),VALUE(REGEXEXTRACT(SUBSTITUTE(TRIM(F339)," ",""),"^-?\d+(\.\d+)?"))&gt;=-90,VALUE(REGEXEXTRACT(SUBSTITUTE(TRIM(F339)," ",""),"^-?\d+(\.\d+)?"))&lt;=90,VALUE(REGEXEXTRACT(SUBSTITUTE(TRIM(F339)," ",""),"-?\d+(\.\d+)?$"))&gt;=-180,VALUE(REGEXEXTRACT(SUBSTITUTE(TRIM(F339)," ",""),"-?\d+(\.\d+)?$"))&lt;=180),"OK","REVISAR"),"REVISAR"),"")</f>
        <v/>
      </c>
      <c r="O339">
        <f>IF(A339&lt;&gt;"","https://direcciones507.github.io/direcciones507/panel.html?codigo="&amp;A339&amp;"&amp;nombre="&amp;ENCODEURL(B339)&amp;"&amp;telefono="&amp;SUBSTITUTE(C339,"-","")&amp;"&amp;referencia="&amp;ENCODEURL(E339)&amp;"&amp;lat="&amp;IZQUIERDA(SUBSTITUTE(F339," ",""),ENCONTRAR(",",SUBSTITUTE(F339," ",""))-1)&amp;"&amp;lng="&amp;DERECHA(SUBSTITUTE(F339," ",""),LARGO(SUBSTITUTE(F339," ",""))-ENCONTRAR(",",SUBSTITUTE(F339," ",""))),"")</f>
        <v/>
      </c>
    </row>
    <row r="340" ht="15.75" customHeight="1" s="10">
      <c r="A340" s="8">
        <f>CONCAT("AD507-",TEXT(ROW()-2,"0000"))</f>
        <v/>
      </c>
      <c r="C340" s="8" t="n"/>
      <c r="F340" s="8" t="n"/>
      <c r="G340" s="8">
        <f>IF(F340&lt;&gt;"",HYPERLINK("https://www.google.com/maps/search/?api=1&amp;query="&amp;SUBSTITUTE(F340," ",""),"🗺 Google Maps"),"")</f>
        <v/>
      </c>
      <c r="H340" s="8">
        <f>IF(F340&lt;&gt;"",HYPERLINK("https://waze.com/ul?ll="&amp;SUBSTITUTE(F340," ","")&amp;"&amp;navigate=yes","🚗 Waze"),"")</f>
        <v/>
      </c>
      <c r="I340" s="8">
        <f>IF(F340&lt;&gt;"",HYPERLINK("https://m.uber.com/ul/?action=setPickup&amp;pickup=my_location&amp;dropoff[latitude]="&amp;LEFT(SUBSTITUTE(F340," ",""),FIND(",",SUBSTITUTE(F340," ",""))-1)&amp;"&amp;dropoff[longitude]="&amp;MID(SUBSTITUTE(F340," ",""),FIND(",",SUBSTITUTE(F340," ",""))+1,99),"🚕 Uber"),"")</f>
        <v/>
      </c>
      <c r="J340" s="8">
        <f>IF(F340&lt;&gt;"","https://api.qrserver.com/v1/create-qr-code/?size=200x200&amp;data="&amp;ENCODEURL("https://www.google.com/maps/search/?api=1&amp;query="&amp;SUBSTITUTE(F340," ","")),"")</f>
        <v/>
      </c>
      <c r="K340" s="8">
        <f>IF(C340&lt;&gt;"",HYPERLINK("https://wa.me/507"&amp;REGEXREPLACE(C340,"[^0-9]","")&amp;"?text="&amp;ENCODEURL("Ya llegue. Codigo: "&amp;A340&amp;". Ubicacion: "&amp;"https://www.google.com/maps/search/?api=1&amp;query="&amp;SUBSTITUTE(F340," ","")),"📲 Avisar al cliente"),"")</f>
        <v/>
      </c>
      <c r="L340" s="8">
        <f>IF(C340&lt;&gt;"","https://api.qrserver.com/v1/create-qr-code/?size=200x200&amp;data="&amp;ENCODEURL("https://wa.me/507"&amp;REGEXREPLACE(C340,"[^0-9]","")&amp;"?text="&amp;ENCODEURL("Ya llegue. Codigo: "&amp;A340&amp;". Ubicacion: "&amp;"https://www.google.com/maps/search/?api=1&amp;query="&amp;SUBSTITUTE(F340," ",""))),"")</f>
        <v/>
      </c>
      <c r="M340" s="8">
        <f>IF(B340&lt;&gt;"",TODAY(),"")</f>
        <v/>
      </c>
      <c r="N340" s="8">
        <f>IF(F340&lt;&gt;"",IFERROR(IF(AND(REGEXMATCH(SUBSTITUTE(TRIM(F340)," ",""),"^-?\d+(\.\d+)?,-?\d+(\.\d+)?$"),VALUE(REGEXEXTRACT(SUBSTITUTE(TRIM(F340)," ",""),"^-?\d+(\.\d+)?"))&gt;=-90,VALUE(REGEXEXTRACT(SUBSTITUTE(TRIM(F340)," ",""),"^-?\d+(\.\d+)?"))&lt;=90,VALUE(REGEXEXTRACT(SUBSTITUTE(TRIM(F340)," ",""),"-?\d+(\.\d+)?$"))&gt;=-180,VALUE(REGEXEXTRACT(SUBSTITUTE(TRIM(F340)," ",""),"-?\d+(\.\d+)?$"))&lt;=180),"OK","REVISAR"),"REVISAR"),"")</f>
        <v/>
      </c>
      <c r="O340">
        <f>IF(A340&lt;&gt;"","https://direcciones507.github.io/direcciones507/panel.html?codigo="&amp;A340&amp;"&amp;nombre="&amp;ENCODEURL(B340)&amp;"&amp;telefono="&amp;SUBSTITUTE(C340,"-","")&amp;"&amp;referencia="&amp;ENCODEURL(E340)&amp;"&amp;lat="&amp;IZQUIERDA(SUBSTITUTE(F340," ",""),ENCONTRAR(",",SUBSTITUTE(F340," ",""))-1)&amp;"&amp;lng="&amp;DERECHA(SUBSTITUTE(F340," ",""),LARGO(SUBSTITUTE(F340," ",""))-ENCONTRAR(",",SUBSTITUTE(F340," ",""))),"")</f>
        <v/>
      </c>
    </row>
    <row r="341" ht="15.75" customHeight="1" s="10">
      <c r="A341" s="8">
        <f>CONCAT("AD507-",TEXT(ROW()-2,"0000"))</f>
        <v/>
      </c>
      <c r="C341" s="8" t="n"/>
      <c r="F341" s="8" t="n"/>
      <c r="G341" s="8">
        <f>IF(F341&lt;&gt;"",HYPERLINK("https://www.google.com/maps/search/?api=1&amp;query="&amp;SUBSTITUTE(F341," ",""),"🗺 Google Maps"),"")</f>
        <v/>
      </c>
      <c r="H341" s="8">
        <f>IF(F341&lt;&gt;"",HYPERLINK("https://waze.com/ul?ll="&amp;SUBSTITUTE(F341," ","")&amp;"&amp;navigate=yes","🚗 Waze"),"")</f>
        <v/>
      </c>
      <c r="I341" s="8">
        <f>IF(F341&lt;&gt;"",HYPERLINK("https://m.uber.com/ul/?action=setPickup&amp;pickup=my_location&amp;dropoff[latitude]="&amp;LEFT(SUBSTITUTE(F341," ",""),FIND(",",SUBSTITUTE(F341," ",""))-1)&amp;"&amp;dropoff[longitude]="&amp;MID(SUBSTITUTE(F341," ",""),FIND(",",SUBSTITUTE(F341," ",""))+1,99),"🚕 Uber"),"")</f>
        <v/>
      </c>
      <c r="J341" s="8">
        <f>IF(F341&lt;&gt;"","https://api.qrserver.com/v1/create-qr-code/?size=200x200&amp;data="&amp;ENCODEURL("https://www.google.com/maps/search/?api=1&amp;query="&amp;SUBSTITUTE(F341," ","")),"")</f>
        <v/>
      </c>
      <c r="K341" s="8">
        <f>IF(C341&lt;&gt;"",HYPERLINK("https://wa.me/507"&amp;REGEXREPLACE(C341,"[^0-9]","")&amp;"?text="&amp;ENCODEURL("Ya llegue. Codigo: "&amp;A341&amp;". Ubicacion: "&amp;"https://www.google.com/maps/search/?api=1&amp;query="&amp;SUBSTITUTE(F341," ","")),"📲 Avisar al cliente"),"")</f>
        <v/>
      </c>
      <c r="L341" s="8">
        <f>IF(C341&lt;&gt;"","https://api.qrserver.com/v1/create-qr-code/?size=200x200&amp;data="&amp;ENCODEURL("https://wa.me/507"&amp;REGEXREPLACE(C341,"[^0-9]","")&amp;"?text="&amp;ENCODEURL("Ya llegue. Codigo: "&amp;A341&amp;". Ubicacion: "&amp;"https://www.google.com/maps/search/?api=1&amp;query="&amp;SUBSTITUTE(F341," ",""))),"")</f>
        <v/>
      </c>
      <c r="M341" s="8">
        <f>IF(B341&lt;&gt;"",TODAY(),"")</f>
        <v/>
      </c>
      <c r="N341" s="8">
        <f>IF(F341&lt;&gt;"",IFERROR(IF(AND(REGEXMATCH(SUBSTITUTE(TRIM(F341)," ",""),"^-?\d+(\.\d+)?,-?\d+(\.\d+)?$"),VALUE(REGEXEXTRACT(SUBSTITUTE(TRIM(F341)," ",""),"^-?\d+(\.\d+)?"))&gt;=-90,VALUE(REGEXEXTRACT(SUBSTITUTE(TRIM(F341)," ",""),"^-?\d+(\.\d+)?"))&lt;=90,VALUE(REGEXEXTRACT(SUBSTITUTE(TRIM(F341)," ",""),"-?\d+(\.\d+)?$"))&gt;=-180,VALUE(REGEXEXTRACT(SUBSTITUTE(TRIM(F341)," ",""),"-?\d+(\.\d+)?$"))&lt;=180),"OK","REVISAR"),"REVISAR"),"")</f>
        <v/>
      </c>
      <c r="O341">
        <f>IF(A341&lt;&gt;"","https://direcciones507.github.io/direcciones507/panel.html?codigo="&amp;A341&amp;"&amp;nombre="&amp;ENCODEURL(B341)&amp;"&amp;telefono="&amp;SUBSTITUTE(C341,"-","")&amp;"&amp;referencia="&amp;ENCODEURL(E341)&amp;"&amp;lat="&amp;IZQUIERDA(SUBSTITUTE(F341," ",""),ENCONTRAR(",",SUBSTITUTE(F341," ",""))-1)&amp;"&amp;lng="&amp;DERECHA(SUBSTITUTE(F341," ",""),LARGO(SUBSTITUTE(F341," ",""))-ENCONTRAR(",",SUBSTITUTE(F341," ",""))),"")</f>
        <v/>
      </c>
    </row>
    <row r="342" ht="15.75" customHeight="1" s="10">
      <c r="A342" s="8">
        <f>CONCAT("AD507-",TEXT(ROW()-2,"0000"))</f>
        <v/>
      </c>
      <c r="C342" s="8" t="n"/>
      <c r="F342" s="8" t="n"/>
      <c r="G342" s="8">
        <f>IF(F342&lt;&gt;"",HYPERLINK("https://www.google.com/maps/search/?api=1&amp;query="&amp;SUBSTITUTE(F342," ",""),"🗺 Google Maps"),"")</f>
        <v/>
      </c>
      <c r="H342" s="8">
        <f>IF(F342&lt;&gt;"",HYPERLINK("https://waze.com/ul?ll="&amp;SUBSTITUTE(F342," ","")&amp;"&amp;navigate=yes","🚗 Waze"),"")</f>
        <v/>
      </c>
      <c r="I342" s="8">
        <f>IF(F342&lt;&gt;"",HYPERLINK("https://m.uber.com/ul/?action=setPickup&amp;pickup=my_location&amp;dropoff[latitude]="&amp;LEFT(SUBSTITUTE(F342," ",""),FIND(",",SUBSTITUTE(F342," ",""))-1)&amp;"&amp;dropoff[longitude]="&amp;MID(SUBSTITUTE(F342," ",""),FIND(",",SUBSTITUTE(F342," ",""))+1,99),"🚕 Uber"),"")</f>
        <v/>
      </c>
      <c r="J342" s="8">
        <f>IF(F342&lt;&gt;"","https://api.qrserver.com/v1/create-qr-code/?size=200x200&amp;data="&amp;ENCODEURL("https://www.google.com/maps/search/?api=1&amp;query="&amp;SUBSTITUTE(F342," ","")),"")</f>
        <v/>
      </c>
      <c r="K342" s="8">
        <f>IF(C342&lt;&gt;"",HYPERLINK("https://wa.me/507"&amp;REGEXREPLACE(C342,"[^0-9]","")&amp;"?text="&amp;ENCODEURL("Ya llegue. Codigo: "&amp;A342&amp;". Ubicacion: "&amp;"https://www.google.com/maps/search/?api=1&amp;query="&amp;SUBSTITUTE(F342," ","")),"📲 Avisar al cliente"),"")</f>
        <v/>
      </c>
      <c r="L342" s="8">
        <f>IF(C342&lt;&gt;"","https://api.qrserver.com/v1/create-qr-code/?size=200x200&amp;data="&amp;ENCODEURL("https://wa.me/507"&amp;REGEXREPLACE(C342,"[^0-9]","")&amp;"?text="&amp;ENCODEURL("Ya llegue. Codigo: "&amp;A342&amp;". Ubicacion: "&amp;"https://www.google.com/maps/search/?api=1&amp;query="&amp;SUBSTITUTE(F342," ",""))),"")</f>
        <v/>
      </c>
      <c r="M342" s="8">
        <f>IF(B342&lt;&gt;"",TODAY(),"")</f>
        <v/>
      </c>
      <c r="N342" s="8">
        <f>IF(F342&lt;&gt;"",IFERROR(IF(AND(REGEXMATCH(SUBSTITUTE(TRIM(F342)," ",""),"^-?\d+(\.\d+)?,-?\d+(\.\d+)?$"),VALUE(REGEXEXTRACT(SUBSTITUTE(TRIM(F342)," ",""),"^-?\d+(\.\d+)?"))&gt;=-90,VALUE(REGEXEXTRACT(SUBSTITUTE(TRIM(F342)," ",""),"^-?\d+(\.\d+)?"))&lt;=90,VALUE(REGEXEXTRACT(SUBSTITUTE(TRIM(F342)," ",""),"-?\d+(\.\d+)?$"))&gt;=-180,VALUE(REGEXEXTRACT(SUBSTITUTE(TRIM(F342)," ",""),"-?\d+(\.\d+)?$"))&lt;=180),"OK","REVISAR"),"REVISAR"),"")</f>
        <v/>
      </c>
      <c r="O342">
        <f>IF(A342&lt;&gt;"","https://direcciones507.github.io/direcciones507/panel.html?codigo="&amp;A342&amp;"&amp;nombre="&amp;ENCODEURL(B342)&amp;"&amp;telefono="&amp;SUBSTITUTE(C342,"-","")&amp;"&amp;referencia="&amp;ENCODEURL(E342)&amp;"&amp;lat="&amp;IZQUIERDA(SUBSTITUTE(F342," ",""),ENCONTRAR(",",SUBSTITUTE(F342," ",""))-1)&amp;"&amp;lng="&amp;DERECHA(SUBSTITUTE(F342," ",""),LARGO(SUBSTITUTE(F342," ",""))-ENCONTRAR(",",SUBSTITUTE(F342," ",""))),"")</f>
        <v/>
      </c>
    </row>
    <row r="343" ht="15.75" customHeight="1" s="10">
      <c r="A343" s="8">
        <f>CONCAT("AD507-",TEXT(ROW()-2,"0000"))</f>
        <v/>
      </c>
      <c r="C343" s="8" t="n"/>
      <c r="F343" s="8" t="n"/>
      <c r="G343" s="8">
        <f>IF(F343&lt;&gt;"",HYPERLINK("https://www.google.com/maps/search/?api=1&amp;query="&amp;SUBSTITUTE(F343," ",""),"🗺 Google Maps"),"")</f>
        <v/>
      </c>
      <c r="H343" s="8">
        <f>IF(F343&lt;&gt;"",HYPERLINK("https://waze.com/ul?ll="&amp;SUBSTITUTE(F343," ","")&amp;"&amp;navigate=yes","🚗 Waze"),"")</f>
        <v/>
      </c>
      <c r="I343" s="8">
        <f>IF(F343&lt;&gt;"",HYPERLINK("https://m.uber.com/ul/?action=setPickup&amp;pickup=my_location&amp;dropoff[latitude]="&amp;LEFT(SUBSTITUTE(F343," ",""),FIND(",",SUBSTITUTE(F343," ",""))-1)&amp;"&amp;dropoff[longitude]="&amp;MID(SUBSTITUTE(F343," ",""),FIND(",",SUBSTITUTE(F343," ",""))+1,99),"🚕 Uber"),"")</f>
        <v/>
      </c>
      <c r="J343" s="8">
        <f>IF(F343&lt;&gt;"","https://api.qrserver.com/v1/create-qr-code/?size=200x200&amp;data="&amp;ENCODEURL("https://www.google.com/maps/search/?api=1&amp;query="&amp;SUBSTITUTE(F343," ","")),"")</f>
        <v/>
      </c>
      <c r="K343" s="8">
        <f>IF(C343&lt;&gt;"",HYPERLINK("https://wa.me/507"&amp;REGEXREPLACE(C343,"[^0-9]","")&amp;"?text="&amp;ENCODEURL("Ya llegue. Codigo: "&amp;A343&amp;". Ubicacion: "&amp;"https://www.google.com/maps/search/?api=1&amp;query="&amp;SUBSTITUTE(F343," ","")),"📲 Avisar al cliente"),"")</f>
        <v/>
      </c>
      <c r="L343" s="8">
        <f>IF(C343&lt;&gt;"","https://api.qrserver.com/v1/create-qr-code/?size=200x200&amp;data="&amp;ENCODEURL("https://wa.me/507"&amp;REGEXREPLACE(C343,"[^0-9]","")&amp;"?text="&amp;ENCODEURL("Ya llegue. Codigo: "&amp;A343&amp;". Ubicacion: "&amp;"https://www.google.com/maps/search/?api=1&amp;query="&amp;SUBSTITUTE(F343," ",""))),"")</f>
        <v/>
      </c>
      <c r="M343" s="8">
        <f>IF(B343&lt;&gt;"",TODAY(),"")</f>
        <v/>
      </c>
      <c r="N343" s="8">
        <f>IF(F343&lt;&gt;"",IFERROR(IF(AND(REGEXMATCH(SUBSTITUTE(TRIM(F343)," ",""),"^-?\d+(\.\d+)?,-?\d+(\.\d+)?$"),VALUE(REGEXEXTRACT(SUBSTITUTE(TRIM(F343)," ",""),"^-?\d+(\.\d+)?"))&gt;=-90,VALUE(REGEXEXTRACT(SUBSTITUTE(TRIM(F343)," ",""),"^-?\d+(\.\d+)?"))&lt;=90,VALUE(REGEXEXTRACT(SUBSTITUTE(TRIM(F343)," ",""),"-?\d+(\.\d+)?$"))&gt;=-180,VALUE(REGEXEXTRACT(SUBSTITUTE(TRIM(F343)," ",""),"-?\d+(\.\d+)?$"))&lt;=180),"OK","REVISAR"),"REVISAR"),"")</f>
        <v/>
      </c>
      <c r="O343">
        <f>IF(A343&lt;&gt;"","https://direcciones507.github.io/direcciones507/panel.html?codigo="&amp;A343&amp;"&amp;nombre="&amp;ENCODEURL(B343)&amp;"&amp;telefono="&amp;SUBSTITUTE(C343,"-","")&amp;"&amp;referencia="&amp;ENCODEURL(E343)&amp;"&amp;lat="&amp;IZQUIERDA(SUBSTITUTE(F343," ",""),ENCONTRAR(",",SUBSTITUTE(F343," ",""))-1)&amp;"&amp;lng="&amp;DERECHA(SUBSTITUTE(F343," ",""),LARGO(SUBSTITUTE(F343," ",""))-ENCONTRAR(",",SUBSTITUTE(F343," ",""))),"")</f>
        <v/>
      </c>
    </row>
    <row r="344" ht="15.75" customHeight="1" s="10">
      <c r="A344" s="8">
        <f>CONCAT("AD507-",TEXT(ROW()-2,"0000"))</f>
        <v/>
      </c>
      <c r="C344" s="8" t="n"/>
      <c r="F344" s="8" t="n"/>
      <c r="G344" s="8">
        <f>IF(F344&lt;&gt;"",HYPERLINK("https://www.google.com/maps/search/?api=1&amp;query="&amp;SUBSTITUTE(F344," ",""),"🗺 Google Maps"),"")</f>
        <v/>
      </c>
      <c r="H344" s="8">
        <f>IF(F344&lt;&gt;"",HYPERLINK("https://waze.com/ul?ll="&amp;SUBSTITUTE(F344," ","")&amp;"&amp;navigate=yes","🚗 Waze"),"")</f>
        <v/>
      </c>
      <c r="I344" s="8">
        <f>IF(F344&lt;&gt;"",HYPERLINK("https://m.uber.com/ul/?action=setPickup&amp;pickup=my_location&amp;dropoff[latitude]="&amp;LEFT(SUBSTITUTE(F344," ",""),FIND(",",SUBSTITUTE(F344," ",""))-1)&amp;"&amp;dropoff[longitude]="&amp;MID(SUBSTITUTE(F344," ",""),FIND(",",SUBSTITUTE(F344," ",""))+1,99),"🚕 Uber"),"")</f>
        <v/>
      </c>
      <c r="J344" s="8">
        <f>IF(F344&lt;&gt;"","https://api.qrserver.com/v1/create-qr-code/?size=200x200&amp;data="&amp;ENCODEURL("https://www.google.com/maps/search/?api=1&amp;query="&amp;SUBSTITUTE(F344," ","")),"")</f>
        <v/>
      </c>
      <c r="K344" s="8">
        <f>IF(C344&lt;&gt;"",HYPERLINK("https://wa.me/507"&amp;REGEXREPLACE(C344,"[^0-9]","")&amp;"?text="&amp;ENCODEURL("Ya llegue. Codigo: "&amp;A344&amp;". Ubicacion: "&amp;"https://www.google.com/maps/search/?api=1&amp;query="&amp;SUBSTITUTE(F344," ","")),"📲 Avisar al cliente"),"")</f>
        <v/>
      </c>
      <c r="L344" s="8">
        <f>IF(C344&lt;&gt;"","https://api.qrserver.com/v1/create-qr-code/?size=200x200&amp;data="&amp;ENCODEURL("https://wa.me/507"&amp;REGEXREPLACE(C344,"[^0-9]","")&amp;"?text="&amp;ENCODEURL("Ya llegue. Codigo: "&amp;A344&amp;". Ubicacion: "&amp;"https://www.google.com/maps/search/?api=1&amp;query="&amp;SUBSTITUTE(F344," ",""))),"")</f>
        <v/>
      </c>
      <c r="M344" s="8">
        <f>IF(B344&lt;&gt;"",TODAY(),"")</f>
        <v/>
      </c>
      <c r="N344" s="8">
        <f>IF(F344&lt;&gt;"",IFERROR(IF(AND(REGEXMATCH(SUBSTITUTE(TRIM(F344)," ",""),"^-?\d+(\.\d+)?,-?\d+(\.\d+)?$"),VALUE(REGEXEXTRACT(SUBSTITUTE(TRIM(F344)," ",""),"^-?\d+(\.\d+)?"))&gt;=-90,VALUE(REGEXEXTRACT(SUBSTITUTE(TRIM(F344)," ",""),"^-?\d+(\.\d+)?"))&lt;=90,VALUE(REGEXEXTRACT(SUBSTITUTE(TRIM(F344)," ",""),"-?\d+(\.\d+)?$"))&gt;=-180,VALUE(REGEXEXTRACT(SUBSTITUTE(TRIM(F344)," ",""),"-?\d+(\.\d+)?$"))&lt;=180),"OK","REVISAR"),"REVISAR"),"")</f>
        <v/>
      </c>
      <c r="O344">
        <f>IF(A344&lt;&gt;"","https://direcciones507.github.io/direcciones507/panel.html?codigo="&amp;A344&amp;"&amp;nombre="&amp;ENCODEURL(B344)&amp;"&amp;telefono="&amp;SUBSTITUTE(C344,"-","")&amp;"&amp;referencia="&amp;ENCODEURL(E344)&amp;"&amp;lat="&amp;IZQUIERDA(SUBSTITUTE(F344," ",""),ENCONTRAR(",",SUBSTITUTE(F344," ",""))-1)&amp;"&amp;lng="&amp;DERECHA(SUBSTITUTE(F344," ",""),LARGO(SUBSTITUTE(F344," ",""))-ENCONTRAR(",",SUBSTITUTE(F344," ",""))),"")</f>
        <v/>
      </c>
    </row>
    <row r="345" ht="15.75" customHeight="1" s="10">
      <c r="A345" s="8">
        <f>CONCAT("AD507-",TEXT(ROW()-2,"0000"))</f>
        <v/>
      </c>
      <c r="C345" s="8" t="n"/>
      <c r="F345" s="8" t="n"/>
      <c r="G345" s="8">
        <f>IF(F345&lt;&gt;"",HYPERLINK("https://www.google.com/maps/search/?api=1&amp;query="&amp;SUBSTITUTE(F345," ",""),"🗺 Google Maps"),"")</f>
        <v/>
      </c>
      <c r="H345" s="8">
        <f>IF(F345&lt;&gt;"",HYPERLINK("https://waze.com/ul?ll="&amp;SUBSTITUTE(F345," ","")&amp;"&amp;navigate=yes","🚗 Waze"),"")</f>
        <v/>
      </c>
      <c r="I345" s="8">
        <f>IF(F345&lt;&gt;"",HYPERLINK("https://m.uber.com/ul/?action=setPickup&amp;pickup=my_location&amp;dropoff[latitude]="&amp;LEFT(SUBSTITUTE(F345," ",""),FIND(",",SUBSTITUTE(F345," ",""))-1)&amp;"&amp;dropoff[longitude]="&amp;MID(SUBSTITUTE(F345," ",""),FIND(",",SUBSTITUTE(F345," ",""))+1,99),"🚕 Uber"),"")</f>
        <v/>
      </c>
      <c r="J345" s="8">
        <f>IF(F345&lt;&gt;"","https://api.qrserver.com/v1/create-qr-code/?size=200x200&amp;data="&amp;ENCODEURL("https://www.google.com/maps/search/?api=1&amp;query="&amp;SUBSTITUTE(F345," ","")),"")</f>
        <v/>
      </c>
      <c r="K345" s="8">
        <f>IF(C345&lt;&gt;"",HYPERLINK("https://wa.me/507"&amp;REGEXREPLACE(C345,"[^0-9]","")&amp;"?text="&amp;ENCODEURL("Ya llegue. Codigo: "&amp;A345&amp;". Ubicacion: "&amp;"https://www.google.com/maps/search/?api=1&amp;query="&amp;SUBSTITUTE(F345," ","")),"📲 Avisar al cliente"),"")</f>
        <v/>
      </c>
      <c r="L345" s="8">
        <f>IF(C345&lt;&gt;"","https://api.qrserver.com/v1/create-qr-code/?size=200x200&amp;data="&amp;ENCODEURL("https://wa.me/507"&amp;REGEXREPLACE(C345,"[^0-9]","")&amp;"?text="&amp;ENCODEURL("Ya llegue. Codigo: "&amp;A345&amp;". Ubicacion: "&amp;"https://www.google.com/maps/search/?api=1&amp;query="&amp;SUBSTITUTE(F345," ",""))),"")</f>
        <v/>
      </c>
      <c r="M345" s="8">
        <f>IF(B345&lt;&gt;"",TODAY(),"")</f>
        <v/>
      </c>
      <c r="N345" s="8">
        <f>IF(F345&lt;&gt;"",IFERROR(IF(AND(REGEXMATCH(SUBSTITUTE(TRIM(F345)," ",""),"^-?\d+(\.\d+)?,-?\d+(\.\d+)?$"),VALUE(REGEXEXTRACT(SUBSTITUTE(TRIM(F345)," ",""),"^-?\d+(\.\d+)?"))&gt;=-90,VALUE(REGEXEXTRACT(SUBSTITUTE(TRIM(F345)," ",""),"^-?\d+(\.\d+)?"))&lt;=90,VALUE(REGEXEXTRACT(SUBSTITUTE(TRIM(F345)," ",""),"-?\d+(\.\d+)?$"))&gt;=-180,VALUE(REGEXEXTRACT(SUBSTITUTE(TRIM(F345)," ",""),"-?\d+(\.\d+)?$"))&lt;=180),"OK","REVISAR"),"REVISAR"),"")</f>
        <v/>
      </c>
      <c r="O345">
        <f>IF(A345&lt;&gt;"","https://direcciones507.github.io/direcciones507/panel.html?codigo="&amp;A345&amp;"&amp;nombre="&amp;ENCODEURL(B345)&amp;"&amp;telefono="&amp;SUBSTITUTE(C345,"-","")&amp;"&amp;referencia="&amp;ENCODEURL(E345)&amp;"&amp;lat="&amp;IZQUIERDA(SUBSTITUTE(F345," ",""),ENCONTRAR(",",SUBSTITUTE(F345," ",""))-1)&amp;"&amp;lng="&amp;DERECHA(SUBSTITUTE(F345," ",""),LARGO(SUBSTITUTE(F345," ",""))-ENCONTRAR(",",SUBSTITUTE(F345," ",""))),"")</f>
        <v/>
      </c>
    </row>
    <row r="346" ht="15.75" customHeight="1" s="10">
      <c r="A346" s="8">
        <f>CONCAT("AD507-",TEXT(ROW()-2,"0000"))</f>
        <v/>
      </c>
      <c r="C346" s="8" t="n"/>
      <c r="F346" s="8" t="n"/>
      <c r="G346" s="8">
        <f>IF(F346&lt;&gt;"",HYPERLINK("https://www.google.com/maps/search/?api=1&amp;query="&amp;SUBSTITUTE(F346," ",""),"🗺 Google Maps"),"")</f>
        <v/>
      </c>
      <c r="H346" s="8">
        <f>IF(F346&lt;&gt;"",HYPERLINK("https://waze.com/ul?ll="&amp;SUBSTITUTE(F346," ","")&amp;"&amp;navigate=yes","🚗 Waze"),"")</f>
        <v/>
      </c>
      <c r="I346" s="8">
        <f>IF(F346&lt;&gt;"",HYPERLINK("https://m.uber.com/ul/?action=setPickup&amp;pickup=my_location&amp;dropoff[latitude]="&amp;LEFT(SUBSTITUTE(F346," ",""),FIND(",",SUBSTITUTE(F346," ",""))-1)&amp;"&amp;dropoff[longitude]="&amp;MID(SUBSTITUTE(F346," ",""),FIND(",",SUBSTITUTE(F346," ",""))+1,99),"🚕 Uber"),"")</f>
        <v/>
      </c>
      <c r="J346" s="8">
        <f>IF(F346&lt;&gt;"","https://api.qrserver.com/v1/create-qr-code/?size=200x200&amp;data="&amp;ENCODEURL("https://www.google.com/maps/search/?api=1&amp;query="&amp;SUBSTITUTE(F346," ","")),"")</f>
        <v/>
      </c>
      <c r="K346" s="8">
        <f>IF(C346&lt;&gt;"",HYPERLINK("https://wa.me/507"&amp;REGEXREPLACE(C346,"[^0-9]","")&amp;"?text="&amp;ENCODEURL("Ya llegue. Codigo: "&amp;A346&amp;". Ubicacion: "&amp;"https://www.google.com/maps/search/?api=1&amp;query="&amp;SUBSTITUTE(F346," ","")),"📲 Avisar al cliente"),"")</f>
        <v/>
      </c>
      <c r="L346" s="8">
        <f>IF(C346&lt;&gt;"","https://api.qrserver.com/v1/create-qr-code/?size=200x200&amp;data="&amp;ENCODEURL("https://wa.me/507"&amp;REGEXREPLACE(C346,"[^0-9]","")&amp;"?text="&amp;ENCODEURL("Ya llegue. Codigo: "&amp;A346&amp;". Ubicacion: "&amp;"https://www.google.com/maps/search/?api=1&amp;query="&amp;SUBSTITUTE(F346," ",""))),"")</f>
        <v/>
      </c>
      <c r="M346" s="8">
        <f>IF(B346&lt;&gt;"",TODAY(),"")</f>
        <v/>
      </c>
      <c r="N346" s="8">
        <f>IF(F346&lt;&gt;"",IFERROR(IF(AND(REGEXMATCH(SUBSTITUTE(TRIM(F346)," ",""),"^-?\d+(\.\d+)?,-?\d+(\.\d+)?$"),VALUE(REGEXEXTRACT(SUBSTITUTE(TRIM(F346)," ",""),"^-?\d+(\.\d+)?"))&gt;=-90,VALUE(REGEXEXTRACT(SUBSTITUTE(TRIM(F346)," ",""),"^-?\d+(\.\d+)?"))&lt;=90,VALUE(REGEXEXTRACT(SUBSTITUTE(TRIM(F346)," ",""),"-?\d+(\.\d+)?$"))&gt;=-180,VALUE(REGEXEXTRACT(SUBSTITUTE(TRIM(F346)," ",""),"-?\d+(\.\d+)?$"))&lt;=180),"OK","REVISAR"),"REVISAR"),"")</f>
        <v/>
      </c>
      <c r="O346">
        <f>IF(A346&lt;&gt;"","https://direcciones507.github.io/direcciones507/panel.html?codigo="&amp;A346&amp;"&amp;nombre="&amp;ENCODEURL(B346)&amp;"&amp;telefono="&amp;SUBSTITUTE(C346,"-","")&amp;"&amp;referencia="&amp;ENCODEURL(E346)&amp;"&amp;lat="&amp;IZQUIERDA(SUBSTITUTE(F346," ",""),ENCONTRAR(",",SUBSTITUTE(F346," ",""))-1)&amp;"&amp;lng="&amp;DERECHA(SUBSTITUTE(F346," ",""),LARGO(SUBSTITUTE(F346," ",""))-ENCONTRAR(",",SUBSTITUTE(F346," ",""))),"")</f>
        <v/>
      </c>
    </row>
    <row r="347" ht="15.75" customHeight="1" s="10">
      <c r="A347" s="8">
        <f>CONCAT("AD507-",TEXT(ROW()-2,"0000"))</f>
        <v/>
      </c>
      <c r="C347" s="8" t="n"/>
      <c r="F347" s="8" t="n"/>
      <c r="G347" s="8">
        <f>IF(F347&lt;&gt;"",HYPERLINK("https://www.google.com/maps/search/?api=1&amp;query="&amp;SUBSTITUTE(F347," ",""),"🗺 Google Maps"),"")</f>
        <v/>
      </c>
      <c r="H347" s="8">
        <f>IF(F347&lt;&gt;"",HYPERLINK("https://waze.com/ul?ll="&amp;SUBSTITUTE(F347," ","")&amp;"&amp;navigate=yes","🚗 Waze"),"")</f>
        <v/>
      </c>
      <c r="I347" s="8">
        <f>IF(F347&lt;&gt;"",HYPERLINK("https://m.uber.com/ul/?action=setPickup&amp;pickup=my_location&amp;dropoff[latitude]="&amp;LEFT(SUBSTITUTE(F347," ",""),FIND(",",SUBSTITUTE(F347," ",""))-1)&amp;"&amp;dropoff[longitude]="&amp;MID(SUBSTITUTE(F347," ",""),FIND(",",SUBSTITUTE(F347," ",""))+1,99),"🚕 Uber"),"")</f>
        <v/>
      </c>
      <c r="J347" s="8">
        <f>IF(F347&lt;&gt;"","https://api.qrserver.com/v1/create-qr-code/?size=200x200&amp;data="&amp;ENCODEURL("https://www.google.com/maps/search/?api=1&amp;query="&amp;SUBSTITUTE(F347," ","")),"")</f>
        <v/>
      </c>
      <c r="K347" s="8">
        <f>IF(C347&lt;&gt;"",HYPERLINK("https://wa.me/507"&amp;REGEXREPLACE(C347,"[^0-9]","")&amp;"?text="&amp;ENCODEURL("Ya llegue. Codigo: "&amp;A347&amp;". Ubicacion: "&amp;"https://www.google.com/maps/search/?api=1&amp;query="&amp;SUBSTITUTE(F347," ","")),"📲 Avisar al cliente"),"")</f>
        <v/>
      </c>
      <c r="L347" s="8">
        <f>IF(C347&lt;&gt;"","https://api.qrserver.com/v1/create-qr-code/?size=200x200&amp;data="&amp;ENCODEURL("https://wa.me/507"&amp;REGEXREPLACE(C347,"[^0-9]","")&amp;"?text="&amp;ENCODEURL("Ya llegue. Codigo: "&amp;A347&amp;". Ubicacion: "&amp;"https://www.google.com/maps/search/?api=1&amp;query="&amp;SUBSTITUTE(F347," ",""))),"")</f>
        <v/>
      </c>
      <c r="M347" s="8">
        <f>IF(B347&lt;&gt;"",TODAY(),"")</f>
        <v/>
      </c>
      <c r="N347" s="8">
        <f>IF(F347&lt;&gt;"",IFERROR(IF(AND(REGEXMATCH(SUBSTITUTE(TRIM(F347)," ",""),"^-?\d+(\.\d+)?,-?\d+(\.\d+)?$"),VALUE(REGEXEXTRACT(SUBSTITUTE(TRIM(F347)," ",""),"^-?\d+(\.\d+)?"))&gt;=-90,VALUE(REGEXEXTRACT(SUBSTITUTE(TRIM(F347)," ",""),"^-?\d+(\.\d+)?"))&lt;=90,VALUE(REGEXEXTRACT(SUBSTITUTE(TRIM(F347)," ",""),"-?\d+(\.\d+)?$"))&gt;=-180,VALUE(REGEXEXTRACT(SUBSTITUTE(TRIM(F347)," ",""),"-?\d+(\.\d+)?$"))&lt;=180),"OK","REVISAR"),"REVISAR"),"")</f>
        <v/>
      </c>
      <c r="O347">
        <f>IF(A347&lt;&gt;"","https://direcciones507.github.io/direcciones507/panel.html?codigo="&amp;A347&amp;"&amp;nombre="&amp;ENCODEURL(B347)&amp;"&amp;telefono="&amp;SUBSTITUTE(C347,"-","")&amp;"&amp;referencia="&amp;ENCODEURL(E347)&amp;"&amp;lat="&amp;IZQUIERDA(SUBSTITUTE(F347," ",""),ENCONTRAR(",",SUBSTITUTE(F347," ",""))-1)&amp;"&amp;lng="&amp;DERECHA(SUBSTITUTE(F347," ",""),LARGO(SUBSTITUTE(F347," ",""))-ENCONTRAR(",",SUBSTITUTE(F347," ",""))),"")</f>
        <v/>
      </c>
    </row>
    <row r="348" ht="15.75" customHeight="1" s="10">
      <c r="A348" s="8">
        <f>CONCAT("AD507-",TEXT(ROW()-2,"0000"))</f>
        <v/>
      </c>
      <c r="C348" s="8" t="n"/>
      <c r="F348" s="8" t="n"/>
      <c r="G348" s="8">
        <f>IF(F348&lt;&gt;"",HYPERLINK("https://www.google.com/maps/search/?api=1&amp;query="&amp;SUBSTITUTE(F348," ",""),"🗺 Google Maps"),"")</f>
        <v/>
      </c>
      <c r="H348" s="8">
        <f>IF(F348&lt;&gt;"",HYPERLINK("https://waze.com/ul?ll="&amp;SUBSTITUTE(F348," ","")&amp;"&amp;navigate=yes","🚗 Waze"),"")</f>
        <v/>
      </c>
      <c r="I348" s="8">
        <f>IF(F348&lt;&gt;"",HYPERLINK("https://m.uber.com/ul/?action=setPickup&amp;pickup=my_location&amp;dropoff[latitude]="&amp;LEFT(SUBSTITUTE(F348," ",""),FIND(",",SUBSTITUTE(F348," ",""))-1)&amp;"&amp;dropoff[longitude]="&amp;MID(SUBSTITUTE(F348," ",""),FIND(",",SUBSTITUTE(F348," ",""))+1,99),"🚕 Uber"),"")</f>
        <v/>
      </c>
      <c r="J348" s="8">
        <f>IF(F348&lt;&gt;"","https://api.qrserver.com/v1/create-qr-code/?size=200x200&amp;data="&amp;ENCODEURL("https://www.google.com/maps/search/?api=1&amp;query="&amp;SUBSTITUTE(F348," ","")),"")</f>
        <v/>
      </c>
      <c r="K348" s="8">
        <f>IF(C348&lt;&gt;"",HYPERLINK("https://wa.me/507"&amp;REGEXREPLACE(C348,"[^0-9]","")&amp;"?text="&amp;ENCODEURL("Ya llegue. Codigo: "&amp;A348&amp;". Ubicacion: "&amp;"https://www.google.com/maps/search/?api=1&amp;query="&amp;SUBSTITUTE(F348," ","")),"📲 Avisar al cliente"),"")</f>
        <v/>
      </c>
      <c r="L348" s="8">
        <f>IF(C348&lt;&gt;"","https://api.qrserver.com/v1/create-qr-code/?size=200x200&amp;data="&amp;ENCODEURL("https://wa.me/507"&amp;REGEXREPLACE(C348,"[^0-9]","")&amp;"?text="&amp;ENCODEURL("Ya llegue. Codigo: "&amp;A348&amp;". Ubicacion: "&amp;"https://www.google.com/maps/search/?api=1&amp;query="&amp;SUBSTITUTE(F348," ",""))),"")</f>
        <v/>
      </c>
      <c r="M348" s="8">
        <f>IF(B348&lt;&gt;"",TODAY(),"")</f>
        <v/>
      </c>
      <c r="N348" s="8">
        <f>IF(F348&lt;&gt;"",IFERROR(IF(AND(REGEXMATCH(SUBSTITUTE(TRIM(F348)," ",""),"^-?\d+(\.\d+)?,-?\d+(\.\d+)?$"),VALUE(REGEXEXTRACT(SUBSTITUTE(TRIM(F348)," ",""),"^-?\d+(\.\d+)?"))&gt;=-90,VALUE(REGEXEXTRACT(SUBSTITUTE(TRIM(F348)," ",""),"^-?\d+(\.\d+)?"))&lt;=90,VALUE(REGEXEXTRACT(SUBSTITUTE(TRIM(F348)," ",""),"-?\d+(\.\d+)?$"))&gt;=-180,VALUE(REGEXEXTRACT(SUBSTITUTE(TRIM(F348)," ",""),"-?\d+(\.\d+)?$"))&lt;=180),"OK","REVISAR"),"REVISAR"),"")</f>
        <v/>
      </c>
      <c r="O348">
        <f>IF(A348&lt;&gt;"","https://direcciones507.github.io/direcciones507/panel.html?codigo="&amp;A348&amp;"&amp;nombre="&amp;ENCODEURL(B348)&amp;"&amp;telefono="&amp;SUBSTITUTE(C348,"-","")&amp;"&amp;referencia="&amp;ENCODEURL(E348)&amp;"&amp;lat="&amp;IZQUIERDA(SUBSTITUTE(F348," ",""),ENCONTRAR(",",SUBSTITUTE(F348," ",""))-1)&amp;"&amp;lng="&amp;DERECHA(SUBSTITUTE(F348," ",""),LARGO(SUBSTITUTE(F348," ",""))-ENCONTRAR(",",SUBSTITUTE(F348," ",""))),"")</f>
        <v/>
      </c>
    </row>
    <row r="349" ht="15.75" customHeight="1" s="10">
      <c r="A349" s="8">
        <f>CONCAT("AD507-",TEXT(ROW()-2,"0000"))</f>
        <v/>
      </c>
      <c r="C349" s="8" t="n"/>
      <c r="F349" s="8" t="n"/>
      <c r="G349" s="8">
        <f>IF(F349&lt;&gt;"",HYPERLINK("https://www.google.com/maps/search/?api=1&amp;query="&amp;SUBSTITUTE(F349," ",""),"🗺 Google Maps"),"")</f>
        <v/>
      </c>
      <c r="H349" s="8">
        <f>IF(F349&lt;&gt;"",HYPERLINK("https://waze.com/ul?ll="&amp;SUBSTITUTE(F349," ","")&amp;"&amp;navigate=yes","🚗 Waze"),"")</f>
        <v/>
      </c>
      <c r="I349" s="8">
        <f>IF(F349&lt;&gt;"",HYPERLINK("https://m.uber.com/ul/?action=setPickup&amp;pickup=my_location&amp;dropoff[latitude]="&amp;LEFT(SUBSTITUTE(F349," ",""),FIND(",",SUBSTITUTE(F349," ",""))-1)&amp;"&amp;dropoff[longitude]="&amp;MID(SUBSTITUTE(F349," ",""),FIND(",",SUBSTITUTE(F349," ",""))+1,99),"🚕 Uber"),"")</f>
        <v/>
      </c>
      <c r="J349" s="8">
        <f>IF(F349&lt;&gt;"","https://api.qrserver.com/v1/create-qr-code/?size=200x200&amp;data="&amp;ENCODEURL("https://www.google.com/maps/search/?api=1&amp;query="&amp;SUBSTITUTE(F349," ","")),"")</f>
        <v/>
      </c>
      <c r="K349" s="8">
        <f>IF(C349&lt;&gt;"",HYPERLINK("https://wa.me/507"&amp;REGEXREPLACE(C349,"[^0-9]","")&amp;"?text="&amp;ENCODEURL("Ya llegue. Codigo: "&amp;A349&amp;". Ubicacion: "&amp;"https://www.google.com/maps/search/?api=1&amp;query="&amp;SUBSTITUTE(F349," ","")),"📲 Avisar al cliente"),"")</f>
        <v/>
      </c>
      <c r="L349" s="8">
        <f>IF(C349&lt;&gt;"","https://api.qrserver.com/v1/create-qr-code/?size=200x200&amp;data="&amp;ENCODEURL("https://wa.me/507"&amp;REGEXREPLACE(C349,"[^0-9]","")&amp;"?text="&amp;ENCODEURL("Ya llegue. Codigo: "&amp;A349&amp;". Ubicacion: "&amp;"https://www.google.com/maps/search/?api=1&amp;query="&amp;SUBSTITUTE(F349," ",""))),"")</f>
        <v/>
      </c>
      <c r="M349" s="8">
        <f>IF(B349&lt;&gt;"",TODAY(),"")</f>
        <v/>
      </c>
      <c r="N349" s="8">
        <f>IF(F349&lt;&gt;"",IFERROR(IF(AND(REGEXMATCH(SUBSTITUTE(TRIM(F349)," ",""),"^-?\d+(\.\d+)?,-?\d+(\.\d+)?$"),VALUE(REGEXEXTRACT(SUBSTITUTE(TRIM(F349)," ",""),"^-?\d+(\.\d+)?"))&gt;=-90,VALUE(REGEXEXTRACT(SUBSTITUTE(TRIM(F349)," ",""),"^-?\d+(\.\d+)?"))&lt;=90,VALUE(REGEXEXTRACT(SUBSTITUTE(TRIM(F349)," ",""),"-?\d+(\.\d+)?$"))&gt;=-180,VALUE(REGEXEXTRACT(SUBSTITUTE(TRIM(F349)," ",""),"-?\d+(\.\d+)?$"))&lt;=180),"OK","REVISAR"),"REVISAR"),"")</f>
        <v/>
      </c>
      <c r="O349">
        <f>IF(A349&lt;&gt;"","https://direcciones507.github.io/direcciones507/panel.html?codigo="&amp;A349&amp;"&amp;nombre="&amp;ENCODEURL(B349)&amp;"&amp;telefono="&amp;SUBSTITUTE(C349,"-","")&amp;"&amp;referencia="&amp;ENCODEURL(E349)&amp;"&amp;lat="&amp;IZQUIERDA(SUBSTITUTE(F349," ",""),ENCONTRAR(",",SUBSTITUTE(F349," ",""))-1)&amp;"&amp;lng="&amp;DERECHA(SUBSTITUTE(F349," ",""),LARGO(SUBSTITUTE(F349," ",""))-ENCONTRAR(",",SUBSTITUTE(F349," ",""))),"")</f>
        <v/>
      </c>
    </row>
    <row r="350" ht="15.75" customHeight="1" s="10">
      <c r="A350" s="8">
        <f>CONCAT("AD507-",TEXT(ROW()-2,"0000"))</f>
        <v/>
      </c>
      <c r="C350" s="8" t="n"/>
      <c r="F350" s="8" t="n"/>
      <c r="G350" s="8">
        <f>IF(F350&lt;&gt;"",HYPERLINK("https://www.google.com/maps/search/?api=1&amp;query="&amp;SUBSTITUTE(F350," ",""),"🗺 Google Maps"),"")</f>
        <v/>
      </c>
      <c r="H350" s="8">
        <f>IF(F350&lt;&gt;"",HYPERLINK("https://waze.com/ul?ll="&amp;SUBSTITUTE(F350," ","")&amp;"&amp;navigate=yes","🚗 Waze"),"")</f>
        <v/>
      </c>
      <c r="I350" s="8">
        <f>IF(F350&lt;&gt;"",HYPERLINK("https://m.uber.com/ul/?action=setPickup&amp;pickup=my_location&amp;dropoff[latitude]="&amp;LEFT(SUBSTITUTE(F350," ",""),FIND(",",SUBSTITUTE(F350," ",""))-1)&amp;"&amp;dropoff[longitude]="&amp;MID(SUBSTITUTE(F350," ",""),FIND(",",SUBSTITUTE(F350," ",""))+1,99),"🚕 Uber"),"")</f>
        <v/>
      </c>
      <c r="J350" s="8">
        <f>IF(F350&lt;&gt;"","https://api.qrserver.com/v1/create-qr-code/?size=200x200&amp;data="&amp;ENCODEURL("https://www.google.com/maps/search/?api=1&amp;query="&amp;SUBSTITUTE(F350," ","")),"")</f>
        <v/>
      </c>
      <c r="K350" s="8">
        <f>IF(C350&lt;&gt;"",HYPERLINK("https://wa.me/507"&amp;REGEXREPLACE(C350,"[^0-9]","")&amp;"?text="&amp;ENCODEURL("Ya llegue. Codigo: "&amp;A350&amp;". Ubicacion: "&amp;"https://www.google.com/maps/search/?api=1&amp;query="&amp;SUBSTITUTE(F350," ","")),"📲 Avisar al cliente"),"")</f>
        <v/>
      </c>
      <c r="L350" s="8">
        <f>IF(C350&lt;&gt;"","https://api.qrserver.com/v1/create-qr-code/?size=200x200&amp;data="&amp;ENCODEURL("https://wa.me/507"&amp;REGEXREPLACE(C350,"[^0-9]","")&amp;"?text="&amp;ENCODEURL("Ya llegue. Codigo: "&amp;A350&amp;". Ubicacion: "&amp;"https://www.google.com/maps/search/?api=1&amp;query="&amp;SUBSTITUTE(F350," ",""))),"")</f>
        <v/>
      </c>
      <c r="M350" s="8">
        <f>IF(B350&lt;&gt;"",TODAY(),"")</f>
        <v/>
      </c>
      <c r="N350" s="8">
        <f>IF(F350&lt;&gt;"",IFERROR(IF(AND(REGEXMATCH(SUBSTITUTE(TRIM(F350)," ",""),"^-?\d+(\.\d+)?,-?\d+(\.\d+)?$"),VALUE(REGEXEXTRACT(SUBSTITUTE(TRIM(F350)," ",""),"^-?\d+(\.\d+)?"))&gt;=-90,VALUE(REGEXEXTRACT(SUBSTITUTE(TRIM(F350)," ",""),"^-?\d+(\.\d+)?"))&lt;=90,VALUE(REGEXEXTRACT(SUBSTITUTE(TRIM(F350)," ",""),"-?\d+(\.\d+)?$"))&gt;=-180,VALUE(REGEXEXTRACT(SUBSTITUTE(TRIM(F350)," ",""),"-?\d+(\.\d+)?$"))&lt;=180),"OK","REVISAR"),"REVISAR"),"")</f>
        <v/>
      </c>
      <c r="O350">
        <f>IF(A350&lt;&gt;"","https://direcciones507.github.io/direcciones507/panel.html?codigo="&amp;A350&amp;"&amp;nombre="&amp;ENCODEURL(B350)&amp;"&amp;telefono="&amp;SUBSTITUTE(C350,"-","")&amp;"&amp;referencia="&amp;ENCODEURL(E350)&amp;"&amp;lat="&amp;IZQUIERDA(SUBSTITUTE(F350," ",""),ENCONTRAR(",",SUBSTITUTE(F350," ",""))-1)&amp;"&amp;lng="&amp;DERECHA(SUBSTITUTE(F350," ",""),LARGO(SUBSTITUTE(F350," ",""))-ENCONTRAR(",",SUBSTITUTE(F350," ",""))),"")</f>
        <v/>
      </c>
    </row>
    <row r="351" ht="15.75" customHeight="1" s="10">
      <c r="A351" s="8">
        <f>CONCAT("AD507-",TEXT(ROW()-2,"0000"))</f>
        <v/>
      </c>
      <c r="C351" s="8" t="n"/>
      <c r="F351" s="8" t="n"/>
      <c r="G351" s="8">
        <f>IF(F351&lt;&gt;"",HYPERLINK("https://www.google.com/maps/search/?api=1&amp;query="&amp;SUBSTITUTE(F351," ",""),"🗺 Google Maps"),"")</f>
        <v/>
      </c>
      <c r="H351" s="8">
        <f>IF(F351&lt;&gt;"",HYPERLINK("https://waze.com/ul?ll="&amp;SUBSTITUTE(F351," ","")&amp;"&amp;navigate=yes","🚗 Waze"),"")</f>
        <v/>
      </c>
      <c r="I351" s="8">
        <f>IF(F351&lt;&gt;"",HYPERLINK("https://m.uber.com/ul/?action=setPickup&amp;pickup=my_location&amp;dropoff[latitude]="&amp;LEFT(SUBSTITUTE(F351," ",""),FIND(",",SUBSTITUTE(F351," ",""))-1)&amp;"&amp;dropoff[longitude]="&amp;MID(SUBSTITUTE(F351," ",""),FIND(",",SUBSTITUTE(F351," ",""))+1,99),"🚕 Uber"),"")</f>
        <v/>
      </c>
      <c r="J351" s="8">
        <f>IF(F351&lt;&gt;"","https://api.qrserver.com/v1/create-qr-code/?size=200x200&amp;data="&amp;ENCODEURL("https://www.google.com/maps/search/?api=1&amp;query="&amp;SUBSTITUTE(F351," ","")),"")</f>
        <v/>
      </c>
      <c r="K351" s="8">
        <f>IF(C351&lt;&gt;"",HYPERLINK("https://wa.me/507"&amp;REGEXREPLACE(C351,"[^0-9]","")&amp;"?text="&amp;ENCODEURL("Ya llegue. Codigo: "&amp;A351&amp;". Ubicacion: "&amp;"https://www.google.com/maps/search/?api=1&amp;query="&amp;SUBSTITUTE(F351," ","")),"📲 Avisar al cliente"),"")</f>
        <v/>
      </c>
      <c r="L351" s="8">
        <f>IF(C351&lt;&gt;"","https://api.qrserver.com/v1/create-qr-code/?size=200x200&amp;data="&amp;ENCODEURL("https://wa.me/507"&amp;REGEXREPLACE(C351,"[^0-9]","")&amp;"?text="&amp;ENCODEURL("Ya llegue. Codigo: "&amp;A351&amp;". Ubicacion: "&amp;"https://www.google.com/maps/search/?api=1&amp;query="&amp;SUBSTITUTE(F351," ",""))),"")</f>
        <v/>
      </c>
      <c r="M351" s="8">
        <f>IF(B351&lt;&gt;"",TODAY(),"")</f>
        <v/>
      </c>
      <c r="N351" s="8">
        <f>IF(F351&lt;&gt;"",IFERROR(IF(AND(REGEXMATCH(SUBSTITUTE(TRIM(F351)," ",""),"^-?\d+(\.\d+)?,-?\d+(\.\d+)?$"),VALUE(REGEXEXTRACT(SUBSTITUTE(TRIM(F351)," ",""),"^-?\d+(\.\d+)?"))&gt;=-90,VALUE(REGEXEXTRACT(SUBSTITUTE(TRIM(F351)," ",""),"^-?\d+(\.\d+)?"))&lt;=90,VALUE(REGEXEXTRACT(SUBSTITUTE(TRIM(F351)," ",""),"-?\d+(\.\d+)?$"))&gt;=-180,VALUE(REGEXEXTRACT(SUBSTITUTE(TRIM(F351)," ",""),"-?\d+(\.\d+)?$"))&lt;=180),"OK","REVISAR"),"REVISAR"),"")</f>
        <v/>
      </c>
      <c r="O351">
        <f>IF(A351&lt;&gt;"","https://direcciones507.github.io/direcciones507/panel.html?codigo="&amp;A351&amp;"&amp;nombre="&amp;ENCODEURL(B351)&amp;"&amp;telefono="&amp;SUBSTITUTE(C351,"-","")&amp;"&amp;referencia="&amp;ENCODEURL(E351)&amp;"&amp;lat="&amp;IZQUIERDA(SUBSTITUTE(F351," ",""),ENCONTRAR(",",SUBSTITUTE(F351," ",""))-1)&amp;"&amp;lng="&amp;DERECHA(SUBSTITUTE(F351," ",""),LARGO(SUBSTITUTE(F351," ",""))-ENCONTRAR(",",SUBSTITUTE(F351," ",""))),"")</f>
        <v/>
      </c>
    </row>
    <row r="352" ht="15.75" customHeight="1" s="10">
      <c r="A352" s="8">
        <f>CONCAT("AD507-",TEXT(ROW()-2,"0000"))</f>
        <v/>
      </c>
      <c r="C352" s="8" t="n"/>
      <c r="F352" s="8" t="n"/>
      <c r="G352" s="8">
        <f>IF(F352&lt;&gt;"",HYPERLINK("https://www.google.com/maps/search/?api=1&amp;query="&amp;SUBSTITUTE(F352," ",""),"🗺 Google Maps"),"")</f>
        <v/>
      </c>
      <c r="H352" s="8">
        <f>IF(F352&lt;&gt;"",HYPERLINK("https://waze.com/ul?ll="&amp;SUBSTITUTE(F352," ","")&amp;"&amp;navigate=yes","🚗 Waze"),"")</f>
        <v/>
      </c>
      <c r="I352" s="8">
        <f>IF(F352&lt;&gt;"",HYPERLINK("https://m.uber.com/ul/?action=setPickup&amp;pickup=my_location&amp;dropoff[latitude]="&amp;LEFT(SUBSTITUTE(F352," ",""),FIND(",",SUBSTITUTE(F352," ",""))-1)&amp;"&amp;dropoff[longitude]="&amp;MID(SUBSTITUTE(F352," ",""),FIND(",",SUBSTITUTE(F352," ",""))+1,99),"🚕 Uber"),"")</f>
        <v/>
      </c>
      <c r="J352" s="8">
        <f>IF(F352&lt;&gt;"","https://api.qrserver.com/v1/create-qr-code/?size=200x200&amp;data="&amp;ENCODEURL("https://www.google.com/maps/search/?api=1&amp;query="&amp;SUBSTITUTE(F352," ","")),"")</f>
        <v/>
      </c>
      <c r="K352" s="8">
        <f>IF(C352&lt;&gt;"",HYPERLINK("https://wa.me/507"&amp;REGEXREPLACE(C352,"[^0-9]","")&amp;"?text="&amp;ENCODEURL("Ya llegue. Codigo: "&amp;A352&amp;". Ubicacion: "&amp;"https://www.google.com/maps/search/?api=1&amp;query="&amp;SUBSTITUTE(F352," ","")),"📲 Avisar al cliente"),"")</f>
        <v/>
      </c>
      <c r="L352" s="8">
        <f>IF(C352&lt;&gt;"","https://api.qrserver.com/v1/create-qr-code/?size=200x200&amp;data="&amp;ENCODEURL("https://wa.me/507"&amp;REGEXREPLACE(C352,"[^0-9]","")&amp;"?text="&amp;ENCODEURL("Ya llegue. Codigo: "&amp;A352&amp;". Ubicacion: "&amp;"https://www.google.com/maps/search/?api=1&amp;query="&amp;SUBSTITUTE(F352," ",""))),"")</f>
        <v/>
      </c>
      <c r="M352" s="8">
        <f>IF(B352&lt;&gt;"",TODAY(),"")</f>
        <v/>
      </c>
      <c r="N352" s="8">
        <f>IF(F352&lt;&gt;"",IFERROR(IF(AND(REGEXMATCH(SUBSTITUTE(TRIM(F352)," ",""),"^-?\d+(\.\d+)?,-?\d+(\.\d+)?$"),VALUE(REGEXEXTRACT(SUBSTITUTE(TRIM(F352)," ",""),"^-?\d+(\.\d+)?"))&gt;=-90,VALUE(REGEXEXTRACT(SUBSTITUTE(TRIM(F352)," ",""),"^-?\d+(\.\d+)?"))&lt;=90,VALUE(REGEXEXTRACT(SUBSTITUTE(TRIM(F352)," ",""),"-?\d+(\.\d+)?$"))&gt;=-180,VALUE(REGEXEXTRACT(SUBSTITUTE(TRIM(F352)," ",""),"-?\d+(\.\d+)?$"))&lt;=180),"OK","REVISAR"),"REVISAR"),"")</f>
        <v/>
      </c>
      <c r="O352">
        <f>IF(A352&lt;&gt;"","https://direcciones507.github.io/direcciones507/panel.html?codigo="&amp;A352&amp;"&amp;nombre="&amp;ENCODEURL(B352)&amp;"&amp;telefono="&amp;SUBSTITUTE(C352,"-","")&amp;"&amp;referencia="&amp;ENCODEURL(E352)&amp;"&amp;lat="&amp;IZQUIERDA(SUBSTITUTE(F352," ",""),ENCONTRAR(",",SUBSTITUTE(F352," ",""))-1)&amp;"&amp;lng="&amp;DERECHA(SUBSTITUTE(F352," ",""),LARGO(SUBSTITUTE(F352," ",""))-ENCONTRAR(",",SUBSTITUTE(F352," ",""))),"")</f>
        <v/>
      </c>
    </row>
    <row r="353" ht="15.75" customHeight="1" s="10">
      <c r="A353" s="8">
        <f>CONCAT("AD507-",TEXT(ROW()-2,"0000"))</f>
        <v/>
      </c>
      <c r="C353" s="8" t="n"/>
      <c r="F353" s="8" t="n"/>
      <c r="G353" s="8">
        <f>IF(F353&lt;&gt;"",HYPERLINK("https://www.google.com/maps/search/?api=1&amp;query="&amp;SUBSTITUTE(F353," ",""),"🗺 Google Maps"),"")</f>
        <v/>
      </c>
      <c r="H353" s="8">
        <f>IF(F353&lt;&gt;"",HYPERLINK("https://waze.com/ul?ll="&amp;SUBSTITUTE(F353," ","")&amp;"&amp;navigate=yes","🚗 Waze"),"")</f>
        <v/>
      </c>
      <c r="I353" s="8">
        <f>IF(F353&lt;&gt;"",HYPERLINK("https://m.uber.com/ul/?action=setPickup&amp;pickup=my_location&amp;dropoff[latitude]="&amp;LEFT(SUBSTITUTE(F353," ",""),FIND(",",SUBSTITUTE(F353," ",""))-1)&amp;"&amp;dropoff[longitude]="&amp;MID(SUBSTITUTE(F353," ",""),FIND(",",SUBSTITUTE(F353," ",""))+1,99),"🚕 Uber"),"")</f>
        <v/>
      </c>
      <c r="J353" s="8">
        <f>IF(F353&lt;&gt;"","https://api.qrserver.com/v1/create-qr-code/?size=200x200&amp;data="&amp;ENCODEURL("https://www.google.com/maps/search/?api=1&amp;query="&amp;SUBSTITUTE(F353," ","")),"")</f>
        <v/>
      </c>
      <c r="K353" s="8">
        <f>IF(C353&lt;&gt;"",HYPERLINK("https://wa.me/507"&amp;REGEXREPLACE(C353,"[^0-9]","")&amp;"?text="&amp;ENCODEURL("Ya llegue. Codigo: "&amp;A353&amp;". Ubicacion: "&amp;"https://www.google.com/maps/search/?api=1&amp;query="&amp;SUBSTITUTE(F353," ","")),"📲 Avisar al cliente"),"")</f>
        <v/>
      </c>
      <c r="L353" s="8">
        <f>IF(C353&lt;&gt;"","https://api.qrserver.com/v1/create-qr-code/?size=200x200&amp;data="&amp;ENCODEURL("https://wa.me/507"&amp;REGEXREPLACE(C353,"[^0-9]","")&amp;"?text="&amp;ENCODEURL("Ya llegue. Codigo: "&amp;A353&amp;". Ubicacion: "&amp;"https://www.google.com/maps/search/?api=1&amp;query="&amp;SUBSTITUTE(F353," ",""))),"")</f>
        <v/>
      </c>
      <c r="M353" s="8">
        <f>IF(B353&lt;&gt;"",TODAY(),"")</f>
        <v/>
      </c>
      <c r="N353" s="8">
        <f>IF(F353&lt;&gt;"",IFERROR(IF(AND(REGEXMATCH(SUBSTITUTE(TRIM(F353)," ",""),"^-?\d+(\.\d+)?,-?\d+(\.\d+)?$"),VALUE(REGEXEXTRACT(SUBSTITUTE(TRIM(F353)," ",""),"^-?\d+(\.\d+)?"))&gt;=-90,VALUE(REGEXEXTRACT(SUBSTITUTE(TRIM(F353)," ",""),"^-?\d+(\.\d+)?"))&lt;=90,VALUE(REGEXEXTRACT(SUBSTITUTE(TRIM(F353)," ",""),"-?\d+(\.\d+)?$"))&gt;=-180,VALUE(REGEXEXTRACT(SUBSTITUTE(TRIM(F353)," ",""),"-?\d+(\.\d+)?$"))&lt;=180),"OK","REVISAR"),"REVISAR"),"")</f>
        <v/>
      </c>
      <c r="O353">
        <f>IF(A353&lt;&gt;"","https://direcciones507.github.io/direcciones507/panel.html?codigo="&amp;A353&amp;"&amp;nombre="&amp;ENCODEURL(B353)&amp;"&amp;telefono="&amp;SUBSTITUTE(C353,"-","")&amp;"&amp;referencia="&amp;ENCODEURL(E353)&amp;"&amp;lat="&amp;IZQUIERDA(SUBSTITUTE(F353," ",""),ENCONTRAR(",",SUBSTITUTE(F353," ",""))-1)&amp;"&amp;lng="&amp;DERECHA(SUBSTITUTE(F353," ",""),LARGO(SUBSTITUTE(F353," ",""))-ENCONTRAR(",",SUBSTITUTE(F353," ",""))),"")</f>
        <v/>
      </c>
    </row>
    <row r="354" ht="15.75" customHeight="1" s="10">
      <c r="A354" s="8">
        <f>CONCAT("AD507-",TEXT(ROW()-2,"0000"))</f>
        <v/>
      </c>
      <c r="C354" s="8" t="n"/>
      <c r="F354" s="8" t="n"/>
      <c r="G354" s="8">
        <f>IF(F354&lt;&gt;"",HYPERLINK("https://www.google.com/maps/search/?api=1&amp;query="&amp;SUBSTITUTE(F354," ",""),"🗺 Google Maps"),"")</f>
        <v/>
      </c>
      <c r="H354" s="8">
        <f>IF(F354&lt;&gt;"",HYPERLINK("https://waze.com/ul?ll="&amp;SUBSTITUTE(F354," ","")&amp;"&amp;navigate=yes","🚗 Waze"),"")</f>
        <v/>
      </c>
      <c r="I354" s="8">
        <f>IF(F354&lt;&gt;"",HYPERLINK("https://m.uber.com/ul/?action=setPickup&amp;pickup=my_location&amp;dropoff[latitude]="&amp;LEFT(SUBSTITUTE(F354," ",""),FIND(",",SUBSTITUTE(F354," ",""))-1)&amp;"&amp;dropoff[longitude]="&amp;MID(SUBSTITUTE(F354," ",""),FIND(",",SUBSTITUTE(F354," ",""))+1,99),"🚕 Uber"),"")</f>
        <v/>
      </c>
      <c r="J354" s="8">
        <f>IF(F354&lt;&gt;"","https://api.qrserver.com/v1/create-qr-code/?size=200x200&amp;data="&amp;ENCODEURL("https://www.google.com/maps/search/?api=1&amp;query="&amp;SUBSTITUTE(F354," ","")),"")</f>
        <v/>
      </c>
      <c r="K354" s="8">
        <f>IF(C354&lt;&gt;"",HYPERLINK("https://wa.me/507"&amp;REGEXREPLACE(C354,"[^0-9]","")&amp;"?text="&amp;ENCODEURL("Ya llegue. Codigo: "&amp;A354&amp;". Ubicacion: "&amp;"https://www.google.com/maps/search/?api=1&amp;query="&amp;SUBSTITUTE(F354," ","")),"📲 Avisar al cliente"),"")</f>
        <v/>
      </c>
      <c r="L354" s="8">
        <f>IF(C354&lt;&gt;"","https://api.qrserver.com/v1/create-qr-code/?size=200x200&amp;data="&amp;ENCODEURL("https://wa.me/507"&amp;REGEXREPLACE(C354,"[^0-9]","")&amp;"?text="&amp;ENCODEURL("Ya llegue. Codigo: "&amp;A354&amp;". Ubicacion: "&amp;"https://www.google.com/maps/search/?api=1&amp;query="&amp;SUBSTITUTE(F354," ",""))),"")</f>
        <v/>
      </c>
      <c r="M354" s="8">
        <f>IF(B354&lt;&gt;"",TODAY(),"")</f>
        <v/>
      </c>
      <c r="N354" s="8">
        <f>IF(F354&lt;&gt;"",IFERROR(IF(AND(REGEXMATCH(SUBSTITUTE(TRIM(F354)," ",""),"^-?\d+(\.\d+)?,-?\d+(\.\d+)?$"),VALUE(REGEXEXTRACT(SUBSTITUTE(TRIM(F354)," ",""),"^-?\d+(\.\d+)?"))&gt;=-90,VALUE(REGEXEXTRACT(SUBSTITUTE(TRIM(F354)," ",""),"^-?\d+(\.\d+)?"))&lt;=90,VALUE(REGEXEXTRACT(SUBSTITUTE(TRIM(F354)," ",""),"-?\d+(\.\d+)?$"))&gt;=-180,VALUE(REGEXEXTRACT(SUBSTITUTE(TRIM(F354)," ",""),"-?\d+(\.\d+)?$"))&lt;=180),"OK","REVISAR"),"REVISAR"),"")</f>
        <v/>
      </c>
      <c r="O354">
        <f>IF(A354&lt;&gt;"","https://direcciones507.github.io/direcciones507/panel.html?codigo="&amp;A354&amp;"&amp;nombre="&amp;ENCODEURL(B354)&amp;"&amp;telefono="&amp;SUBSTITUTE(C354,"-","")&amp;"&amp;referencia="&amp;ENCODEURL(E354)&amp;"&amp;lat="&amp;IZQUIERDA(SUBSTITUTE(F354," ",""),ENCONTRAR(",",SUBSTITUTE(F354," ",""))-1)&amp;"&amp;lng="&amp;DERECHA(SUBSTITUTE(F354," ",""),LARGO(SUBSTITUTE(F354," ",""))-ENCONTRAR(",",SUBSTITUTE(F354," ",""))),"")</f>
        <v/>
      </c>
    </row>
    <row r="355" ht="15.75" customHeight="1" s="10">
      <c r="A355" s="8">
        <f>CONCAT("AD507-",TEXT(ROW()-2,"0000"))</f>
        <v/>
      </c>
      <c r="C355" s="8" t="n"/>
      <c r="F355" s="8" t="n"/>
      <c r="G355" s="8">
        <f>IF(F355&lt;&gt;"",HYPERLINK("https://www.google.com/maps/search/?api=1&amp;query="&amp;SUBSTITUTE(F355," ",""),"🗺 Google Maps"),"")</f>
        <v/>
      </c>
      <c r="H355" s="8">
        <f>IF(F355&lt;&gt;"",HYPERLINK("https://waze.com/ul?ll="&amp;SUBSTITUTE(F355," ","")&amp;"&amp;navigate=yes","🚗 Waze"),"")</f>
        <v/>
      </c>
      <c r="I355" s="8">
        <f>IF(F355&lt;&gt;"",HYPERLINK("https://m.uber.com/ul/?action=setPickup&amp;pickup=my_location&amp;dropoff[latitude]="&amp;LEFT(SUBSTITUTE(F355," ",""),FIND(",",SUBSTITUTE(F355," ",""))-1)&amp;"&amp;dropoff[longitude]="&amp;MID(SUBSTITUTE(F355," ",""),FIND(",",SUBSTITUTE(F355," ",""))+1,99),"🚕 Uber"),"")</f>
        <v/>
      </c>
      <c r="J355" s="8">
        <f>IF(F355&lt;&gt;"","https://api.qrserver.com/v1/create-qr-code/?size=200x200&amp;data="&amp;ENCODEURL("https://www.google.com/maps/search/?api=1&amp;query="&amp;SUBSTITUTE(F355," ","")),"")</f>
        <v/>
      </c>
      <c r="K355" s="8">
        <f>IF(C355&lt;&gt;"",HYPERLINK("https://wa.me/507"&amp;REGEXREPLACE(C355,"[^0-9]","")&amp;"?text="&amp;ENCODEURL("Ya llegue. Codigo: "&amp;A355&amp;". Ubicacion: "&amp;"https://www.google.com/maps/search/?api=1&amp;query="&amp;SUBSTITUTE(F355," ","")),"📲 Avisar al cliente"),"")</f>
        <v/>
      </c>
      <c r="L355" s="8">
        <f>IF(C355&lt;&gt;"","https://api.qrserver.com/v1/create-qr-code/?size=200x200&amp;data="&amp;ENCODEURL("https://wa.me/507"&amp;REGEXREPLACE(C355,"[^0-9]","")&amp;"?text="&amp;ENCODEURL("Ya llegue. Codigo: "&amp;A355&amp;". Ubicacion: "&amp;"https://www.google.com/maps/search/?api=1&amp;query="&amp;SUBSTITUTE(F355," ",""))),"")</f>
        <v/>
      </c>
      <c r="M355" s="8">
        <f>IF(B355&lt;&gt;"",TODAY(),"")</f>
        <v/>
      </c>
      <c r="N355" s="8">
        <f>IF(F355&lt;&gt;"",IFERROR(IF(AND(REGEXMATCH(SUBSTITUTE(TRIM(F355)," ",""),"^-?\d+(\.\d+)?,-?\d+(\.\d+)?$"),VALUE(REGEXEXTRACT(SUBSTITUTE(TRIM(F355)," ",""),"^-?\d+(\.\d+)?"))&gt;=-90,VALUE(REGEXEXTRACT(SUBSTITUTE(TRIM(F355)," ",""),"^-?\d+(\.\d+)?"))&lt;=90,VALUE(REGEXEXTRACT(SUBSTITUTE(TRIM(F355)," ",""),"-?\d+(\.\d+)?$"))&gt;=-180,VALUE(REGEXEXTRACT(SUBSTITUTE(TRIM(F355)," ",""),"-?\d+(\.\d+)?$"))&lt;=180),"OK","REVISAR"),"REVISAR"),"")</f>
        <v/>
      </c>
      <c r="O355">
        <f>IF(A355&lt;&gt;"","https://direcciones507.github.io/direcciones507/panel.html?codigo="&amp;A355&amp;"&amp;nombre="&amp;ENCODEURL(B355)&amp;"&amp;telefono="&amp;SUBSTITUTE(C355,"-","")&amp;"&amp;referencia="&amp;ENCODEURL(E355)&amp;"&amp;lat="&amp;IZQUIERDA(SUBSTITUTE(F355," ",""),ENCONTRAR(",",SUBSTITUTE(F355," ",""))-1)&amp;"&amp;lng="&amp;DERECHA(SUBSTITUTE(F355," ",""),LARGO(SUBSTITUTE(F355," ",""))-ENCONTRAR(",",SUBSTITUTE(F355," ",""))),"")</f>
        <v/>
      </c>
    </row>
    <row r="356" ht="15.75" customHeight="1" s="10">
      <c r="A356" s="8">
        <f>CONCAT("AD507-",TEXT(ROW()-2,"0000"))</f>
        <v/>
      </c>
      <c r="C356" s="8" t="n"/>
      <c r="F356" s="8" t="n"/>
      <c r="G356" s="8">
        <f>IF(F356&lt;&gt;"",HYPERLINK("https://www.google.com/maps/search/?api=1&amp;query="&amp;SUBSTITUTE(F356," ",""),"🗺 Google Maps"),"")</f>
        <v/>
      </c>
      <c r="H356" s="8">
        <f>IF(F356&lt;&gt;"",HYPERLINK("https://waze.com/ul?ll="&amp;SUBSTITUTE(F356," ","")&amp;"&amp;navigate=yes","🚗 Waze"),"")</f>
        <v/>
      </c>
      <c r="I356" s="8">
        <f>IF(F356&lt;&gt;"",HYPERLINK("https://m.uber.com/ul/?action=setPickup&amp;pickup=my_location&amp;dropoff[latitude]="&amp;LEFT(SUBSTITUTE(F356," ",""),FIND(",",SUBSTITUTE(F356," ",""))-1)&amp;"&amp;dropoff[longitude]="&amp;MID(SUBSTITUTE(F356," ",""),FIND(",",SUBSTITUTE(F356," ",""))+1,99),"🚕 Uber"),"")</f>
        <v/>
      </c>
      <c r="J356" s="8">
        <f>IF(F356&lt;&gt;"","https://api.qrserver.com/v1/create-qr-code/?size=200x200&amp;data="&amp;ENCODEURL("https://www.google.com/maps/search/?api=1&amp;query="&amp;SUBSTITUTE(F356," ","")),"")</f>
        <v/>
      </c>
      <c r="K356" s="8">
        <f>IF(C356&lt;&gt;"",HYPERLINK("https://wa.me/507"&amp;REGEXREPLACE(C356,"[^0-9]","")&amp;"?text="&amp;ENCODEURL("Ya llegue. Codigo: "&amp;A356&amp;". Ubicacion: "&amp;"https://www.google.com/maps/search/?api=1&amp;query="&amp;SUBSTITUTE(F356," ","")),"📲 Avisar al cliente"),"")</f>
        <v/>
      </c>
      <c r="L356" s="8">
        <f>IF(C356&lt;&gt;"","https://api.qrserver.com/v1/create-qr-code/?size=200x200&amp;data="&amp;ENCODEURL("https://wa.me/507"&amp;REGEXREPLACE(C356,"[^0-9]","")&amp;"?text="&amp;ENCODEURL("Ya llegue. Codigo: "&amp;A356&amp;". Ubicacion: "&amp;"https://www.google.com/maps/search/?api=1&amp;query="&amp;SUBSTITUTE(F356," ",""))),"")</f>
        <v/>
      </c>
      <c r="M356" s="8">
        <f>IF(B356&lt;&gt;"",TODAY(),"")</f>
        <v/>
      </c>
      <c r="N356" s="8">
        <f>IF(F356&lt;&gt;"",IFERROR(IF(AND(REGEXMATCH(SUBSTITUTE(TRIM(F356)," ",""),"^-?\d+(\.\d+)?,-?\d+(\.\d+)?$"),VALUE(REGEXEXTRACT(SUBSTITUTE(TRIM(F356)," ",""),"^-?\d+(\.\d+)?"))&gt;=-90,VALUE(REGEXEXTRACT(SUBSTITUTE(TRIM(F356)," ",""),"^-?\d+(\.\d+)?"))&lt;=90,VALUE(REGEXEXTRACT(SUBSTITUTE(TRIM(F356)," ",""),"-?\d+(\.\d+)?$"))&gt;=-180,VALUE(REGEXEXTRACT(SUBSTITUTE(TRIM(F356)," ",""),"-?\d+(\.\d+)?$"))&lt;=180),"OK","REVISAR"),"REVISAR"),"")</f>
        <v/>
      </c>
      <c r="O356">
        <f>IF(A356&lt;&gt;"","https://direcciones507.github.io/direcciones507/panel.html?codigo="&amp;A356&amp;"&amp;nombre="&amp;ENCODEURL(B356)&amp;"&amp;telefono="&amp;SUBSTITUTE(C356,"-","")&amp;"&amp;referencia="&amp;ENCODEURL(E356)&amp;"&amp;lat="&amp;IZQUIERDA(SUBSTITUTE(F356," ",""),ENCONTRAR(",",SUBSTITUTE(F356," ",""))-1)&amp;"&amp;lng="&amp;DERECHA(SUBSTITUTE(F356," ",""),LARGO(SUBSTITUTE(F356," ",""))-ENCONTRAR(",",SUBSTITUTE(F356," ",""))),"")</f>
        <v/>
      </c>
    </row>
    <row r="357" ht="15.75" customHeight="1" s="10">
      <c r="A357" s="8">
        <f>CONCAT("AD507-",TEXT(ROW()-2,"0000"))</f>
        <v/>
      </c>
      <c r="C357" s="8" t="n"/>
      <c r="F357" s="8" t="n"/>
      <c r="G357" s="8">
        <f>IF(F357&lt;&gt;"",HYPERLINK("https://www.google.com/maps/search/?api=1&amp;query="&amp;SUBSTITUTE(F357," ",""),"🗺 Google Maps"),"")</f>
        <v/>
      </c>
      <c r="H357" s="8">
        <f>IF(F357&lt;&gt;"",HYPERLINK("https://waze.com/ul?ll="&amp;SUBSTITUTE(F357," ","")&amp;"&amp;navigate=yes","🚗 Waze"),"")</f>
        <v/>
      </c>
      <c r="I357" s="8">
        <f>IF(F357&lt;&gt;"",HYPERLINK("https://m.uber.com/ul/?action=setPickup&amp;pickup=my_location&amp;dropoff[latitude]="&amp;LEFT(SUBSTITUTE(F357," ",""),FIND(",",SUBSTITUTE(F357," ",""))-1)&amp;"&amp;dropoff[longitude]="&amp;MID(SUBSTITUTE(F357," ",""),FIND(",",SUBSTITUTE(F357," ",""))+1,99),"🚕 Uber"),"")</f>
        <v/>
      </c>
      <c r="J357" s="8">
        <f>IF(F357&lt;&gt;"","https://api.qrserver.com/v1/create-qr-code/?size=200x200&amp;data="&amp;ENCODEURL("https://www.google.com/maps/search/?api=1&amp;query="&amp;SUBSTITUTE(F357," ","")),"")</f>
        <v/>
      </c>
      <c r="K357" s="8">
        <f>IF(C357&lt;&gt;"",HYPERLINK("https://wa.me/507"&amp;REGEXREPLACE(C357,"[^0-9]","")&amp;"?text="&amp;ENCODEURL("Ya llegue. Codigo: "&amp;A357&amp;". Ubicacion: "&amp;"https://www.google.com/maps/search/?api=1&amp;query="&amp;SUBSTITUTE(F357," ","")),"📲 Avisar al cliente"),"")</f>
        <v/>
      </c>
      <c r="L357" s="8">
        <f>IF(C357&lt;&gt;"","https://api.qrserver.com/v1/create-qr-code/?size=200x200&amp;data="&amp;ENCODEURL("https://wa.me/507"&amp;REGEXREPLACE(C357,"[^0-9]","")&amp;"?text="&amp;ENCODEURL("Ya llegue. Codigo: "&amp;A357&amp;". Ubicacion: "&amp;"https://www.google.com/maps/search/?api=1&amp;query="&amp;SUBSTITUTE(F357," ",""))),"")</f>
        <v/>
      </c>
      <c r="M357" s="8">
        <f>IF(B357&lt;&gt;"",TODAY(),"")</f>
        <v/>
      </c>
      <c r="N357" s="8">
        <f>IF(F357&lt;&gt;"",IFERROR(IF(AND(REGEXMATCH(SUBSTITUTE(TRIM(F357)," ",""),"^-?\d+(\.\d+)?,-?\d+(\.\d+)?$"),VALUE(REGEXEXTRACT(SUBSTITUTE(TRIM(F357)," ",""),"^-?\d+(\.\d+)?"))&gt;=-90,VALUE(REGEXEXTRACT(SUBSTITUTE(TRIM(F357)," ",""),"^-?\d+(\.\d+)?"))&lt;=90,VALUE(REGEXEXTRACT(SUBSTITUTE(TRIM(F357)," ",""),"-?\d+(\.\d+)?$"))&gt;=-180,VALUE(REGEXEXTRACT(SUBSTITUTE(TRIM(F357)," ",""),"-?\d+(\.\d+)?$"))&lt;=180),"OK","REVISAR"),"REVISAR"),"")</f>
        <v/>
      </c>
      <c r="O357">
        <f>IF(A357&lt;&gt;"","https://direcciones507.github.io/direcciones507/panel.html?codigo="&amp;A357&amp;"&amp;nombre="&amp;ENCODEURL(B357)&amp;"&amp;telefono="&amp;SUBSTITUTE(C357,"-","")&amp;"&amp;referencia="&amp;ENCODEURL(E357)&amp;"&amp;lat="&amp;IZQUIERDA(SUBSTITUTE(F357," ",""),ENCONTRAR(",",SUBSTITUTE(F357," ",""))-1)&amp;"&amp;lng="&amp;DERECHA(SUBSTITUTE(F357," ",""),LARGO(SUBSTITUTE(F357," ",""))-ENCONTRAR(",",SUBSTITUTE(F357," ",""))),"")</f>
        <v/>
      </c>
    </row>
    <row r="358" ht="15.75" customHeight="1" s="10">
      <c r="A358" s="8">
        <f>CONCAT("AD507-",TEXT(ROW()-2,"0000"))</f>
        <v/>
      </c>
      <c r="C358" s="8" t="n"/>
      <c r="F358" s="8" t="n"/>
      <c r="G358" s="8">
        <f>IF(F358&lt;&gt;"",HYPERLINK("https://www.google.com/maps/search/?api=1&amp;query="&amp;SUBSTITUTE(F358," ",""),"🗺 Google Maps"),"")</f>
        <v/>
      </c>
      <c r="H358" s="8">
        <f>IF(F358&lt;&gt;"",HYPERLINK("https://waze.com/ul?ll="&amp;SUBSTITUTE(F358," ","")&amp;"&amp;navigate=yes","🚗 Waze"),"")</f>
        <v/>
      </c>
      <c r="I358" s="8">
        <f>IF(F358&lt;&gt;"",HYPERLINK("https://m.uber.com/ul/?action=setPickup&amp;pickup=my_location&amp;dropoff[latitude]="&amp;LEFT(SUBSTITUTE(F358," ",""),FIND(",",SUBSTITUTE(F358," ",""))-1)&amp;"&amp;dropoff[longitude]="&amp;MID(SUBSTITUTE(F358," ",""),FIND(",",SUBSTITUTE(F358," ",""))+1,99),"🚕 Uber"),"")</f>
        <v/>
      </c>
      <c r="J358" s="8">
        <f>IF(F358&lt;&gt;"","https://api.qrserver.com/v1/create-qr-code/?size=200x200&amp;data="&amp;ENCODEURL("https://www.google.com/maps/search/?api=1&amp;query="&amp;SUBSTITUTE(F358," ","")),"")</f>
        <v/>
      </c>
      <c r="K358" s="8">
        <f>IF(C358&lt;&gt;"",HYPERLINK("https://wa.me/507"&amp;REGEXREPLACE(C358,"[^0-9]","")&amp;"?text="&amp;ENCODEURL("Ya llegue. Codigo: "&amp;A358&amp;". Ubicacion: "&amp;"https://www.google.com/maps/search/?api=1&amp;query="&amp;SUBSTITUTE(F358," ","")),"📲 Avisar al cliente"),"")</f>
        <v/>
      </c>
      <c r="L358" s="8">
        <f>IF(C358&lt;&gt;"","https://api.qrserver.com/v1/create-qr-code/?size=200x200&amp;data="&amp;ENCODEURL("https://wa.me/507"&amp;REGEXREPLACE(C358,"[^0-9]","")&amp;"?text="&amp;ENCODEURL("Ya llegue. Codigo: "&amp;A358&amp;". Ubicacion: "&amp;"https://www.google.com/maps/search/?api=1&amp;query="&amp;SUBSTITUTE(F358," ",""))),"")</f>
        <v/>
      </c>
      <c r="M358" s="8">
        <f>IF(B358&lt;&gt;"",TODAY(),"")</f>
        <v/>
      </c>
      <c r="N358" s="8">
        <f>IF(F358&lt;&gt;"",IFERROR(IF(AND(REGEXMATCH(SUBSTITUTE(TRIM(F358)," ",""),"^-?\d+(\.\d+)?,-?\d+(\.\d+)?$"),VALUE(REGEXEXTRACT(SUBSTITUTE(TRIM(F358)," ",""),"^-?\d+(\.\d+)?"))&gt;=-90,VALUE(REGEXEXTRACT(SUBSTITUTE(TRIM(F358)," ",""),"^-?\d+(\.\d+)?"))&lt;=90,VALUE(REGEXEXTRACT(SUBSTITUTE(TRIM(F358)," ",""),"-?\d+(\.\d+)?$"))&gt;=-180,VALUE(REGEXEXTRACT(SUBSTITUTE(TRIM(F358)," ",""),"-?\d+(\.\d+)?$"))&lt;=180),"OK","REVISAR"),"REVISAR"),"")</f>
        <v/>
      </c>
      <c r="O358">
        <f>IF(A358&lt;&gt;"","https://direcciones507.github.io/direcciones507/panel.html?codigo="&amp;A358&amp;"&amp;nombre="&amp;ENCODEURL(B358)&amp;"&amp;telefono="&amp;SUBSTITUTE(C358,"-","")&amp;"&amp;referencia="&amp;ENCODEURL(E358)&amp;"&amp;lat="&amp;IZQUIERDA(SUBSTITUTE(F358," ",""),ENCONTRAR(",",SUBSTITUTE(F358," ",""))-1)&amp;"&amp;lng="&amp;DERECHA(SUBSTITUTE(F358," ",""),LARGO(SUBSTITUTE(F358," ",""))-ENCONTRAR(",",SUBSTITUTE(F358," ",""))),"")</f>
        <v/>
      </c>
    </row>
    <row r="359" ht="15.75" customHeight="1" s="10">
      <c r="A359" s="8">
        <f>CONCAT("AD507-",TEXT(ROW()-2,"0000"))</f>
        <v/>
      </c>
      <c r="C359" s="8" t="n"/>
      <c r="F359" s="8" t="n"/>
      <c r="G359" s="8">
        <f>IF(F359&lt;&gt;"",HYPERLINK("https://www.google.com/maps/search/?api=1&amp;query="&amp;SUBSTITUTE(F359," ",""),"🗺 Google Maps"),"")</f>
        <v/>
      </c>
      <c r="H359" s="8">
        <f>IF(F359&lt;&gt;"",HYPERLINK("https://waze.com/ul?ll="&amp;SUBSTITUTE(F359," ","")&amp;"&amp;navigate=yes","🚗 Waze"),"")</f>
        <v/>
      </c>
      <c r="I359" s="8">
        <f>IF(F359&lt;&gt;"",HYPERLINK("https://m.uber.com/ul/?action=setPickup&amp;pickup=my_location&amp;dropoff[latitude]="&amp;LEFT(SUBSTITUTE(F359," ",""),FIND(",",SUBSTITUTE(F359," ",""))-1)&amp;"&amp;dropoff[longitude]="&amp;MID(SUBSTITUTE(F359," ",""),FIND(",",SUBSTITUTE(F359," ",""))+1,99),"🚕 Uber"),"")</f>
        <v/>
      </c>
      <c r="J359" s="8">
        <f>IF(F359&lt;&gt;"","https://api.qrserver.com/v1/create-qr-code/?size=200x200&amp;data="&amp;ENCODEURL("https://www.google.com/maps/search/?api=1&amp;query="&amp;SUBSTITUTE(F359," ","")),"")</f>
        <v/>
      </c>
      <c r="K359" s="8">
        <f>IF(C359&lt;&gt;"",HYPERLINK("https://wa.me/507"&amp;REGEXREPLACE(C359,"[^0-9]","")&amp;"?text="&amp;ENCODEURL("Ya llegue. Codigo: "&amp;A359&amp;". Ubicacion: "&amp;"https://www.google.com/maps/search/?api=1&amp;query="&amp;SUBSTITUTE(F359," ","")),"📲 Avisar al cliente"),"")</f>
        <v/>
      </c>
      <c r="L359" s="8">
        <f>IF(C359&lt;&gt;"","https://api.qrserver.com/v1/create-qr-code/?size=200x200&amp;data="&amp;ENCODEURL("https://wa.me/507"&amp;REGEXREPLACE(C359,"[^0-9]","")&amp;"?text="&amp;ENCODEURL("Ya llegue. Codigo: "&amp;A359&amp;". Ubicacion: "&amp;"https://www.google.com/maps/search/?api=1&amp;query="&amp;SUBSTITUTE(F359," ",""))),"")</f>
        <v/>
      </c>
      <c r="M359" s="8">
        <f>IF(B359&lt;&gt;"",TODAY(),"")</f>
        <v/>
      </c>
      <c r="N359" s="8">
        <f>IF(F359&lt;&gt;"",IFERROR(IF(AND(REGEXMATCH(SUBSTITUTE(TRIM(F359)," ",""),"^-?\d+(\.\d+)?,-?\d+(\.\d+)?$"),VALUE(REGEXEXTRACT(SUBSTITUTE(TRIM(F359)," ",""),"^-?\d+(\.\d+)?"))&gt;=-90,VALUE(REGEXEXTRACT(SUBSTITUTE(TRIM(F359)," ",""),"^-?\d+(\.\d+)?"))&lt;=90,VALUE(REGEXEXTRACT(SUBSTITUTE(TRIM(F359)," ",""),"-?\d+(\.\d+)?$"))&gt;=-180,VALUE(REGEXEXTRACT(SUBSTITUTE(TRIM(F359)," ",""),"-?\d+(\.\d+)?$"))&lt;=180),"OK","REVISAR"),"REVISAR"),"")</f>
        <v/>
      </c>
      <c r="O359">
        <f>IF(A359&lt;&gt;"","https://direcciones507.github.io/direcciones507/panel.html?codigo="&amp;A359&amp;"&amp;nombre="&amp;ENCODEURL(B359)&amp;"&amp;telefono="&amp;SUBSTITUTE(C359,"-","")&amp;"&amp;referencia="&amp;ENCODEURL(E359)&amp;"&amp;lat="&amp;IZQUIERDA(SUBSTITUTE(F359," ",""),ENCONTRAR(",",SUBSTITUTE(F359," ",""))-1)&amp;"&amp;lng="&amp;DERECHA(SUBSTITUTE(F359," ",""),LARGO(SUBSTITUTE(F359," ",""))-ENCONTRAR(",",SUBSTITUTE(F359," ",""))),"")</f>
        <v/>
      </c>
    </row>
    <row r="360" ht="15.75" customHeight="1" s="10">
      <c r="A360" s="8">
        <f>CONCAT("AD507-",TEXT(ROW()-2,"0000"))</f>
        <v/>
      </c>
      <c r="C360" s="8" t="n"/>
      <c r="F360" s="8" t="n"/>
      <c r="G360" s="8">
        <f>IF(F360&lt;&gt;"",HYPERLINK("https://www.google.com/maps/search/?api=1&amp;query="&amp;SUBSTITUTE(F360," ",""),"🗺 Google Maps"),"")</f>
        <v/>
      </c>
      <c r="H360" s="8">
        <f>IF(F360&lt;&gt;"",HYPERLINK("https://waze.com/ul?ll="&amp;SUBSTITUTE(F360," ","")&amp;"&amp;navigate=yes","🚗 Waze"),"")</f>
        <v/>
      </c>
      <c r="I360" s="8">
        <f>IF(F360&lt;&gt;"",HYPERLINK("https://m.uber.com/ul/?action=setPickup&amp;pickup=my_location&amp;dropoff[latitude]="&amp;LEFT(SUBSTITUTE(F360," ",""),FIND(",",SUBSTITUTE(F360," ",""))-1)&amp;"&amp;dropoff[longitude]="&amp;MID(SUBSTITUTE(F360," ",""),FIND(",",SUBSTITUTE(F360," ",""))+1,99),"🚕 Uber"),"")</f>
        <v/>
      </c>
      <c r="J360" s="8">
        <f>IF(F360&lt;&gt;"","https://api.qrserver.com/v1/create-qr-code/?size=200x200&amp;data="&amp;ENCODEURL("https://www.google.com/maps/search/?api=1&amp;query="&amp;SUBSTITUTE(F360," ","")),"")</f>
        <v/>
      </c>
      <c r="K360" s="8">
        <f>IF(C360&lt;&gt;"",HYPERLINK("https://wa.me/507"&amp;REGEXREPLACE(C360,"[^0-9]","")&amp;"?text="&amp;ENCODEURL("Ya llegue. Codigo: "&amp;A360&amp;". Ubicacion: "&amp;"https://www.google.com/maps/search/?api=1&amp;query="&amp;SUBSTITUTE(F360," ","")),"📲 Avisar al cliente"),"")</f>
        <v/>
      </c>
      <c r="L360" s="8">
        <f>IF(C360&lt;&gt;"","https://api.qrserver.com/v1/create-qr-code/?size=200x200&amp;data="&amp;ENCODEURL("https://wa.me/507"&amp;REGEXREPLACE(C360,"[^0-9]","")&amp;"?text="&amp;ENCODEURL("Ya llegue. Codigo: "&amp;A360&amp;". Ubicacion: "&amp;"https://www.google.com/maps/search/?api=1&amp;query="&amp;SUBSTITUTE(F360," ",""))),"")</f>
        <v/>
      </c>
      <c r="M360" s="8">
        <f>IF(B360&lt;&gt;"",TODAY(),"")</f>
        <v/>
      </c>
      <c r="N360" s="8">
        <f>IF(F360&lt;&gt;"",IFERROR(IF(AND(REGEXMATCH(SUBSTITUTE(TRIM(F360)," ",""),"^-?\d+(\.\d+)?,-?\d+(\.\d+)?$"),VALUE(REGEXEXTRACT(SUBSTITUTE(TRIM(F360)," ",""),"^-?\d+(\.\d+)?"))&gt;=-90,VALUE(REGEXEXTRACT(SUBSTITUTE(TRIM(F360)," ",""),"^-?\d+(\.\d+)?"))&lt;=90,VALUE(REGEXEXTRACT(SUBSTITUTE(TRIM(F360)," ",""),"-?\d+(\.\d+)?$"))&gt;=-180,VALUE(REGEXEXTRACT(SUBSTITUTE(TRIM(F360)," ",""),"-?\d+(\.\d+)?$"))&lt;=180),"OK","REVISAR"),"REVISAR"),"")</f>
        <v/>
      </c>
      <c r="O360">
        <f>IF(A360&lt;&gt;"","https://direcciones507.github.io/direcciones507/panel.html?codigo="&amp;A360&amp;"&amp;nombre="&amp;ENCODEURL(B360)&amp;"&amp;telefono="&amp;SUBSTITUTE(C360,"-","")&amp;"&amp;referencia="&amp;ENCODEURL(E360)&amp;"&amp;lat="&amp;IZQUIERDA(SUBSTITUTE(F360," ",""),ENCONTRAR(",",SUBSTITUTE(F360," ",""))-1)&amp;"&amp;lng="&amp;DERECHA(SUBSTITUTE(F360," ",""),LARGO(SUBSTITUTE(F360," ",""))-ENCONTRAR(",",SUBSTITUTE(F360," ",""))),"")</f>
        <v/>
      </c>
    </row>
    <row r="361" ht="15.75" customHeight="1" s="10">
      <c r="A361" s="8">
        <f>CONCAT("AD507-",TEXT(ROW()-2,"0000"))</f>
        <v/>
      </c>
      <c r="C361" s="8" t="n"/>
      <c r="F361" s="8" t="n"/>
      <c r="G361" s="8">
        <f>IF(F361&lt;&gt;"",HYPERLINK("https://www.google.com/maps/search/?api=1&amp;query="&amp;SUBSTITUTE(F361," ",""),"🗺 Google Maps"),"")</f>
        <v/>
      </c>
      <c r="H361" s="8">
        <f>IF(F361&lt;&gt;"",HYPERLINK("https://waze.com/ul?ll="&amp;SUBSTITUTE(F361," ","")&amp;"&amp;navigate=yes","🚗 Waze"),"")</f>
        <v/>
      </c>
      <c r="I361" s="8">
        <f>IF(F361&lt;&gt;"",HYPERLINK("https://m.uber.com/ul/?action=setPickup&amp;pickup=my_location&amp;dropoff[latitude]="&amp;LEFT(SUBSTITUTE(F361," ",""),FIND(",",SUBSTITUTE(F361," ",""))-1)&amp;"&amp;dropoff[longitude]="&amp;MID(SUBSTITUTE(F361," ",""),FIND(",",SUBSTITUTE(F361," ",""))+1,99),"🚕 Uber"),"")</f>
        <v/>
      </c>
      <c r="J361" s="8">
        <f>IF(F361&lt;&gt;"","https://api.qrserver.com/v1/create-qr-code/?size=200x200&amp;data="&amp;ENCODEURL("https://www.google.com/maps/search/?api=1&amp;query="&amp;SUBSTITUTE(F361," ","")),"")</f>
        <v/>
      </c>
      <c r="K361" s="8">
        <f>IF(C361&lt;&gt;"",HYPERLINK("https://wa.me/507"&amp;REGEXREPLACE(C361,"[^0-9]","")&amp;"?text="&amp;ENCODEURL("Ya llegue. Codigo: "&amp;A361&amp;". Ubicacion: "&amp;"https://www.google.com/maps/search/?api=1&amp;query="&amp;SUBSTITUTE(F361," ","")),"📲 Avisar al cliente"),"")</f>
        <v/>
      </c>
      <c r="L361" s="8">
        <f>IF(C361&lt;&gt;"","https://api.qrserver.com/v1/create-qr-code/?size=200x200&amp;data="&amp;ENCODEURL("https://wa.me/507"&amp;REGEXREPLACE(C361,"[^0-9]","")&amp;"?text="&amp;ENCODEURL("Ya llegue. Codigo: "&amp;A361&amp;". Ubicacion: "&amp;"https://www.google.com/maps/search/?api=1&amp;query="&amp;SUBSTITUTE(F361," ",""))),"")</f>
        <v/>
      </c>
      <c r="M361" s="8">
        <f>IF(B361&lt;&gt;"",TODAY(),"")</f>
        <v/>
      </c>
      <c r="N361" s="8">
        <f>IF(F361&lt;&gt;"",IFERROR(IF(AND(REGEXMATCH(SUBSTITUTE(TRIM(F361)," ",""),"^-?\d+(\.\d+)?,-?\d+(\.\d+)?$"),VALUE(REGEXEXTRACT(SUBSTITUTE(TRIM(F361)," ",""),"^-?\d+(\.\d+)?"))&gt;=-90,VALUE(REGEXEXTRACT(SUBSTITUTE(TRIM(F361)," ",""),"^-?\d+(\.\d+)?"))&lt;=90,VALUE(REGEXEXTRACT(SUBSTITUTE(TRIM(F361)," ",""),"-?\d+(\.\d+)?$"))&gt;=-180,VALUE(REGEXEXTRACT(SUBSTITUTE(TRIM(F361)," ",""),"-?\d+(\.\d+)?$"))&lt;=180),"OK","REVISAR"),"REVISAR"),"")</f>
        <v/>
      </c>
      <c r="O361">
        <f>IF(A361&lt;&gt;"","https://direcciones507.github.io/direcciones507/panel.html?codigo="&amp;A361&amp;"&amp;nombre="&amp;ENCODEURL(B361)&amp;"&amp;telefono="&amp;SUBSTITUTE(C361,"-","")&amp;"&amp;referencia="&amp;ENCODEURL(E361)&amp;"&amp;lat="&amp;IZQUIERDA(SUBSTITUTE(F361," ",""),ENCONTRAR(",",SUBSTITUTE(F361," ",""))-1)&amp;"&amp;lng="&amp;DERECHA(SUBSTITUTE(F361," ",""),LARGO(SUBSTITUTE(F361," ",""))-ENCONTRAR(",",SUBSTITUTE(F361," ",""))),"")</f>
        <v/>
      </c>
    </row>
    <row r="362" ht="15.75" customHeight="1" s="10">
      <c r="A362" s="8">
        <f>CONCAT("AD507-",TEXT(ROW()-2,"0000"))</f>
        <v/>
      </c>
      <c r="C362" s="8" t="n"/>
      <c r="F362" s="8" t="n"/>
      <c r="G362" s="8">
        <f>IF(F362&lt;&gt;"",HYPERLINK("https://www.google.com/maps/search/?api=1&amp;query="&amp;SUBSTITUTE(F362," ",""),"🗺 Google Maps"),"")</f>
        <v/>
      </c>
      <c r="H362" s="8">
        <f>IF(F362&lt;&gt;"",HYPERLINK("https://waze.com/ul?ll="&amp;SUBSTITUTE(F362," ","")&amp;"&amp;navigate=yes","🚗 Waze"),"")</f>
        <v/>
      </c>
      <c r="I362" s="8">
        <f>IF(F362&lt;&gt;"",HYPERLINK("https://m.uber.com/ul/?action=setPickup&amp;pickup=my_location&amp;dropoff[latitude]="&amp;LEFT(SUBSTITUTE(F362," ",""),FIND(",",SUBSTITUTE(F362," ",""))-1)&amp;"&amp;dropoff[longitude]="&amp;MID(SUBSTITUTE(F362," ",""),FIND(",",SUBSTITUTE(F362," ",""))+1,99),"🚕 Uber"),"")</f>
        <v/>
      </c>
      <c r="J362" s="8">
        <f>IF(F362&lt;&gt;"","https://api.qrserver.com/v1/create-qr-code/?size=200x200&amp;data="&amp;ENCODEURL("https://www.google.com/maps/search/?api=1&amp;query="&amp;SUBSTITUTE(F362," ","")),"")</f>
        <v/>
      </c>
      <c r="K362" s="8">
        <f>IF(C362&lt;&gt;"",HYPERLINK("https://wa.me/507"&amp;REGEXREPLACE(C362,"[^0-9]","")&amp;"?text="&amp;ENCODEURL("Ya llegue. Codigo: "&amp;A362&amp;". Ubicacion: "&amp;"https://www.google.com/maps/search/?api=1&amp;query="&amp;SUBSTITUTE(F362," ","")),"📲 Avisar al cliente"),"")</f>
        <v/>
      </c>
      <c r="L362" s="8">
        <f>IF(C362&lt;&gt;"","https://api.qrserver.com/v1/create-qr-code/?size=200x200&amp;data="&amp;ENCODEURL("https://wa.me/507"&amp;REGEXREPLACE(C362,"[^0-9]","")&amp;"?text="&amp;ENCODEURL("Ya llegue. Codigo: "&amp;A362&amp;". Ubicacion: "&amp;"https://www.google.com/maps/search/?api=1&amp;query="&amp;SUBSTITUTE(F362," ",""))),"")</f>
        <v/>
      </c>
      <c r="M362" s="8">
        <f>IF(B362&lt;&gt;"",TODAY(),"")</f>
        <v/>
      </c>
      <c r="N362" s="8">
        <f>IF(F362&lt;&gt;"",IFERROR(IF(AND(REGEXMATCH(SUBSTITUTE(TRIM(F362)," ",""),"^-?\d+(\.\d+)?,-?\d+(\.\d+)?$"),VALUE(REGEXEXTRACT(SUBSTITUTE(TRIM(F362)," ",""),"^-?\d+(\.\d+)?"))&gt;=-90,VALUE(REGEXEXTRACT(SUBSTITUTE(TRIM(F362)," ",""),"^-?\d+(\.\d+)?"))&lt;=90,VALUE(REGEXEXTRACT(SUBSTITUTE(TRIM(F362)," ",""),"-?\d+(\.\d+)?$"))&gt;=-180,VALUE(REGEXEXTRACT(SUBSTITUTE(TRIM(F362)," ",""),"-?\d+(\.\d+)?$"))&lt;=180),"OK","REVISAR"),"REVISAR"),"")</f>
        <v/>
      </c>
      <c r="O362">
        <f>IF(A362&lt;&gt;"","https://direcciones507.github.io/direcciones507/panel.html?codigo="&amp;A362&amp;"&amp;nombre="&amp;ENCODEURL(B362)&amp;"&amp;telefono="&amp;SUBSTITUTE(C362,"-","")&amp;"&amp;referencia="&amp;ENCODEURL(E362)&amp;"&amp;lat="&amp;IZQUIERDA(SUBSTITUTE(F362," ",""),ENCONTRAR(",",SUBSTITUTE(F362," ",""))-1)&amp;"&amp;lng="&amp;DERECHA(SUBSTITUTE(F362," ",""),LARGO(SUBSTITUTE(F362," ",""))-ENCONTRAR(",",SUBSTITUTE(F362," ",""))),"")</f>
        <v/>
      </c>
    </row>
    <row r="363" ht="15.75" customHeight="1" s="10">
      <c r="A363" s="8">
        <f>CONCAT("AD507-",TEXT(ROW()-2,"0000"))</f>
        <v/>
      </c>
      <c r="C363" s="8" t="n"/>
      <c r="F363" s="8" t="n"/>
      <c r="G363" s="8">
        <f>IF(F363&lt;&gt;"",HYPERLINK("https://www.google.com/maps/search/?api=1&amp;query="&amp;SUBSTITUTE(F363," ",""),"🗺 Google Maps"),"")</f>
        <v/>
      </c>
      <c r="H363" s="8">
        <f>IF(F363&lt;&gt;"",HYPERLINK("https://waze.com/ul?ll="&amp;SUBSTITUTE(F363," ","")&amp;"&amp;navigate=yes","🚗 Waze"),"")</f>
        <v/>
      </c>
      <c r="I363" s="8">
        <f>IF(F363&lt;&gt;"",HYPERLINK("https://m.uber.com/ul/?action=setPickup&amp;pickup=my_location&amp;dropoff[latitude]="&amp;LEFT(SUBSTITUTE(F363," ",""),FIND(",",SUBSTITUTE(F363," ",""))-1)&amp;"&amp;dropoff[longitude]="&amp;MID(SUBSTITUTE(F363," ",""),FIND(",",SUBSTITUTE(F363," ",""))+1,99),"🚕 Uber"),"")</f>
        <v/>
      </c>
      <c r="J363" s="8">
        <f>IF(F363&lt;&gt;"","https://api.qrserver.com/v1/create-qr-code/?size=200x200&amp;data="&amp;ENCODEURL("https://www.google.com/maps/search/?api=1&amp;query="&amp;SUBSTITUTE(F363," ","")),"")</f>
        <v/>
      </c>
      <c r="K363" s="8">
        <f>IF(C363&lt;&gt;"",HYPERLINK("https://wa.me/507"&amp;REGEXREPLACE(C363,"[^0-9]","")&amp;"?text="&amp;ENCODEURL("Ya llegue. Codigo: "&amp;A363&amp;". Ubicacion: "&amp;"https://www.google.com/maps/search/?api=1&amp;query="&amp;SUBSTITUTE(F363," ","")),"📲 Avisar al cliente"),"")</f>
        <v/>
      </c>
      <c r="L363" s="8">
        <f>IF(C363&lt;&gt;"","https://api.qrserver.com/v1/create-qr-code/?size=200x200&amp;data="&amp;ENCODEURL("https://wa.me/507"&amp;REGEXREPLACE(C363,"[^0-9]","")&amp;"?text="&amp;ENCODEURL("Ya llegue. Codigo: "&amp;A363&amp;". Ubicacion: "&amp;"https://www.google.com/maps/search/?api=1&amp;query="&amp;SUBSTITUTE(F363," ",""))),"")</f>
        <v/>
      </c>
      <c r="M363" s="8">
        <f>IF(B363&lt;&gt;"",TODAY(),"")</f>
        <v/>
      </c>
      <c r="N363" s="8">
        <f>IF(F363&lt;&gt;"",IFERROR(IF(AND(REGEXMATCH(SUBSTITUTE(TRIM(F363)," ",""),"^-?\d+(\.\d+)?,-?\d+(\.\d+)?$"),VALUE(REGEXEXTRACT(SUBSTITUTE(TRIM(F363)," ",""),"^-?\d+(\.\d+)?"))&gt;=-90,VALUE(REGEXEXTRACT(SUBSTITUTE(TRIM(F363)," ",""),"^-?\d+(\.\d+)?"))&lt;=90,VALUE(REGEXEXTRACT(SUBSTITUTE(TRIM(F363)," ",""),"-?\d+(\.\d+)?$"))&gt;=-180,VALUE(REGEXEXTRACT(SUBSTITUTE(TRIM(F363)," ",""),"-?\d+(\.\d+)?$"))&lt;=180),"OK","REVISAR"),"REVISAR"),"")</f>
        <v/>
      </c>
      <c r="O363">
        <f>IF(A363&lt;&gt;"","https://direcciones507.github.io/direcciones507/panel.html?codigo="&amp;A363&amp;"&amp;nombre="&amp;ENCODEURL(B363)&amp;"&amp;telefono="&amp;SUBSTITUTE(C363,"-","")&amp;"&amp;referencia="&amp;ENCODEURL(E363)&amp;"&amp;lat="&amp;IZQUIERDA(SUBSTITUTE(F363," ",""),ENCONTRAR(",",SUBSTITUTE(F363," ",""))-1)&amp;"&amp;lng="&amp;DERECHA(SUBSTITUTE(F363," ",""),LARGO(SUBSTITUTE(F363," ",""))-ENCONTRAR(",",SUBSTITUTE(F363," ",""))),"")</f>
        <v/>
      </c>
    </row>
    <row r="364" ht="15.75" customHeight="1" s="10">
      <c r="A364" s="8">
        <f>CONCAT("AD507-",TEXT(ROW()-2,"0000"))</f>
        <v/>
      </c>
      <c r="C364" s="8" t="n"/>
      <c r="F364" s="8" t="n"/>
      <c r="G364" s="8">
        <f>IF(F364&lt;&gt;"",HYPERLINK("https://www.google.com/maps/search/?api=1&amp;query="&amp;SUBSTITUTE(F364," ",""),"🗺 Google Maps"),"")</f>
        <v/>
      </c>
      <c r="H364" s="8">
        <f>IF(F364&lt;&gt;"",HYPERLINK("https://waze.com/ul?ll="&amp;SUBSTITUTE(F364," ","")&amp;"&amp;navigate=yes","🚗 Waze"),"")</f>
        <v/>
      </c>
      <c r="I364" s="8">
        <f>IF(F364&lt;&gt;"",HYPERLINK("https://m.uber.com/ul/?action=setPickup&amp;pickup=my_location&amp;dropoff[latitude]="&amp;LEFT(SUBSTITUTE(F364," ",""),FIND(",",SUBSTITUTE(F364," ",""))-1)&amp;"&amp;dropoff[longitude]="&amp;MID(SUBSTITUTE(F364," ",""),FIND(",",SUBSTITUTE(F364," ",""))+1,99),"🚕 Uber"),"")</f>
        <v/>
      </c>
      <c r="J364" s="8">
        <f>IF(F364&lt;&gt;"","https://api.qrserver.com/v1/create-qr-code/?size=200x200&amp;data="&amp;ENCODEURL("https://www.google.com/maps/search/?api=1&amp;query="&amp;SUBSTITUTE(F364," ","")),"")</f>
        <v/>
      </c>
      <c r="K364" s="8">
        <f>IF(C364&lt;&gt;"",HYPERLINK("https://wa.me/507"&amp;REGEXREPLACE(C364,"[^0-9]","")&amp;"?text="&amp;ENCODEURL("Ya llegue. Codigo: "&amp;A364&amp;". Ubicacion: "&amp;"https://www.google.com/maps/search/?api=1&amp;query="&amp;SUBSTITUTE(F364," ","")),"📲 Avisar al cliente"),"")</f>
        <v/>
      </c>
      <c r="L364" s="8">
        <f>IF(C364&lt;&gt;"","https://api.qrserver.com/v1/create-qr-code/?size=200x200&amp;data="&amp;ENCODEURL("https://wa.me/507"&amp;REGEXREPLACE(C364,"[^0-9]","")&amp;"?text="&amp;ENCODEURL("Ya llegue. Codigo: "&amp;A364&amp;". Ubicacion: "&amp;"https://www.google.com/maps/search/?api=1&amp;query="&amp;SUBSTITUTE(F364," ",""))),"")</f>
        <v/>
      </c>
      <c r="M364" s="8">
        <f>IF(B364&lt;&gt;"",TODAY(),"")</f>
        <v/>
      </c>
      <c r="N364" s="8">
        <f>IF(F364&lt;&gt;"",IFERROR(IF(AND(REGEXMATCH(SUBSTITUTE(TRIM(F364)," ",""),"^-?\d+(\.\d+)?,-?\d+(\.\d+)?$"),VALUE(REGEXEXTRACT(SUBSTITUTE(TRIM(F364)," ",""),"^-?\d+(\.\d+)?"))&gt;=-90,VALUE(REGEXEXTRACT(SUBSTITUTE(TRIM(F364)," ",""),"^-?\d+(\.\d+)?"))&lt;=90,VALUE(REGEXEXTRACT(SUBSTITUTE(TRIM(F364)," ",""),"-?\d+(\.\d+)?$"))&gt;=-180,VALUE(REGEXEXTRACT(SUBSTITUTE(TRIM(F364)," ",""),"-?\d+(\.\d+)?$"))&lt;=180),"OK","REVISAR"),"REVISAR"),"")</f>
        <v/>
      </c>
      <c r="O364">
        <f>IF(A364&lt;&gt;"","https://direcciones507.github.io/direcciones507/panel.html?codigo="&amp;A364&amp;"&amp;nombre="&amp;ENCODEURL(B364)&amp;"&amp;telefono="&amp;SUBSTITUTE(C364,"-","")&amp;"&amp;referencia="&amp;ENCODEURL(E364)&amp;"&amp;lat="&amp;IZQUIERDA(SUBSTITUTE(F364," ",""),ENCONTRAR(",",SUBSTITUTE(F364," ",""))-1)&amp;"&amp;lng="&amp;DERECHA(SUBSTITUTE(F364," ",""),LARGO(SUBSTITUTE(F364," ",""))-ENCONTRAR(",",SUBSTITUTE(F364," ",""))),"")</f>
        <v/>
      </c>
    </row>
    <row r="365" ht="15.75" customHeight="1" s="10">
      <c r="A365" s="8">
        <f>CONCAT("AD507-",TEXT(ROW()-2,"0000"))</f>
        <v/>
      </c>
      <c r="C365" s="8" t="n"/>
      <c r="F365" s="8" t="n"/>
      <c r="G365" s="8">
        <f>IF(F365&lt;&gt;"",HYPERLINK("https://www.google.com/maps/search/?api=1&amp;query="&amp;SUBSTITUTE(F365," ",""),"🗺 Google Maps"),"")</f>
        <v/>
      </c>
      <c r="H365" s="8">
        <f>IF(F365&lt;&gt;"",HYPERLINK("https://waze.com/ul?ll="&amp;SUBSTITUTE(F365," ","")&amp;"&amp;navigate=yes","🚗 Waze"),"")</f>
        <v/>
      </c>
      <c r="I365" s="8">
        <f>IF(F365&lt;&gt;"",HYPERLINK("https://m.uber.com/ul/?action=setPickup&amp;pickup=my_location&amp;dropoff[latitude]="&amp;LEFT(SUBSTITUTE(F365," ",""),FIND(",",SUBSTITUTE(F365," ",""))-1)&amp;"&amp;dropoff[longitude]="&amp;MID(SUBSTITUTE(F365," ",""),FIND(",",SUBSTITUTE(F365," ",""))+1,99),"🚕 Uber"),"")</f>
        <v/>
      </c>
      <c r="J365" s="8">
        <f>IF(F365&lt;&gt;"","https://api.qrserver.com/v1/create-qr-code/?size=200x200&amp;data="&amp;ENCODEURL("https://www.google.com/maps/search/?api=1&amp;query="&amp;SUBSTITUTE(F365," ","")),"")</f>
        <v/>
      </c>
      <c r="K365" s="8">
        <f>IF(C365&lt;&gt;"",HYPERLINK("https://wa.me/507"&amp;REGEXREPLACE(C365,"[^0-9]","")&amp;"?text="&amp;ENCODEURL("Ya llegue. Codigo: "&amp;A365&amp;". Ubicacion: "&amp;"https://www.google.com/maps/search/?api=1&amp;query="&amp;SUBSTITUTE(F365," ","")),"📲 Avisar al cliente"),"")</f>
        <v/>
      </c>
      <c r="L365" s="8">
        <f>IF(C365&lt;&gt;"","https://api.qrserver.com/v1/create-qr-code/?size=200x200&amp;data="&amp;ENCODEURL("https://wa.me/507"&amp;REGEXREPLACE(C365,"[^0-9]","")&amp;"?text="&amp;ENCODEURL("Ya llegue. Codigo: "&amp;A365&amp;". Ubicacion: "&amp;"https://www.google.com/maps/search/?api=1&amp;query="&amp;SUBSTITUTE(F365," ",""))),"")</f>
        <v/>
      </c>
      <c r="M365" s="8">
        <f>IF(B365&lt;&gt;"",TODAY(),"")</f>
        <v/>
      </c>
      <c r="N365" s="8">
        <f>IF(F365&lt;&gt;"",IFERROR(IF(AND(REGEXMATCH(SUBSTITUTE(TRIM(F365)," ",""),"^-?\d+(\.\d+)?,-?\d+(\.\d+)?$"),VALUE(REGEXEXTRACT(SUBSTITUTE(TRIM(F365)," ",""),"^-?\d+(\.\d+)?"))&gt;=-90,VALUE(REGEXEXTRACT(SUBSTITUTE(TRIM(F365)," ",""),"^-?\d+(\.\d+)?"))&lt;=90,VALUE(REGEXEXTRACT(SUBSTITUTE(TRIM(F365)," ",""),"-?\d+(\.\d+)?$"))&gt;=-180,VALUE(REGEXEXTRACT(SUBSTITUTE(TRIM(F365)," ",""),"-?\d+(\.\d+)?$"))&lt;=180),"OK","REVISAR"),"REVISAR"),"")</f>
        <v/>
      </c>
      <c r="O365">
        <f>IF(A365&lt;&gt;"","https://direcciones507.github.io/direcciones507/panel.html?codigo="&amp;A365&amp;"&amp;nombre="&amp;ENCODEURL(B365)&amp;"&amp;telefono="&amp;SUBSTITUTE(C365,"-","")&amp;"&amp;referencia="&amp;ENCODEURL(E365)&amp;"&amp;lat="&amp;IZQUIERDA(SUBSTITUTE(F365," ",""),ENCONTRAR(",",SUBSTITUTE(F365," ",""))-1)&amp;"&amp;lng="&amp;DERECHA(SUBSTITUTE(F365," ",""),LARGO(SUBSTITUTE(F365," ",""))-ENCONTRAR(",",SUBSTITUTE(F365," ",""))),"")</f>
        <v/>
      </c>
    </row>
    <row r="366" ht="15.75" customHeight="1" s="10">
      <c r="A366" s="8">
        <f>CONCAT("AD507-",TEXT(ROW()-2,"0000"))</f>
        <v/>
      </c>
      <c r="C366" s="8" t="n"/>
      <c r="F366" s="8" t="n"/>
      <c r="G366" s="8">
        <f>IF(F366&lt;&gt;"",HYPERLINK("https://www.google.com/maps/search/?api=1&amp;query="&amp;SUBSTITUTE(F366," ",""),"🗺 Google Maps"),"")</f>
        <v/>
      </c>
      <c r="H366" s="8">
        <f>IF(F366&lt;&gt;"",HYPERLINK("https://waze.com/ul?ll="&amp;SUBSTITUTE(F366," ","")&amp;"&amp;navigate=yes","🚗 Waze"),"")</f>
        <v/>
      </c>
      <c r="I366" s="8">
        <f>IF(F366&lt;&gt;"",HYPERLINK("https://m.uber.com/ul/?action=setPickup&amp;pickup=my_location&amp;dropoff[latitude]="&amp;LEFT(SUBSTITUTE(F366," ",""),FIND(",",SUBSTITUTE(F366," ",""))-1)&amp;"&amp;dropoff[longitude]="&amp;MID(SUBSTITUTE(F366," ",""),FIND(",",SUBSTITUTE(F366," ",""))+1,99),"🚕 Uber"),"")</f>
        <v/>
      </c>
      <c r="J366" s="8">
        <f>IF(F366&lt;&gt;"","https://api.qrserver.com/v1/create-qr-code/?size=200x200&amp;data="&amp;ENCODEURL("https://www.google.com/maps/search/?api=1&amp;query="&amp;SUBSTITUTE(F366," ","")),"")</f>
        <v/>
      </c>
      <c r="K366" s="8">
        <f>IF(C366&lt;&gt;"",HYPERLINK("https://wa.me/507"&amp;REGEXREPLACE(C366,"[^0-9]","")&amp;"?text="&amp;ENCODEURL("Ya llegue. Codigo: "&amp;A366&amp;". Ubicacion: "&amp;"https://www.google.com/maps/search/?api=1&amp;query="&amp;SUBSTITUTE(F366," ","")),"📲 Avisar al cliente"),"")</f>
        <v/>
      </c>
      <c r="L366" s="8">
        <f>IF(C366&lt;&gt;"","https://api.qrserver.com/v1/create-qr-code/?size=200x200&amp;data="&amp;ENCODEURL("https://wa.me/507"&amp;REGEXREPLACE(C366,"[^0-9]","")&amp;"?text="&amp;ENCODEURL("Ya llegue. Codigo: "&amp;A366&amp;". Ubicacion: "&amp;"https://www.google.com/maps/search/?api=1&amp;query="&amp;SUBSTITUTE(F366," ",""))),"")</f>
        <v/>
      </c>
      <c r="M366" s="8">
        <f>IF(B366&lt;&gt;"",TODAY(),"")</f>
        <v/>
      </c>
      <c r="N366" s="8">
        <f>IF(F366&lt;&gt;"",IFERROR(IF(AND(REGEXMATCH(SUBSTITUTE(TRIM(F366)," ",""),"^-?\d+(\.\d+)?,-?\d+(\.\d+)?$"),VALUE(REGEXEXTRACT(SUBSTITUTE(TRIM(F366)," ",""),"^-?\d+(\.\d+)?"))&gt;=-90,VALUE(REGEXEXTRACT(SUBSTITUTE(TRIM(F366)," ",""),"^-?\d+(\.\d+)?"))&lt;=90,VALUE(REGEXEXTRACT(SUBSTITUTE(TRIM(F366)," ",""),"-?\d+(\.\d+)?$"))&gt;=-180,VALUE(REGEXEXTRACT(SUBSTITUTE(TRIM(F366)," ",""),"-?\d+(\.\d+)?$"))&lt;=180),"OK","REVISAR"),"REVISAR"),"")</f>
        <v/>
      </c>
      <c r="O366">
        <f>IF(A366&lt;&gt;"","https://direcciones507.github.io/direcciones507/panel.html?codigo="&amp;A366&amp;"&amp;nombre="&amp;ENCODEURL(B366)&amp;"&amp;telefono="&amp;SUBSTITUTE(C366,"-","")&amp;"&amp;referencia="&amp;ENCODEURL(E366)&amp;"&amp;lat="&amp;IZQUIERDA(SUBSTITUTE(F366," ",""),ENCONTRAR(",",SUBSTITUTE(F366," ",""))-1)&amp;"&amp;lng="&amp;DERECHA(SUBSTITUTE(F366," ",""),LARGO(SUBSTITUTE(F366," ",""))-ENCONTRAR(",",SUBSTITUTE(F366," ",""))),"")</f>
        <v/>
      </c>
    </row>
    <row r="367" ht="15.75" customHeight="1" s="10">
      <c r="A367" s="8">
        <f>CONCAT("AD507-",TEXT(ROW()-2,"0000"))</f>
        <v/>
      </c>
      <c r="C367" s="8" t="n"/>
      <c r="F367" s="8" t="n"/>
      <c r="G367" s="8">
        <f>IF(F367&lt;&gt;"",HYPERLINK("https://www.google.com/maps/search/?api=1&amp;query="&amp;SUBSTITUTE(F367," ",""),"🗺 Google Maps"),"")</f>
        <v/>
      </c>
      <c r="H367" s="8">
        <f>IF(F367&lt;&gt;"",HYPERLINK("https://waze.com/ul?ll="&amp;SUBSTITUTE(F367," ","")&amp;"&amp;navigate=yes","🚗 Waze"),"")</f>
        <v/>
      </c>
      <c r="I367" s="8">
        <f>IF(F367&lt;&gt;"",HYPERLINK("https://m.uber.com/ul/?action=setPickup&amp;pickup=my_location&amp;dropoff[latitude]="&amp;LEFT(SUBSTITUTE(F367," ",""),FIND(",",SUBSTITUTE(F367," ",""))-1)&amp;"&amp;dropoff[longitude]="&amp;MID(SUBSTITUTE(F367," ",""),FIND(",",SUBSTITUTE(F367," ",""))+1,99),"🚕 Uber"),"")</f>
        <v/>
      </c>
      <c r="J367" s="8">
        <f>IF(F367&lt;&gt;"","https://api.qrserver.com/v1/create-qr-code/?size=200x200&amp;data="&amp;ENCODEURL("https://www.google.com/maps/search/?api=1&amp;query="&amp;SUBSTITUTE(F367," ","")),"")</f>
        <v/>
      </c>
      <c r="K367" s="8">
        <f>IF(C367&lt;&gt;"",HYPERLINK("https://wa.me/507"&amp;REGEXREPLACE(C367,"[^0-9]","")&amp;"?text="&amp;ENCODEURL("Ya llegue. Codigo: "&amp;A367&amp;". Ubicacion: "&amp;"https://www.google.com/maps/search/?api=1&amp;query="&amp;SUBSTITUTE(F367," ","")),"📲 Avisar al cliente"),"")</f>
        <v/>
      </c>
      <c r="L367" s="8">
        <f>IF(C367&lt;&gt;"","https://api.qrserver.com/v1/create-qr-code/?size=200x200&amp;data="&amp;ENCODEURL("https://wa.me/507"&amp;REGEXREPLACE(C367,"[^0-9]","")&amp;"?text="&amp;ENCODEURL("Ya llegue. Codigo: "&amp;A367&amp;". Ubicacion: "&amp;"https://www.google.com/maps/search/?api=1&amp;query="&amp;SUBSTITUTE(F367," ",""))),"")</f>
        <v/>
      </c>
      <c r="M367" s="8">
        <f>IF(B367&lt;&gt;"",TODAY(),"")</f>
        <v/>
      </c>
      <c r="N367" s="8">
        <f>IF(F367&lt;&gt;"",IFERROR(IF(AND(REGEXMATCH(SUBSTITUTE(TRIM(F367)," ",""),"^-?\d+(\.\d+)?,-?\d+(\.\d+)?$"),VALUE(REGEXEXTRACT(SUBSTITUTE(TRIM(F367)," ",""),"^-?\d+(\.\d+)?"))&gt;=-90,VALUE(REGEXEXTRACT(SUBSTITUTE(TRIM(F367)," ",""),"^-?\d+(\.\d+)?"))&lt;=90,VALUE(REGEXEXTRACT(SUBSTITUTE(TRIM(F367)," ",""),"-?\d+(\.\d+)?$"))&gt;=-180,VALUE(REGEXEXTRACT(SUBSTITUTE(TRIM(F367)," ",""),"-?\d+(\.\d+)?$"))&lt;=180),"OK","REVISAR"),"REVISAR"),"")</f>
        <v/>
      </c>
      <c r="O367">
        <f>IF(A367&lt;&gt;"","https://direcciones507.github.io/direcciones507/panel.html?codigo="&amp;A367&amp;"&amp;nombre="&amp;ENCODEURL(B367)&amp;"&amp;telefono="&amp;SUBSTITUTE(C367,"-","")&amp;"&amp;referencia="&amp;ENCODEURL(E367)&amp;"&amp;lat="&amp;IZQUIERDA(SUBSTITUTE(F367," ",""),ENCONTRAR(",",SUBSTITUTE(F367," ",""))-1)&amp;"&amp;lng="&amp;DERECHA(SUBSTITUTE(F367," ",""),LARGO(SUBSTITUTE(F367," ",""))-ENCONTRAR(",",SUBSTITUTE(F367," ",""))),"")</f>
        <v/>
      </c>
    </row>
    <row r="368" ht="15.75" customHeight="1" s="10">
      <c r="A368" s="8">
        <f>CONCAT("AD507-",TEXT(ROW()-2,"0000"))</f>
        <v/>
      </c>
      <c r="C368" s="8" t="n"/>
      <c r="F368" s="8" t="n"/>
      <c r="G368" s="8">
        <f>IF(F368&lt;&gt;"",HYPERLINK("https://www.google.com/maps/search/?api=1&amp;query="&amp;SUBSTITUTE(F368," ",""),"🗺 Google Maps"),"")</f>
        <v/>
      </c>
      <c r="H368" s="8">
        <f>IF(F368&lt;&gt;"",HYPERLINK("https://waze.com/ul?ll="&amp;SUBSTITUTE(F368," ","")&amp;"&amp;navigate=yes","🚗 Waze"),"")</f>
        <v/>
      </c>
      <c r="I368" s="8">
        <f>IF(F368&lt;&gt;"",HYPERLINK("https://m.uber.com/ul/?action=setPickup&amp;pickup=my_location&amp;dropoff[latitude]="&amp;LEFT(SUBSTITUTE(F368," ",""),FIND(",",SUBSTITUTE(F368," ",""))-1)&amp;"&amp;dropoff[longitude]="&amp;MID(SUBSTITUTE(F368," ",""),FIND(",",SUBSTITUTE(F368," ",""))+1,99),"🚕 Uber"),"")</f>
        <v/>
      </c>
      <c r="J368" s="8">
        <f>IF(F368&lt;&gt;"","https://api.qrserver.com/v1/create-qr-code/?size=200x200&amp;data="&amp;ENCODEURL("https://www.google.com/maps/search/?api=1&amp;query="&amp;SUBSTITUTE(F368," ","")),"")</f>
        <v/>
      </c>
      <c r="K368" s="8">
        <f>IF(C368&lt;&gt;"",HYPERLINK("https://wa.me/507"&amp;REGEXREPLACE(C368,"[^0-9]","")&amp;"?text="&amp;ENCODEURL("Ya llegue. Codigo: "&amp;A368&amp;". Ubicacion: "&amp;"https://www.google.com/maps/search/?api=1&amp;query="&amp;SUBSTITUTE(F368," ","")),"📲 Avisar al cliente"),"")</f>
        <v/>
      </c>
      <c r="L368" s="8">
        <f>IF(C368&lt;&gt;"","https://api.qrserver.com/v1/create-qr-code/?size=200x200&amp;data="&amp;ENCODEURL("https://wa.me/507"&amp;REGEXREPLACE(C368,"[^0-9]","")&amp;"?text="&amp;ENCODEURL("Ya llegue. Codigo: "&amp;A368&amp;". Ubicacion: "&amp;"https://www.google.com/maps/search/?api=1&amp;query="&amp;SUBSTITUTE(F368," ",""))),"")</f>
        <v/>
      </c>
      <c r="M368" s="8">
        <f>IF(B368&lt;&gt;"",TODAY(),"")</f>
        <v/>
      </c>
      <c r="N368" s="8">
        <f>IF(F368&lt;&gt;"",IFERROR(IF(AND(REGEXMATCH(SUBSTITUTE(TRIM(F368)," ",""),"^-?\d+(\.\d+)?,-?\d+(\.\d+)?$"),VALUE(REGEXEXTRACT(SUBSTITUTE(TRIM(F368)," ",""),"^-?\d+(\.\d+)?"))&gt;=-90,VALUE(REGEXEXTRACT(SUBSTITUTE(TRIM(F368)," ",""),"^-?\d+(\.\d+)?"))&lt;=90,VALUE(REGEXEXTRACT(SUBSTITUTE(TRIM(F368)," ",""),"-?\d+(\.\d+)?$"))&gt;=-180,VALUE(REGEXEXTRACT(SUBSTITUTE(TRIM(F368)," ",""),"-?\d+(\.\d+)?$"))&lt;=180),"OK","REVISAR"),"REVISAR"),"")</f>
        <v/>
      </c>
      <c r="O368">
        <f>IF(A368&lt;&gt;"","https://direcciones507.github.io/direcciones507/panel.html?codigo="&amp;A368&amp;"&amp;nombre="&amp;ENCODEURL(B368)&amp;"&amp;telefono="&amp;SUBSTITUTE(C368,"-","")&amp;"&amp;referencia="&amp;ENCODEURL(E368)&amp;"&amp;lat="&amp;IZQUIERDA(SUBSTITUTE(F368," ",""),ENCONTRAR(",",SUBSTITUTE(F368," ",""))-1)&amp;"&amp;lng="&amp;DERECHA(SUBSTITUTE(F368," ",""),LARGO(SUBSTITUTE(F368," ",""))-ENCONTRAR(",",SUBSTITUTE(F368," ",""))),"")</f>
        <v/>
      </c>
    </row>
    <row r="369" ht="15.75" customHeight="1" s="10">
      <c r="A369" s="8">
        <f>CONCAT("AD507-",TEXT(ROW()-2,"0000"))</f>
        <v/>
      </c>
      <c r="C369" s="8" t="n"/>
      <c r="F369" s="8" t="n"/>
      <c r="G369" s="8">
        <f>IF(F369&lt;&gt;"",HYPERLINK("https://www.google.com/maps/search/?api=1&amp;query="&amp;SUBSTITUTE(F369," ",""),"🗺 Google Maps"),"")</f>
        <v/>
      </c>
      <c r="H369" s="8">
        <f>IF(F369&lt;&gt;"",HYPERLINK("https://waze.com/ul?ll="&amp;SUBSTITUTE(F369," ","")&amp;"&amp;navigate=yes","🚗 Waze"),"")</f>
        <v/>
      </c>
      <c r="I369" s="8">
        <f>IF(F369&lt;&gt;"",HYPERLINK("https://m.uber.com/ul/?action=setPickup&amp;pickup=my_location&amp;dropoff[latitude]="&amp;LEFT(SUBSTITUTE(F369," ",""),FIND(",",SUBSTITUTE(F369," ",""))-1)&amp;"&amp;dropoff[longitude]="&amp;MID(SUBSTITUTE(F369," ",""),FIND(",",SUBSTITUTE(F369," ",""))+1,99),"🚕 Uber"),"")</f>
        <v/>
      </c>
      <c r="J369" s="8">
        <f>IF(F369&lt;&gt;"","https://api.qrserver.com/v1/create-qr-code/?size=200x200&amp;data="&amp;ENCODEURL("https://www.google.com/maps/search/?api=1&amp;query="&amp;SUBSTITUTE(F369," ","")),"")</f>
        <v/>
      </c>
      <c r="K369" s="8">
        <f>IF(C369&lt;&gt;"",HYPERLINK("https://wa.me/507"&amp;REGEXREPLACE(C369,"[^0-9]","")&amp;"?text="&amp;ENCODEURL("Ya llegue. Codigo: "&amp;A369&amp;". Ubicacion: "&amp;"https://www.google.com/maps/search/?api=1&amp;query="&amp;SUBSTITUTE(F369," ","")),"📲 Avisar al cliente"),"")</f>
        <v/>
      </c>
      <c r="L369" s="8">
        <f>IF(C369&lt;&gt;"","https://api.qrserver.com/v1/create-qr-code/?size=200x200&amp;data="&amp;ENCODEURL("https://wa.me/507"&amp;REGEXREPLACE(C369,"[^0-9]","")&amp;"?text="&amp;ENCODEURL("Ya llegue. Codigo: "&amp;A369&amp;". Ubicacion: "&amp;"https://www.google.com/maps/search/?api=1&amp;query="&amp;SUBSTITUTE(F369," ",""))),"")</f>
        <v/>
      </c>
      <c r="M369" s="8">
        <f>IF(B369&lt;&gt;"",TODAY(),"")</f>
        <v/>
      </c>
      <c r="N369" s="8">
        <f>IF(F369&lt;&gt;"",IFERROR(IF(AND(REGEXMATCH(SUBSTITUTE(TRIM(F369)," ",""),"^-?\d+(\.\d+)?,-?\d+(\.\d+)?$"),VALUE(REGEXEXTRACT(SUBSTITUTE(TRIM(F369)," ",""),"^-?\d+(\.\d+)?"))&gt;=-90,VALUE(REGEXEXTRACT(SUBSTITUTE(TRIM(F369)," ",""),"^-?\d+(\.\d+)?"))&lt;=90,VALUE(REGEXEXTRACT(SUBSTITUTE(TRIM(F369)," ",""),"-?\d+(\.\d+)?$"))&gt;=-180,VALUE(REGEXEXTRACT(SUBSTITUTE(TRIM(F369)," ",""),"-?\d+(\.\d+)?$"))&lt;=180),"OK","REVISAR"),"REVISAR"),"")</f>
        <v/>
      </c>
      <c r="O369">
        <f>IF(A369&lt;&gt;"","https://direcciones507.github.io/direcciones507/panel.html?codigo="&amp;A369&amp;"&amp;nombre="&amp;ENCODEURL(B369)&amp;"&amp;telefono="&amp;SUBSTITUTE(C369,"-","")&amp;"&amp;referencia="&amp;ENCODEURL(E369)&amp;"&amp;lat="&amp;IZQUIERDA(SUBSTITUTE(F369," ",""),ENCONTRAR(",",SUBSTITUTE(F369," ",""))-1)&amp;"&amp;lng="&amp;DERECHA(SUBSTITUTE(F369," ",""),LARGO(SUBSTITUTE(F369," ",""))-ENCONTRAR(",",SUBSTITUTE(F369," ",""))),"")</f>
        <v/>
      </c>
    </row>
    <row r="370" ht="15.75" customHeight="1" s="10">
      <c r="A370" s="8">
        <f>CONCAT("AD507-",TEXT(ROW()-2,"0000"))</f>
        <v/>
      </c>
      <c r="C370" s="8" t="n"/>
      <c r="F370" s="8" t="n"/>
      <c r="G370" s="8">
        <f>IF(F370&lt;&gt;"",HYPERLINK("https://www.google.com/maps/search/?api=1&amp;query="&amp;SUBSTITUTE(F370," ",""),"🗺 Google Maps"),"")</f>
        <v/>
      </c>
      <c r="H370" s="8">
        <f>IF(F370&lt;&gt;"",HYPERLINK("https://waze.com/ul?ll="&amp;SUBSTITUTE(F370," ","")&amp;"&amp;navigate=yes","🚗 Waze"),"")</f>
        <v/>
      </c>
      <c r="I370" s="8">
        <f>IF(F370&lt;&gt;"",HYPERLINK("https://m.uber.com/ul/?action=setPickup&amp;pickup=my_location&amp;dropoff[latitude]="&amp;LEFT(SUBSTITUTE(F370," ",""),FIND(",",SUBSTITUTE(F370," ",""))-1)&amp;"&amp;dropoff[longitude]="&amp;MID(SUBSTITUTE(F370," ",""),FIND(",",SUBSTITUTE(F370," ",""))+1,99),"🚕 Uber"),"")</f>
        <v/>
      </c>
      <c r="J370" s="8">
        <f>IF(F370&lt;&gt;"","https://api.qrserver.com/v1/create-qr-code/?size=200x200&amp;data="&amp;ENCODEURL("https://www.google.com/maps/search/?api=1&amp;query="&amp;SUBSTITUTE(F370," ","")),"")</f>
        <v/>
      </c>
      <c r="K370" s="8">
        <f>IF(C370&lt;&gt;"",HYPERLINK("https://wa.me/507"&amp;REGEXREPLACE(C370,"[^0-9]","")&amp;"?text="&amp;ENCODEURL("Ya llegue. Codigo: "&amp;A370&amp;". Ubicacion: "&amp;"https://www.google.com/maps/search/?api=1&amp;query="&amp;SUBSTITUTE(F370," ","")),"📲 Avisar al cliente"),"")</f>
        <v/>
      </c>
      <c r="L370" s="8">
        <f>IF(C370&lt;&gt;"","https://api.qrserver.com/v1/create-qr-code/?size=200x200&amp;data="&amp;ENCODEURL("https://wa.me/507"&amp;REGEXREPLACE(C370,"[^0-9]","")&amp;"?text="&amp;ENCODEURL("Ya llegue. Codigo: "&amp;A370&amp;". Ubicacion: "&amp;"https://www.google.com/maps/search/?api=1&amp;query="&amp;SUBSTITUTE(F370," ",""))),"")</f>
        <v/>
      </c>
      <c r="M370" s="8">
        <f>IF(B370&lt;&gt;"",TODAY(),"")</f>
        <v/>
      </c>
      <c r="N370" s="8">
        <f>IF(F370&lt;&gt;"",IFERROR(IF(AND(REGEXMATCH(SUBSTITUTE(TRIM(F370)," ",""),"^-?\d+(\.\d+)?,-?\d+(\.\d+)?$"),VALUE(REGEXEXTRACT(SUBSTITUTE(TRIM(F370)," ",""),"^-?\d+(\.\d+)?"))&gt;=-90,VALUE(REGEXEXTRACT(SUBSTITUTE(TRIM(F370)," ",""),"^-?\d+(\.\d+)?"))&lt;=90,VALUE(REGEXEXTRACT(SUBSTITUTE(TRIM(F370)," ",""),"-?\d+(\.\d+)?$"))&gt;=-180,VALUE(REGEXEXTRACT(SUBSTITUTE(TRIM(F370)," ",""),"-?\d+(\.\d+)?$"))&lt;=180),"OK","REVISAR"),"REVISAR"),"")</f>
        <v/>
      </c>
      <c r="O370">
        <f>IF(A370&lt;&gt;"","https://direcciones507.github.io/direcciones507/panel.html?codigo="&amp;A370&amp;"&amp;nombre="&amp;ENCODEURL(B370)&amp;"&amp;telefono="&amp;SUBSTITUTE(C370,"-","")&amp;"&amp;referencia="&amp;ENCODEURL(E370)&amp;"&amp;lat="&amp;IZQUIERDA(SUBSTITUTE(F370," ",""),ENCONTRAR(",",SUBSTITUTE(F370," ",""))-1)&amp;"&amp;lng="&amp;DERECHA(SUBSTITUTE(F370," ",""),LARGO(SUBSTITUTE(F370," ",""))-ENCONTRAR(",",SUBSTITUTE(F370," ",""))),"")</f>
        <v/>
      </c>
    </row>
    <row r="371" ht="15.75" customHeight="1" s="10">
      <c r="A371" s="8">
        <f>CONCAT("AD507-",TEXT(ROW()-2,"0000"))</f>
        <v/>
      </c>
      <c r="C371" s="8" t="n"/>
      <c r="F371" s="8" t="n"/>
      <c r="G371" s="8">
        <f>IF(F371&lt;&gt;"",HYPERLINK("https://www.google.com/maps/search/?api=1&amp;query="&amp;SUBSTITUTE(F371," ",""),"🗺 Google Maps"),"")</f>
        <v/>
      </c>
      <c r="H371" s="8">
        <f>IF(F371&lt;&gt;"",HYPERLINK("https://waze.com/ul?ll="&amp;SUBSTITUTE(F371," ","")&amp;"&amp;navigate=yes","🚗 Waze"),"")</f>
        <v/>
      </c>
      <c r="I371" s="8">
        <f>IF(F371&lt;&gt;"",HYPERLINK("https://m.uber.com/ul/?action=setPickup&amp;pickup=my_location&amp;dropoff[latitude]="&amp;LEFT(SUBSTITUTE(F371," ",""),FIND(",",SUBSTITUTE(F371," ",""))-1)&amp;"&amp;dropoff[longitude]="&amp;MID(SUBSTITUTE(F371," ",""),FIND(",",SUBSTITUTE(F371," ",""))+1,99),"🚕 Uber"),"")</f>
        <v/>
      </c>
      <c r="J371" s="8">
        <f>IF(F371&lt;&gt;"","https://api.qrserver.com/v1/create-qr-code/?size=200x200&amp;data="&amp;ENCODEURL("https://www.google.com/maps/search/?api=1&amp;query="&amp;SUBSTITUTE(F371," ","")),"")</f>
        <v/>
      </c>
      <c r="K371" s="8">
        <f>IF(C371&lt;&gt;"",HYPERLINK("https://wa.me/507"&amp;REGEXREPLACE(C371,"[^0-9]","")&amp;"?text="&amp;ENCODEURL("Ya llegue. Codigo: "&amp;A371&amp;". Ubicacion: "&amp;"https://www.google.com/maps/search/?api=1&amp;query="&amp;SUBSTITUTE(F371," ","")),"📲 Avisar al cliente"),"")</f>
        <v/>
      </c>
      <c r="L371" s="8">
        <f>IF(C371&lt;&gt;"","https://api.qrserver.com/v1/create-qr-code/?size=200x200&amp;data="&amp;ENCODEURL("https://wa.me/507"&amp;REGEXREPLACE(C371,"[^0-9]","")&amp;"?text="&amp;ENCODEURL("Ya llegue. Codigo: "&amp;A371&amp;". Ubicacion: "&amp;"https://www.google.com/maps/search/?api=1&amp;query="&amp;SUBSTITUTE(F371," ",""))),"")</f>
        <v/>
      </c>
      <c r="M371" s="8">
        <f>IF(B371&lt;&gt;"",TODAY(),"")</f>
        <v/>
      </c>
      <c r="N371" s="8">
        <f>IF(F371&lt;&gt;"",IFERROR(IF(AND(REGEXMATCH(SUBSTITUTE(TRIM(F371)," ",""),"^-?\d+(\.\d+)?,-?\d+(\.\d+)?$"),VALUE(REGEXEXTRACT(SUBSTITUTE(TRIM(F371)," ",""),"^-?\d+(\.\d+)?"))&gt;=-90,VALUE(REGEXEXTRACT(SUBSTITUTE(TRIM(F371)," ",""),"^-?\d+(\.\d+)?"))&lt;=90,VALUE(REGEXEXTRACT(SUBSTITUTE(TRIM(F371)," ",""),"-?\d+(\.\d+)?$"))&gt;=-180,VALUE(REGEXEXTRACT(SUBSTITUTE(TRIM(F371)," ",""),"-?\d+(\.\d+)?$"))&lt;=180),"OK","REVISAR"),"REVISAR"),"")</f>
        <v/>
      </c>
      <c r="O371">
        <f>IF(A371&lt;&gt;"","https://direcciones507.github.io/direcciones507/panel.html?codigo="&amp;A371&amp;"&amp;nombre="&amp;ENCODEURL(B371)&amp;"&amp;telefono="&amp;SUBSTITUTE(C371,"-","")&amp;"&amp;referencia="&amp;ENCODEURL(E371)&amp;"&amp;lat="&amp;IZQUIERDA(SUBSTITUTE(F371," ",""),ENCONTRAR(",",SUBSTITUTE(F371," ",""))-1)&amp;"&amp;lng="&amp;DERECHA(SUBSTITUTE(F371," ",""),LARGO(SUBSTITUTE(F371," ",""))-ENCONTRAR(",",SUBSTITUTE(F371," ",""))),"")</f>
        <v/>
      </c>
    </row>
    <row r="372" ht="15.75" customHeight="1" s="10">
      <c r="A372" s="8">
        <f>CONCAT("AD507-",TEXT(ROW()-2,"0000"))</f>
        <v/>
      </c>
      <c r="C372" s="8" t="n"/>
      <c r="F372" s="8" t="n"/>
      <c r="G372" s="8">
        <f>IF(F372&lt;&gt;"",HYPERLINK("https://www.google.com/maps/search/?api=1&amp;query="&amp;SUBSTITUTE(F372," ",""),"🗺 Google Maps"),"")</f>
        <v/>
      </c>
      <c r="H372" s="8">
        <f>IF(F372&lt;&gt;"",HYPERLINK("https://waze.com/ul?ll="&amp;SUBSTITUTE(F372," ","")&amp;"&amp;navigate=yes","🚗 Waze"),"")</f>
        <v/>
      </c>
      <c r="I372" s="8">
        <f>IF(F372&lt;&gt;"",HYPERLINK("https://m.uber.com/ul/?action=setPickup&amp;pickup=my_location&amp;dropoff[latitude]="&amp;LEFT(SUBSTITUTE(F372," ",""),FIND(",",SUBSTITUTE(F372," ",""))-1)&amp;"&amp;dropoff[longitude]="&amp;MID(SUBSTITUTE(F372," ",""),FIND(",",SUBSTITUTE(F372," ",""))+1,99),"🚕 Uber"),"")</f>
        <v/>
      </c>
      <c r="J372" s="8">
        <f>IF(F372&lt;&gt;"","https://api.qrserver.com/v1/create-qr-code/?size=200x200&amp;data="&amp;ENCODEURL("https://www.google.com/maps/search/?api=1&amp;query="&amp;SUBSTITUTE(F372," ","")),"")</f>
        <v/>
      </c>
      <c r="K372" s="8">
        <f>IF(C372&lt;&gt;"",HYPERLINK("https://wa.me/507"&amp;REGEXREPLACE(C372,"[^0-9]","")&amp;"?text="&amp;ENCODEURL("Ya llegue. Codigo: "&amp;A372&amp;". Ubicacion: "&amp;"https://www.google.com/maps/search/?api=1&amp;query="&amp;SUBSTITUTE(F372," ","")),"📲 Avisar al cliente"),"")</f>
        <v/>
      </c>
      <c r="L372" s="8">
        <f>IF(C372&lt;&gt;"","https://api.qrserver.com/v1/create-qr-code/?size=200x200&amp;data="&amp;ENCODEURL("https://wa.me/507"&amp;REGEXREPLACE(C372,"[^0-9]","")&amp;"?text="&amp;ENCODEURL("Ya llegue. Codigo: "&amp;A372&amp;". Ubicacion: "&amp;"https://www.google.com/maps/search/?api=1&amp;query="&amp;SUBSTITUTE(F372," ",""))),"")</f>
        <v/>
      </c>
      <c r="M372" s="8">
        <f>IF(B372&lt;&gt;"",TODAY(),"")</f>
        <v/>
      </c>
      <c r="N372" s="8">
        <f>IF(F372&lt;&gt;"",IFERROR(IF(AND(REGEXMATCH(SUBSTITUTE(TRIM(F372)," ",""),"^-?\d+(\.\d+)?,-?\d+(\.\d+)?$"),VALUE(REGEXEXTRACT(SUBSTITUTE(TRIM(F372)," ",""),"^-?\d+(\.\d+)?"))&gt;=-90,VALUE(REGEXEXTRACT(SUBSTITUTE(TRIM(F372)," ",""),"^-?\d+(\.\d+)?"))&lt;=90,VALUE(REGEXEXTRACT(SUBSTITUTE(TRIM(F372)," ",""),"-?\d+(\.\d+)?$"))&gt;=-180,VALUE(REGEXEXTRACT(SUBSTITUTE(TRIM(F372)," ",""),"-?\d+(\.\d+)?$"))&lt;=180),"OK","REVISAR"),"REVISAR"),"")</f>
        <v/>
      </c>
      <c r="O372">
        <f>IF(A372&lt;&gt;"","https://direcciones507.github.io/direcciones507/panel.html?codigo="&amp;A372&amp;"&amp;nombre="&amp;ENCODEURL(B372)&amp;"&amp;telefono="&amp;SUBSTITUTE(C372,"-","")&amp;"&amp;referencia="&amp;ENCODEURL(E372)&amp;"&amp;lat="&amp;IZQUIERDA(SUBSTITUTE(F372," ",""),ENCONTRAR(",",SUBSTITUTE(F372," ",""))-1)&amp;"&amp;lng="&amp;DERECHA(SUBSTITUTE(F372," ",""),LARGO(SUBSTITUTE(F372," ",""))-ENCONTRAR(",",SUBSTITUTE(F372," ",""))),"")</f>
        <v/>
      </c>
    </row>
    <row r="373" ht="15.75" customHeight="1" s="10">
      <c r="A373" s="8">
        <f>CONCAT("AD507-",TEXT(ROW()-2,"0000"))</f>
        <v/>
      </c>
      <c r="C373" s="8" t="n"/>
      <c r="F373" s="8" t="n"/>
      <c r="G373" s="8">
        <f>IF(F373&lt;&gt;"",HYPERLINK("https://www.google.com/maps/search/?api=1&amp;query="&amp;SUBSTITUTE(F373," ",""),"🗺 Google Maps"),"")</f>
        <v/>
      </c>
      <c r="H373" s="8">
        <f>IF(F373&lt;&gt;"",HYPERLINK("https://waze.com/ul?ll="&amp;SUBSTITUTE(F373," ","")&amp;"&amp;navigate=yes","🚗 Waze"),"")</f>
        <v/>
      </c>
      <c r="I373" s="8">
        <f>IF(F373&lt;&gt;"",HYPERLINK("https://m.uber.com/ul/?action=setPickup&amp;pickup=my_location&amp;dropoff[latitude]="&amp;LEFT(SUBSTITUTE(F373," ",""),FIND(",",SUBSTITUTE(F373," ",""))-1)&amp;"&amp;dropoff[longitude]="&amp;MID(SUBSTITUTE(F373," ",""),FIND(",",SUBSTITUTE(F373," ",""))+1,99),"🚕 Uber"),"")</f>
        <v/>
      </c>
      <c r="J373" s="8">
        <f>IF(F373&lt;&gt;"","https://api.qrserver.com/v1/create-qr-code/?size=200x200&amp;data="&amp;ENCODEURL("https://www.google.com/maps/search/?api=1&amp;query="&amp;SUBSTITUTE(F373," ","")),"")</f>
        <v/>
      </c>
      <c r="K373" s="8">
        <f>IF(C373&lt;&gt;"",HYPERLINK("https://wa.me/507"&amp;REGEXREPLACE(C373,"[^0-9]","")&amp;"?text="&amp;ENCODEURL("Ya llegue. Codigo: "&amp;A373&amp;". Ubicacion: "&amp;"https://www.google.com/maps/search/?api=1&amp;query="&amp;SUBSTITUTE(F373," ","")),"📲 Avisar al cliente"),"")</f>
        <v/>
      </c>
      <c r="L373" s="8">
        <f>IF(C373&lt;&gt;"","https://api.qrserver.com/v1/create-qr-code/?size=200x200&amp;data="&amp;ENCODEURL("https://wa.me/507"&amp;REGEXREPLACE(C373,"[^0-9]","")&amp;"?text="&amp;ENCODEURL("Ya llegue. Codigo: "&amp;A373&amp;". Ubicacion: "&amp;"https://www.google.com/maps/search/?api=1&amp;query="&amp;SUBSTITUTE(F373," ",""))),"")</f>
        <v/>
      </c>
      <c r="M373" s="8">
        <f>IF(B373&lt;&gt;"",TODAY(),"")</f>
        <v/>
      </c>
      <c r="N373" s="8">
        <f>IF(F373&lt;&gt;"",IFERROR(IF(AND(REGEXMATCH(SUBSTITUTE(TRIM(F373)," ",""),"^-?\d+(\.\d+)?,-?\d+(\.\d+)?$"),VALUE(REGEXEXTRACT(SUBSTITUTE(TRIM(F373)," ",""),"^-?\d+(\.\d+)?"))&gt;=-90,VALUE(REGEXEXTRACT(SUBSTITUTE(TRIM(F373)," ",""),"^-?\d+(\.\d+)?"))&lt;=90,VALUE(REGEXEXTRACT(SUBSTITUTE(TRIM(F373)," ",""),"-?\d+(\.\d+)?$"))&gt;=-180,VALUE(REGEXEXTRACT(SUBSTITUTE(TRIM(F373)," ",""),"-?\d+(\.\d+)?$"))&lt;=180),"OK","REVISAR"),"REVISAR"),"")</f>
        <v/>
      </c>
      <c r="O373">
        <f>IF(A373&lt;&gt;"","https://direcciones507.github.io/direcciones507/panel.html?codigo="&amp;A373&amp;"&amp;nombre="&amp;ENCODEURL(B373)&amp;"&amp;telefono="&amp;SUBSTITUTE(C373,"-","")&amp;"&amp;referencia="&amp;ENCODEURL(E373)&amp;"&amp;lat="&amp;IZQUIERDA(SUBSTITUTE(F373," ",""),ENCONTRAR(",",SUBSTITUTE(F373," ",""))-1)&amp;"&amp;lng="&amp;DERECHA(SUBSTITUTE(F373," ",""),LARGO(SUBSTITUTE(F373," ",""))-ENCONTRAR(",",SUBSTITUTE(F373," ",""))),"")</f>
        <v/>
      </c>
    </row>
    <row r="374" ht="15.75" customHeight="1" s="10">
      <c r="A374" s="8">
        <f>CONCAT("AD507-",TEXT(ROW()-2,"0000"))</f>
        <v/>
      </c>
      <c r="C374" s="8" t="n"/>
      <c r="F374" s="8" t="n"/>
      <c r="G374" s="8">
        <f>IF(F374&lt;&gt;"",HYPERLINK("https://www.google.com/maps/search/?api=1&amp;query="&amp;SUBSTITUTE(F374," ",""),"🗺 Google Maps"),"")</f>
        <v/>
      </c>
      <c r="H374" s="8">
        <f>IF(F374&lt;&gt;"",HYPERLINK("https://waze.com/ul?ll="&amp;SUBSTITUTE(F374," ","")&amp;"&amp;navigate=yes","🚗 Waze"),"")</f>
        <v/>
      </c>
      <c r="I374" s="8">
        <f>IF(F374&lt;&gt;"",HYPERLINK("https://m.uber.com/ul/?action=setPickup&amp;pickup=my_location&amp;dropoff[latitude]="&amp;LEFT(SUBSTITUTE(F374," ",""),FIND(",",SUBSTITUTE(F374," ",""))-1)&amp;"&amp;dropoff[longitude]="&amp;MID(SUBSTITUTE(F374," ",""),FIND(",",SUBSTITUTE(F374," ",""))+1,99),"🚕 Uber"),"")</f>
        <v/>
      </c>
      <c r="J374" s="8">
        <f>IF(F374&lt;&gt;"","https://api.qrserver.com/v1/create-qr-code/?size=200x200&amp;data="&amp;ENCODEURL("https://www.google.com/maps/search/?api=1&amp;query="&amp;SUBSTITUTE(F374," ","")),"")</f>
        <v/>
      </c>
      <c r="K374" s="8">
        <f>IF(C374&lt;&gt;"",HYPERLINK("https://wa.me/507"&amp;REGEXREPLACE(C374,"[^0-9]","")&amp;"?text="&amp;ENCODEURL("Ya llegue. Codigo: "&amp;A374&amp;". Ubicacion: "&amp;"https://www.google.com/maps/search/?api=1&amp;query="&amp;SUBSTITUTE(F374," ","")),"📲 Avisar al cliente"),"")</f>
        <v/>
      </c>
      <c r="L374" s="8">
        <f>IF(C374&lt;&gt;"","https://api.qrserver.com/v1/create-qr-code/?size=200x200&amp;data="&amp;ENCODEURL("https://wa.me/507"&amp;REGEXREPLACE(C374,"[^0-9]","")&amp;"?text="&amp;ENCODEURL("Ya llegue. Codigo: "&amp;A374&amp;". Ubicacion: "&amp;"https://www.google.com/maps/search/?api=1&amp;query="&amp;SUBSTITUTE(F374," ",""))),"")</f>
        <v/>
      </c>
      <c r="M374" s="8">
        <f>IF(B374&lt;&gt;"",TODAY(),"")</f>
        <v/>
      </c>
      <c r="N374" s="8">
        <f>IF(F374&lt;&gt;"",IFERROR(IF(AND(REGEXMATCH(SUBSTITUTE(TRIM(F374)," ",""),"^-?\d+(\.\d+)?,-?\d+(\.\d+)?$"),VALUE(REGEXEXTRACT(SUBSTITUTE(TRIM(F374)," ",""),"^-?\d+(\.\d+)?"))&gt;=-90,VALUE(REGEXEXTRACT(SUBSTITUTE(TRIM(F374)," ",""),"^-?\d+(\.\d+)?"))&lt;=90,VALUE(REGEXEXTRACT(SUBSTITUTE(TRIM(F374)," ",""),"-?\d+(\.\d+)?$"))&gt;=-180,VALUE(REGEXEXTRACT(SUBSTITUTE(TRIM(F374)," ",""),"-?\d+(\.\d+)?$"))&lt;=180),"OK","REVISAR"),"REVISAR"),"")</f>
        <v/>
      </c>
      <c r="O374">
        <f>IF(A374&lt;&gt;"","https://direcciones507.github.io/direcciones507/panel.html?codigo="&amp;A374&amp;"&amp;nombre="&amp;ENCODEURL(B374)&amp;"&amp;telefono="&amp;SUBSTITUTE(C374,"-","")&amp;"&amp;referencia="&amp;ENCODEURL(E374)&amp;"&amp;lat="&amp;IZQUIERDA(SUBSTITUTE(F374," ",""),ENCONTRAR(",",SUBSTITUTE(F374," ",""))-1)&amp;"&amp;lng="&amp;DERECHA(SUBSTITUTE(F374," ",""),LARGO(SUBSTITUTE(F374," ",""))-ENCONTRAR(",",SUBSTITUTE(F374," ",""))),"")</f>
        <v/>
      </c>
    </row>
    <row r="375" ht="15.75" customHeight="1" s="10">
      <c r="A375" s="8">
        <f>CONCAT("AD507-",TEXT(ROW()-2,"0000"))</f>
        <v/>
      </c>
      <c r="C375" s="8" t="n"/>
      <c r="F375" s="8" t="n"/>
      <c r="G375" s="8">
        <f>IF(F375&lt;&gt;"",HYPERLINK("https://www.google.com/maps/search/?api=1&amp;query="&amp;SUBSTITUTE(F375," ",""),"🗺 Google Maps"),"")</f>
        <v/>
      </c>
      <c r="H375" s="8">
        <f>IF(F375&lt;&gt;"",HYPERLINK("https://waze.com/ul?ll="&amp;SUBSTITUTE(F375," ","")&amp;"&amp;navigate=yes","🚗 Waze"),"")</f>
        <v/>
      </c>
      <c r="I375" s="8">
        <f>IF(F375&lt;&gt;"",HYPERLINK("https://m.uber.com/ul/?action=setPickup&amp;pickup=my_location&amp;dropoff[latitude]="&amp;LEFT(SUBSTITUTE(F375," ",""),FIND(",",SUBSTITUTE(F375," ",""))-1)&amp;"&amp;dropoff[longitude]="&amp;MID(SUBSTITUTE(F375," ",""),FIND(",",SUBSTITUTE(F375," ",""))+1,99),"🚕 Uber"),"")</f>
        <v/>
      </c>
      <c r="J375" s="8">
        <f>IF(F375&lt;&gt;"","https://api.qrserver.com/v1/create-qr-code/?size=200x200&amp;data="&amp;ENCODEURL("https://www.google.com/maps/search/?api=1&amp;query="&amp;SUBSTITUTE(F375," ","")),"")</f>
        <v/>
      </c>
      <c r="K375" s="8">
        <f>IF(C375&lt;&gt;"",HYPERLINK("https://wa.me/507"&amp;REGEXREPLACE(C375,"[^0-9]","")&amp;"?text="&amp;ENCODEURL("Ya llegue. Codigo: "&amp;A375&amp;". Ubicacion: "&amp;"https://www.google.com/maps/search/?api=1&amp;query="&amp;SUBSTITUTE(F375," ","")),"📲 Avisar al cliente"),"")</f>
        <v/>
      </c>
      <c r="L375" s="8">
        <f>IF(C375&lt;&gt;"","https://api.qrserver.com/v1/create-qr-code/?size=200x200&amp;data="&amp;ENCODEURL("https://wa.me/507"&amp;REGEXREPLACE(C375,"[^0-9]","")&amp;"?text="&amp;ENCODEURL("Ya llegue. Codigo: "&amp;A375&amp;". Ubicacion: "&amp;"https://www.google.com/maps/search/?api=1&amp;query="&amp;SUBSTITUTE(F375," ",""))),"")</f>
        <v/>
      </c>
      <c r="M375" s="8">
        <f>IF(B375&lt;&gt;"",TODAY(),"")</f>
        <v/>
      </c>
      <c r="N375" s="8">
        <f>IF(F375&lt;&gt;"",IFERROR(IF(AND(REGEXMATCH(SUBSTITUTE(TRIM(F375)," ",""),"^-?\d+(\.\d+)?,-?\d+(\.\d+)?$"),VALUE(REGEXEXTRACT(SUBSTITUTE(TRIM(F375)," ",""),"^-?\d+(\.\d+)?"))&gt;=-90,VALUE(REGEXEXTRACT(SUBSTITUTE(TRIM(F375)," ",""),"^-?\d+(\.\d+)?"))&lt;=90,VALUE(REGEXEXTRACT(SUBSTITUTE(TRIM(F375)," ",""),"-?\d+(\.\d+)?$"))&gt;=-180,VALUE(REGEXEXTRACT(SUBSTITUTE(TRIM(F375)," ",""),"-?\d+(\.\d+)?$"))&lt;=180),"OK","REVISAR"),"REVISAR"),"")</f>
        <v/>
      </c>
      <c r="O375">
        <f>IF(A375&lt;&gt;"","https://direcciones507.github.io/direcciones507/panel.html?codigo="&amp;A375&amp;"&amp;nombre="&amp;ENCODEURL(B375)&amp;"&amp;telefono="&amp;SUBSTITUTE(C375,"-","")&amp;"&amp;referencia="&amp;ENCODEURL(E375)&amp;"&amp;lat="&amp;IZQUIERDA(SUBSTITUTE(F375," ",""),ENCONTRAR(",",SUBSTITUTE(F375," ",""))-1)&amp;"&amp;lng="&amp;DERECHA(SUBSTITUTE(F375," ",""),LARGO(SUBSTITUTE(F375," ",""))-ENCONTRAR(",",SUBSTITUTE(F375," ",""))),"")</f>
        <v/>
      </c>
    </row>
    <row r="376" ht="15.75" customHeight="1" s="10">
      <c r="A376" s="8">
        <f>CONCAT("AD507-",TEXT(ROW()-2,"0000"))</f>
        <v/>
      </c>
      <c r="C376" s="8" t="n"/>
      <c r="F376" s="8" t="n"/>
      <c r="G376" s="8">
        <f>IF(F376&lt;&gt;"",HYPERLINK("https://www.google.com/maps/search/?api=1&amp;query="&amp;SUBSTITUTE(F376," ",""),"🗺 Google Maps"),"")</f>
        <v/>
      </c>
      <c r="H376" s="8">
        <f>IF(F376&lt;&gt;"",HYPERLINK("https://waze.com/ul?ll="&amp;SUBSTITUTE(F376," ","")&amp;"&amp;navigate=yes","🚗 Waze"),"")</f>
        <v/>
      </c>
      <c r="I376" s="8">
        <f>IF(F376&lt;&gt;"",HYPERLINK("https://m.uber.com/ul/?action=setPickup&amp;pickup=my_location&amp;dropoff[latitude]="&amp;LEFT(SUBSTITUTE(F376," ",""),FIND(",",SUBSTITUTE(F376," ",""))-1)&amp;"&amp;dropoff[longitude]="&amp;MID(SUBSTITUTE(F376," ",""),FIND(",",SUBSTITUTE(F376," ",""))+1,99),"🚕 Uber"),"")</f>
        <v/>
      </c>
      <c r="J376" s="8">
        <f>IF(F376&lt;&gt;"","https://api.qrserver.com/v1/create-qr-code/?size=200x200&amp;data="&amp;ENCODEURL("https://www.google.com/maps/search/?api=1&amp;query="&amp;SUBSTITUTE(F376," ","")),"")</f>
        <v/>
      </c>
      <c r="K376" s="8">
        <f>IF(C376&lt;&gt;"",HYPERLINK("https://wa.me/507"&amp;REGEXREPLACE(C376,"[^0-9]","")&amp;"?text="&amp;ENCODEURL("Ya llegue. Codigo: "&amp;A376&amp;". Ubicacion: "&amp;"https://www.google.com/maps/search/?api=1&amp;query="&amp;SUBSTITUTE(F376," ","")),"📲 Avisar al cliente"),"")</f>
        <v/>
      </c>
      <c r="L376" s="8">
        <f>IF(C376&lt;&gt;"","https://api.qrserver.com/v1/create-qr-code/?size=200x200&amp;data="&amp;ENCODEURL("https://wa.me/507"&amp;REGEXREPLACE(C376,"[^0-9]","")&amp;"?text="&amp;ENCODEURL("Ya llegue. Codigo: "&amp;A376&amp;". Ubicacion: "&amp;"https://www.google.com/maps/search/?api=1&amp;query="&amp;SUBSTITUTE(F376," ",""))),"")</f>
        <v/>
      </c>
      <c r="M376" s="8">
        <f>IF(B376&lt;&gt;"",TODAY(),"")</f>
        <v/>
      </c>
      <c r="N376" s="8">
        <f>IF(F376&lt;&gt;"",IFERROR(IF(AND(REGEXMATCH(SUBSTITUTE(TRIM(F376)," ",""),"^-?\d+(\.\d+)?,-?\d+(\.\d+)?$"),VALUE(REGEXEXTRACT(SUBSTITUTE(TRIM(F376)," ",""),"^-?\d+(\.\d+)?"))&gt;=-90,VALUE(REGEXEXTRACT(SUBSTITUTE(TRIM(F376)," ",""),"^-?\d+(\.\d+)?"))&lt;=90,VALUE(REGEXEXTRACT(SUBSTITUTE(TRIM(F376)," ",""),"-?\d+(\.\d+)?$"))&gt;=-180,VALUE(REGEXEXTRACT(SUBSTITUTE(TRIM(F376)," ",""),"-?\d+(\.\d+)?$"))&lt;=180),"OK","REVISAR"),"REVISAR"),"")</f>
        <v/>
      </c>
      <c r="O376">
        <f>IF(A376&lt;&gt;"","https://direcciones507.github.io/direcciones507/panel.html?codigo="&amp;A376&amp;"&amp;nombre="&amp;ENCODEURL(B376)&amp;"&amp;telefono="&amp;SUBSTITUTE(C376,"-","")&amp;"&amp;referencia="&amp;ENCODEURL(E376)&amp;"&amp;lat="&amp;IZQUIERDA(SUBSTITUTE(F376," ",""),ENCONTRAR(",",SUBSTITUTE(F376," ",""))-1)&amp;"&amp;lng="&amp;DERECHA(SUBSTITUTE(F376," ",""),LARGO(SUBSTITUTE(F376," ",""))-ENCONTRAR(",",SUBSTITUTE(F376," ",""))),"")</f>
        <v/>
      </c>
    </row>
    <row r="377" ht="15.75" customHeight="1" s="10">
      <c r="A377" s="8">
        <f>CONCAT("AD507-",TEXT(ROW()-2,"0000"))</f>
        <v/>
      </c>
      <c r="C377" s="8" t="n"/>
      <c r="F377" s="8" t="n"/>
      <c r="G377" s="8">
        <f>IF(F377&lt;&gt;"",HYPERLINK("https://www.google.com/maps/search/?api=1&amp;query="&amp;SUBSTITUTE(F377," ",""),"🗺 Google Maps"),"")</f>
        <v/>
      </c>
      <c r="H377" s="8">
        <f>IF(F377&lt;&gt;"",HYPERLINK("https://waze.com/ul?ll="&amp;SUBSTITUTE(F377," ","")&amp;"&amp;navigate=yes","🚗 Waze"),"")</f>
        <v/>
      </c>
      <c r="I377" s="8">
        <f>IF(F377&lt;&gt;"",HYPERLINK("https://m.uber.com/ul/?action=setPickup&amp;pickup=my_location&amp;dropoff[latitude]="&amp;LEFT(SUBSTITUTE(F377," ",""),FIND(",",SUBSTITUTE(F377," ",""))-1)&amp;"&amp;dropoff[longitude]="&amp;MID(SUBSTITUTE(F377," ",""),FIND(",",SUBSTITUTE(F377," ",""))+1,99),"🚕 Uber"),"")</f>
        <v/>
      </c>
      <c r="J377" s="8">
        <f>IF(F377&lt;&gt;"","https://api.qrserver.com/v1/create-qr-code/?size=200x200&amp;data="&amp;ENCODEURL("https://www.google.com/maps/search/?api=1&amp;query="&amp;SUBSTITUTE(F377," ","")),"")</f>
        <v/>
      </c>
      <c r="K377" s="8">
        <f>IF(C377&lt;&gt;"",HYPERLINK("https://wa.me/507"&amp;REGEXREPLACE(C377,"[^0-9]","")&amp;"?text="&amp;ENCODEURL("Ya llegue. Codigo: "&amp;A377&amp;". Ubicacion: "&amp;"https://www.google.com/maps/search/?api=1&amp;query="&amp;SUBSTITUTE(F377," ","")),"📲 Avisar al cliente"),"")</f>
        <v/>
      </c>
      <c r="L377" s="8">
        <f>IF(C377&lt;&gt;"","https://api.qrserver.com/v1/create-qr-code/?size=200x200&amp;data="&amp;ENCODEURL("https://wa.me/507"&amp;REGEXREPLACE(C377,"[^0-9]","")&amp;"?text="&amp;ENCODEURL("Ya llegue. Codigo: "&amp;A377&amp;". Ubicacion: "&amp;"https://www.google.com/maps/search/?api=1&amp;query="&amp;SUBSTITUTE(F377," ",""))),"")</f>
        <v/>
      </c>
      <c r="M377" s="8">
        <f>IF(B377&lt;&gt;"",TODAY(),"")</f>
        <v/>
      </c>
      <c r="N377" s="8">
        <f>IF(F377&lt;&gt;"",IFERROR(IF(AND(REGEXMATCH(SUBSTITUTE(TRIM(F377)," ",""),"^-?\d+(\.\d+)?,-?\d+(\.\d+)?$"),VALUE(REGEXEXTRACT(SUBSTITUTE(TRIM(F377)," ",""),"^-?\d+(\.\d+)?"))&gt;=-90,VALUE(REGEXEXTRACT(SUBSTITUTE(TRIM(F377)," ",""),"^-?\d+(\.\d+)?"))&lt;=90,VALUE(REGEXEXTRACT(SUBSTITUTE(TRIM(F377)," ",""),"-?\d+(\.\d+)?$"))&gt;=-180,VALUE(REGEXEXTRACT(SUBSTITUTE(TRIM(F377)," ",""),"-?\d+(\.\d+)?$"))&lt;=180),"OK","REVISAR"),"REVISAR"),"")</f>
        <v/>
      </c>
      <c r="O377">
        <f>IF(A377&lt;&gt;"","https://direcciones507.github.io/direcciones507/panel.html?codigo="&amp;A377&amp;"&amp;nombre="&amp;ENCODEURL(B377)&amp;"&amp;telefono="&amp;SUBSTITUTE(C377,"-","")&amp;"&amp;referencia="&amp;ENCODEURL(E377)&amp;"&amp;lat="&amp;IZQUIERDA(SUBSTITUTE(F377," ",""),ENCONTRAR(",",SUBSTITUTE(F377," ",""))-1)&amp;"&amp;lng="&amp;DERECHA(SUBSTITUTE(F377," ",""),LARGO(SUBSTITUTE(F377," ",""))-ENCONTRAR(",",SUBSTITUTE(F377," ",""))),"")</f>
        <v/>
      </c>
    </row>
    <row r="378" ht="15.75" customHeight="1" s="10">
      <c r="A378" s="8">
        <f>CONCAT("AD507-",TEXT(ROW()-2,"0000"))</f>
        <v/>
      </c>
      <c r="C378" s="8" t="n"/>
      <c r="F378" s="8" t="n"/>
      <c r="G378" s="8">
        <f>IF(F378&lt;&gt;"",HYPERLINK("https://www.google.com/maps/search/?api=1&amp;query="&amp;SUBSTITUTE(F378," ",""),"🗺 Google Maps"),"")</f>
        <v/>
      </c>
      <c r="H378" s="8">
        <f>IF(F378&lt;&gt;"",HYPERLINK("https://waze.com/ul?ll="&amp;SUBSTITUTE(F378," ","")&amp;"&amp;navigate=yes","🚗 Waze"),"")</f>
        <v/>
      </c>
      <c r="I378" s="8">
        <f>IF(F378&lt;&gt;"",HYPERLINK("https://m.uber.com/ul/?action=setPickup&amp;pickup=my_location&amp;dropoff[latitude]="&amp;LEFT(SUBSTITUTE(F378," ",""),FIND(",",SUBSTITUTE(F378," ",""))-1)&amp;"&amp;dropoff[longitude]="&amp;MID(SUBSTITUTE(F378," ",""),FIND(",",SUBSTITUTE(F378," ",""))+1,99),"🚕 Uber"),"")</f>
        <v/>
      </c>
      <c r="J378" s="8">
        <f>IF(F378&lt;&gt;"","https://api.qrserver.com/v1/create-qr-code/?size=200x200&amp;data="&amp;ENCODEURL("https://www.google.com/maps/search/?api=1&amp;query="&amp;SUBSTITUTE(F378," ","")),"")</f>
        <v/>
      </c>
      <c r="K378" s="8">
        <f>IF(C378&lt;&gt;"",HYPERLINK("https://wa.me/507"&amp;REGEXREPLACE(C378,"[^0-9]","")&amp;"?text="&amp;ENCODEURL("Ya llegue. Codigo: "&amp;A378&amp;". Ubicacion: "&amp;"https://www.google.com/maps/search/?api=1&amp;query="&amp;SUBSTITUTE(F378," ","")),"📲 Avisar al cliente"),"")</f>
        <v/>
      </c>
      <c r="L378" s="8">
        <f>IF(C378&lt;&gt;"","https://api.qrserver.com/v1/create-qr-code/?size=200x200&amp;data="&amp;ENCODEURL("https://wa.me/507"&amp;REGEXREPLACE(C378,"[^0-9]","")&amp;"?text="&amp;ENCODEURL("Ya llegue. Codigo: "&amp;A378&amp;". Ubicacion: "&amp;"https://www.google.com/maps/search/?api=1&amp;query="&amp;SUBSTITUTE(F378," ",""))),"")</f>
        <v/>
      </c>
      <c r="M378" s="8">
        <f>IF(B378&lt;&gt;"",TODAY(),"")</f>
        <v/>
      </c>
      <c r="N378" s="8">
        <f>IF(F378&lt;&gt;"",IFERROR(IF(AND(REGEXMATCH(SUBSTITUTE(TRIM(F378)," ",""),"^-?\d+(\.\d+)?,-?\d+(\.\d+)?$"),VALUE(REGEXEXTRACT(SUBSTITUTE(TRIM(F378)," ",""),"^-?\d+(\.\d+)?"))&gt;=-90,VALUE(REGEXEXTRACT(SUBSTITUTE(TRIM(F378)," ",""),"^-?\d+(\.\d+)?"))&lt;=90,VALUE(REGEXEXTRACT(SUBSTITUTE(TRIM(F378)," ",""),"-?\d+(\.\d+)?$"))&gt;=-180,VALUE(REGEXEXTRACT(SUBSTITUTE(TRIM(F378)," ",""),"-?\d+(\.\d+)?$"))&lt;=180),"OK","REVISAR"),"REVISAR"),"")</f>
        <v/>
      </c>
      <c r="O378">
        <f>IF(A378&lt;&gt;"","https://direcciones507.github.io/direcciones507/panel.html?codigo="&amp;A378&amp;"&amp;nombre="&amp;ENCODEURL(B378)&amp;"&amp;telefono="&amp;SUBSTITUTE(C378,"-","")&amp;"&amp;referencia="&amp;ENCODEURL(E378)&amp;"&amp;lat="&amp;IZQUIERDA(SUBSTITUTE(F378," ",""),ENCONTRAR(",",SUBSTITUTE(F378," ",""))-1)&amp;"&amp;lng="&amp;DERECHA(SUBSTITUTE(F378," ",""),LARGO(SUBSTITUTE(F378," ",""))-ENCONTRAR(",",SUBSTITUTE(F378," ",""))),"")</f>
        <v/>
      </c>
    </row>
    <row r="379" ht="15.75" customHeight="1" s="10">
      <c r="A379" s="8">
        <f>CONCAT("AD507-",TEXT(ROW()-2,"0000"))</f>
        <v/>
      </c>
      <c r="C379" s="8" t="n"/>
      <c r="F379" s="8" t="n"/>
      <c r="G379" s="8">
        <f>IF(F379&lt;&gt;"",HYPERLINK("https://www.google.com/maps/search/?api=1&amp;query="&amp;SUBSTITUTE(F379," ",""),"🗺 Google Maps"),"")</f>
        <v/>
      </c>
      <c r="H379" s="8">
        <f>IF(F379&lt;&gt;"",HYPERLINK("https://waze.com/ul?ll="&amp;SUBSTITUTE(F379," ","")&amp;"&amp;navigate=yes","🚗 Waze"),"")</f>
        <v/>
      </c>
      <c r="I379" s="8">
        <f>IF(F379&lt;&gt;"",HYPERLINK("https://m.uber.com/ul/?action=setPickup&amp;pickup=my_location&amp;dropoff[latitude]="&amp;LEFT(SUBSTITUTE(F379," ",""),FIND(",",SUBSTITUTE(F379," ",""))-1)&amp;"&amp;dropoff[longitude]="&amp;MID(SUBSTITUTE(F379," ",""),FIND(",",SUBSTITUTE(F379," ",""))+1,99),"🚕 Uber"),"")</f>
        <v/>
      </c>
      <c r="J379" s="8">
        <f>IF(F379&lt;&gt;"","https://api.qrserver.com/v1/create-qr-code/?size=200x200&amp;data="&amp;ENCODEURL("https://www.google.com/maps/search/?api=1&amp;query="&amp;SUBSTITUTE(F379," ","")),"")</f>
        <v/>
      </c>
      <c r="K379" s="8">
        <f>IF(C379&lt;&gt;"",HYPERLINK("https://wa.me/507"&amp;REGEXREPLACE(C379,"[^0-9]","")&amp;"?text="&amp;ENCODEURL("Ya llegue. Codigo: "&amp;A379&amp;". Ubicacion: "&amp;"https://www.google.com/maps/search/?api=1&amp;query="&amp;SUBSTITUTE(F379," ","")),"📲 Avisar al cliente"),"")</f>
        <v/>
      </c>
      <c r="L379" s="8">
        <f>IF(C379&lt;&gt;"","https://api.qrserver.com/v1/create-qr-code/?size=200x200&amp;data="&amp;ENCODEURL("https://wa.me/507"&amp;REGEXREPLACE(C379,"[^0-9]","")&amp;"?text="&amp;ENCODEURL("Ya llegue. Codigo: "&amp;A379&amp;". Ubicacion: "&amp;"https://www.google.com/maps/search/?api=1&amp;query="&amp;SUBSTITUTE(F379," ",""))),"")</f>
        <v/>
      </c>
      <c r="M379" s="8">
        <f>IF(B379&lt;&gt;"",TODAY(),"")</f>
        <v/>
      </c>
      <c r="N379" s="8">
        <f>IF(F379&lt;&gt;"",IFERROR(IF(AND(REGEXMATCH(SUBSTITUTE(TRIM(F379)," ",""),"^-?\d+(\.\d+)?,-?\d+(\.\d+)?$"),VALUE(REGEXEXTRACT(SUBSTITUTE(TRIM(F379)," ",""),"^-?\d+(\.\d+)?"))&gt;=-90,VALUE(REGEXEXTRACT(SUBSTITUTE(TRIM(F379)," ",""),"^-?\d+(\.\d+)?"))&lt;=90,VALUE(REGEXEXTRACT(SUBSTITUTE(TRIM(F379)," ",""),"-?\d+(\.\d+)?$"))&gt;=-180,VALUE(REGEXEXTRACT(SUBSTITUTE(TRIM(F379)," ",""),"-?\d+(\.\d+)?$"))&lt;=180),"OK","REVISAR"),"REVISAR"),"")</f>
        <v/>
      </c>
      <c r="O379">
        <f>IF(A379&lt;&gt;"","https://direcciones507.github.io/direcciones507/panel.html?codigo="&amp;A379&amp;"&amp;nombre="&amp;ENCODEURL(B379)&amp;"&amp;telefono="&amp;SUBSTITUTE(C379,"-","")&amp;"&amp;referencia="&amp;ENCODEURL(E379)&amp;"&amp;lat="&amp;IZQUIERDA(SUBSTITUTE(F379," ",""),ENCONTRAR(",",SUBSTITUTE(F379," ",""))-1)&amp;"&amp;lng="&amp;DERECHA(SUBSTITUTE(F379," ",""),LARGO(SUBSTITUTE(F379," ",""))-ENCONTRAR(",",SUBSTITUTE(F379," ",""))),"")</f>
        <v/>
      </c>
    </row>
    <row r="380" ht="15.75" customHeight="1" s="10">
      <c r="A380" s="8">
        <f>CONCAT("AD507-",TEXT(ROW()-2,"0000"))</f>
        <v/>
      </c>
      <c r="C380" s="8" t="n"/>
      <c r="F380" s="8" t="n"/>
      <c r="G380" s="8">
        <f>IF(F380&lt;&gt;"",HYPERLINK("https://www.google.com/maps/search/?api=1&amp;query="&amp;SUBSTITUTE(F380," ",""),"🗺 Google Maps"),"")</f>
        <v/>
      </c>
      <c r="H380" s="8">
        <f>IF(F380&lt;&gt;"",HYPERLINK("https://waze.com/ul?ll="&amp;SUBSTITUTE(F380," ","")&amp;"&amp;navigate=yes","🚗 Waze"),"")</f>
        <v/>
      </c>
      <c r="I380" s="8">
        <f>IF(F380&lt;&gt;"",HYPERLINK("https://m.uber.com/ul/?action=setPickup&amp;pickup=my_location&amp;dropoff[latitude]="&amp;LEFT(SUBSTITUTE(F380," ",""),FIND(",",SUBSTITUTE(F380," ",""))-1)&amp;"&amp;dropoff[longitude]="&amp;MID(SUBSTITUTE(F380," ",""),FIND(",",SUBSTITUTE(F380," ",""))+1,99),"🚕 Uber"),"")</f>
        <v/>
      </c>
      <c r="J380" s="8">
        <f>IF(F380&lt;&gt;"","https://api.qrserver.com/v1/create-qr-code/?size=200x200&amp;data="&amp;ENCODEURL("https://www.google.com/maps/search/?api=1&amp;query="&amp;SUBSTITUTE(F380," ","")),"")</f>
        <v/>
      </c>
      <c r="K380" s="8">
        <f>IF(C380&lt;&gt;"",HYPERLINK("https://wa.me/507"&amp;REGEXREPLACE(C380,"[^0-9]","")&amp;"?text="&amp;ENCODEURL("Ya llegue. Codigo: "&amp;A380&amp;". Ubicacion: "&amp;"https://www.google.com/maps/search/?api=1&amp;query="&amp;SUBSTITUTE(F380," ","")),"📲 Avisar al cliente"),"")</f>
        <v/>
      </c>
      <c r="L380" s="8">
        <f>IF(C380&lt;&gt;"","https://api.qrserver.com/v1/create-qr-code/?size=200x200&amp;data="&amp;ENCODEURL("https://wa.me/507"&amp;REGEXREPLACE(C380,"[^0-9]","")&amp;"?text="&amp;ENCODEURL("Ya llegue. Codigo: "&amp;A380&amp;". Ubicacion: "&amp;"https://www.google.com/maps/search/?api=1&amp;query="&amp;SUBSTITUTE(F380," ",""))),"")</f>
        <v/>
      </c>
      <c r="M380" s="8">
        <f>IF(B380&lt;&gt;"",TODAY(),"")</f>
        <v/>
      </c>
      <c r="N380" s="8">
        <f>IF(F380&lt;&gt;"",IFERROR(IF(AND(REGEXMATCH(SUBSTITUTE(TRIM(F380)," ",""),"^-?\d+(\.\d+)?,-?\d+(\.\d+)?$"),VALUE(REGEXEXTRACT(SUBSTITUTE(TRIM(F380)," ",""),"^-?\d+(\.\d+)?"))&gt;=-90,VALUE(REGEXEXTRACT(SUBSTITUTE(TRIM(F380)," ",""),"^-?\d+(\.\d+)?"))&lt;=90,VALUE(REGEXEXTRACT(SUBSTITUTE(TRIM(F380)," ",""),"-?\d+(\.\d+)?$"))&gt;=-180,VALUE(REGEXEXTRACT(SUBSTITUTE(TRIM(F380)," ",""),"-?\d+(\.\d+)?$"))&lt;=180),"OK","REVISAR"),"REVISAR"),"")</f>
        <v/>
      </c>
      <c r="O380">
        <f>IF(A380&lt;&gt;"","https://direcciones507.github.io/direcciones507/panel.html?codigo="&amp;A380&amp;"&amp;nombre="&amp;ENCODEURL(B380)&amp;"&amp;telefono="&amp;SUBSTITUTE(C380,"-","")&amp;"&amp;referencia="&amp;ENCODEURL(E380)&amp;"&amp;lat="&amp;IZQUIERDA(SUBSTITUTE(F380," ",""),ENCONTRAR(",",SUBSTITUTE(F380," ",""))-1)&amp;"&amp;lng="&amp;DERECHA(SUBSTITUTE(F380," ",""),LARGO(SUBSTITUTE(F380," ",""))-ENCONTRAR(",",SUBSTITUTE(F380," ",""))),"")</f>
        <v/>
      </c>
    </row>
    <row r="381" ht="15.75" customHeight="1" s="10">
      <c r="A381" s="8">
        <f>CONCAT("AD507-",TEXT(ROW()-2,"0000"))</f>
        <v/>
      </c>
      <c r="C381" s="8" t="n"/>
      <c r="F381" s="8" t="n"/>
      <c r="G381" s="8">
        <f>IF(F381&lt;&gt;"",HYPERLINK("https://www.google.com/maps/search/?api=1&amp;query="&amp;SUBSTITUTE(F381," ",""),"🗺 Google Maps"),"")</f>
        <v/>
      </c>
      <c r="H381" s="8">
        <f>IF(F381&lt;&gt;"",HYPERLINK("https://waze.com/ul?ll="&amp;SUBSTITUTE(F381," ","")&amp;"&amp;navigate=yes","🚗 Waze"),"")</f>
        <v/>
      </c>
      <c r="I381" s="8">
        <f>IF(F381&lt;&gt;"",HYPERLINK("https://m.uber.com/ul/?action=setPickup&amp;pickup=my_location&amp;dropoff[latitude]="&amp;LEFT(SUBSTITUTE(F381," ",""),FIND(",",SUBSTITUTE(F381," ",""))-1)&amp;"&amp;dropoff[longitude]="&amp;MID(SUBSTITUTE(F381," ",""),FIND(",",SUBSTITUTE(F381," ",""))+1,99),"🚕 Uber"),"")</f>
        <v/>
      </c>
      <c r="J381" s="8">
        <f>IF(F381&lt;&gt;"","https://api.qrserver.com/v1/create-qr-code/?size=200x200&amp;data="&amp;ENCODEURL("https://www.google.com/maps/search/?api=1&amp;query="&amp;SUBSTITUTE(F381," ","")),"")</f>
        <v/>
      </c>
      <c r="K381" s="8">
        <f>IF(C381&lt;&gt;"",HYPERLINK("https://wa.me/507"&amp;REGEXREPLACE(C381,"[^0-9]","")&amp;"?text="&amp;ENCODEURL("Ya llegue. Codigo: "&amp;A381&amp;". Ubicacion: "&amp;"https://www.google.com/maps/search/?api=1&amp;query="&amp;SUBSTITUTE(F381," ","")),"📲 Avisar al cliente"),"")</f>
        <v/>
      </c>
      <c r="L381" s="8">
        <f>IF(C381&lt;&gt;"","https://api.qrserver.com/v1/create-qr-code/?size=200x200&amp;data="&amp;ENCODEURL("https://wa.me/507"&amp;REGEXREPLACE(C381,"[^0-9]","")&amp;"?text="&amp;ENCODEURL("Ya llegue. Codigo: "&amp;A381&amp;". Ubicacion: "&amp;"https://www.google.com/maps/search/?api=1&amp;query="&amp;SUBSTITUTE(F381," ",""))),"")</f>
        <v/>
      </c>
      <c r="M381" s="8">
        <f>IF(B381&lt;&gt;"",TODAY(),"")</f>
        <v/>
      </c>
      <c r="N381" s="8">
        <f>IF(F381&lt;&gt;"",IFERROR(IF(AND(REGEXMATCH(SUBSTITUTE(TRIM(F381)," ",""),"^-?\d+(\.\d+)?,-?\d+(\.\d+)?$"),VALUE(REGEXEXTRACT(SUBSTITUTE(TRIM(F381)," ",""),"^-?\d+(\.\d+)?"))&gt;=-90,VALUE(REGEXEXTRACT(SUBSTITUTE(TRIM(F381)," ",""),"^-?\d+(\.\d+)?"))&lt;=90,VALUE(REGEXEXTRACT(SUBSTITUTE(TRIM(F381)," ",""),"-?\d+(\.\d+)?$"))&gt;=-180,VALUE(REGEXEXTRACT(SUBSTITUTE(TRIM(F381)," ",""),"-?\d+(\.\d+)?$"))&lt;=180),"OK","REVISAR"),"REVISAR"),"")</f>
        <v/>
      </c>
      <c r="O381">
        <f>IF(A381&lt;&gt;"","https://direcciones507.github.io/direcciones507/panel.html?codigo="&amp;A381&amp;"&amp;nombre="&amp;ENCODEURL(B381)&amp;"&amp;telefono="&amp;SUBSTITUTE(C381,"-","")&amp;"&amp;referencia="&amp;ENCODEURL(E381)&amp;"&amp;lat="&amp;IZQUIERDA(SUBSTITUTE(F381," ",""),ENCONTRAR(",",SUBSTITUTE(F381," ",""))-1)&amp;"&amp;lng="&amp;DERECHA(SUBSTITUTE(F381," ",""),LARGO(SUBSTITUTE(F381," ",""))-ENCONTRAR(",",SUBSTITUTE(F381," ",""))),"")</f>
        <v/>
      </c>
    </row>
    <row r="382" ht="15.75" customHeight="1" s="10">
      <c r="A382" s="8">
        <f>CONCAT("AD507-",TEXT(ROW()-2,"0000"))</f>
        <v/>
      </c>
      <c r="C382" s="8" t="n"/>
      <c r="F382" s="8" t="n"/>
      <c r="G382" s="8">
        <f>IF(F382&lt;&gt;"",HYPERLINK("https://www.google.com/maps/search/?api=1&amp;query="&amp;SUBSTITUTE(F382," ",""),"🗺 Google Maps"),"")</f>
        <v/>
      </c>
      <c r="H382" s="8">
        <f>IF(F382&lt;&gt;"",HYPERLINK("https://waze.com/ul?ll="&amp;SUBSTITUTE(F382," ","")&amp;"&amp;navigate=yes","🚗 Waze"),"")</f>
        <v/>
      </c>
      <c r="I382" s="8">
        <f>IF(F382&lt;&gt;"",HYPERLINK("https://m.uber.com/ul/?action=setPickup&amp;pickup=my_location&amp;dropoff[latitude]="&amp;LEFT(SUBSTITUTE(F382," ",""),FIND(",",SUBSTITUTE(F382," ",""))-1)&amp;"&amp;dropoff[longitude]="&amp;MID(SUBSTITUTE(F382," ",""),FIND(",",SUBSTITUTE(F382," ",""))+1,99),"🚕 Uber"),"")</f>
        <v/>
      </c>
      <c r="J382" s="8">
        <f>IF(F382&lt;&gt;"","https://api.qrserver.com/v1/create-qr-code/?size=200x200&amp;data="&amp;ENCODEURL("https://www.google.com/maps/search/?api=1&amp;query="&amp;SUBSTITUTE(F382," ","")),"")</f>
        <v/>
      </c>
      <c r="K382" s="8">
        <f>IF(C382&lt;&gt;"",HYPERLINK("https://wa.me/507"&amp;REGEXREPLACE(C382,"[^0-9]","")&amp;"?text="&amp;ENCODEURL("Ya llegue. Codigo: "&amp;A382&amp;". Ubicacion: "&amp;"https://www.google.com/maps/search/?api=1&amp;query="&amp;SUBSTITUTE(F382," ","")),"📲 Avisar al cliente"),"")</f>
        <v/>
      </c>
      <c r="L382" s="8">
        <f>IF(C382&lt;&gt;"","https://api.qrserver.com/v1/create-qr-code/?size=200x200&amp;data="&amp;ENCODEURL("https://wa.me/507"&amp;REGEXREPLACE(C382,"[^0-9]","")&amp;"?text="&amp;ENCODEURL("Ya llegue. Codigo: "&amp;A382&amp;". Ubicacion: "&amp;"https://www.google.com/maps/search/?api=1&amp;query="&amp;SUBSTITUTE(F382," ",""))),"")</f>
        <v/>
      </c>
      <c r="M382" s="8">
        <f>IF(B382&lt;&gt;"",TODAY(),"")</f>
        <v/>
      </c>
      <c r="N382" s="8">
        <f>IF(F382&lt;&gt;"",IFERROR(IF(AND(REGEXMATCH(SUBSTITUTE(TRIM(F382)," ",""),"^-?\d+(\.\d+)?,-?\d+(\.\d+)?$"),VALUE(REGEXEXTRACT(SUBSTITUTE(TRIM(F382)," ",""),"^-?\d+(\.\d+)?"))&gt;=-90,VALUE(REGEXEXTRACT(SUBSTITUTE(TRIM(F382)," ",""),"^-?\d+(\.\d+)?"))&lt;=90,VALUE(REGEXEXTRACT(SUBSTITUTE(TRIM(F382)," ",""),"-?\d+(\.\d+)?$"))&gt;=-180,VALUE(REGEXEXTRACT(SUBSTITUTE(TRIM(F382)," ",""),"-?\d+(\.\d+)?$"))&lt;=180),"OK","REVISAR"),"REVISAR"),"")</f>
        <v/>
      </c>
      <c r="O382">
        <f>IF(A382&lt;&gt;"","https://direcciones507.github.io/direcciones507/panel.html?codigo="&amp;A382&amp;"&amp;nombre="&amp;ENCODEURL(B382)&amp;"&amp;telefono="&amp;SUBSTITUTE(C382,"-","")&amp;"&amp;referencia="&amp;ENCODEURL(E382)&amp;"&amp;lat="&amp;IZQUIERDA(SUBSTITUTE(F382," ",""),ENCONTRAR(",",SUBSTITUTE(F382," ",""))-1)&amp;"&amp;lng="&amp;DERECHA(SUBSTITUTE(F382," ",""),LARGO(SUBSTITUTE(F382," ",""))-ENCONTRAR(",",SUBSTITUTE(F382," ",""))),"")</f>
        <v/>
      </c>
    </row>
    <row r="383" ht="15.75" customHeight="1" s="10">
      <c r="A383" s="8">
        <f>CONCAT("AD507-",TEXT(ROW()-2,"0000"))</f>
        <v/>
      </c>
      <c r="C383" s="8" t="n"/>
      <c r="F383" s="8" t="n"/>
      <c r="G383" s="8">
        <f>IF(F383&lt;&gt;"",HYPERLINK("https://www.google.com/maps/search/?api=1&amp;query="&amp;SUBSTITUTE(F383," ",""),"🗺 Google Maps"),"")</f>
        <v/>
      </c>
      <c r="H383" s="8">
        <f>IF(F383&lt;&gt;"",HYPERLINK("https://waze.com/ul?ll="&amp;SUBSTITUTE(F383," ","")&amp;"&amp;navigate=yes","🚗 Waze"),"")</f>
        <v/>
      </c>
      <c r="I383" s="8">
        <f>IF(F383&lt;&gt;"",HYPERLINK("https://m.uber.com/ul/?action=setPickup&amp;pickup=my_location&amp;dropoff[latitude]="&amp;LEFT(SUBSTITUTE(F383," ",""),FIND(",",SUBSTITUTE(F383," ",""))-1)&amp;"&amp;dropoff[longitude]="&amp;MID(SUBSTITUTE(F383," ",""),FIND(",",SUBSTITUTE(F383," ",""))+1,99),"🚕 Uber"),"")</f>
        <v/>
      </c>
      <c r="J383" s="8">
        <f>IF(F383&lt;&gt;"","https://api.qrserver.com/v1/create-qr-code/?size=200x200&amp;data="&amp;ENCODEURL("https://www.google.com/maps/search/?api=1&amp;query="&amp;SUBSTITUTE(F383," ","")),"")</f>
        <v/>
      </c>
      <c r="K383" s="8">
        <f>IF(C383&lt;&gt;"",HYPERLINK("https://wa.me/507"&amp;REGEXREPLACE(C383,"[^0-9]","")&amp;"?text="&amp;ENCODEURL("Ya llegue. Codigo: "&amp;A383&amp;". Ubicacion: "&amp;"https://www.google.com/maps/search/?api=1&amp;query="&amp;SUBSTITUTE(F383," ","")),"📲 Avisar al cliente"),"")</f>
        <v/>
      </c>
      <c r="L383" s="8">
        <f>IF(C383&lt;&gt;"","https://api.qrserver.com/v1/create-qr-code/?size=200x200&amp;data="&amp;ENCODEURL("https://wa.me/507"&amp;REGEXREPLACE(C383,"[^0-9]","")&amp;"?text="&amp;ENCODEURL("Ya llegue. Codigo: "&amp;A383&amp;". Ubicacion: "&amp;"https://www.google.com/maps/search/?api=1&amp;query="&amp;SUBSTITUTE(F383," ",""))),"")</f>
        <v/>
      </c>
      <c r="M383" s="8">
        <f>IF(B383&lt;&gt;"",TODAY(),"")</f>
        <v/>
      </c>
      <c r="N383" s="8">
        <f>IF(F383&lt;&gt;"",IFERROR(IF(AND(REGEXMATCH(SUBSTITUTE(TRIM(F383)," ",""),"^-?\d+(\.\d+)?,-?\d+(\.\d+)?$"),VALUE(REGEXEXTRACT(SUBSTITUTE(TRIM(F383)," ",""),"^-?\d+(\.\d+)?"))&gt;=-90,VALUE(REGEXEXTRACT(SUBSTITUTE(TRIM(F383)," ",""),"^-?\d+(\.\d+)?"))&lt;=90,VALUE(REGEXEXTRACT(SUBSTITUTE(TRIM(F383)," ",""),"-?\d+(\.\d+)?$"))&gt;=-180,VALUE(REGEXEXTRACT(SUBSTITUTE(TRIM(F383)," ",""),"-?\d+(\.\d+)?$"))&lt;=180),"OK","REVISAR"),"REVISAR"),"")</f>
        <v/>
      </c>
      <c r="O383">
        <f>IF(A383&lt;&gt;"","https://direcciones507.github.io/direcciones507/panel.html?codigo="&amp;A383&amp;"&amp;nombre="&amp;ENCODEURL(B383)&amp;"&amp;telefono="&amp;SUBSTITUTE(C383,"-","")&amp;"&amp;referencia="&amp;ENCODEURL(E383)&amp;"&amp;lat="&amp;IZQUIERDA(SUBSTITUTE(F383," ",""),ENCONTRAR(",",SUBSTITUTE(F383," ",""))-1)&amp;"&amp;lng="&amp;DERECHA(SUBSTITUTE(F383," ",""),LARGO(SUBSTITUTE(F383," ",""))-ENCONTRAR(",",SUBSTITUTE(F383," ",""))),"")</f>
        <v/>
      </c>
    </row>
    <row r="384" ht="15.75" customHeight="1" s="10">
      <c r="A384" s="8">
        <f>CONCAT("AD507-",TEXT(ROW()-2,"0000"))</f>
        <v/>
      </c>
      <c r="C384" s="8" t="n"/>
      <c r="F384" s="8" t="n"/>
      <c r="G384" s="8">
        <f>IF(F384&lt;&gt;"",HYPERLINK("https://www.google.com/maps/search/?api=1&amp;query="&amp;SUBSTITUTE(F384," ",""),"🗺 Google Maps"),"")</f>
        <v/>
      </c>
      <c r="H384" s="8">
        <f>IF(F384&lt;&gt;"",HYPERLINK("https://waze.com/ul?ll="&amp;SUBSTITUTE(F384," ","")&amp;"&amp;navigate=yes","🚗 Waze"),"")</f>
        <v/>
      </c>
      <c r="I384" s="8">
        <f>IF(F384&lt;&gt;"",HYPERLINK("https://m.uber.com/ul/?action=setPickup&amp;pickup=my_location&amp;dropoff[latitude]="&amp;LEFT(SUBSTITUTE(F384," ",""),FIND(",",SUBSTITUTE(F384," ",""))-1)&amp;"&amp;dropoff[longitude]="&amp;MID(SUBSTITUTE(F384," ",""),FIND(",",SUBSTITUTE(F384," ",""))+1,99),"🚕 Uber"),"")</f>
        <v/>
      </c>
      <c r="J384" s="8">
        <f>IF(F384&lt;&gt;"","https://api.qrserver.com/v1/create-qr-code/?size=200x200&amp;data="&amp;ENCODEURL("https://www.google.com/maps/search/?api=1&amp;query="&amp;SUBSTITUTE(F384," ","")),"")</f>
        <v/>
      </c>
      <c r="K384" s="8">
        <f>IF(C384&lt;&gt;"",HYPERLINK("https://wa.me/507"&amp;REGEXREPLACE(C384,"[^0-9]","")&amp;"?text="&amp;ENCODEURL("Ya llegue. Codigo: "&amp;A384&amp;". Ubicacion: "&amp;"https://www.google.com/maps/search/?api=1&amp;query="&amp;SUBSTITUTE(F384," ","")),"📲 Avisar al cliente"),"")</f>
        <v/>
      </c>
      <c r="L384" s="8">
        <f>IF(C384&lt;&gt;"","https://api.qrserver.com/v1/create-qr-code/?size=200x200&amp;data="&amp;ENCODEURL("https://wa.me/507"&amp;REGEXREPLACE(C384,"[^0-9]","")&amp;"?text="&amp;ENCODEURL("Ya llegue. Codigo: "&amp;A384&amp;". Ubicacion: "&amp;"https://www.google.com/maps/search/?api=1&amp;query="&amp;SUBSTITUTE(F384," ",""))),"")</f>
        <v/>
      </c>
      <c r="M384" s="8">
        <f>IF(B384&lt;&gt;"",TODAY(),"")</f>
        <v/>
      </c>
      <c r="N384" s="8">
        <f>IF(F384&lt;&gt;"",IFERROR(IF(AND(REGEXMATCH(SUBSTITUTE(TRIM(F384)," ",""),"^-?\d+(\.\d+)?,-?\d+(\.\d+)?$"),VALUE(REGEXEXTRACT(SUBSTITUTE(TRIM(F384)," ",""),"^-?\d+(\.\d+)?"))&gt;=-90,VALUE(REGEXEXTRACT(SUBSTITUTE(TRIM(F384)," ",""),"^-?\d+(\.\d+)?"))&lt;=90,VALUE(REGEXEXTRACT(SUBSTITUTE(TRIM(F384)," ",""),"-?\d+(\.\d+)?$"))&gt;=-180,VALUE(REGEXEXTRACT(SUBSTITUTE(TRIM(F384)," ",""),"-?\d+(\.\d+)?$"))&lt;=180),"OK","REVISAR"),"REVISAR"),"")</f>
        <v/>
      </c>
      <c r="O384">
        <f>IF(A384&lt;&gt;"","https://direcciones507.github.io/direcciones507/panel.html?codigo="&amp;A384&amp;"&amp;nombre="&amp;ENCODEURL(B384)&amp;"&amp;telefono="&amp;SUBSTITUTE(C384,"-","")&amp;"&amp;referencia="&amp;ENCODEURL(E384)&amp;"&amp;lat="&amp;IZQUIERDA(SUBSTITUTE(F384," ",""),ENCONTRAR(",",SUBSTITUTE(F384," ",""))-1)&amp;"&amp;lng="&amp;DERECHA(SUBSTITUTE(F384," ",""),LARGO(SUBSTITUTE(F384," ",""))-ENCONTRAR(",",SUBSTITUTE(F384," ",""))),"")</f>
        <v/>
      </c>
    </row>
    <row r="385" ht="15.75" customHeight="1" s="10">
      <c r="A385" s="8">
        <f>CONCAT("AD507-",TEXT(ROW()-2,"0000"))</f>
        <v/>
      </c>
      <c r="C385" s="8" t="n"/>
      <c r="F385" s="8" t="n"/>
      <c r="G385" s="8">
        <f>IF(F385&lt;&gt;"",HYPERLINK("https://www.google.com/maps/search/?api=1&amp;query="&amp;SUBSTITUTE(F385," ",""),"🗺 Google Maps"),"")</f>
        <v/>
      </c>
      <c r="H385" s="8">
        <f>IF(F385&lt;&gt;"",HYPERLINK("https://waze.com/ul?ll="&amp;SUBSTITUTE(F385," ","")&amp;"&amp;navigate=yes","🚗 Waze"),"")</f>
        <v/>
      </c>
      <c r="I385" s="8">
        <f>IF(F385&lt;&gt;"",HYPERLINK("https://m.uber.com/ul/?action=setPickup&amp;pickup=my_location&amp;dropoff[latitude]="&amp;LEFT(SUBSTITUTE(F385," ",""),FIND(",",SUBSTITUTE(F385," ",""))-1)&amp;"&amp;dropoff[longitude]="&amp;MID(SUBSTITUTE(F385," ",""),FIND(",",SUBSTITUTE(F385," ",""))+1,99),"🚕 Uber"),"")</f>
        <v/>
      </c>
      <c r="J385" s="8">
        <f>IF(F385&lt;&gt;"","https://api.qrserver.com/v1/create-qr-code/?size=200x200&amp;data="&amp;ENCODEURL("https://www.google.com/maps/search/?api=1&amp;query="&amp;SUBSTITUTE(F385," ","")),"")</f>
        <v/>
      </c>
      <c r="K385" s="8">
        <f>IF(C385&lt;&gt;"",HYPERLINK("https://wa.me/507"&amp;REGEXREPLACE(C385,"[^0-9]","")&amp;"?text="&amp;ENCODEURL("Ya llegue. Codigo: "&amp;A385&amp;". Ubicacion: "&amp;"https://www.google.com/maps/search/?api=1&amp;query="&amp;SUBSTITUTE(F385," ","")),"📲 Avisar al cliente"),"")</f>
        <v/>
      </c>
      <c r="L385" s="8">
        <f>IF(C385&lt;&gt;"","https://api.qrserver.com/v1/create-qr-code/?size=200x200&amp;data="&amp;ENCODEURL("https://wa.me/507"&amp;REGEXREPLACE(C385,"[^0-9]","")&amp;"?text="&amp;ENCODEURL("Ya llegue. Codigo: "&amp;A385&amp;". Ubicacion: "&amp;"https://www.google.com/maps/search/?api=1&amp;query="&amp;SUBSTITUTE(F385," ",""))),"")</f>
        <v/>
      </c>
      <c r="M385" s="8">
        <f>IF(B385&lt;&gt;"",TODAY(),"")</f>
        <v/>
      </c>
      <c r="N385" s="8">
        <f>IF(F385&lt;&gt;"",IFERROR(IF(AND(REGEXMATCH(SUBSTITUTE(TRIM(F385)," ",""),"^-?\d+(\.\d+)?,-?\d+(\.\d+)?$"),VALUE(REGEXEXTRACT(SUBSTITUTE(TRIM(F385)," ",""),"^-?\d+(\.\d+)?"))&gt;=-90,VALUE(REGEXEXTRACT(SUBSTITUTE(TRIM(F385)," ",""),"^-?\d+(\.\d+)?"))&lt;=90,VALUE(REGEXEXTRACT(SUBSTITUTE(TRIM(F385)," ",""),"-?\d+(\.\d+)?$"))&gt;=-180,VALUE(REGEXEXTRACT(SUBSTITUTE(TRIM(F385)," ",""),"-?\d+(\.\d+)?$"))&lt;=180),"OK","REVISAR"),"REVISAR"),"")</f>
        <v/>
      </c>
      <c r="O385">
        <f>IF(A385&lt;&gt;"","https://direcciones507.github.io/direcciones507/panel.html?codigo="&amp;A385&amp;"&amp;nombre="&amp;ENCODEURL(B385)&amp;"&amp;telefono="&amp;SUBSTITUTE(C385,"-","")&amp;"&amp;referencia="&amp;ENCODEURL(E385)&amp;"&amp;lat="&amp;IZQUIERDA(SUBSTITUTE(F385," ",""),ENCONTRAR(",",SUBSTITUTE(F385," ",""))-1)&amp;"&amp;lng="&amp;DERECHA(SUBSTITUTE(F385," ",""),LARGO(SUBSTITUTE(F385," ",""))-ENCONTRAR(",",SUBSTITUTE(F385," ",""))),"")</f>
        <v/>
      </c>
    </row>
    <row r="386" ht="15.75" customHeight="1" s="10">
      <c r="A386" s="8">
        <f>CONCAT("AD507-",TEXT(ROW()-2,"0000"))</f>
        <v/>
      </c>
      <c r="C386" s="8" t="n"/>
      <c r="F386" s="8" t="n"/>
      <c r="G386" s="8">
        <f>IF(F386&lt;&gt;"",HYPERLINK("https://www.google.com/maps/search/?api=1&amp;query="&amp;SUBSTITUTE(F386," ",""),"🗺 Google Maps"),"")</f>
        <v/>
      </c>
      <c r="H386" s="8">
        <f>IF(F386&lt;&gt;"",HYPERLINK("https://waze.com/ul?ll="&amp;SUBSTITUTE(F386," ","")&amp;"&amp;navigate=yes","🚗 Waze"),"")</f>
        <v/>
      </c>
      <c r="I386" s="8">
        <f>IF(F386&lt;&gt;"",HYPERLINK("https://m.uber.com/ul/?action=setPickup&amp;pickup=my_location&amp;dropoff[latitude]="&amp;LEFT(SUBSTITUTE(F386," ",""),FIND(",",SUBSTITUTE(F386," ",""))-1)&amp;"&amp;dropoff[longitude]="&amp;MID(SUBSTITUTE(F386," ",""),FIND(",",SUBSTITUTE(F386," ",""))+1,99),"🚕 Uber"),"")</f>
        <v/>
      </c>
      <c r="J386" s="8">
        <f>IF(F386&lt;&gt;"","https://api.qrserver.com/v1/create-qr-code/?size=200x200&amp;data="&amp;ENCODEURL("https://www.google.com/maps/search/?api=1&amp;query="&amp;SUBSTITUTE(F386," ","")),"")</f>
        <v/>
      </c>
      <c r="K386" s="8">
        <f>IF(C386&lt;&gt;"",HYPERLINK("https://wa.me/507"&amp;REGEXREPLACE(C386,"[^0-9]","")&amp;"?text="&amp;ENCODEURL("Ya llegue. Codigo: "&amp;A386&amp;". Ubicacion: "&amp;"https://www.google.com/maps/search/?api=1&amp;query="&amp;SUBSTITUTE(F386," ","")),"📲 Avisar al cliente"),"")</f>
        <v/>
      </c>
      <c r="L386" s="8">
        <f>IF(C386&lt;&gt;"","https://api.qrserver.com/v1/create-qr-code/?size=200x200&amp;data="&amp;ENCODEURL("https://wa.me/507"&amp;REGEXREPLACE(C386,"[^0-9]","")&amp;"?text="&amp;ENCODEURL("Ya llegue. Codigo: "&amp;A386&amp;". Ubicacion: "&amp;"https://www.google.com/maps/search/?api=1&amp;query="&amp;SUBSTITUTE(F386," ",""))),"")</f>
        <v/>
      </c>
      <c r="M386" s="8">
        <f>IF(B386&lt;&gt;"",TODAY(),"")</f>
        <v/>
      </c>
      <c r="N386" s="8">
        <f>IF(F386&lt;&gt;"",IFERROR(IF(AND(REGEXMATCH(SUBSTITUTE(TRIM(F386)," ",""),"^-?\d+(\.\d+)?,-?\d+(\.\d+)?$"),VALUE(REGEXEXTRACT(SUBSTITUTE(TRIM(F386)," ",""),"^-?\d+(\.\d+)?"))&gt;=-90,VALUE(REGEXEXTRACT(SUBSTITUTE(TRIM(F386)," ",""),"^-?\d+(\.\d+)?"))&lt;=90,VALUE(REGEXEXTRACT(SUBSTITUTE(TRIM(F386)," ",""),"-?\d+(\.\d+)?$"))&gt;=-180,VALUE(REGEXEXTRACT(SUBSTITUTE(TRIM(F386)," ",""),"-?\d+(\.\d+)?$"))&lt;=180),"OK","REVISAR"),"REVISAR"),"")</f>
        <v/>
      </c>
      <c r="O386">
        <f>IF(A386&lt;&gt;"","https://direcciones507.github.io/direcciones507/panel.html?codigo="&amp;A386&amp;"&amp;nombre="&amp;ENCODEURL(B386)&amp;"&amp;telefono="&amp;SUBSTITUTE(C386,"-","")&amp;"&amp;referencia="&amp;ENCODEURL(E386)&amp;"&amp;lat="&amp;IZQUIERDA(SUBSTITUTE(F386," ",""),ENCONTRAR(",",SUBSTITUTE(F386," ",""))-1)&amp;"&amp;lng="&amp;DERECHA(SUBSTITUTE(F386," ",""),LARGO(SUBSTITUTE(F386," ",""))-ENCONTRAR(",",SUBSTITUTE(F386," ",""))),"")</f>
        <v/>
      </c>
    </row>
    <row r="387" ht="15.75" customHeight="1" s="10">
      <c r="A387" s="8">
        <f>CONCAT("AD507-",TEXT(ROW()-2,"0000"))</f>
        <v/>
      </c>
      <c r="C387" s="8" t="n"/>
      <c r="F387" s="8" t="n"/>
      <c r="G387" s="8">
        <f>IF(F387&lt;&gt;"",HYPERLINK("https://www.google.com/maps/search/?api=1&amp;query="&amp;SUBSTITUTE(F387," ",""),"🗺 Google Maps"),"")</f>
        <v/>
      </c>
      <c r="H387" s="8">
        <f>IF(F387&lt;&gt;"",HYPERLINK("https://waze.com/ul?ll="&amp;SUBSTITUTE(F387," ","")&amp;"&amp;navigate=yes","🚗 Waze"),"")</f>
        <v/>
      </c>
      <c r="I387" s="8">
        <f>IF(F387&lt;&gt;"",HYPERLINK("https://m.uber.com/ul/?action=setPickup&amp;pickup=my_location&amp;dropoff[latitude]="&amp;LEFT(SUBSTITUTE(F387," ",""),FIND(",",SUBSTITUTE(F387," ",""))-1)&amp;"&amp;dropoff[longitude]="&amp;MID(SUBSTITUTE(F387," ",""),FIND(",",SUBSTITUTE(F387," ",""))+1,99),"🚕 Uber"),"")</f>
        <v/>
      </c>
      <c r="J387" s="8">
        <f>IF(F387&lt;&gt;"","https://api.qrserver.com/v1/create-qr-code/?size=200x200&amp;data="&amp;ENCODEURL("https://www.google.com/maps/search/?api=1&amp;query="&amp;SUBSTITUTE(F387," ","")),"")</f>
        <v/>
      </c>
      <c r="K387" s="8">
        <f>IF(C387&lt;&gt;"",HYPERLINK("https://wa.me/507"&amp;REGEXREPLACE(C387,"[^0-9]","")&amp;"?text="&amp;ENCODEURL("Ya llegue. Codigo: "&amp;A387&amp;". Ubicacion: "&amp;"https://www.google.com/maps/search/?api=1&amp;query="&amp;SUBSTITUTE(F387," ","")),"📲 Avisar al cliente"),"")</f>
        <v/>
      </c>
      <c r="L387" s="8">
        <f>IF(C387&lt;&gt;"","https://api.qrserver.com/v1/create-qr-code/?size=200x200&amp;data="&amp;ENCODEURL("https://wa.me/507"&amp;REGEXREPLACE(C387,"[^0-9]","")&amp;"?text="&amp;ENCODEURL("Ya llegue. Codigo: "&amp;A387&amp;". Ubicacion: "&amp;"https://www.google.com/maps/search/?api=1&amp;query="&amp;SUBSTITUTE(F387," ",""))),"")</f>
        <v/>
      </c>
      <c r="M387" s="8">
        <f>IF(B387&lt;&gt;"",TODAY(),"")</f>
        <v/>
      </c>
      <c r="N387" s="8">
        <f>IF(F387&lt;&gt;"",IFERROR(IF(AND(REGEXMATCH(SUBSTITUTE(TRIM(F387)," ",""),"^-?\d+(\.\d+)?,-?\d+(\.\d+)?$"),VALUE(REGEXEXTRACT(SUBSTITUTE(TRIM(F387)," ",""),"^-?\d+(\.\d+)?"))&gt;=-90,VALUE(REGEXEXTRACT(SUBSTITUTE(TRIM(F387)," ",""),"^-?\d+(\.\d+)?"))&lt;=90,VALUE(REGEXEXTRACT(SUBSTITUTE(TRIM(F387)," ",""),"-?\d+(\.\d+)?$"))&gt;=-180,VALUE(REGEXEXTRACT(SUBSTITUTE(TRIM(F387)," ",""),"-?\d+(\.\d+)?$"))&lt;=180),"OK","REVISAR"),"REVISAR"),"")</f>
        <v/>
      </c>
      <c r="O387">
        <f>IF(A387&lt;&gt;"","https://direcciones507.github.io/direcciones507/panel.html?codigo="&amp;A387&amp;"&amp;nombre="&amp;ENCODEURL(B387)&amp;"&amp;telefono="&amp;SUBSTITUTE(C387,"-","")&amp;"&amp;referencia="&amp;ENCODEURL(E387)&amp;"&amp;lat="&amp;IZQUIERDA(SUBSTITUTE(F387," ",""),ENCONTRAR(",",SUBSTITUTE(F387," ",""))-1)&amp;"&amp;lng="&amp;DERECHA(SUBSTITUTE(F387," ",""),LARGO(SUBSTITUTE(F387," ",""))-ENCONTRAR(",",SUBSTITUTE(F387," ",""))),"")</f>
        <v/>
      </c>
    </row>
    <row r="388" ht="15.75" customHeight="1" s="10">
      <c r="A388" s="8">
        <f>CONCAT("AD507-",TEXT(ROW()-2,"0000"))</f>
        <v/>
      </c>
      <c r="C388" s="8" t="n"/>
      <c r="F388" s="8" t="n"/>
      <c r="G388" s="8">
        <f>IF(F388&lt;&gt;"",HYPERLINK("https://www.google.com/maps/search/?api=1&amp;query="&amp;SUBSTITUTE(F388," ",""),"🗺 Google Maps"),"")</f>
        <v/>
      </c>
      <c r="H388" s="8">
        <f>IF(F388&lt;&gt;"",HYPERLINK("https://waze.com/ul?ll="&amp;SUBSTITUTE(F388," ","")&amp;"&amp;navigate=yes","🚗 Waze"),"")</f>
        <v/>
      </c>
      <c r="I388" s="8">
        <f>IF(F388&lt;&gt;"",HYPERLINK("https://m.uber.com/ul/?action=setPickup&amp;pickup=my_location&amp;dropoff[latitude]="&amp;LEFT(SUBSTITUTE(F388," ",""),FIND(",",SUBSTITUTE(F388," ",""))-1)&amp;"&amp;dropoff[longitude]="&amp;MID(SUBSTITUTE(F388," ",""),FIND(",",SUBSTITUTE(F388," ",""))+1,99),"🚕 Uber"),"")</f>
        <v/>
      </c>
      <c r="J388" s="8">
        <f>IF(F388&lt;&gt;"","https://api.qrserver.com/v1/create-qr-code/?size=200x200&amp;data="&amp;ENCODEURL("https://www.google.com/maps/search/?api=1&amp;query="&amp;SUBSTITUTE(F388," ","")),"")</f>
        <v/>
      </c>
      <c r="K388" s="8">
        <f>IF(C388&lt;&gt;"",HYPERLINK("https://wa.me/507"&amp;REGEXREPLACE(C388,"[^0-9]","")&amp;"?text="&amp;ENCODEURL("Ya llegue. Codigo: "&amp;A388&amp;". Ubicacion: "&amp;"https://www.google.com/maps/search/?api=1&amp;query="&amp;SUBSTITUTE(F388," ","")),"📲 Avisar al cliente"),"")</f>
        <v/>
      </c>
      <c r="L388" s="8">
        <f>IF(C388&lt;&gt;"","https://api.qrserver.com/v1/create-qr-code/?size=200x200&amp;data="&amp;ENCODEURL("https://wa.me/507"&amp;REGEXREPLACE(C388,"[^0-9]","")&amp;"?text="&amp;ENCODEURL("Ya llegue. Codigo: "&amp;A388&amp;". Ubicacion: "&amp;"https://www.google.com/maps/search/?api=1&amp;query="&amp;SUBSTITUTE(F388," ",""))),"")</f>
        <v/>
      </c>
      <c r="M388" s="8">
        <f>IF(B388&lt;&gt;"",TODAY(),"")</f>
        <v/>
      </c>
      <c r="N388" s="8">
        <f>IF(F388&lt;&gt;"",IFERROR(IF(AND(REGEXMATCH(SUBSTITUTE(TRIM(F388)," ",""),"^-?\d+(\.\d+)?,-?\d+(\.\d+)?$"),VALUE(REGEXEXTRACT(SUBSTITUTE(TRIM(F388)," ",""),"^-?\d+(\.\d+)?"))&gt;=-90,VALUE(REGEXEXTRACT(SUBSTITUTE(TRIM(F388)," ",""),"^-?\d+(\.\d+)?"))&lt;=90,VALUE(REGEXEXTRACT(SUBSTITUTE(TRIM(F388)," ",""),"-?\d+(\.\d+)?$"))&gt;=-180,VALUE(REGEXEXTRACT(SUBSTITUTE(TRIM(F388)," ",""),"-?\d+(\.\d+)?$"))&lt;=180),"OK","REVISAR"),"REVISAR"),"")</f>
        <v/>
      </c>
      <c r="O388">
        <f>IF(A388&lt;&gt;"","https://direcciones507.github.io/direcciones507/panel.html?codigo="&amp;A388&amp;"&amp;nombre="&amp;ENCODEURL(B388)&amp;"&amp;telefono="&amp;SUBSTITUTE(C388,"-","")&amp;"&amp;referencia="&amp;ENCODEURL(E388)&amp;"&amp;lat="&amp;IZQUIERDA(SUBSTITUTE(F388," ",""),ENCONTRAR(",",SUBSTITUTE(F388," ",""))-1)&amp;"&amp;lng="&amp;DERECHA(SUBSTITUTE(F388," ",""),LARGO(SUBSTITUTE(F388," ",""))-ENCONTRAR(",",SUBSTITUTE(F388," ",""))),"")</f>
        <v/>
      </c>
    </row>
    <row r="389" ht="15.75" customHeight="1" s="10">
      <c r="A389" s="8">
        <f>CONCAT("AD507-",TEXT(ROW()-2,"0000"))</f>
        <v/>
      </c>
      <c r="C389" s="8" t="n"/>
      <c r="F389" s="8" t="n"/>
      <c r="G389" s="8">
        <f>IF(F389&lt;&gt;"",HYPERLINK("https://www.google.com/maps/search/?api=1&amp;query="&amp;SUBSTITUTE(F389," ",""),"🗺 Google Maps"),"")</f>
        <v/>
      </c>
      <c r="H389" s="8">
        <f>IF(F389&lt;&gt;"",HYPERLINK("https://waze.com/ul?ll="&amp;SUBSTITUTE(F389," ","")&amp;"&amp;navigate=yes","🚗 Waze"),"")</f>
        <v/>
      </c>
      <c r="I389" s="8">
        <f>IF(F389&lt;&gt;"",HYPERLINK("https://m.uber.com/ul/?action=setPickup&amp;pickup=my_location&amp;dropoff[latitude]="&amp;LEFT(SUBSTITUTE(F389," ",""),FIND(",",SUBSTITUTE(F389," ",""))-1)&amp;"&amp;dropoff[longitude]="&amp;MID(SUBSTITUTE(F389," ",""),FIND(",",SUBSTITUTE(F389," ",""))+1,99),"🚕 Uber"),"")</f>
        <v/>
      </c>
      <c r="J389" s="8">
        <f>IF(F389&lt;&gt;"","https://api.qrserver.com/v1/create-qr-code/?size=200x200&amp;data="&amp;ENCODEURL("https://www.google.com/maps/search/?api=1&amp;query="&amp;SUBSTITUTE(F389," ","")),"")</f>
        <v/>
      </c>
      <c r="K389" s="8">
        <f>IF(C389&lt;&gt;"",HYPERLINK("https://wa.me/507"&amp;REGEXREPLACE(C389,"[^0-9]","")&amp;"?text="&amp;ENCODEURL("Ya llegue. Codigo: "&amp;A389&amp;". Ubicacion: "&amp;"https://www.google.com/maps/search/?api=1&amp;query="&amp;SUBSTITUTE(F389," ","")),"📲 Avisar al cliente"),"")</f>
        <v/>
      </c>
      <c r="L389" s="8">
        <f>IF(C389&lt;&gt;"","https://api.qrserver.com/v1/create-qr-code/?size=200x200&amp;data="&amp;ENCODEURL("https://wa.me/507"&amp;REGEXREPLACE(C389,"[^0-9]","")&amp;"?text="&amp;ENCODEURL("Ya llegue. Codigo: "&amp;A389&amp;". Ubicacion: "&amp;"https://www.google.com/maps/search/?api=1&amp;query="&amp;SUBSTITUTE(F389," ",""))),"")</f>
        <v/>
      </c>
      <c r="M389" s="8">
        <f>IF(B389&lt;&gt;"",TODAY(),"")</f>
        <v/>
      </c>
      <c r="N389" s="8">
        <f>IF(F389&lt;&gt;"",IFERROR(IF(AND(REGEXMATCH(SUBSTITUTE(TRIM(F389)," ",""),"^-?\d+(\.\d+)?,-?\d+(\.\d+)?$"),VALUE(REGEXEXTRACT(SUBSTITUTE(TRIM(F389)," ",""),"^-?\d+(\.\d+)?"))&gt;=-90,VALUE(REGEXEXTRACT(SUBSTITUTE(TRIM(F389)," ",""),"^-?\d+(\.\d+)?"))&lt;=90,VALUE(REGEXEXTRACT(SUBSTITUTE(TRIM(F389)," ",""),"-?\d+(\.\d+)?$"))&gt;=-180,VALUE(REGEXEXTRACT(SUBSTITUTE(TRIM(F389)," ",""),"-?\d+(\.\d+)?$"))&lt;=180),"OK","REVISAR"),"REVISAR"),"")</f>
        <v/>
      </c>
      <c r="O389">
        <f>IF(A389&lt;&gt;"","https://direcciones507.github.io/direcciones507/panel.html?codigo="&amp;A389&amp;"&amp;nombre="&amp;ENCODEURL(B389)&amp;"&amp;telefono="&amp;SUBSTITUTE(C389,"-","")&amp;"&amp;referencia="&amp;ENCODEURL(E389)&amp;"&amp;lat="&amp;IZQUIERDA(SUBSTITUTE(F389," ",""),ENCONTRAR(",",SUBSTITUTE(F389," ",""))-1)&amp;"&amp;lng="&amp;DERECHA(SUBSTITUTE(F389," ",""),LARGO(SUBSTITUTE(F389," ",""))-ENCONTRAR(",",SUBSTITUTE(F389," ",""))),"")</f>
        <v/>
      </c>
    </row>
    <row r="390" ht="15.75" customHeight="1" s="10">
      <c r="A390" s="8">
        <f>CONCAT("AD507-",TEXT(ROW()-2,"0000"))</f>
        <v/>
      </c>
      <c r="C390" s="8" t="n"/>
      <c r="F390" s="8" t="n"/>
      <c r="G390" s="8">
        <f>IF(F390&lt;&gt;"",HYPERLINK("https://www.google.com/maps/search/?api=1&amp;query="&amp;SUBSTITUTE(F390," ",""),"🗺 Google Maps"),"")</f>
        <v/>
      </c>
      <c r="H390" s="8">
        <f>IF(F390&lt;&gt;"",HYPERLINK("https://waze.com/ul?ll="&amp;SUBSTITUTE(F390," ","")&amp;"&amp;navigate=yes","🚗 Waze"),"")</f>
        <v/>
      </c>
      <c r="I390" s="8">
        <f>IF(F390&lt;&gt;"",HYPERLINK("https://m.uber.com/ul/?action=setPickup&amp;pickup=my_location&amp;dropoff[latitude]="&amp;LEFT(SUBSTITUTE(F390," ",""),FIND(",",SUBSTITUTE(F390," ",""))-1)&amp;"&amp;dropoff[longitude]="&amp;MID(SUBSTITUTE(F390," ",""),FIND(",",SUBSTITUTE(F390," ",""))+1,99),"🚕 Uber"),"")</f>
        <v/>
      </c>
      <c r="J390" s="8">
        <f>IF(F390&lt;&gt;"","https://api.qrserver.com/v1/create-qr-code/?size=200x200&amp;data="&amp;ENCODEURL("https://www.google.com/maps/search/?api=1&amp;query="&amp;SUBSTITUTE(F390," ","")),"")</f>
        <v/>
      </c>
      <c r="K390" s="8">
        <f>IF(C390&lt;&gt;"",HYPERLINK("https://wa.me/507"&amp;REGEXREPLACE(C390,"[^0-9]","")&amp;"?text="&amp;ENCODEURL("Ya llegue. Codigo: "&amp;A390&amp;". Ubicacion: "&amp;"https://www.google.com/maps/search/?api=1&amp;query="&amp;SUBSTITUTE(F390," ","")),"📲 Avisar al cliente"),"")</f>
        <v/>
      </c>
      <c r="L390" s="8">
        <f>IF(C390&lt;&gt;"","https://api.qrserver.com/v1/create-qr-code/?size=200x200&amp;data="&amp;ENCODEURL("https://wa.me/507"&amp;REGEXREPLACE(C390,"[^0-9]","")&amp;"?text="&amp;ENCODEURL("Ya llegue. Codigo: "&amp;A390&amp;". Ubicacion: "&amp;"https://www.google.com/maps/search/?api=1&amp;query="&amp;SUBSTITUTE(F390," ",""))),"")</f>
        <v/>
      </c>
      <c r="M390" s="8">
        <f>IF(B390&lt;&gt;"",TODAY(),"")</f>
        <v/>
      </c>
      <c r="N390" s="8">
        <f>IF(F390&lt;&gt;"",IFERROR(IF(AND(REGEXMATCH(SUBSTITUTE(TRIM(F390)," ",""),"^-?\d+(\.\d+)?,-?\d+(\.\d+)?$"),VALUE(REGEXEXTRACT(SUBSTITUTE(TRIM(F390)," ",""),"^-?\d+(\.\d+)?"))&gt;=-90,VALUE(REGEXEXTRACT(SUBSTITUTE(TRIM(F390)," ",""),"^-?\d+(\.\d+)?"))&lt;=90,VALUE(REGEXEXTRACT(SUBSTITUTE(TRIM(F390)," ",""),"-?\d+(\.\d+)?$"))&gt;=-180,VALUE(REGEXEXTRACT(SUBSTITUTE(TRIM(F390)," ",""),"-?\d+(\.\d+)?$"))&lt;=180),"OK","REVISAR"),"REVISAR"),"")</f>
        <v/>
      </c>
      <c r="O390">
        <f>IF(A390&lt;&gt;"","https://direcciones507.github.io/direcciones507/panel.html?codigo="&amp;A390&amp;"&amp;nombre="&amp;ENCODEURL(B390)&amp;"&amp;telefono="&amp;SUBSTITUTE(C390,"-","")&amp;"&amp;referencia="&amp;ENCODEURL(E390)&amp;"&amp;lat="&amp;IZQUIERDA(SUBSTITUTE(F390," ",""),ENCONTRAR(",",SUBSTITUTE(F390," ",""))-1)&amp;"&amp;lng="&amp;DERECHA(SUBSTITUTE(F390," ",""),LARGO(SUBSTITUTE(F390," ",""))-ENCONTRAR(",",SUBSTITUTE(F390," ",""))),"")</f>
        <v/>
      </c>
    </row>
    <row r="391" ht="15.75" customHeight="1" s="10">
      <c r="A391" s="8">
        <f>CONCAT("AD507-",TEXT(ROW()-2,"0000"))</f>
        <v/>
      </c>
      <c r="C391" s="8" t="n"/>
      <c r="F391" s="8" t="n"/>
      <c r="G391" s="8">
        <f>IF(F391&lt;&gt;"",HYPERLINK("https://www.google.com/maps/search/?api=1&amp;query="&amp;SUBSTITUTE(F391," ",""),"🗺 Google Maps"),"")</f>
        <v/>
      </c>
      <c r="H391" s="8">
        <f>IF(F391&lt;&gt;"",HYPERLINK("https://waze.com/ul?ll="&amp;SUBSTITUTE(F391," ","")&amp;"&amp;navigate=yes","🚗 Waze"),"")</f>
        <v/>
      </c>
      <c r="I391" s="8">
        <f>IF(F391&lt;&gt;"",HYPERLINK("https://m.uber.com/ul/?action=setPickup&amp;pickup=my_location&amp;dropoff[latitude]="&amp;LEFT(SUBSTITUTE(F391," ",""),FIND(",",SUBSTITUTE(F391," ",""))-1)&amp;"&amp;dropoff[longitude]="&amp;MID(SUBSTITUTE(F391," ",""),FIND(",",SUBSTITUTE(F391," ",""))+1,99),"🚕 Uber"),"")</f>
        <v/>
      </c>
      <c r="J391" s="8">
        <f>IF(F391&lt;&gt;"","https://api.qrserver.com/v1/create-qr-code/?size=200x200&amp;data="&amp;ENCODEURL("https://www.google.com/maps/search/?api=1&amp;query="&amp;SUBSTITUTE(F391," ","")),"")</f>
        <v/>
      </c>
      <c r="K391" s="8">
        <f>IF(C391&lt;&gt;"",HYPERLINK("https://wa.me/507"&amp;REGEXREPLACE(C391,"[^0-9]","")&amp;"?text="&amp;ENCODEURL("Ya llegue. Codigo: "&amp;A391&amp;". Ubicacion: "&amp;"https://www.google.com/maps/search/?api=1&amp;query="&amp;SUBSTITUTE(F391," ","")),"📲 Avisar al cliente"),"")</f>
        <v/>
      </c>
      <c r="L391" s="8">
        <f>IF(C391&lt;&gt;"","https://api.qrserver.com/v1/create-qr-code/?size=200x200&amp;data="&amp;ENCODEURL("https://wa.me/507"&amp;REGEXREPLACE(C391,"[^0-9]","")&amp;"?text="&amp;ENCODEURL("Ya llegue. Codigo: "&amp;A391&amp;". Ubicacion: "&amp;"https://www.google.com/maps/search/?api=1&amp;query="&amp;SUBSTITUTE(F391," ",""))),"")</f>
        <v/>
      </c>
      <c r="M391" s="8">
        <f>IF(B391&lt;&gt;"",TODAY(),"")</f>
        <v/>
      </c>
      <c r="N391" s="8">
        <f>IF(F391&lt;&gt;"",IFERROR(IF(AND(REGEXMATCH(SUBSTITUTE(TRIM(F391)," ",""),"^-?\d+(\.\d+)?,-?\d+(\.\d+)?$"),VALUE(REGEXEXTRACT(SUBSTITUTE(TRIM(F391)," ",""),"^-?\d+(\.\d+)?"))&gt;=-90,VALUE(REGEXEXTRACT(SUBSTITUTE(TRIM(F391)," ",""),"^-?\d+(\.\d+)?"))&lt;=90,VALUE(REGEXEXTRACT(SUBSTITUTE(TRIM(F391)," ",""),"-?\d+(\.\d+)?$"))&gt;=-180,VALUE(REGEXEXTRACT(SUBSTITUTE(TRIM(F391)," ",""),"-?\d+(\.\d+)?$"))&lt;=180),"OK","REVISAR"),"REVISAR"),"")</f>
        <v/>
      </c>
      <c r="O391">
        <f>IF(A391&lt;&gt;"","https://direcciones507.github.io/direcciones507/panel.html?codigo="&amp;A391&amp;"&amp;nombre="&amp;ENCODEURL(B391)&amp;"&amp;telefono="&amp;SUBSTITUTE(C391,"-","")&amp;"&amp;referencia="&amp;ENCODEURL(E391)&amp;"&amp;lat="&amp;IZQUIERDA(SUBSTITUTE(F391," ",""),ENCONTRAR(",",SUBSTITUTE(F391," ",""))-1)&amp;"&amp;lng="&amp;DERECHA(SUBSTITUTE(F391," ",""),LARGO(SUBSTITUTE(F391," ",""))-ENCONTRAR(",",SUBSTITUTE(F391," ",""))),"")</f>
        <v/>
      </c>
    </row>
    <row r="392" ht="15.75" customHeight="1" s="10">
      <c r="A392" s="8">
        <f>CONCAT("AD507-",TEXT(ROW()-2,"0000"))</f>
        <v/>
      </c>
      <c r="C392" s="8" t="n"/>
      <c r="F392" s="8" t="n"/>
      <c r="G392" s="8">
        <f>IF(F392&lt;&gt;"",HYPERLINK("https://www.google.com/maps/search/?api=1&amp;query="&amp;SUBSTITUTE(F392," ",""),"🗺 Google Maps"),"")</f>
        <v/>
      </c>
      <c r="H392" s="8">
        <f>IF(F392&lt;&gt;"",HYPERLINK("https://waze.com/ul?ll="&amp;SUBSTITUTE(F392," ","")&amp;"&amp;navigate=yes","🚗 Waze"),"")</f>
        <v/>
      </c>
      <c r="I392" s="8">
        <f>IF(F392&lt;&gt;"",HYPERLINK("https://m.uber.com/ul/?action=setPickup&amp;pickup=my_location&amp;dropoff[latitude]="&amp;LEFT(SUBSTITUTE(F392," ",""),FIND(",",SUBSTITUTE(F392," ",""))-1)&amp;"&amp;dropoff[longitude]="&amp;MID(SUBSTITUTE(F392," ",""),FIND(",",SUBSTITUTE(F392," ",""))+1,99),"🚕 Uber"),"")</f>
        <v/>
      </c>
      <c r="J392" s="8">
        <f>IF(F392&lt;&gt;"","https://api.qrserver.com/v1/create-qr-code/?size=200x200&amp;data="&amp;ENCODEURL("https://www.google.com/maps/search/?api=1&amp;query="&amp;SUBSTITUTE(F392," ","")),"")</f>
        <v/>
      </c>
      <c r="K392" s="8">
        <f>IF(C392&lt;&gt;"",HYPERLINK("https://wa.me/507"&amp;REGEXREPLACE(C392,"[^0-9]","")&amp;"?text="&amp;ENCODEURL("Ya llegue. Codigo: "&amp;A392&amp;". Ubicacion: "&amp;"https://www.google.com/maps/search/?api=1&amp;query="&amp;SUBSTITUTE(F392," ","")),"📲 Avisar al cliente"),"")</f>
        <v/>
      </c>
      <c r="L392" s="8">
        <f>IF(C392&lt;&gt;"","https://api.qrserver.com/v1/create-qr-code/?size=200x200&amp;data="&amp;ENCODEURL("https://wa.me/507"&amp;REGEXREPLACE(C392,"[^0-9]","")&amp;"?text="&amp;ENCODEURL("Ya llegue. Codigo: "&amp;A392&amp;". Ubicacion: "&amp;"https://www.google.com/maps/search/?api=1&amp;query="&amp;SUBSTITUTE(F392," ",""))),"")</f>
        <v/>
      </c>
      <c r="M392" s="8">
        <f>IF(B392&lt;&gt;"",TODAY(),"")</f>
        <v/>
      </c>
      <c r="N392" s="8">
        <f>IF(F392&lt;&gt;"",IFERROR(IF(AND(REGEXMATCH(SUBSTITUTE(TRIM(F392)," ",""),"^-?\d+(\.\d+)?,-?\d+(\.\d+)?$"),VALUE(REGEXEXTRACT(SUBSTITUTE(TRIM(F392)," ",""),"^-?\d+(\.\d+)?"))&gt;=-90,VALUE(REGEXEXTRACT(SUBSTITUTE(TRIM(F392)," ",""),"^-?\d+(\.\d+)?"))&lt;=90,VALUE(REGEXEXTRACT(SUBSTITUTE(TRIM(F392)," ",""),"-?\d+(\.\d+)?$"))&gt;=-180,VALUE(REGEXEXTRACT(SUBSTITUTE(TRIM(F392)," ",""),"-?\d+(\.\d+)?$"))&lt;=180),"OK","REVISAR"),"REVISAR"),"")</f>
        <v/>
      </c>
      <c r="O392">
        <f>IF(A392&lt;&gt;"","https://direcciones507.github.io/direcciones507/panel.html?codigo="&amp;A392&amp;"&amp;nombre="&amp;ENCODEURL(B392)&amp;"&amp;telefono="&amp;SUBSTITUTE(C392,"-","")&amp;"&amp;referencia="&amp;ENCODEURL(E392)&amp;"&amp;lat="&amp;IZQUIERDA(SUBSTITUTE(F392," ",""),ENCONTRAR(",",SUBSTITUTE(F392," ",""))-1)&amp;"&amp;lng="&amp;DERECHA(SUBSTITUTE(F392," ",""),LARGO(SUBSTITUTE(F392," ",""))-ENCONTRAR(",",SUBSTITUTE(F392," ",""))),"")</f>
        <v/>
      </c>
    </row>
    <row r="393" ht="15.75" customHeight="1" s="10">
      <c r="A393" s="8">
        <f>CONCAT("AD507-",TEXT(ROW()-2,"0000"))</f>
        <v/>
      </c>
      <c r="C393" s="8" t="n"/>
      <c r="F393" s="8" t="n"/>
      <c r="G393" s="8">
        <f>IF(F393&lt;&gt;"",HYPERLINK("https://www.google.com/maps/search/?api=1&amp;query="&amp;SUBSTITUTE(F393," ",""),"🗺 Google Maps"),"")</f>
        <v/>
      </c>
      <c r="H393" s="8">
        <f>IF(F393&lt;&gt;"",HYPERLINK("https://waze.com/ul?ll="&amp;SUBSTITUTE(F393," ","")&amp;"&amp;navigate=yes","🚗 Waze"),"")</f>
        <v/>
      </c>
      <c r="I393" s="8">
        <f>IF(F393&lt;&gt;"",HYPERLINK("https://m.uber.com/ul/?action=setPickup&amp;pickup=my_location&amp;dropoff[latitude]="&amp;LEFT(SUBSTITUTE(F393," ",""),FIND(",",SUBSTITUTE(F393," ",""))-1)&amp;"&amp;dropoff[longitude]="&amp;MID(SUBSTITUTE(F393," ",""),FIND(",",SUBSTITUTE(F393," ",""))+1,99),"🚕 Uber"),"")</f>
        <v/>
      </c>
      <c r="J393" s="8">
        <f>IF(F393&lt;&gt;"","https://api.qrserver.com/v1/create-qr-code/?size=200x200&amp;data="&amp;ENCODEURL("https://www.google.com/maps/search/?api=1&amp;query="&amp;SUBSTITUTE(F393," ","")),"")</f>
        <v/>
      </c>
      <c r="K393" s="8">
        <f>IF(C393&lt;&gt;"",HYPERLINK("https://wa.me/507"&amp;REGEXREPLACE(C393,"[^0-9]","")&amp;"?text="&amp;ENCODEURL("Ya llegue. Codigo: "&amp;A393&amp;". Ubicacion: "&amp;"https://www.google.com/maps/search/?api=1&amp;query="&amp;SUBSTITUTE(F393," ","")),"📲 Avisar al cliente"),"")</f>
        <v/>
      </c>
      <c r="L393" s="8">
        <f>IF(C393&lt;&gt;"","https://api.qrserver.com/v1/create-qr-code/?size=200x200&amp;data="&amp;ENCODEURL("https://wa.me/507"&amp;REGEXREPLACE(C393,"[^0-9]","")&amp;"?text="&amp;ENCODEURL("Ya llegue. Codigo: "&amp;A393&amp;". Ubicacion: "&amp;"https://www.google.com/maps/search/?api=1&amp;query="&amp;SUBSTITUTE(F393," ",""))),"")</f>
        <v/>
      </c>
      <c r="M393" s="8">
        <f>IF(B393&lt;&gt;"",TODAY(),"")</f>
        <v/>
      </c>
      <c r="N393" s="8">
        <f>IF(F393&lt;&gt;"",IFERROR(IF(AND(REGEXMATCH(SUBSTITUTE(TRIM(F393)," ",""),"^-?\d+(\.\d+)?,-?\d+(\.\d+)?$"),VALUE(REGEXEXTRACT(SUBSTITUTE(TRIM(F393)," ",""),"^-?\d+(\.\d+)?"))&gt;=-90,VALUE(REGEXEXTRACT(SUBSTITUTE(TRIM(F393)," ",""),"^-?\d+(\.\d+)?"))&lt;=90,VALUE(REGEXEXTRACT(SUBSTITUTE(TRIM(F393)," ",""),"-?\d+(\.\d+)?$"))&gt;=-180,VALUE(REGEXEXTRACT(SUBSTITUTE(TRIM(F393)," ",""),"-?\d+(\.\d+)?$"))&lt;=180),"OK","REVISAR"),"REVISAR"),"")</f>
        <v/>
      </c>
      <c r="O393">
        <f>IF(A393&lt;&gt;"","https://direcciones507.github.io/direcciones507/panel.html?codigo="&amp;A393&amp;"&amp;nombre="&amp;ENCODEURL(B393)&amp;"&amp;telefono="&amp;SUBSTITUTE(C393,"-","")&amp;"&amp;referencia="&amp;ENCODEURL(E393)&amp;"&amp;lat="&amp;IZQUIERDA(SUBSTITUTE(F393," ",""),ENCONTRAR(",",SUBSTITUTE(F393," ",""))-1)&amp;"&amp;lng="&amp;DERECHA(SUBSTITUTE(F393," ",""),LARGO(SUBSTITUTE(F393," ",""))-ENCONTRAR(",",SUBSTITUTE(F393," ",""))),"")</f>
        <v/>
      </c>
    </row>
    <row r="394" ht="15.75" customHeight="1" s="10">
      <c r="A394" s="8">
        <f>CONCAT("AD507-",TEXT(ROW()-2,"0000"))</f>
        <v/>
      </c>
      <c r="C394" s="8" t="n"/>
      <c r="F394" s="8" t="n"/>
      <c r="G394" s="8">
        <f>IF(F394&lt;&gt;"",HYPERLINK("https://www.google.com/maps/search/?api=1&amp;query="&amp;SUBSTITUTE(F394," ",""),"🗺 Google Maps"),"")</f>
        <v/>
      </c>
      <c r="H394" s="8">
        <f>IF(F394&lt;&gt;"",HYPERLINK("https://waze.com/ul?ll="&amp;SUBSTITUTE(F394," ","")&amp;"&amp;navigate=yes","🚗 Waze"),"")</f>
        <v/>
      </c>
      <c r="I394" s="8">
        <f>IF(F394&lt;&gt;"",HYPERLINK("https://m.uber.com/ul/?action=setPickup&amp;pickup=my_location&amp;dropoff[latitude]="&amp;LEFT(SUBSTITUTE(F394," ",""),FIND(",",SUBSTITUTE(F394," ",""))-1)&amp;"&amp;dropoff[longitude]="&amp;MID(SUBSTITUTE(F394," ",""),FIND(",",SUBSTITUTE(F394," ",""))+1,99),"🚕 Uber"),"")</f>
        <v/>
      </c>
      <c r="J394" s="8">
        <f>IF(F394&lt;&gt;"","https://api.qrserver.com/v1/create-qr-code/?size=200x200&amp;data="&amp;ENCODEURL("https://www.google.com/maps/search/?api=1&amp;query="&amp;SUBSTITUTE(F394," ","")),"")</f>
        <v/>
      </c>
      <c r="K394" s="8">
        <f>IF(C394&lt;&gt;"",HYPERLINK("https://wa.me/507"&amp;REGEXREPLACE(C394,"[^0-9]","")&amp;"?text="&amp;ENCODEURL("Ya llegue. Codigo: "&amp;A394&amp;". Ubicacion: "&amp;"https://www.google.com/maps/search/?api=1&amp;query="&amp;SUBSTITUTE(F394," ","")),"📲 Avisar al cliente"),"")</f>
        <v/>
      </c>
      <c r="L394" s="8">
        <f>IF(C394&lt;&gt;"","https://api.qrserver.com/v1/create-qr-code/?size=200x200&amp;data="&amp;ENCODEURL("https://wa.me/507"&amp;REGEXREPLACE(C394,"[^0-9]","")&amp;"?text="&amp;ENCODEURL("Ya llegue. Codigo: "&amp;A394&amp;". Ubicacion: "&amp;"https://www.google.com/maps/search/?api=1&amp;query="&amp;SUBSTITUTE(F394," ",""))),"")</f>
        <v/>
      </c>
      <c r="M394" s="8">
        <f>IF(B394&lt;&gt;"",TODAY(),"")</f>
        <v/>
      </c>
      <c r="N394" s="8">
        <f>IF(F394&lt;&gt;"",IFERROR(IF(AND(REGEXMATCH(SUBSTITUTE(TRIM(F394)," ",""),"^-?\d+(\.\d+)?,-?\d+(\.\d+)?$"),VALUE(REGEXEXTRACT(SUBSTITUTE(TRIM(F394)," ",""),"^-?\d+(\.\d+)?"))&gt;=-90,VALUE(REGEXEXTRACT(SUBSTITUTE(TRIM(F394)," ",""),"^-?\d+(\.\d+)?"))&lt;=90,VALUE(REGEXEXTRACT(SUBSTITUTE(TRIM(F394)," ",""),"-?\d+(\.\d+)?$"))&gt;=-180,VALUE(REGEXEXTRACT(SUBSTITUTE(TRIM(F394)," ",""),"-?\d+(\.\d+)?$"))&lt;=180),"OK","REVISAR"),"REVISAR"),"")</f>
        <v/>
      </c>
      <c r="O394">
        <f>IF(A394&lt;&gt;"","https://direcciones507.github.io/direcciones507/panel.html?codigo="&amp;A394&amp;"&amp;nombre="&amp;ENCODEURL(B394)&amp;"&amp;telefono="&amp;SUBSTITUTE(C394,"-","")&amp;"&amp;referencia="&amp;ENCODEURL(E394)&amp;"&amp;lat="&amp;IZQUIERDA(SUBSTITUTE(F394," ",""),ENCONTRAR(",",SUBSTITUTE(F394," ",""))-1)&amp;"&amp;lng="&amp;DERECHA(SUBSTITUTE(F394," ",""),LARGO(SUBSTITUTE(F394," ",""))-ENCONTRAR(",",SUBSTITUTE(F394," ",""))),"")</f>
        <v/>
      </c>
    </row>
    <row r="395" ht="15.75" customHeight="1" s="10">
      <c r="A395" s="8">
        <f>CONCAT("AD507-",TEXT(ROW()-2,"0000"))</f>
        <v/>
      </c>
      <c r="C395" s="8" t="n"/>
      <c r="F395" s="8" t="n"/>
      <c r="G395" s="8">
        <f>IF(F395&lt;&gt;"",HYPERLINK("https://www.google.com/maps/search/?api=1&amp;query="&amp;SUBSTITUTE(F395," ",""),"🗺 Google Maps"),"")</f>
        <v/>
      </c>
      <c r="H395" s="8">
        <f>IF(F395&lt;&gt;"",HYPERLINK("https://waze.com/ul?ll="&amp;SUBSTITUTE(F395," ","")&amp;"&amp;navigate=yes","🚗 Waze"),"")</f>
        <v/>
      </c>
      <c r="I395" s="8">
        <f>IF(F395&lt;&gt;"",HYPERLINK("https://m.uber.com/ul/?action=setPickup&amp;pickup=my_location&amp;dropoff[latitude]="&amp;LEFT(SUBSTITUTE(F395," ",""),FIND(",",SUBSTITUTE(F395," ",""))-1)&amp;"&amp;dropoff[longitude]="&amp;MID(SUBSTITUTE(F395," ",""),FIND(",",SUBSTITUTE(F395," ",""))+1,99),"🚕 Uber"),"")</f>
        <v/>
      </c>
      <c r="J395" s="8">
        <f>IF(F395&lt;&gt;"","https://api.qrserver.com/v1/create-qr-code/?size=200x200&amp;data="&amp;ENCODEURL("https://www.google.com/maps/search/?api=1&amp;query="&amp;SUBSTITUTE(F395," ","")),"")</f>
        <v/>
      </c>
      <c r="K395" s="8">
        <f>IF(C395&lt;&gt;"",HYPERLINK("https://wa.me/507"&amp;REGEXREPLACE(C395,"[^0-9]","")&amp;"?text="&amp;ENCODEURL("Ya llegue. Codigo: "&amp;A395&amp;". Ubicacion: "&amp;"https://www.google.com/maps/search/?api=1&amp;query="&amp;SUBSTITUTE(F395," ","")),"📲 Avisar al cliente"),"")</f>
        <v/>
      </c>
      <c r="L395" s="8">
        <f>IF(C395&lt;&gt;"","https://api.qrserver.com/v1/create-qr-code/?size=200x200&amp;data="&amp;ENCODEURL("https://wa.me/507"&amp;REGEXREPLACE(C395,"[^0-9]","")&amp;"?text="&amp;ENCODEURL("Ya llegue. Codigo: "&amp;A395&amp;". Ubicacion: "&amp;"https://www.google.com/maps/search/?api=1&amp;query="&amp;SUBSTITUTE(F395," ",""))),"")</f>
        <v/>
      </c>
      <c r="M395" s="8">
        <f>IF(B395&lt;&gt;"",TODAY(),"")</f>
        <v/>
      </c>
      <c r="N395" s="8">
        <f>IF(F395&lt;&gt;"",IFERROR(IF(AND(REGEXMATCH(SUBSTITUTE(TRIM(F395)," ",""),"^-?\d+(\.\d+)?,-?\d+(\.\d+)?$"),VALUE(REGEXEXTRACT(SUBSTITUTE(TRIM(F395)," ",""),"^-?\d+(\.\d+)?"))&gt;=-90,VALUE(REGEXEXTRACT(SUBSTITUTE(TRIM(F395)," ",""),"^-?\d+(\.\d+)?"))&lt;=90,VALUE(REGEXEXTRACT(SUBSTITUTE(TRIM(F395)," ",""),"-?\d+(\.\d+)?$"))&gt;=-180,VALUE(REGEXEXTRACT(SUBSTITUTE(TRIM(F395)," ",""),"-?\d+(\.\d+)?$"))&lt;=180),"OK","REVISAR"),"REVISAR"),"")</f>
        <v/>
      </c>
      <c r="O395">
        <f>IF(A395&lt;&gt;"","https://direcciones507.github.io/direcciones507/panel.html?codigo="&amp;A395&amp;"&amp;nombre="&amp;ENCODEURL(B395)&amp;"&amp;telefono="&amp;SUBSTITUTE(C395,"-","")&amp;"&amp;referencia="&amp;ENCODEURL(E395)&amp;"&amp;lat="&amp;IZQUIERDA(SUBSTITUTE(F395," ",""),ENCONTRAR(",",SUBSTITUTE(F395," ",""))-1)&amp;"&amp;lng="&amp;DERECHA(SUBSTITUTE(F395," ",""),LARGO(SUBSTITUTE(F395," ",""))-ENCONTRAR(",",SUBSTITUTE(F395," ",""))),"")</f>
        <v/>
      </c>
    </row>
    <row r="396" ht="15.75" customHeight="1" s="10">
      <c r="A396" s="8">
        <f>CONCAT("AD507-",TEXT(ROW()-2,"0000"))</f>
        <v/>
      </c>
      <c r="C396" s="8" t="n"/>
      <c r="F396" s="8" t="n"/>
      <c r="G396" s="8">
        <f>IF(F396&lt;&gt;"",HYPERLINK("https://www.google.com/maps/search/?api=1&amp;query="&amp;SUBSTITUTE(F396," ",""),"🗺 Google Maps"),"")</f>
        <v/>
      </c>
      <c r="H396" s="8">
        <f>IF(F396&lt;&gt;"",HYPERLINK("https://waze.com/ul?ll="&amp;SUBSTITUTE(F396," ","")&amp;"&amp;navigate=yes","🚗 Waze"),"")</f>
        <v/>
      </c>
      <c r="I396" s="8">
        <f>IF(F396&lt;&gt;"",HYPERLINK("https://m.uber.com/ul/?action=setPickup&amp;pickup=my_location&amp;dropoff[latitude]="&amp;LEFT(SUBSTITUTE(F396," ",""),FIND(",",SUBSTITUTE(F396," ",""))-1)&amp;"&amp;dropoff[longitude]="&amp;MID(SUBSTITUTE(F396," ",""),FIND(",",SUBSTITUTE(F396," ",""))+1,99),"🚕 Uber"),"")</f>
        <v/>
      </c>
      <c r="J396" s="8">
        <f>IF(F396&lt;&gt;"","https://api.qrserver.com/v1/create-qr-code/?size=200x200&amp;data="&amp;ENCODEURL("https://www.google.com/maps/search/?api=1&amp;query="&amp;SUBSTITUTE(F396," ","")),"")</f>
        <v/>
      </c>
      <c r="K396" s="8">
        <f>IF(C396&lt;&gt;"",HYPERLINK("https://wa.me/507"&amp;REGEXREPLACE(C396,"[^0-9]","")&amp;"?text="&amp;ENCODEURL("Ya llegue. Codigo: "&amp;A396&amp;". Ubicacion: "&amp;"https://www.google.com/maps/search/?api=1&amp;query="&amp;SUBSTITUTE(F396," ","")),"📲 Avisar al cliente"),"")</f>
        <v/>
      </c>
      <c r="L396" s="8">
        <f>IF(C396&lt;&gt;"","https://api.qrserver.com/v1/create-qr-code/?size=200x200&amp;data="&amp;ENCODEURL("https://wa.me/507"&amp;REGEXREPLACE(C396,"[^0-9]","")&amp;"?text="&amp;ENCODEURL("Ya llegue. Codigo: "&amp;A396&amp;". Ubicacion: "&amp;"https://www.google.com/maps/search/?api=1&amp;query="&amp;SUBSTITUTE(F396," ",""))),"")</f>
        <v/>
      </c>
      <c r="M396" s="8">
        <f>IF(B396&lt;&gt;"",TODAY(),"")</f>
        <v/>
      </c>
      <c r="N396" s="8">
        <f>IF(F396&lt;&gt;"",IFERROR(IF(AND(REGEXMATCH(SUBSTITUTE(TRIM(F396)," ",""),"^-?\d+(\.\d+)?,-?\d+(\.\d+)?$"),VALUE(REGEXEXTRACT(SUBSTITUTE(TRIM(F396)," ",""),"^-?\d+(\.\d+)?"))&gt;=-90,VALUE(REGEXEXTRACT(SUBSTITUTE(TRIM(F396)," ",""),"^-?\d+(\.\d+)?"))&lt;=90,VALUE(REGEXEXTRACT(SUBSTITUTE(TRIM(F396)," ",""),"-?\d+(\.\d+)?$"))&gt;=-180,VALUE(REGEXEXTRACT(SUBSTITUTE(TRIM(F396)," ",""),"-?\d+(\.\d+)?$"))&lt;=180),"OK","REVISAR"),"REVISAR"),"")</f>
        <v/>
      </c>
      <c r="O396">
        <f>IF(A396&lt;&gt;"","https://direcciones507.github.io/direcciones507/panel.html?codigo="&amp;A396&amp;"&amp;nombre="&amp;ENCODEURL(B396)&amp;"&amp;telefono="&amp;SUBSTITUTE(C396,"-","")&amp;"&amp;referencia="&amp;ENCODEURL(E396)&amp;"&amp;lat="&amp;IZQUIERDA(SUBSTITUTE(F396," ",""),ENCONTRAR(",",SUBSTITUTE(F396," ",""))-1)&amp;"&amp;lng="&amp;DERECHA(SUBSTITUTE(F396," ",""),LARGO(SUBSTITUTE(F396," ",""))-ENCONTRAR(",",SUBSTITUTE(F396," ",""))),"")</f>
        <v/>
      </c>
    </row>
    <row r="397" ht="15.75" customHeight="1" s="10">
      <c r="A397" s="8">
        <f>CONCAT("AD507-",TEXT(ROW()-2,"0000"))</f>
        <v/>
      </c>
      <c r="C397" s="8" t="n"/>
      <c r="F397" s="8" t="n"/>
      <c r="G397" s="8">
        <f>IF(F397&lt;&gt;"",HYPERLINK("https://www.google.com/maps/search/?api=1&amp;query="&amp;SUBSTITUTE(F397," ",""),"🗺 Google Maps"),"")</f>
        <v/>
      </c>
      <c r="H397" s="8">
        <f>IF(F397&lt;&gt;"",HYPERLINK("https://waze.com/ul?ll="&amp;SUBSTITUTE(F397," ","")&amp;"&amp;navigate=yes","🚗 Waze"),"")</f>
        <v/>
      </c>
      <c r="I397" s="8">
        <f>IF(F397&lt;&gt;"",HYPERLINK("https://m.uber.com/ul/?action=setPickup&amp;pickup=my_location&amp;dropoff[latitude]="&amp;LEFT(SUBSTITUTE(F397," ",""),FIND(",",SUBSTITUTE(F397," ",""))-1)&amp;"&amp;dropoff[longitude]="&amp;MID(SUBSTITUTE(F397," ",""),FIND(",",SUBSTITUTE(F397," ",""))+1,99),"🚕 Uber"),"")</f>
        <v/>
      </c>
      <c r="J397" s="8">
        <f>IF(F397&lt;&gt;"","https://api.qrserver.com/v1/create-qr-code/?size=200x200&amp;data="&amp;ENCODEURL("https://www.google.com/maps/search/?api=1&amp;query="&amp;SUBSTITUTE(F397," ","")),"")</f>
        <v/>
      </c>
      <c r="K397" s="8">
        <f>IF(C397&lt;&gt;"",HYPERLINK("https://wa.me/507"&amp;REGEXREPLACE(C397,"[^0-9]","")&amp;"?text="&amp;ENCODEURL("Ya llegue. Codigo: "&amp;A397&amp;". Ubicacion: "&amp;"https://www.google.com/maps/search/?api=1&amp;query="&amp;SUBSTITUTE(F397," ","")),"📲 Avisar al cliente"),"")</f>
        <v/>
      </c>
      <c r="L397" s="8">
        <f>IF(C397&lt;&gt;"","https://api.qrserver.com/v1/create-qr-code/?size=200x200&amp;data="&amp;ENCODEURL("https://wa.me/507"&amp;REGEXREPLACE(C397,"[^0-9]","")&amp;"?text="&amp;ENCODEURL("Ya llegue. Codigo: "&amp;A397&amp;". Ubicacion: "&amp;"https://www.google.com/maps/search/?api=1&amp;query="&amp;SUBSTITUTE(F397," ",""))),"")</f>
        <v/>
      </c>
      <c r="M397" s="8">
        <f>IF(B397&lt;&gt;"",TODAY(),"")</f>
        <v/>
      </c>
      <c r="N397" s="8">
        <f>IF(F397&lt;&gt;"",IFERROR(IF(AND(REGEXMATCH(SUBSTITUTE(TRIM(F397)," ",""),"^-?\d+(\.\d+)?,-?\d+(\.\d+)?$"),VALUE(REGEXEXTRACT(SUBSTITUTE(TRIM(F397)," ",""),"^-?\d+(\.\d+)?"))&gt;=-90,VALUE(REGEXEXTRACT(SUBSTITUTE(TRIM(F397)," ",""),"^-?\d+(\.\d+)?"))&lt;=90,VALUE(REGEXEXTRACT(SUBSTITUTE(TRIM(F397)," ",""),"-?\d+(\.\d+)?$"))&gt;=-180,VALUE(REGEXEXTRACT(SUBSTITUTE(TRIM(F397)," ",""),"-?\d+(\.\d+)?$"))&lt;=180),"OK","REVISAR"),"REVISAR"),"")</f>
        <v/>
      </c>
      <c r="O397">
        <f>IF(A397&lt;&gt;"","https://direcciones507.github.io/direcciones507/panel.html?codigo="&amp;A397&amp;"&amp;nombre="&amp;ENCODEURL(B397)&amp;"&amp;telefono="&amp;SUBSTITUTE(C397,"-","")&amp;"&amp;referencia="&amp;ENCODEURL(E397)&amp;"&amp;lat="&amp;IZQUIERDA(SUBSTITUTE(F397," ",""),ENCONTRAR(",",SUBSTITUTE(F397," ",""))-1)&amp;"&amp;lng="&amp;DERECHA(SUBSTITUTE(F397," ",""),LARGO(SUBSTITUTE(F397," ",""))-ENCONTRAR(",",SUBSTITUTE(F397," ",""))),"")</f>
        <v/>
      </c>
    </row>
    <row r="398" ht="15.75" customHeight="1" s="10">
      <c r="A398" s="8">
        <f>CONCAT("AD507-",TEXT(ROW()-2,"0000"))</f>
        <v/>
      </c>
      <c r="C398" s="8" t="n"/>
      <c r="F398" s="8" t="n"/>
      <c r="G398" s="8">
        <f>IF(F398&lt;&gt;"",HYPERLINK("https://www.google.com/maps/search/?api=1&amp;query="&amp;SUBSTITUTE(F398," ",""),"🗺 Google Maps"),"")</f>
        <v/>
      </c>
      <c r="H398" s="8">
        <f>IF(F398&lt;&gt;"",HYPERLINK("https://waze.com/ul?ll="&amp;SUBSTITUTE(F398," ","")&amp;"&amp;navigate=yes","🚗 Waze"),"")</f>
        <v/>
      </c>
      <c r="I398" s="8">
        <f>IF(F398&lt;&gt;"",HYPERLINK("https://m.uber.com/ul/?action=setPickup&amp;pickup=my_location&amp;dropoff[latitude]="&amp;LEFT(SUBSTITUTE(F398," ",""),FIND(",",SUBSTITUTE(F398," ",""))-1)&amp;"&amp;dropoff[longitude]="&amp;MID(SUBSTITUTE(F398," ",""),FIND(",",SUBSTITUTE(F398," ",""))+1,99),"🚕 Uber"),"")</f>
        <v/>
      </c>
      <c r="J398" s="8">
        <f>IF(F398&lt;&gt;"","https://api.qrserver.com/v1/create-qr-code/?size=200x200&amp;data="&amp;ENCODEURL("https://www.google.com/maps/search/?api=1&amp;query="&amp;SUBSTITUTE(F398," ","")),"")</f>
        <v/>
      </c>
      <c r="K398" s="8">
        <f>IF(C398&lt;&gt;"",HYPERLINK("https://wa.me/507"&amp;REGEXREPLACE(C398,"[^0-9]","")&amp;"?text="&amp;ENCODEURL("Ya llegue. Codigo: "&amp;A398&amp;". Ubicacion: "&amp;"https://www.google.com/maps/search/?api=1&amp;query="&amp;SUBSTITUTE(F398," ","")),"📲 Avisar al cliente"),"")</f>
        <v/>
      </c>
      <c r="L398" s="8">
        <f>IF(C398&lt;&gt;"","https://api.qrserver.com/v1/create-qr-code/?size=200x200&amp;data="&amp;ENCODEURL("https://wa.me/507"&amp;REGEXREPLACE(C398,"[^0-9]","")&amp;"?text="&amp;ENCODEURL("Ya llegue. Codigo: "&amp;A398&amp;". Ubicacion: "&amp;"https://www.google.com/maps/search/?api=1&amp;query="&amp;SUBSTITUTE(F398," ",""))),"")</f>
        <v/>
      </c>
      <c r="M398" s="8">
        <f>IF(B398&lt;&gt;"",TODAY(),"")</f>
        <v/>
      </c>
      <c r="N398" s="8">
        <f>IF(F398&lt;&gt;"",IFERROR(IF(AND(REGEXMATCH(SUBSTITUTE(TRIM(F398)," ",""),"^-?\d+(\.\d+)?,-?\d+(\.\d+)?$"),VALUE(REGEXEXTRACT(SUBSTITUTE(TRIM(F398)," ",""),"^-?\d+(\.\d+)?"))&gt;=-90,VALUE(REGEXEXTRACT(SUBSTITUTE(TRIM(F398)," ",""),"^-?\d+(\.\d+)?"))&lt;=90,VALUE(REGEXEXTRACT(SUBSTITUTE(TRIM(F398)," ",""),"-?\d+(\.\d+)?$"))&gt;=-180,VALUE(REGEXEXTRACT(SUBSTITUTE(TRIM(F398)," ",""),"-?\d+(\.\d+)?$"))&lt;=180),"OK","REVISAR"),"REVISAR"),"")</f>
        <v/>
      </c>
      <c r="O398">
        <f>IF(A398&lt;&gt;"","https://direcciones507.github.io/direcciones507/panel.html?codigo="&amp;A398&amp;"&amp;nombre="&amp;ENCODEURL(B398)&amp;"&amp;telefono="&amp;SUBSTITUTE(C398,"-","")&amp;"&amp;referencia="&amp;ENCODEURL(E398)&amp;"&amp;lat="&amp;IZQUIERDA(SUBSTITUTE(F398," ",""),ENCONTRAR(",",SUBSTITUTE(F398," ",""))-1)&amp;"&amp;lng="&amp;DERECHA(SUBSTITUTE(F398," ",""),LARGO(SUBSTITUTE(F398," ",""))-ENCONTRAR(",",SUBSTITUTE(F398," ",""))),"")</f>
        <v/>
      </c>
    </row>
    <row r="399" ht="15.75" customHeight="1" s="10">
      <c r="A399" s="8">
        <f>CONCAT("AD507-",TEXT(ROW()-2,"0000"))</f>
        <v/>
      </c>
      <c r="C399" s="8" t="n"/>
      <c r="F399" s="8" t="n"/>
      <c r="G399" s="8">
        <f>IF(F399&lt;&gt;"",HYPERLINK("https://www.google.com/maps/search/?api=1&amp;query="&amp;SUBSTITUTE(F399," ",""),"🗺 Google Maps"),"")</f>
        <v/>
      </c>
      <c r="H399" s="8">
        <f>IF(F399&lt;&gt;"",HYPERLINK("https://waze.com/ul?ll="&amp;SUBSTITUTE(F399," ","")&amp;"&amp;navigate=yes","🚗 Waze"),"")</f>
        <v/>
      </c>
      <c r="I399" s="8">
        <f>IF(F399&lt;&gt;"",HYPERLINK("https://m.uber.com/ul/?action=setPickup&amp;pickup=my_location&amp;dropoff[latitude]="&amp;LEFT(SUBSTITUTE(F399," ",""),FIND(",",SUBSTITUTE(F399," ",""))-1)&amp;"&amp;dropoff[longitude]="&amp;MID(SUBSTITUTE(F399," ",""),FIND(",",SUBSTITUTE(F399," ",""))+1,99),"🚕 Uber"),"")</f>
        <v/>
      </c>
      <c r="J399" s="8">
        <f>IF(F399&lt;&gt;"","https://api.qrserver.com/v1/create-qr-code/?size=200x200&amp;data="&amp;ENCODEURL("https://www.google.com/maps/search/?api=1&amp;query="&amp;SUBSTITUTE(F399," ","")),"")</f>
        <v/>
      </c>
      <c r="K399" s="8">
        <f>IF(C399&lt;&gt;"",HYPERLINK("https://wa.me/507"&amp;REGEXREPLACE(C399,"[^0-9]","")&amp;"?text="&amp;ENCODEURL("Ya llegue. Codigo: "&amp;A399&amp;". Ubicacion: "&amp;"https://www.google.com/maps/search/?api=1&amp;query="&amp;SUBSTITUTE(F399," ","")),"📲 Avisar al cliente"),"")</f>
        <v/>
      </c>
      <c r="L399" s="8">
        <f>IF(C399&lt;&gt;"","https://api.qrserver.com/v1/create-qr-code/?size=200x200&amp;data="&amp;ENCODEURL("https://wa.me/507"&amp;REGEXREPLACE(C399,"[^0-9]","")&amp;"?text="&amp;ENCODEURL("Ya llegue. Codigo: "&amp;A399&amp;". Ubicacion: "&amp;"https://www.google.com/maps/search/?api=1&amp;query="&amp;SUBSTITUTE(F399," ",""))),"")</f>
        <v/>
      </c>
      <c r="M399" s="8">
        <f>IF(B399&lt;&gt;"",TODAY(),"")</f>
        <v/>
      </c>
      <c r="N399" s="8">
        <f>IF(F399&lt;&gt;"",IFERROR(IF(AND(REGEXMATCH(SUBSTITUTE(TRIM(F399)," ",""),"^-?\d+(\.\d+)?,-?\d+(\.\d+)?$"),VALUE(REGEXEXTRACT(SUBSTITUTE(TRIM(F399)," ",""),"^-?\d+(\.\d+)?"))&gt;=-90,VALUE(REGEXEXTRACT(SUBSTITUTE(TRIM(F399)," ",""),"^-?\d+(\.\d+)?"))&lt;=90,VALUE(REGEXEXTRACT(SUBSTITUTE(TRIM(F399)," ",""),"-?\d+(\.\d+)?$"))&gt;=-180,VALUE(REGEXEXTRACT(SUBSTITUTE(TRIM(F399)," ",""),"-?\d+(\.\d+)?$"))&lt;=180),"OK","REVISAR"),"REVISAR"),"")</f>
        <v/>
      </c>
      <c r="O399">
        <f>IF(A399&lt;&gt;"","https://direcciones507.github.io/direcciones507/panel.html?codigo="&amp;A399&amp;"&amp;nombre="&amp;ENCODEURL(B399)&amp;"&amp;telefono="&amp;SUBSTITUTE(C399,"-","")&amp;"&amp;referencia="&amp;ENCODEURL(E399)&amp;"&amp;lat="&amp;IZQUIERDA(SUBSTITUTE(F399," ",""),ENCONTRAR(",",SUBSTITUTE(F399," ",""))-1)&amp;"&amp;lng="&amp;DERECHA(SUBSTITUTE(F399," ",""),LARGO(SUBSTITUTE(F399," ",""))-ENCONTRAR(",",SUBSTITUTE(F399," ",""))),"")</f>
        <v/>
      </c>
    </row>
    <row r="400" ht="15.75" customHeight="1" s="10">
      <c r="A400" s="8">
        <f>CONCAT("AD507-",TEXT(ROW()-2,"0000"))</f>
        <v/>
      </c>
      <c r="C400" s="8" t="n"/>
      <c r="F400" s="8" t="n"/>
      <c r="G400" s="8">
        <f>IF(F400&lt;&gt;"",HYPERLINK("https://www.google.com/maps/search/?api=1&amp;query="&amp;SUBSTITUTE(F400," ",""),"🗺 Google Maps"),"")</f>
        <v/>
      </c>
      <c r="H400" s="8">
        <f>IF(F400&lt;&gt;"",HYPERLINK("https://waze.com/ul?ll="&amp;SUBSTITUTE(F400," ","")&amp;"&amp;navigate=yes","🚗 Waze"),"")</f>
        <v/>
      </c>
      <c r="I400" s="8">
        <f>IF(F400&lt;&gt;"",HYPERLINK("https://m.uber.com/ul/?action=setPickup&amp;pickup=my_location&amp;dropoff[latitude]="&amp;LEFT(SUBSTITUTE(F400," ",""),FIND(",",SUBSTITUTE(F400," ",""))-1)&amp;"&amp;dropoff[longitude]="&amp;MID(SUBSTITUTE(F400," ",""),FIND(",",SUBSTITUTE(F400," ",""))+1,99),"🚕 Uber"),"")</f>
        <v/>
      </c>
      <c r="J400" s="8">
        <f>IF(F400&lt;&gt;"","https://api.qrserver.com/v1/create-qr-code/?size=200x200&amp;data="&amp;ENCODEURL("https://www.google.com/maps/search/?api=1&amp;query="&amp;SUBSTITUTE(F400," ","")),"")</f>
        <v/>
      </c>
      <c r="K400" s="8">
        <f>IF(C400&lt;&gt;"",HYPERLINK("https://wa.me/507"&amp;REGEXREPLACE(C400,"[^0-9]","")&amp;"?text="&amp;ENCODEURL("Ya llegue. Codigo: "&amp;A400&amp;". Ubicacion: "&amp;"https://www.google.com/maps/search/?api=1&amp;query="&amp;SUBSTITUTE(F400," ","")),"📲 Avisar al cliente"),"")</f>
        <v/>
      </c>
      <c r="L400" s="8">
        <f>IF(C400&lt;&gt;"","https://api.qrserver.com/v1/create-qr-code/?size=200x200&amp;data="&amp;ENCODEURL("https://wa.me/507"&amp;REGEXREPLACE(C400,"[^0-9]","")&amp;"?text="&amp;ENCODEURL("Ya llegue. Codigo: "&amp;A400&amp;". Ubicacion: "&amp;"https://www.google.com/maps/search/?api=1&amp;query="&amp;SUBSTITUTE(F400," ",""))),"")</f>
        <v/>
      </c>
      <c r="M400" s="8">
        <f>IF(B400&lt;&gt;"",TODAY(),"")</f>
        <v/>
      </c>
      <c r="N400" s="8">
        <f>IF(F400&lt;&gt;"",IFERROR(IF(AND(REGEXMATCH(SUBSTITUTE(TRIM(F400)," ",""),"^-?\d+(\.\d+)?,-?\d+(\.\d+)?$"),VALUE(REGEXEXTRACT(SUBSTITUTE(TRIM(F400)," ",""),"^-?\d+(\.\d+)?"))&gt;=-90,VALUE(REGEXEXTRACT(SUBSTITUTE(TRIM(F400)," ",""),"^-?\d+(\.\d+)?"))&lt;=90,VALUE(REGEXEXTRACT(SUBSTITUTE(TRIM(F400)," ",""),"-?\d+(\.\d+)?$"))&gt;=-180,VALUE(REGEXEXTRACT(SUBSTITUTE(TRIM(F400)," ",""),"-?\d+(\.\d+)?$"))&lt;=180),"OK","REVISAR"),"REVISAR"),"")</f>
        <v/>
      </c>
      <c r="O400">
        <f>IF(A400&lt;&gt;"","https://direcciones507.github.io/direcciones507/panel.html?codigo="&amp;A400&amp;"&amp;nombre="&amp;ENCODEURL(B400)&amp;"&amp;telefono="&amp;SUBSTITUTE(C400,"-","")&amp;"&amp;referencia="&amp;ENCODEURL(E400)&amp;"&amp;lat="&amp;IZQUIERDA(SUBSTITUTE(F400," ",""),ENCONTRAR(",",SUBSTITUTE(F400," ",""))-1)&amp;"&amp;lng="&amp;DERECHA(SUBSTITUTE(F400," ",""),LARGO(SUBSTITUTE(F400," ",""))-ENCONTRAR(",",SUBSTITUTE(F400," ",""))),"")</f>
        <v/>
      </c>
    </row>
    <row r="401" ht="15.75" customHeight="1" s="10">
      <c r="A401" s="8">
        <f>CONCAT("AD507-",TEXT(ROW()-2,"0000"))</f>
        <v/>
      </c>
      <c r="C401" s="8" t="n"/>
      <c r="F401" s="8" t="n"/>
      <c r="G401" s="8">
        <f>IF(F401&lt;&gt;"",HYPERLINK("https://www.google.com/maps/search/?api=1&amp;query="&amp;SUBSTITUTE(F401," ",""),"🗺 Google Maps"),"")</f>
        <v/>
      </c>
      <c r="H401" s="8">
        <f>IF(F401&lt;&gt;"",HYPERLINK("https://waze.com/ul?ll="&amp;SUBSTITUTE(F401," ","")&amp;"&amp;navigate=yes","🚗 Waze"),"")</f>
        <v/>
      </c>
      <c r="I401" s="8">
        <f>IF(F401&lt;&gt;"",HYPERLINK("https://m.uber.com/ul/?action=setPickup&amp;pickup=my_location&amp;dropoff[latitude]="&amp;LEFT(SUBSTITUTE(F401," ",""),FIND(",",SUBSTITUTE(F401," ",""))-1)&amp;"&amp;dropoff[longitude]="&amp;MID(SUBSTITUTE(F401," ",""),FIND(",",SUBSTITUTE(F401," ",""))+1,99),"🚕 Uber"),"")</f>
        <v/>
      </c>
      <c r="J401" s="8">
        <f>IF(F401&lt;&gt;"","https://api.qrserver.com/v1/create-qr-code/?size=200x200&amp;data="&amp;ENCODEURL("https://www.google.com/maps/search/?api=1&amp;query="&amp;SUBSTITUTE(F401," ","")),"")</f>
        <v/>
      </c>
      <c r="K401" s="8">
        <f>IF(C401&lt;&gt;"",HYPERLINK("https://wa.me/507"&amp;REGEXREPLACE(C401,"[^0-9]","")&amp;"?text="&amp;ENCODEURL("Ya llegue. Codigo: "&amp;A401&amp;". Ubicacion: "&amp;"https://www.google.com/maps/search/?api=1&amp;query="&amp;SUBSTITUTE(F401," ","")),"📲 Avisar al cliente"),"")</f>
        <v/>
      </c>
      <c r="L401" s="8">
        <f>IF(C401&lt;&gt;"","https://api.qrserver.com/v1/create-qr-code/?size=200x200&amp;data="&amp;ENCODEURL("https://wa.me/507"&amp;REGEXREPLACE(C401,"[^0-9]","")&amp;"?text="&amp;ENCODEURL("Ya llegue. Codigo: "&amp;A401&amp;". Ubicacion: "&amp;"https://www.google.com/maps/search/?api=1&amp;query="&amp;SUBSTITUTE(F401," ",""))),"")</f>
        <v/>
      </c>
      <c r="M401" s="8">
        <f>IF(B401&lt;&gt;"",TODAY(),"")</f>
        <v/>
      </c>
      <c r="N401" s="8">
        <f>IF(F401&lt;&gt;"",IFERROR(IF(AND(REGEXMATCH(SUBSTITUTE(TRIM(F401)," ",""),"^-?\d+(\.\d+)?,-?\d+(\.\d+)?$"),VALUE(REGEXEXTRACT(SUBSTITUTE(TRIM(F401)," ",""),"^-?\d+(\.\d+)?"))&gt;=-90,VALUE(REGEXEXTRACT(SUBSTITUTE(TRIM(F401)," ",""),"^-?\d+(\.\d+)?"))&lt;=90,VALUE(REGEXEXTRACT(SUBSTITUTE(TRIM(F401)," ",""),"-?\d+(\.\d+)?$"))&gt;=-180,VALUE(REGEXEXTRACT(SUBSTITUTE(TRIM(F401)," ",""),"-?\d+(\.\d+)?$"))&lt;=180),"OK","REVISAR"),"REVISAR"),"")</f>
        <v/>
      </c>
      <c r="O401">
        <f>IF(A401&lt;&gt;"","https://direcciones507.github.io/direcciones507/panel.html?codigo="&amp;A401&amp;"&amp;nombre="&amp;ENCODEURL(B401)&amp;"&amp;telefono="&amp;SUBSTITUTE(C401,"-","")&amp;"&amp;referencia="&amp;ENCODEURL(E401)&amp;"&amp;lat="&amp;IZQUIERDA(SUBSTITUTE(F401," ",""),ENCONTRAR(",",SUBSTITUTE(F401," ",""))-1)&amp;"&amp;lng="&amp;DERECHA(SUBSTITUTE(F401," ",""),LARGO(SUBSTITUTE(F401," ",""))-ENCONTRAR(",",SUBSTITUTE(F401," ",""))),"")</f>
        <v/>
      </c>
    </row>
    <row r="402" ht="15.75" customHeight="1" s="10">
      <c r="A402" s="8">
        <f>CONCAT("AD507-",TEXT(ROW()-2,"0000"))</f>
        <v/>
      </c>
      <c r="C402" s="8" t="n"/>
      <c r="F402" s="8" t="n"/>
      <c r="G402" s="8">
        <f>IF(F402&lt;&gt;"",HYPERLINK("https://www.google.com/maps/search/?api=1&amp;query="&amp;SUBSTITUTE(F402," ",""),"🗺 Google Maps"),"")</f>
        <v/>
      </c>
      <c r="H402" s="8">
        <f>IF(F402&lt;&gt;"",HYPERLINK("https://waze.com/ul?ll="&amp;SUBSTITUTE(F402," ","")&amp;"&amp;navigate=yes","🚗 Waze"),"")</f>
        <v/>
      </c>
      <c r="I402" s="8">
        <f>IF(F402&lt;&gt;"",HYPERLINK("https://m.uber.com/ul/?action=setPickup&amp;pickup=my_location&amp;dropoff[latitude]="&amp;LEFT(SUBSTITUTE(F402," ",""),FIND(",",SUBSTITUTE(F402," ",""))-1)&amp;"&amp;dropoff[longitude]="&amp;MID(SUBSTITUTE(F402," ",""),FIND(",",SUBSTITUTE(F402," ",""))+1,99),"🚕 Uber"),"")</f>
        <v/>
      </c>
      <c r="J402" s="8">
        <f>IF(F402&lt;&gt;"","https://api.qrserver.com/v1/create-qr-code/?size=200x200&amp;data="&amp;ENCODEURL("https://www.google.com/maps/search/?api=1&amp;query="&amp;SUBSTITUTE(F402," ","")),"")</f>
        <v/>
      </c>
      <c r="K402" s="8">
        <f>IF(C402&lt;&gt;"",HYPERLINK("https://wa.me/507"&amp;REGEXREPLACE(C402,"[^0-9]","")&amp;"?text="&amp;ENCODEURL("Ya llegue. Codigo: "&amp;A402&amp;". Ubicacion: "&amp;"https://www.google.com/maps/search/?api=1&amp;query="&amp;SUBSTITUTE(F402," ","")),"📲 Avisar al cliente"),"")</f>
        <v/>
      </c>
      <c r="L402" s="8">
        <f>IF(C402&lt;&gt;"","https://api.qrserver.com/v1/create-qr-code/?size=200x200&amp;data="&amp;ENCODEURL("https://wa.me/507"&amp;REGEXREPLACE(C402,"[^0-9]","")&amp;"?text="&amp;ENCODEURL("Ya llegue. Codigo: "&amp;A402&amp;". Ubicacion: "&amp;"https://www.google.com/maps/search/?api=1&amp;query="&amp;SUBSTITUTE(F402," ",""))),"")</f>
        <v/>
      </c>
      <c r="M402" s="8">
        <f>IF(B402&lt;&gt;"",TODAY(),"")</f>
        <v/>
      </c>
      <c r="N402" s="8">
        <f>IF(F402&lt;&gt;"",IFERROR(IF(AND(REGEXMATCH(SUBSTITUTE(TRIM(F402)," ",""),"^-?\d+(\.\d+)?,-?\d+(\.\d+)?$"),VALUE(REGEXEXTRACT(SUBSTITUTE(TRIM(F402)," ",""),"^-?\d+(\.\d+)?"))&gt;=-90,VALUE(REGEXEXTRACT(SUBSTITUTE(TRIM(F402)," ",""),"^-?\d+(\.\d+)?"))&lt;=90,VALUE(REGEXEXTRACT(SUBSTITUTE(TRIM(F402)," ",""),"-?\d+(\.\d+)?$"))&gt;=-180,VALUE(REGEXEXTRACT(SUBSTITUTE(TRIM(F402)," ",""),"-?\d+(\.\d+)?$"))&lt;=180),"OK","REVISAR"),"REVISAR"),"")</f>
        <v/>
      </c>
      <c r="O402">
        <f>IF(A402&lt;&gt;"","https://direcciones507.github.io/direcciones507/panel.html?codigo="&amp;A402&amp;"&amp;nombre="&amp;ENCODEURL(B402)&amp;"&amp;telefono="&amp;SUBSTITUTE(C402,"-","")&amp;"&amp;referencia="&amp;ENCODEURL(E402)&amp;"&amp;lat="&amp;IZQUIERDA(SUBSTITUTE(F402," ",""),ENCONTRAR(",",SUBSTITUTE(F402," ",""))-1)&amp;"&amp;lng="&amp;DERECHA(SUBSTITUTE(F402," ",""),LARGO(SUBSTITUTE(F402," ",""))-ENCONTRAR(",",SUBSTITUTE(F402," ",""))),"")</f>
        <v/>
      </c>
    </row>
    <row r="403" ht="15.75" customHeight="1" s="10">
      <c r="A403" s="8">
        <f>CONCAT("AD507-",TEXT(ROW()-2,"0000"))</f>
        <v/>
      </c>
      <c r="C403" s="8" t="n"/>
      <c r="F403" s="8" t="n"/>
      <c r="G403" s="8">
        <f>IF(F403&lt;&gt;"",HYPERLINK("https://www.google.com/maps/search/?api=1&amp;query="&amp;SUBSTITUTE(F403," ",""),"🗺 Google Maps"),"")</f>
        <v/>
      </c>
      <c r="H403" s="8">
        <f>IF(F403&lt;&gt;"",HYPERLINK("https://waze.com/ul?ll="&amp;SUBSTITUTE(F403," ","")&amp;"&amp;navigate=yes","🚗 Waze"),"")</f>
        <v/>
      </c>
      <c r="I403" s="8">
        <f>IF(F403&lt;&gt;"",HYPERLINK("https://m.uber.com/ul/?action=setPickup&amp;pickup=my_location&amp;dropoff[latitude]="&amp;LEFT(SUBSTITUTE(F403," ",""),FIND(",",SUBSTITUTE(F403," ",""))-1)&amp;"&amp;dropoff[longitude]="&amp;MID(SUBSTITUTE(F403," ",""),FIND(",",SUBSTITUTE(F403," ",""))+1,99),"🚕 Uber"),"")</f>
        <v/>
      </c>
      <c r="J403" s="8">
        <f>IF(F403&lt;&gt;"","https://api.qrserver.com/v1/create-qr-code/?size=200x200&amp;data="&amp;ENCODEURL("https://www.google.com/maps/search/?api=1&amp;query="&amp;SUBSTITUTE(F403," ","")),"")</f>
        <v/>
      </c>
      <c r="K403" s="8">
        <f>IF(C403&lt;&gt;"",HYPERLINK("https://wa.me/507"&amp;REGEXREPLACE(C403,"[^0-9]","")&amp;"?text="&amp;ENCODEURL("Ya llegue. Codigo: "&amp;A403&amp;". Ubicacion: "&amp;"https://www.google.com/maps/search/?api=1&amp;query="&amp;SUBSTITUTE(F403," ","")),"📲 Avisar al cliente"),"")</f>
        <v/>
      </c>
      <c r="L403" s="8">
        <f>IF(C403&lt;&gt;"","https://api.qrserver.com/v1/create-qr-code/?size=200x200&amp;data="&amp;ENCODEURL("https://wa.me/507"&amp;REGEXREPLACE(C403,"[^0-9]","")&amp;"?text="&amp;ENCODEURL("Ya llegue. Codigo: "&amp;A403&amp;". Ubicacion: "&amp;"https://www.google.com/maps/search/?api=1&amp;query="&amp;SUBSTITUTE(F403," ",""))),"")</f>
        <v/>
      </c>
      <c r="M403" s="8">
        <f>IF(B403&lt;&gt;"",TODAY(),"")</f>
        <v/>
      </c>
      <c r="N403" s="8">
        <f>IF(F403&lt;&gt;"",IFERROR(IF(AND(REGEXMATCH(SUBSTITUTE(TRIM(F403)," ",""),"^-?\d+(\.\d+)?,-?\d+(\.\d+)?$"),VALUE(REGEXEXTRACT(SUBSTITUTE(TRIM(F403)," ",""),"^-?\d+(\.\d+)?"))&gt;=-90,VALUE(REGEXEXTRACT(SUBSTITUTE(TRIM(F403)," ",""),"^-?\d+(\.\d+)?"))&lt;=90,VALUE(REGEXEXTRACT(SUBSTITUTE(TRIM(F403)," ",""),"-?\d+(\.\d+)?$"))&gt;=-180,VALUE(REGEXEXTRACT(SUBSTITUTE(TRIM(F403)," ",""),"-?\d+(\.\d+)?$"))&lt;=180),"OK","REVISAR"),"REVISAR"),"")</f>
        <v/>
      </c>
      <c r="O403">
        <f>IF(A403&lt;&gt;"","https://direcciones507.github.io/direcciones507/panel.html?codigo="&amp;A403&amp;"&amp;nombre="&amp;ENCODEURL(B403)&amp;"&amp;telefono="&amp;SUBSTITUTE(C403,"-","")&amp;"&amp;referencia="&amp;ENCODEURL(E403)&amp;"&amp;lat="&amp;IZQUIERDA(SUBSTITUTE(F403," ",""),ENCONTRAR(",",SUBSTITUTE(F403," ",""))-1)&amp;"&amp;lng="&amp;DERECHA(SUBSTITUTE(F403," ",""),LARGO(SUBSTITUTE(F403," ",""))-ENCONTRAR(",",SUBSTITUTE(F403," ",""))),"")</f>
        <v/>
      </c>
    </row>
    <row r="404" ht="15.75" customHeight="1" s="10">
      <c r="A404" s="8">
        <f>CONCAT("AD507-",TEXT(ROW()-2,"0000"))</f>
        <v/>
      </c>
      <c r="C404" s="8" t="n"/>
      <c r="F404" s="8" t="n"/>
      <c r="G404" s="8">
        <f>IF(F404&lt;&gt;"",HYPERLINK("https://www.google.com/maps/search/?api=1&amp;query="&amp;SUBSTITUTE(F404," ",""),"🗺 Google Maps"),"")</f>
        <v/>
      </c>
      <c r="H404" s="8">
        <f>IF(F404&lt;&gt;"",HYPERLINK("https://waze.com/ul?ll="&amp;SUBSTITUTE(F404," ","")&amp;"&amp;navigate=yes","🚗 Waze"),"")</f>
        <v/>
      </c>
      <c r="I404" s="8">
        <f>IF(F404&lt;&gt;"",HYPERLINK("https://m.uber.com/ul/?action=setPickup&amp;pickup=my_location&amp;dropoff[latitude]="&amp;LEFT(SUBSTITUTE(F404," ",""),FIND(",",SUBSTITUTE(F404," ",""))-1)&amp;"&amp;dropoff[longitude]="&amp;MID(SUBSTITUTE(F404," ",""),FIND(",",SUBSTITUTE(F404," ",""))+1,99),"🚕 Uber"),"")</f>
        <v/>
      </c>
      <c r="J404" s="8">
        <f>IF(F404&lt;&gt;"","https://api.qrserver.com/v1/create-qr-code/?size=200x200&amp;data="&amp;ENCODEURL("https://www.google.com/maps/search/?api=1&amp;query="&amp;SUBSTITUTE(F404," ","")),"")</f>
        <v/>
      </c>
      <c r="K404" s="8">
        <f>IF(C404&lt;&gt;"",HYPERLINK("https://wa.me/507"&amp;REGEXREPLACE(C404,"[^0-9]","")&amp;"?text="&amp;ENCODEURL("Ya llegue. Codigo: "&amp;A404&amp;". Ubicacion: "&amp;"https://www.google.com/maps/search/?api=1&amp;query="&amp;SUBSTITUTE(F404," ","")),"📲 Avisar al cliente"),"")</f>
        <v/>
      </c>
      <c r="L404" s="8">
        <f>IF(C404&lt;&gt;"","https://api.qrserver.com/v1/create-qr-code/?size=200x200&amp;data="&amp;ENCODEURL("https://wa.me/507"&amp;REGEXREPLACE(C404,"[^0-9]","")&amp;"?text="&amp;ENCODEURL("Ya llegue. Codigo: "&amp;A404&amp;". Ubicacion: "&amp;"https://www.google.com/maps/search/?api=1&amp;query="&amp;SUBSTITUTE(F404," ",""))),"")</f>
        <v/>
      </c>
      <c r="M404" s="8">
        <f>IF(B404&lt;&gt;"",TODAY(),"")</f>
        <v/>
      </c>
      <c r="N404" s="8">
        <f>IF(F404&lt;&gt;"",IFERROR(IF(AND(REGEXMATCH(SUBSTITUTE(TRIM(F404)," ",""),"^-?\d+(\.\d+)?,-?\d+(\.\d+)?$"),VALUE(REGEXEXTRACT(SUBSTITUTE(TRIM(F404)," ",""),"^-?\d+(\.\d+)?"))&gt;=-90,VALUE(REGEXEXTRACT(SUBSTITUTE(TRIM(F404)," ",""),"^-?\d+(\.\d+)?"))&lt;=90,VALUE(REGEXEXTRACT(SUBSTITUTE(TRIM(F404)," ",""),"-?\d+(\.\d+)?$"))&gt;=-180,VALUE(REGEXEXTRACT(SUBSTITUTE(TRIM(F404)," ",""),"-?\d+(\.\d+)?$"))&lt;=180),"OK","REVISAR"),"REVISAR"),"")</f>
        <v/>
      </c>
      <c r="O404">
        <f>IF(A404&lt;&gt;"","https://direcciones507.github.io/direcciones507/panel.html?codigo="&amp;A404&amp;"&amp;nombre="&amp;ENCODEURL(B404)&amp;"&amp;telefono="&amp;SUBSTITUTE(C404,"-","")&amp;"&amp;referencia="&amp;ENCODEURL(E404)&amp;"&amp;lat="&amp;IZQUIERDA(SUBSTITUTE(F404," ",""),ENCONTRAR(",",SUBSTITUTE(F404," ",""))-1)&amp;"&amp;lng="&amp;DERECHA(SUBSTITUTE(F404," ",""),LARGO(SUBSTITUTE(F404," ",""))-ENCONTRAR(",",SUBSTITUTE(F404," ",""))),"")</f>
        <v/>
      </c>
    </row>
    <row r="405" ht="15.75" customHeight="1" s="10">
      <c r="A405" s="8">
        <f>CONCAT("AD507-",TEXT(ROW()-2,"0000"))</f>
        <v/>
      </c>
      <c r="C405" s="8" t="n"/>
      <c r="F405" s="8" t="n"/>
      <c r="G405" s="8">
        <f>IF(F405&lt;&gt;"",HYPERLINK("https://www.google.com/maps/search/?api=1&amp;query="&amp;SUBSTITUTE(F405," ",""),"🗺 Google Maps"),"")</f>
        <v/>
      </c>
      <c r="H405" s="8">
        <f>IF(F405&lt;&gt;"",HYPERLINK("https://waze.com/ul?ll="&amp;SUBSTITUTE(F405," ","")&amp;"&amp;navigate=yes","🚗 Waze"),"")</f>
        <v/>
      </c>
      <c r="I405" s="8">
        <f>IF(F405&lt;&gt;"",HYPERLINK("https://m.uber.com/ul/?action=setPickup&amp;pickup=my_location&amp;dropoff[latitude]="&amp;LEFT(SUBSTITUTE(F405," ",""),FIND(",",SUBSTITUTE(F405," ",""))-1)&amp;"&amp;dropoff[longitude]="&amp;MID(SUBSTITUTE(F405," ",""),FIND(",",SUBSTITUTE(F405," ",""))+1,99),"🚕 Uber"),"")</f>
        <v/>
      </c>
      <c r="J405" s="8">
        <f>IF(F405&lt;&gt;"","https://api.qrserver.com/v1/create-qr-code/?size=200x200&amp;data="&amp;ENCODEURL("https://www.google.com/maps/search/?api=1&amp;query="&amp;SUBSTITUTE(F405," ","")),"")</f>
        <v/>
      </c>
      <c r="K405" s="8">
        <f>IF(C405&lt;&gt;"",HYPERLINK("https://wa.me/507"&amp;REGEXREPLACE(C405,"[^0-9]","")&amp;"?text="&amp;ENCODEURL("Ya llegue. Codigo: "&amp;A405&amp;". Ubicacion: "&amp;"https://www.google.com/maps/search/?api=1&amp;query="&amp;SUBSTITUTE(F405," ","")),"📲 Avisar al cliente"),"")</f>
        <v/>
      </c>
      <c r="L405" s="8">
        <f>IF(C405&lt;&gt;"","https://api.qrserver.com/v1/create-qr-code/?size=200x200&amp;data="&amp;ENCODEURL("https://wa.me/507"&amp;REGEXREPLACE(C405,"[^0-9]","")&amp;"?text="&amp;ENCODEURL("Ya llegue. Codigo: "&amp;A405&amp;". Ubicacion: "&amp;"https://www.google.com/maps/search/?api=1&amp;query="&amp;SUBSTITUTE(F405," ",""))),"")</f>
        <v/>
      </c>
      <c r="M405" s="8">
        <f>IF(B405&lt;&gt;"",TODAY(),"")</f>
        <v/>
      </c>
      <c r="N405" s="8">
        <f>IF(F405&lt;&gt;"",IFERROR(IF(AND(REGEXMATCH(SUBSTITUTE(TRIM(F405)," ",""),"^-?\d+(\.\d+)?,-?\d+(\.\d+)?$"),VALUE(REGEXEXTRACT(SUBSTITUTE(TRIM(F405)," ",""),"^-?\d+(\.\d+)?"))&gt;=-90,VALUE(REGEXEXTRACT(SUBSTITUTE(TRIM(F405)," ",""),"^-?\d+(\.\d+)?"))&lt;=90,VALUE(REGEXEXTRACT(SUBSTITUTE(TRIM(F405)," ",""),"-?\d+(\.\d+)?$"))&gt;=-180,VALUE(REGEXEXTRACT(SUBSTITUTE(TRIM(F405)," ",""),"-?\d+(\.\d+)?$"))&lt;=180),"OK","REVISAR"),"REVISAR"),"")</f>
        <v/>
      </c>
      <c r="O405">
        <f>IF(A405&lt;&gt;"","https://direcciones507.github.io/direcciones507/panel.html?codigo="&amp;A405&amp;"&amp;nombre="&amp;ENCODEURL(B405)&amp;"&amp;telefono="&amp;SUBSTITUTE(C405,"-","")&amp;"&amp;referencia="&amp;ENCODEURL(E405)&amp;"&amp;lat="&amp;IZQUIERDA(SUBSTITUTE(F405," ",""),ENCONTRAR(",",SUBSTITUTE(F405," ",""))-1)&amp;"&amp;lng="&amp;DERECHA(SUBSTITUTE(F405," ",""),LARGO(SUBSTITUTE(F405," ",""))-ENCONTRAR(",",SUBSTITUTE(F405," ",""))),"")</f>
        <v/>
      </c>
    </row>
    <row r="406" ht="15.75" customHeight="1" s="10">
      <c r="A406" s="8">
        <f>CONCAT("AD507-",TEXT(ROW()-2,"0000"))</f>
        <v/>
      </c>
      <c r="C406" s="8" t="n"/>
      <c r="F406" s="8" t="n"/>
      <c r="G406" s="8">
        <f>IF(F406&lt;&gt;"",HYPERLINK("https://www.google.com/maps/search/?api=1&amp;query="&amp;SUBSTITUTE(F406," ",""),"🗺 Google Maps"),"")</f>
        <v/>
      </c>
      <c r="H406" s="8">
        <f>IF(F406&lt;&gt;"",HYPERLINK("https://waze.com/ul?ll="&amp;SUBSTITUTE(F406," ","")&amp;"&amp;navigate=yes","🚗 Waze"),"")</f>
        <v/>
      </c>
      <c r="I406" s="8">
        <f>IF(F406&lt;&gt;"",HYPERLINK("https://m.uber.com/ul/?action=setPickup&amp;pickup=my_location&amp;dropoff[latitude]="&amp;LEFT(SUBSTITUTE(F406," ",""),FIND(",",SUBSTITUTE(F406," ",""))-1)&amp;"&amp;dropoff[longitude]="&amp;MID(SUBSTITUTE(F406," ",""),FIND(",",SUBSTITUTE(F406," ",""))+1,99),"🚕 Uber"),"")</f>
        <v/>
      </c>
      <c r="J406" s="8">
        <f>IF(F406&lt;&gt;"","https://api.qrserver.com/v1/create-qr-code/?size=200x200&amp;data="&amp;ENCODEURL("https://www.google.com/maps/search/?api=1&amp;query="&amp;SUBSTITUTE(F406," ","")),"")</f>
        <v/>
      </c>
      <c r="K406" s="8">
        <f>IF(C406&lt;&gt;"",HYPERLINK("https://wa.me/507"&amp;REGEXREPLACE(C406,"[^0-9]","")&amp;"?text="&amp;ENCODEURL("Ya llegue. Codigo: "&amp;A406&amp;". Ubicacion: "&amp;"https://www.google.com/maps/search/?api=1&amp;query="&amp;SUBSTITUTE(F406," ","")),"📲 Avisar al cliente"),"")</f>
        <v/>
      </c>
      <c r="L406" s="8">
        <f>IF(C406&lt;&gt;"","https://api.qrserver.com/v1/create-qr-code/?size=200x200&amp;data="&amp;ENCODEURL("https://wa.me/507"&amp;REGEXREPLACE(C406,"[^0-9]","")&amp;"?text="&amp;ENCODEURL("Ya llegue. Codigo: "&amp;A406&amp;". Ubicacion: "&amp;"https://www.google.com/maps/search/?api=1&amp;query="&amp;SUBSTITUTE(F406," ",""))),"")</f>
        <v/>
      </c>
      <c r="M406" s="8">
        <f>IF(B406&lt;&gt;"",TODAY(),"")</f>
        <v/>
      </c>
      <c r="N406" s="8">
        <f>IF(F406&lt;&gt;"",IFERROR(IF(AND(REGEXMATCH(SUBSTITUTE(TRIM(F406)," ",""),"^-?\d+(\.\d+)?,-?\d+(\.\d+)?$"),VALUE(REGEXEXTRACT(SUBSTITUTE(TRIM(F406)," ",""),"^-?\d+(\.\d+)?"))&gt;=-90,VALUE(REGEXEXTRACT(SUBSTITUTE(TRIM(F406)," ",""),"^-?\d+(\.\d+)?"))&lt;=90,VALUE(REGEXEXTRACT(SUBSTITUTE(TRIM(F406)," ",""),"-?\d+(\.\d+)?$"))&gt;=-180,VALUE(REGEXEXTRACT(SUBSTITUTE(TRIM(F406)," ",""),"-?\d+(\.\d+)?$"))&lt;=180),"OK","REVISAR"),"REVISAR"),"")</f>
        <v/>
      </c>
      <c r="O406">
        <f>IF(A406&lt;&gt;"","https://direcciones507.github.io/direcciones507/panel.html?codigo="&amp;A406&amp;"&amp;nombre="&amp;ENCODEURL(B406)&amp;"&amp;telefono="&amp;SUBSTITUTE(C406,"-","")&amp;"&amp;referencia="&amp;ENCODEURL(E406)&amp;"&amp;lat="&amp;IZQUIERDA(SUBSTITUTE(F406," ",""),ENCONTRAR(",",SUBSTITUTE(F406," ",""))-1)&amp;"&amp;lng="&amp;DERECHA(SUBSTITUTE(F406," ",""),LARGO(SUBSTITUTE(F406," ",""))-ENCONTRAR(",",SUBSTITUTE(F406," ",""))),"")</f>
        <v/>
      </c>
    </row>
    <row r="407" ht="15.75" customHeight="1" s="10">
      <c r="A407" s="8">
        <f>CONCAT("AD507-",TEXT(ROW()-2,"0000"))</f>
        <v/>
      </c>
      <c r="C407" s="8" t="n"/>
      <c r="F407" s="8" t="n"/>
      <c r="G407" s="8">
        <f>IF(F407&lt;&gt;"",HYPERLINK("https://www.google.com/maps/search/?api=1&amp;query="&amp;SUBSTITUTE(F407," ",""),"🗺 Google Maps"),"")</f>
        <v/>
      </c>
      <c r="H407" s="8">
        <f>IF(F407&lt;&gt;"",HYPERLINK("https://waze.com/ul?ll="&amp;SUBSTITUTE(F407," ","")&amp;"&amp;navigate=yes","🚗 Waze"),"")</f>
        <v/>
      </c>
      <c r="I407" s="8">
        <f>IF(F407&lt;&gt;"",HYPERLINK("https://m.uber.com/ul/?action=setPickup&amp;pickup=my_location&amp;dropoff[latitude]="&amp;LEFT(SUBSTITUTE(F407," ",""),FIND(",",SUBSTITUTE(F407," ",""))-1)&amp;"&amp;dropoff[longitude]="&amp;MID(SUBSTITUTE(F407," ",""),FIND(",",SUBSTITUTE(F407," ",""))+1,99),"🚕 Uber"),"")</f>
        <v/>
      </c>
      <c r="J407" s="8">
        <f>IF(F407&lt;&gt;"","https://api.qrserver.com/v1/create-qr-code/?size=200x200&amp;data="&amp;ENCODEURL("https://www.google.com/maps/search/?api=1&amp;query="&amp;SUBSTITUTE(F407," ","")),"")</f>
        <v/>
      </c>
      <c r="K407" s="8">
        <f>IF(C407&lt;&gt;"",HYPERLINK("https://wa.me/507"&amp;REGEXREPLACE(C407,"[^0-9]","")&amp;"?text="&amp;ENCODEURL("Ya llegue. Codigo: "&amp;A407&amp;". Ubicacion: "&amp;"https://www.google.com/maps/search/?api=1&amp;query="&amp;SUBSTITUTE(F407," ","")),"📲 Avisar al cliente"),"")</f>
        <v/>
      </c>
      <c r="L407" s="8">
        <f>IF(C407&lt;&gt;"","https://api.qrserver.com/v1/create-qr-code/?size=200x200&amp;data="&amp;ENCODEURL("https://wa.me/507"&amp;REGEXREPLACE(C407,"[^0-9]","")&amp;"?text="&amp;ENCODEURL("Ya llegue. Codigo: "&amp;A407&amp;". Ubicacion: "&amp;"https://www.google.com/maps/search/?api=1&amp;query="&amp;SUBSTITUTE(F407," ",""))),"")</f>
        <v/>
      </c>
      <c r="M407" s="8">
        <f>IF(B407&lt;&gt;"",TODAY(),"")</f>
        <v/>
      </c>
      <c r="N407" s="8">
        <f>IF(F407&lt;&gt;"",IFERROR(IF(AND(REGEXMATCH(SUBSTITUTE(TRIM(F407)," ",""),"^-?\d+(\.\d+)?,-?\d+(\.\d+)?$"),VALUE(REGEXEXTRACT(SUBSTITUTE(TRIM(F407)," ",""),"^-?\d+(\.\d+)?"))&gt;=-90,VALUE(REGEXEXTRACT(SUBSTITUTE(TRIM(F407)," ",""),"^-?\d+(\.\d+)?"))&lt;=90,VALUE(REGEXEXTRACT(SUBSTITUTE(TRIM(F407)," ",""),"-?\d+(\.\d+)?$"))&gt;=-180,VALUE(REGEXEXTRACT(SUBSTITUTE(TRIM(F407)," ",""),"-?\d+(\.\d+)?$"))&lt;=180),"OK","REVISAR"),"REVISAR"),"")</f>
        <v/>
      </c>
      <c r="O407">
        <f>IF(A407&lt;&gt;"","https://direcciones507.github.io/direcciones507/panel.html?codigo="&amp;A407&amp;"&amp;nombre="&amp;ENCODEURL(B407)&amp;"&amp;telefono="&amp;SUBSTITUTE(C407,"-","")&amp;"&amp;referencia="&amp;ENCODEURL(E407)&amp;"&amp;lat="&amp;IZQUIERDA(SUBSTITUTE(F407," ",""),ENCONTRAR(",",SUBSTITUTE(F407," ",""))-1)&amp;"&amp;lng="&amp;DERECHA(SUBSTITUTE(F407," ",""),LARGO(SUBSTITUTE(F407," ",""))-ENCONTRAR(",",SUBSTITUTE(F407," ",""))),"")</f>
        <v/>
      </c>
    </row>
    <row r="408" ht="15.75" customHeight="1" s="10">
      <c r="A408" s="8">
        <f>CONCAT("AD507-",TEXT(ROW()-2,"0000"))</f>
        <v/>
      </c>
      <c r="C408" s="8" t="n"/>
      <c r="F408" s="8" t="n"/>
      <c r="G408" s="8">
        <f>IF(F408&lt;&gt;"",HYPERLINK("https://www.google.com/maps/search/?api=1&amp;query="&amp;SUBSTITUTE(F408," ",""),"🗺 Google Maps"),"")</f>
        <v/>
      </c>
      <c r="H408" s="8">
        <f>IF(F408&lt;&gt;"",HYPERLINK("https://waze.com/ul?ll="&amp;SUBSTITUTE(F408," ","")&amp;"&amp;navigate=yes","🚗 Waze"),"")</f>
        <v/>
      </c>
      <c r="I408" s="8">
        <f>IF(F408&lt;&gt;"",HYPERLINK("https://m.uber.com/ul/?action=setPickup&amp;pickup=my_location&amp;dropoff[latitude]="&amp;LEFT(SUBSTITUTE(F408," ",""),FIND(",",SUBSTITUTE(F408," ",""))-1)&amp;"&amp;dropoff[longitude]="&amp;MID(SUBSTITUTE(F408," ",""),FIND(",",SUBSTITUTE(F408," ",""))+1,99),"🚕 Uber"),"")</f>
        <v/>
      </c>
      <c r="J408" s="8">
        <f>IF(F408&lt;&gt;"","https://api.qrserver.com/v1/create-qr-code/?size=200x200&amp;data="&amp;ENCODEURL("https://www.google.com/maps/search/?api=1&amp;query="&amp;SUBSTITUTE(F408," ","")),"")</f>
        <v/>
      </c>
      <c r="K408" s="8">
        <f>IF(C408&lt;&gt;"",HYPERLINK("https://wa.me/507"&amp;REGEXREPLACE(C408,"[^0-9]","")&amp;"?text="&amp;ENCODEURL("Ya llegue. Codigo: "&amp;A408&amp;". Ubicacion: "&amp;"https://www.google.com/maps/search/?api=1&amp;query="&amp;SUBSTITUTE(F408," ","")),"📲 Avisar al cliente"),"")</f>
        <v/>
      </c>
      <c r="L408" s="8">
        <f>IF(C408&lt;&gt;"","https://api.qrserver.com/v1/create-qr-code/?size=200x200&amp;data="&amp;ENCODEURL("https://wa.me/507"&amp;REGEXREPLACE(C408,"[^0-9]","")&amp;"?text="&amp;ENCODEURL("Ya llegue. Codigo: "&amp;A408&amp;". Ubicacion: "&amp;"https://www.google.com/maps/search/?api=1&amp;query="&amp;SUBSTITUTE(F408," ",""))),"")</f>
        <v/>
      </c>
      <c r="M408" s="8">
        <f>IF(B408&lt;&gt;"",TODAY(),"")</f>
        <v/>
      </c>
      <c r="N408" s="8">
        <f>IF(F408&lt;&gt;"",IFERROR(IF(AND(REGEXMATCH(SUBSTITUTE(TRIM(F408)," ",""),"^-?\d+(\.\d+)?,-?\d+(\.\d+)?$"),VALUE(REGEXEXTRACT(SUBSTITUTE(TRIM(F408)," ",""),"^-?\d+(\.\d+)?"))&gt;=-90,VALUE(REGEXEXTRACT(SUBSTITUTE(TRIM(F408)," ",""),"^-?\d+(\.\d+)?"))&lt;=90,VALUE(REGEXEXTRACT(SUBSTITUTE(TRIM(F408)," ",""),"-?\d+(\.\d+)?$"))&gt;=-180,VALUE(REGEXEXTRACT(SUBSTITUTE(TRIM(F408)," ",""),"-?\d+(\.\d+)?$"))&lt;=180),"OK","REVISAR"),"REVISAR"),"")</f>
        <v/>
      </c>
      <c r="O408">
        <f>IF(A408&lt;&gt;"","https://direcciones507.github.io/direcciones507/panel.html?codigo="&amp;A408&amp;"&amp;nombre="&amp;ENCODEURL(B408)&amp;"&amp;telefono="&amp;SUBSTITUTE(C408,"-","")&amp;"&amp;referencia="&amp;ENCODEURL(E408)&amp;"&amp;lat="&amp;IZQUIERDA(SUBSTITUTE(F408," ",""),ENCONTRAR(",",SUBSTITUTE(F408," ",""))-1)&amp;"&amp;lng="&amp;DERECHA(SUBSTITUTE(F408," ",""),LARGO(SUBSTITUTE(F408," ",""))-ENCONTRAR(",",SUBSTITUTE(F408," ",""))),"")</f>
        <v/>
      </c>
    </row>
    <row r="409" ht="15.75" customHeight="1" s="10">
      <c r="A409" s="8">
        <f>CONCAT("AD507-",TEXT(ROW()-2,"0000"))</f>
        <v/>
      </c>
      <c r="C409" s="8" t="n"/>
      <c r="F409" s="8" t="n"/>
      <c r="G409" s="8">
        <f>IF(F409&lt;&gt;"",HYPERLINK("https://www.google.com/maps/search/?api=1&amp;query="&amp;SUBSTITUTE(F409," ",""),"🗺 Google Maps"),"")</f>
        <v/>
      </c>
      <c r="H409" s="8">
        <f>IF(F409&lt;&gt;"",HYPERLINK("https://waze.com/ul?ll="&amp;SUBSTITUTE(F409," ","")&amp;"&amp;navigate=yes","🚗 Waze"),"")</f>
        <v/>
      </c>
      <c r="I409" s="8">
        <f>IF(F409&lt;&gt;"",HYPERLINK("https://m.uber.com/ul/?action=setPickup&amp;pickup=my_location&amp;dropoff[latitude]="&amp;LEFT(SUBSTITUTE(F409," ",""),FIND(",",SUBSTITUTE(F409," ",""))-1)&amp;"&amp;dropoff[longitude]="&amp;MID(SUBSTITUTE(F409," ",""),FIND(",",SUBSTITUTE(F409," ",""))+1,99),"🚕 Uber"),"")</f>
        <v/>
      </c>
      <c r="J409" s="8">
        <f>IF(F409&lt;&gt;"","https://api.qrserver.com/v1/create-qr-code/?size=200x200&amp;data="&amp;ENCODEURL("https://www.google.com/maps/search/?api=1&amp;query="&amp;SUBSTITUTE(F409," ","")),"")</f>
        <v/>
      </c>
      <c r="K409" s="8">
        <f>IF(C409&lt;&gt;"",HYPERLINK("https://wa.me/507"&amp;REGEXREPLACE(C409,"[^0-9]","")&amp;"?text="&amp;ENCODEURL("Ya llegue. Codigo: "&amp;A409&amp;". Ubicacion: "&amp;"https://www.google.com/maps/search/?api=1&amp;query="&amp;SUBSTITUTE(F409," ","")),"📲 Avisar al cliente"),"")</f>
        <v/>
      </c>
      <c r="L409" s="8">
        <f>IF(C409&lt;&gt;"","https://api.qrserver.com/v1/create-qr-code/?size=200x200&amp;data="&amp;ENCODEURL("https://wa.me/507"&amp;REGEXREPLACE(C409,"[^0-9]","")&amp;"?text="&amp;ENCODEURL("Ya llegue. Codigo: "&amp;A409&amp;". Ubicacion: "&amp;"https://www.google.com/maps/search/?api=1&amp;query="&amp;SUBSTITUTE(F409," ",""))),"")</f>
        <v/>
      </c>
      <c r="M409" s="8">
        <f>IF(B409&lt;&gt;"",TODAY(),"")</f>
        <v/>
      </c>
      <c r="N409" s="8">
        <f>IF(F409&lt;&gt;"",IFERROR(IF(AND(REGEXMATCH(SUBSTITUTE(TRIM(F409)," ",""),"^-?\d+(\.\d+)?,-?\d+(\.\d+)?$"),VALUE(REGEXEXTRACT(SUBSTITUTE(TRIM(F409)," ",""),"^-?\d+(\.\d+)?"))&gt;=-90,VALUE(REGEXEXTRACT(SUBSTITUTE(TRIM(F409)," ",""),"^-?\d+(\.\d+)?"))&lt;=90,VALUE(REGEXEXTRACT(SUBSTITUTE(TRIM(F409)," ",""),"-?\d+(\.\d+)?$"))&gt;=-180,VALUE(REGEXEXTRACT(SUBSTITUTE(TRIM(F409)," ",""),"-?\d+(\.\d+)?$"))&lt;=180),"OK","REVISAR"),"REVISAR"),"")</f>
        <v/>
      </c>
      <c r="O409">
        <f>IF(A409&lt;&gt;"","https://direcciones507.github.io/direcciones507/panel.html?codigo="&amp;A409&amp;"&amp;nombre="&amp;ENCODEURL(B409)&amp;"&amp;telefono="&amp;SUBSTITUTE(C409,"-","")&amp;"&amp;referencia="&amp;ENCODEURL(E409)&amp;"&amp;lat="&amp;IZQUIERDA(SUBSTITUTE(F409," ",""),ENCONTRAR(",",SUBSTITUTE(F409," ",""))-1)&amp;"&amp;lng="&amp;DERECHA(SUBSTITUTE(F409," ",""),LARGO(SUBSTITUTE(F409," ",""))-ENCONTRAR(",",SUBSTITUTE(F409," ",""))),"")</f>
        <v/>
      </c>
    </row>
    <row r="410" ht="15.75" customHeight="1" s="10">
      <c r="A410" s="8">
        <f>CONCAT("AD507-",TEXT(ROW()-2,"0000"))</f>
        <v/>
      </c>
      <c r="C410" s="8" t="n"/>
      <c r="F410" s="8" t="n"/>
      <c r="G410" s="8">
        <f>IF(F410&lt;&gt;"",HYPERLINK("https://www.google.com/maps/search/?api=1&amp;query="&amp;SUBSTITUTE(F410," ",""),"🗺 Google Maps"),"")</f>
        <v/>
      </c>
      <c r="H410" s="8">
        <f>IF(F410&lt;&gt;"",HYPERLINK("https://waze.com/ul?ll="&amp;SUBSTITUTE(F410," ","")&amp;"&amp;navigate=yes","🚗 Waze"),"")</f>
        <v/>
      </c>
      <c r="I410" s="8">
        <f>IF(F410&lt;&gt;"",HYPERLINK("https://m.uber.com/ul/?action=setPickup&amp;pickup=my_location&amp;dropoff[latitude]="&amp;LEFT(SUBSTITUTE(F410," ",""),FIND(",",SUBSTITUTE(F410," ",""))-1)&amp;"&amp;dropoff[longitude]="&amp;MID(SUBSTITUTE(F410," ",""),FIND(",",SUBSTITUTE(F410," ",""))+1,99),"🚕 Uber"),"")</f>
        <v/>
      </c>
      <c r="J410" s="8">
        <f>IF(F410&lt;&gt;"","https://api.qrserver.com/v1/create-qr-code/?size=200x200&amp;data="&amp;ENCODEURL("https://www.google.com/maps/search/?api=1&amp;query="&amp;SUBSTITUTE(F410," ","")),"")</f>
        <v/>
      </c>
      <c r="K410" s="8">
        <f>IF(C410&lt;&gt;"",HYPERLINK("https://wa.me/507"&amp;REGEXREPLACE(C410,"[^0-9]","")&amp;"?text="&amp;ENCODEURL("Ya llegue. Codigo: "&amp;A410&amp;". Ubicacion: "&amp;"https://www.google.com/maps/search/?api=1&amp;query="&amp;SUBSTITUTE(F410," ","")),"📲 Avisar al cliente"),"")</f>
        <v/>
      </c>
      <c r="L410" s="8">
        <f>IF(C410&lt;&gt;"","https://api.qrserver.com/v1/create-qr-code/?size=200x200&amp;data="&amp;ENCODEURL("https://wa.me/507"&amp;REGEXREPLACE(C410,"[^0-9]","")&amp;"?text="&amp;ENCODEURL("Ya llegue. Codigo: "&amp;A410&amp;". Ubicacion: "&amp;"https://www.google.com/maps/search/?api=1&amp;query="&amp;SUBSTITUTE(F410," ",""))),"")</f>
        <v/>
      </c>
      <c r="M410" s="8">
        <f>IF(B410&lt;&gt;"",TODAY(),"")</f>
        <v/>
      </c>
      <c r="N410" s="8">
        <f>IF(F410&lt;&gt;"",IFERROR(IF(AND(REGEXMATCH(SUBSTITUTE(TRIM(F410)," ",""),"^-?\d+(\.\d+)?,-?\d+(\.\d+)?$"),VALUE(REGEXEXTRACT(SUBSTITUTE(TRIM(F410)," ",""),"^-?\d+(\.\d+)?"))&gt;=-90,VALUE(REGEXEXTRACT(SUBSTITUTE(TRIM(F410)," ",""),"^-?\d+(\.\d+)?"))&lt;=90,VALUE(REGEXEXTRACT(SUBSTITUTE(TRIM(F410)," ",""),"-?\d+(\.\d+)?$"))&gt;=-180,VALUE(REGEXEXTRACT(SUBSTITUTE(TRIM(F410)," ",""),"-?\d+(\.\d+)?$"))&lt;=180),"OK","REVISAR"),"REVISAR"),"")</f>
        <v/>
      </c>
      <c r="O410">
        <f>IF(A410&lt;&gt;"","https://direcciones507.github.io/direcciones507/panel.html?codigo="&amp;A410&amp;"&amp;nombre="&amp;ENCODEURL(B410)&amp;"&amp;telefono="&amp;SUBSTITUTE(C410,"-","")&amp;"&amp;referencia="&amp;ENCODEURL(E410)&amp;"&amp;lat="&amp;IZQUIERDA(SUBSTITUTE(F410," ",""),ENCONTRAR(",",SUBSTITUTE(F410," ",""))-1)&amp;"&amp;lng="&amp;DERECHA(SUBSTITUTE(F410," ",""),LARGO(SUBSTITUTE(F410," ",""))-ENCONTRAR(",",SUBSTITUTE(F410," ",""))),"")</f>
        <v/>
      </c>
    </row>
    <row r="411" ht="15.75" customHeight="1" s="10">
      <c r="A411" s="8">
        <f>CONCAT("AD507-",TEXT(ROW()-2,"0000"))</f>
        <v/>
      </c>
      <c r="C411" s="8" t="n"/>
      <c r="F411" s="8" t="n"/>
      <c r="G411" s="8">
        <f>IF(F411&lt;&gt;"",HYPERLINK("https://www.google.com/maps/search/?api=1&amp;query="&amp;SUBSTITUTE(F411," ",""),"🗺 Google Maps"),"")</f>
        <v/>
      </c>
      <c r="H411" s="8">
        <f>IF(F411&lt;&gt;"",HYPERLINK("https://waze.com/ul?ll="&amp;SUBSTITUTE(F411," ","")&amp;"&amp;navigate=yes","🚗 Waze"),"")</f>
        <v/>
      </c>
      <c r="I411" s="8">
        <f>IF(F411&lt;&gt;"",HYPERLINK("https://m.uber.com/ul/?action=setPickup&amp;pickup=my_location&amp;dropoff[latitude]="&amp;LEFT(SUBSTITUTE(F411," ",""),FIND(",",SUBSTITUTE(F411," ",""))-1)&amp;"&amp;dropoff[longitude]="&amp;MID(SUBSTITUTE(F411," ",""),FIND(",",SUBSTITUTE(F411," ",""))+1,99),"🚕 Uber"),"")</f>
        <v/>
      </c>
      <c r="J411" s="8">
        <f>IF(F411&lt;&gt;"","https://api.qrserver.com/v1/create-qr-code/?size=200x200&amp;data="&amp;ENCODEURL("https://www.google.com/maps/search/?api=1&amp;query="&amp;SUBSTITUTE(F411," ","")),"")</f>
        <v/>
      </c>
      <c r="K411" s="8">
        <f>IF(C411&lt;&gt;"",HYPERLINK("https://wa.me/507"&amp;REGEXREPLACE(C411,"[^0-9]","")&amp;"?text="&amp;ENCODEURL("Ya llegue. Codigo: "&amp;A411&amp;". Ubicacion: "&amp;"https://www.google.com/maps/search/?api=1&amp;query="&amp;SUBSTITUTE(F411," ","")),"📲 Avisar al cliente"),"")</f>
        <v/>
      </c>
      <c r="L411" s="8">
        <f>IF(C411&lt;&gt;"","https://api.qrserver.com/v1/create-qr-code/?size=200x200&amp;data="&amp;ENCODEURL("https://wa.me/507"&amp;REGEXREPLACE(C411,"[^0-9]","")&amp;"?text="&amp;ENCODEURL("Ya llegue. Codigo: "&amp;A411&amp;". Ubicacion: "&amp;"https://www.google.com/maps/search/?api=1&amp;query="&amp;SUBSTITUTE(F411," ",""))),"")</f>
        <v/>
      </c>
      <c r="M411" s="8">
        <f>IF(B411&lt;&gt;"",TODAY(),"")</f>
        <v/>
      </c>
      <c r="N411" s="8">
        <f>IF(F411&lt;&gt;"",IFERROR(IF(AND(REGEXMATCH(SUBSTITUTE(TRIM(F411)," ",""),"^-?\d+(\.\d+)?,-?\d+(\.\d+)?$"),VALUE(REGEXEXTRACT(SUBSTITUTE(TRIM(F411)," ",""),"^-?\d+(\.\d+)?"))&gt;=-90,VALUE(REGEXEXTRACT(SUBSTITUTE(TRIM(F411)," ",""),"^-?\d+(\.\d+)?"))&lt;=90,VALUE(REGEXEXTRACT(SUBSTITUTE(TRIM(F411)," ",""),"-?\d+(\.\d+)?$"))&gt;=-180,VALUE(REGEXEXTRACT(SUBSTITUTE(TRIM(F411)," ",""),"-?\d+(\.\d+)?$"))&lt;=180),"OK","REVISAR"),"REVISAR"),"")</f>
        <v/>
      </c>
      <c r="O411">
        <f>IF(A411&lt;&gt;"","https://direcciones507.github.io/direcciones507/panel.html?codigo="&amp;A411&amp;"&amp;nombre="&amp;ENCODEURL(B411)&amp;"&amp;telefono="&amp;SUBSTITUTE(C411,"-","")&amp;"&amp;referencia="&amp;ENCODEURL(E411)&amp;"&amp;lat="&amp;IZQUIERDA(SUBSTITUTE(F411," ",""),ENCONTRAR(",",SUBSTITUTE(F411," ",""))-1)&amp;"&amp;lng="&amp;DERECHA(SUBSTITUTE(F411," ",""),LARGO(SUBSTITUTE(F411," ",""))-ENCONTRAR(",",SUBSTITUTE(F411," ",""))),"")</f>
        <v/>
      </c>
    </row>
    <row r="412" ht="15.75" customHeight="1" s="10">
      <c r="A412" s="8">
        <f>CONCAT("AD507-",TEXT(ROW()-2,"0000"))</f>
        <v/>
      </c>
      <c r="C412" s="8" t="n"/>
      <c r="F412" s="8" t="n"/>
      <c r="G412" s="8">
        <f>IF(F412&lt;&gt;"",HYPERLINK("https://www.google.com/maps/search/?api=1&amp;query="&amp;SUBSTITUTE(F412," ",""),"🗺 Google Maps"),"")</f>
        <v/>
      </c>
      <c r="H412" s="8">
        <f>IF(F412&lt;&gt;"",HYPERLINK("https://waze.com/ul?ll="&amp;SUBSTITUTE(F412," ","")&amp;"&amp;navigate=yes","🚗 Waze"),"")</f>
        <v/>
      </c>
      <c r="I412" s="8">
        <f>IF(F412&lt;&gt;"",HYPERLINK("https://m.uber.com/ul/?action=setPickup&amp;pickup=my_location&amp;dropoff[latitude]="&amp;LEFT(SUBSTITUTE(F412," ",""),FIND(",",SUBSTITUTE(F412," ",""))-1)&amp;"&amp;dropoff[longitude]="&amp;MID(SUBSTITUTE(F412," ",""),FIND(",",SUBSTITUTE(F412," ",""))+1,99),"🚕 Uber"),"")</f>
        <v/>
      </c>
      <c r="J412" s="8">
        <f>IF(F412&lt;&gt;"","https://api.qrserver.com/v1/create-qr-code/?size=200x200&amp;data="&amp;ENCODEURL("https://www.google.com/maps/search/?api=1&amp;query="&amp;SUBSTITUTE(F412," ","")),"")</f>
        <v/>
      </c>
      <c r="K412" s="8">
        <f>IF(C412&lt;&gt;"",HYPERLINK("https://wa.me/507"&amp;REGEXREPLACE(C412,"[^0-9]","")&amp;"?text="&amp;ENCODEURL("Ya llegue. Codigo: "&amp;A412&amp;". Ubicacion: "&amp;"https://www.google.com/maps/search/?api=1&amp;query="&amp;SUBSTITUTE(F412," ","")),"📲 Avisar al cliente"),"")</f>
        <v/>
      </c>
      <c r="L412" s="8">
        <f>IF(C412&lt;&gt;"","https://api.qrserver.com/v1/create-qr-code/?size=200x200&amp;data="&amp;ENCODEURL("https://wa.me/507"&amp;REGEXREPLACE(C412,"[^0-9]","")&amp;"?text="&amp;ENCODEURL("Ya llegue. Codigo: "&amp;A412&amp;". Ubicacion: "&amp;"https://www.google.com/maps/search/?api=1&amp;query="&amp;SUBSTITUTE(F412," ",""))),"")</f>
        <v/>
      </c>
      <c r="M412" s="8">
        <f>IF(B412&lt;&gt;"",TODAY(),"")</f>
        <v/>
      </c>
      <c r="N412" s="8">
        <f>IF(F412&lt;&gt;"",IFERROR(IF(AND(REGEXMATCH(SUBSTITUTE(TRIM(F412)," ",""),"^-?\d+(\.\d+)?,-?\d+(\.\d+)?$"),VALUE(REGEXEXTRACT(SUBSTITUTE(TRIM(F412)," ",""),"^-?\d+(\.\d+)?"))&gt;=-90,VALUE(REGEXEXTRACT(SUBSTITUTE(TRIM(F412)," ",""),"^-?\d+(\.\d+)?"))&lt;=90,VALUE(REGEXEXTRACT(SUBSTITUTE(TRIM(F412)," ",""),"-?\d+(\.\d+)?$"))&gt;=-180,VALUE(REGEXEXTRACT(SUBSTITUTE(TRIM(F412)," ",""),"-?\d+(\.\d+)?$"))&lt;=180),"OK","REVISAR"),"REVISAR"),"")</f>
        <v/>
      </c>
      <c r="O412">
        <f>IF(A412&lt;&gt;"","https://direcciones507.github.io/direcciones507/panel.html?codigo="&amp;A412&amp;"&amp;nombre="&amp;ENCODEURL(B412)&amp;"&amp;telefono="&amp;SUBSTITUTE(C412,"-","")&amp;"&amp;referencia="&amp;ENCODEURL(E412)&amp;"&amp;lat="&amp;IZQUIERDA(SUBSTITUTE(F412," ",""),ENCONTRAR(",",SUBSTITUTE(F412," ",""))-1)&amp;"&amp;lng="&amp;DERECHA(SUBSTITUTE(F412," ",""),LARGO(SUBSTITUTE(F412," ",""))-ENCONTRAR(",",SUBSTITUTE(F412," ",""))),"")</f>
        <v/>
      </c>
    </row>
    <row r="413" ht="15.75" customHeight="1" s="10">
      <c r="A413" s="8">
        <f>CONCAT("AD507-",TEXT(ROW()-2,"0000"))</f>
        <v/>
      </c>
      <c r="C413" s="8" t="n"/>
      <c r="F413" s="8" t="n"/>
      <c r="G413" s="8">
        <f>IF(F413&lt;&gt;"",HYPERLINK("https://www.google.com/maps/search/?api=1&amp;query="&amp;SUBSTITUTE(F413," ",""),"🗺 Google Maps"),"")</f>
        <v/>
      </c>
      <c r="H413" s="8">
        <f>IF(F413&lt;&gt;"",HYPERLINK("https://waze.com/ul?ll="&amp;SUBSTITUTE(F413," ","")&amp;"&amp;navigate=yes","🚗 Waze"),"")</f>
        <v/>
      </c>
      <c r="I413" s="8">
        <f>IF(F413&lt;&gt;"",HYPERLINK("https://m.uber.com/ul/?action=setPickup&amp;pickup=my_location&amp;dropoff[latitude]="&amp;LEFT(SUBSTITUTE(F413," ",""),FIND(",",SUBSTITUTE(F413," ",""))-1)&amp;"&amp;dropoff[longitude]="&amp;MID(SUBSTITUTE(F413," ",""),FIND(",",SUBSTITUTE(F413," ",""))+1,99),"🚕 Uber"),"")</f>
        <v/>
      </c>
      <c r="J413" s="8">
        <f>IF(F413&lt;&gt;"","https://api.qrserver.com/v1/create-qr-code/?size=200x200&amp;data="&amp;ENCODEURL("https://www.google.com/maps/search/?api=1&amp;query="&amp;SUBSTITUTE(F413," ","")),"")</f>
        <v/>
      </c>
      <c r="K413" s="8">
        <f>IF(C413&lt;&gt;"",HYPERLINK("https://wa.me/507"&amp;REGEXREPLACE(C413,"[^0-9]","")&amp;"?text="&amp;ENCODEURL("Ya llegue. Codigo: "&amp;A413&amp;". Ubicacion: "&amp;"https://www.google.com/maps/search/?api=1&amp;query="&amp;SUBSTITUTE(F413," ","")),"📲 Avisar al cliente"),"")</f>
        <v/>
      </c>
      <c r="L413" s="8">
        <f>IF(C413&lt;&gt;"","https://api.qrserver.com/v1/create-qr-code/?size=200x200&amp;data="&amp;ENCODEURL("https://wa.me/507"&amp;REGEXREPLACE(C413,"[^0-9]","")&amp;"?text="&amp;ENCODEURL("Ya llegue. Codigo: "&amp;A413&amp;". Ubicacion: "&amp;"https://www.google.com/maps/search/?api=1&amp;query="&amp;SUBSTITUTE(F413," ",""))),"")</f>
        <v/>
      </c>
      <c r="M413" s="8">
        <f>IF(B413&lt;&gt;"",TODAY(),"")</f>
        <v/>
      </c>
      <c r="N413" s="8">
        <f>IF(F413&lt;&gt;"",IFERROR(IF(AND(REGEXMATCH(SUBSTITUTE(TRIM(F413)," ",""),"^-?\d+(\.\d+)?,-?\d+(\.\d+)?$"),VALUE(REGEXEXTRACT(SUBSTITUTE(TRIM(F413)," ",""),"^-?\d+(\.\d+)?"))&gt;=-90,VALUE(REGEXEXTRACT(SUBSTITUTE(TRIM(F413)," ",""),"^-?\d+(\.\d+)?"))&lt;=90,VALUE(REGEXEXTRACT(SUBSTITUTE(TRIM(F413)," ",""),"-?\d+(\.\d+)?$"))&gt;=-180,VALUE(REGEXEXTRACT(SUBSTITUTE(TRIM(F413)," ",""),"-?\d+(\.\d+)?$"))&lt;=180),"OK","REVISAR"),"REVISAR"),"")</f>
        <v/>
      </c>
      <c r="O413">
        <f>IF(A413&lt;&gt;"","https://direcciones507.github.io/direcciones507/panel.html?codigo="&amp;A413&amp;"&amp;nombre="&amp;ENCODEURL(B413)&amp;"&amp;telefono="&amp;SUBSTITUTE(C413,"-","")&amp;"&amp;referencia="&amp;ENCODEURL(E413)&amp;"&amp;lat="&amp;IZQUIERDA(SUBSTITUTE(F413," ",""),ENCONTRAR(",",SUBSTITUTE(F413," ",""))-1)&amp;"&amp;lng="&amp;DERECHA(SUBSTITUTE(F413," ",""),LARGO(SUBSTITUTE(F413," ",""))-ENCONTRAR(",",SUBSTITUTE(F413," ",""))),"")</f>
        <v/>
      </c>
    </row>
    <row r="414" ht="15.75" customHeight="1" s="10">
      <c r="A414" s="8">
        <f>CONCAT("AD507-",TEXT(ROW()-2,"0000"))</f>
        <v/>
      </c>
      <c r="C414" s="8" t="n"/>
      <c r="F414" s="8" t="n"/>
      <c r="G414" s="8">
        <f>IF(F414&lt;&gt;"",HYPERLINK("https://www.google.com/maps/search/?api=1&amp;query="&amp;SUBSTITUTE(F414," ",""),"🗺 Google Maps"),"")</f>
        <v/>
      </c>
      <c r="H414" s="8">
        <f>IF(F414&lt;&gt;"",HYPERLINK("https://waze.com/ul?ll="&amp;SUBSTITUTE(F414," ","")&amp;"&amp;navigate=yes","🚗 Waze"),"")</f>
        <v/>
      </c>
      <c r="I414" s="8">
        <f>IF(F414&lt;&gt;"",HYPERLINK("https://m.uber.com/ul/?action=setPickup&amp;pickup=my_location&amp;dropoff[latitude]="&amp;LEFT(SUBSTITUTE(F414," ",""),FIND(",",SUBSTITUTE(F414," ",""))-1)&amp;"&amp;dropoff[longitude]="&amp;MID(SUBSTITUTE(F414," ",""),FIND(",",SUBSTITUTE(F414," ",""))+1,99),"🚕 Uber"),"")</f>
        <v/>
      </c>
      <c r="J414" s="8">
        <f>IF(F414&lt;&gt;"","https://api.qrserver.com/v1/create-qr-code/?size=200x200&amp;data="&amp;ENCODEURL("https://www.google.com/maps/search/?api=1&amp;query="&amp;SUBSTITUTE(F414," ","")),"")</f>
        <v/>
      </c>
      <c r="K414" s="8">
        <f>IF(C414&lt;&gt;"",HYPERLINK("https://wa.me/507"&amp;REGEXREPLACE(C414,"[^0-9]","")&amp;"?text="&amp;ENCODEURL("Ya llegue. Codigo: "&amp;A414&amp;". Ubicacion: "&amp;"https://www.google.com/maps/search/?api=1&amp;query="&amp;SUBSTITUTE(F414," ","")),"📲 Avisar al cliente"),"")</f>
        <v/>
      </c>
      <c r="L414" s="8">
        <f>IF(C414&lt;&gt;"","https://api.qrserver.com/v1/create-qr-code/?size=200x200&amp;data="&amp;ENCODEURL("https://wa.me/507"&amp;REGEXREPLACE(C414,"[^0-9]","")&amp;"?text="&amp;ENCODEURL("Ya llegue. Codigo: "&amp;A414&amp;". Ubicacion: "&amp;"https://www.google.com/maps/search/?api=1&amp;query="&amp;SUBSTITUTE(F414," ",""))),"")</f>
        <v/>
      </c>
      <c r="M414" s="8">
        <f>IF(B414&lt;&gt;"",TODAY(),"")</f>
        <v/>
      </c>
      <c r="N414" s="8">
        <f>IF(F414&lt;&gt;"",IFERROR(IF(AND(REGEXMATCH(SUBSTITUTE(TRIM(F414)," ",""),"^-?\d+(\.\d+)?,-?\d+(\.\d+)?$"),VALUE(REGEXEXTRACT(SUBSTITUTE(TRIM(F414)," ",""),"^-?\d+(\.\d+)?"))&gt;=-90,VALUE(REGEXEXTRACT(SUBSTITUTE(TRIM(F414)," ",""),"^-?\d+(\.\d+)?"))&lt;=90,VALUE(REGEXEXTRACT(SUBSTITUTE(TRIM(F414)," ",""),"-?\d+(\.\d+)?$"))&gt;=-180,VALUE(REGEXEXTRACT(SUBSTITUTE(TRIM(F414)," ",""),"-?\d+(\.\d+)?$"))&lt;=180),"OK","REVISAR"),"REVISAR"),"")</f>
        <v/>
      </c>
      <c r="O414">
        <f>IF(A414&lt;&gt;"","https://direcciones507.github.io/direcciones507/panel.html?codigo="&amp;A414&amp;"&amp;nombre="&amp;ENCODEURL(B414)&amp;"&amp;telefono="&amp;SUBSTITUTE(C414,"-","")&amp;"&amp;referencia="&amp;ENCODEURL(E414)&amp;"&amp;lat="&amp;IZQUIERDA(SUBSTITUTE(F414," ",""),ENCONTRAR(",",SUBSTITUTE(F414," ",""))-1)&amp;"&amp;lng="&amp;DERECHA(SUBSTITUTE(F414," ",""),LARGO(SUBSTITUTE(F414," ",""))-ENCONTRAR(",",SUBSTITUTE(F414," ",""))),"")</f>
        <v/>
      </c>
    </row>
    <row r="415" ht="15.75" customHeight="1" s="10">
      <c r="A415" s="8">
        <f>CONCAT("AD507-",TEXT(ROW()-2,"0000"))</f>
        <v/>
      </c>
      <c r="C415" s="8" t="n"/>
      <c r="F415" s="8" t="n"/>
      <c r="G415" s="8">
        <f>IF(F415&lt;&gt;"",HYPERLINK("https://www.google.com/maps/search/?api=1&amp;query="&amp;SUBSTITUTE(F415," ",""),"🗺 Google Maps"),"")</f>
        <v/>
      </c>
      <c r="H415" s="8">
        <f>IF(F415&lt;&gt;"",HYPERLINK("https://waze.com/ul?ll="&amp;SUBSTITUTE(F415," ","")&amp;"&amp;navigate=yes","🚗 Waze"),"")</f>
        <v/>
      </c>
      <c r="I415" s="8">
        <f>IF(F415&lt;&gt;"",HYPERLINK("https://m.uber.com/ul/?action=setPickup&amp;pickup=my_location&amp;dropoff[latitude]="&amp;LEFT(SUBSTITUTE(F415," ",""),FIND(",",SUBSTITUTE(F415," ",""))-1)&amp;"&amp;dropoff[longitude]="&amp;MID(SUBSTITUTE(F415," ",""),FIND(",",SUBSTITUTE(F415," ",""))+1,99),"🚕 Uber"),"")</f>
        <v/>
      </c>
      <c r="J415" s="8">
        <f>IF(F415&lt;&gt;"","https://api.qrserver.com/v1/create-qr-code/?size=200x200&amp;data="&amp;ENCODEURL("https://www.google.com/maps/search/?api=1&amp;query="&amp;SUBSTITUTE(F415," ","")),"")</f>
        <v/>
      </c>
      <c r="K415" s="8">
        <f>IF(C415&lt;&gt;"",HYPERLINK("https://wa.me/507"&amp;REGEXREPLACE(C415,"[^0-9]","")&amp;"?text="&amp;ENCODEURL("Ya llegue. Codigo: "&amp;A415&amp;". Ubicacion: "&amp;"https://www.google.com/maps/search/?api=1&amp;query="&amp;SUBSTITUTE(F415," ","")),"📲 Avisar al cliente"),"")</f>
        <v/>
      </c>
      <c r="L415" s="8">
        <f>IF(C415&lt;&gt;"","https://api.qrserver.com/v1/create-qr-code/?size=200x200&amp;data="&amp;ENCODEURL("https://wa.me/507"&amp;REGEXREPLACE(C415,"[^0-9]","")&amp;"?text="&amp;ENCODEURL("Ya llegue. Codigo: "&amp;A415&amp;". Ubicacion: "&amp;"https://www.google.com/maps/search/?api=1&amp;query="&amp;SUBSTITUTE(F415," ",""))),"")</f>
        <v/>
      </c>
      <c r="M415" s="8">
        <f>IF(B415&lt;&gt;"",TODAY(),"")</f>
        <v/>
      </c>
      <c r="N415" s="8">
        <f>IF(F415&lt;&gt;"",IFERROR(IF(AND(REGEXMATCH(SUBSTITUTE(TRIM(F415)," ",""),"^-?\d+(\.\d+)?,-?\d+(\.\d+)?$"),VALUE(REGEXEXTRACT(SUBSTITUTE(TRIM(F415)," ",""),"^-?\d+(\.\d+)?"))&gt;=-90,VALUE(REGEXEXTRACT(SUBSTITUTE(TRIM(F415)," ",""),"^-?\d+(\.\d+)?"))&lt;=90,VALUE(REGEXEXTRACT(SUBSTITUTE(TRIM(F415)," ",""),"-?\d+(\.\d+)?$"))&gt;=-180,VALUE(REGEXEXTRACT(SUBSTITUTE(TRIM(F415)," ",""),"-?\d+(\.\d+)?$"))&lt;=180),"OK","REVISAR"),"REVISAR"),"")</f>
        <v/>
      </c>
      <c r="O415">
        <f>IF(A415&lt;&gt;"","https://direcciones507.github.io/direcciones507/panel.html?codigo="&amp;A415&amp;"&amp;nombre="&amp;ENCODEURL(B415)&amp;"&amp;telefono="&amp;SUBSTITUTE(C415,"-","")&amp;"&amp;referencia="&amp;ENCODEURL(E415)&amp;"&amp;lat="&amp;IZQUIERDA(SUBSTITUTE(F415," ",""),ENCONTRAR(",",SUBSTITUTE(F415," ",""))-1)&amp;"&amp;lng="&amp;DERECHA(SUBSTITUTE(F415," ",""),LARGO(SUBSTITUTE(F415," ",""))-ENCONTRAR(",",SUBSTITUTE(F415," ",""))),"")</f>
        <v/>
      </c>
    </row>
    <row r="416" ht="15.75" customHeight="1" s="10">
      <c r="A416" s="8">
        <f>CONCAT("AD507-",TEXT(ROW()-2,"0000"))</f>
        <v/>
      </c>
      <c r="C416" s="8" t="n"/>
      <c r="F416" s="8" t="n"/>
      <c r="G416" s="8">
        <f>IF(F416&lt;&gt;"",HYPERLINK("https://www.google.com/maps/search/?api=1&amp;query="&amp;SUBSTITUTE(F416," ",""),"🗺 Google Maps"),"")</f>
        <v/>
      </c>
      <c r="H416" s="8">
        <f>IF(F416&lt;&gt;"",HYPERLINK("https://waze.com/ul?ll="&amp;SUBSTITUTE(F416," ","")&amp;"&amp;navigate=yes","🚗 Waze"),"")</f>
        <v/>
      </c>
      <c r="I416" s="8">
        <f>IF(F416&lt;&gt;"",HYPERLINK("https://m.uber.com/ul/?action=setPickup&amp;pickup=my_location&amp;dropoff[latitude]="&amp;LEFT(SUBSTITUTE(F416," ",""),FIND(",",SUBSTITUTE(F416," ",""))-1)&amp;"&amp;dropoff[longitude]="&amp;MID(SUBSTITUTE(F416," ",""),FIND(",",SUBSTITUTE(F416," ",""))+1,99),"🚕 Uber"),"")</f>
        <v/>
      </c>
      <c r="J416" s="8">
        <f>IF(F416&lt;&gt;"","https://api.qrserver.com/v1/create-qr-code/?size=200x200&amp;data="&amp;ENCODEURL("https://www.google.com/maps/search/?api=1&amp;query="&amp;SUBSTITUTE(F416," ","")),"")</f>
        <v/>
      </c>
      <c r="K416" s="8">
        <f>IF(C416&lt;&gt;"",HYPERLINK("https://wa.me/507"&amp;REGEXREPLACE(C416,"[^0-9]","")&amp;"?text="&amp;ENCODEURL("Ya llegue. Codigo: "&amp;A416&amp;". Ubicacion: "&amp;"https://www.google.com/maps/search/?api=1&amp;query="&amp;SUBSTITUTE(F416," ","")),"📲 Avisar al cliente"),"")</f>
        <v/>
      </c>
      <c r="L416" s="8">
        <f>IF(C416&lt;&gt;"","https://api.qrserver.com/v1/create-qr-code/?size=200x200&amp;data="&amp;ENCODEURL("https://wa.me/507"&amp;REGEXREPLACE(C416,"[^0-9]","")&amp;"?text="&amp;ENCODEURL("Ya llegue. Codigo: "&amp;A416&amp;". Ubicacion: "&amp;"https://www.google.com/maps/search/?api=1&amp;query="&amp;SUBSTITUTE(F416," ",""))),"")</f>
        <v/>
      </c>
      <c r="M416" s="8">
        <f>IF(B416&lt;&gt;"",TODAY(),"")</f>
        <v/>
      </c>
      <c r="N416" s="8">
        <f>IF(F416&lt;&gt;"",IFERROR(IF(AND(REGEXMATCH(SUBSTITUTE(TRIM(F416)," ",""),"^-?\d+(\.\d+)?,-?\d+(\.\d+)?$"),VALUE(REGEXEXTRACT(SUBSTITUTE(TRIM(F416)," ",""),"^-?\d+(\.\d+)?"))&gt;=-90,VALUE(REGEXEXTRACT(SUBSTITUTE(TRIM(F416)," ",""),"^-?\d+(\.\d+)?"))&lt;=90,VALUE(REGEXEXTRACT(SUBSTITUTE(TRIM(F416)," ",""),"-?\d+(\.\d+)?$"))&gt;=-180,VALUE(REGEXEXTRACT(SUBSTITUTE(TRIM(F416)," ",""),"-?\d+(\.\d+)?$"))&lt;=180),"OK","REVISAR"),"REVISAR"),"")</f>
        <v/>
      </c>
      <c r="O416">
        <f>IF(A416&lt;&gt;"","https://direcciones507.github.io/direcciones507/panel.html?codigo="&amp;A416&amp;"&amp;nombre="&amp;ENCODEURL(B416)&amp;"&amp;telefono="&amp;SUBSTITUTE(C416,"-","")&amp;"&amp;referencia="&amp;ENCODEURL(E416)&amp;"&amp;lat="&amp;IZQUIERDA(SUBSTITUTE(F416," ",""),ENCONTRAR(",",SUBSTITUTE(F416," ",""))-1)&amp;"&amp;lng="&amp;DERECHA(SUBSTITUTE(F416," ",""),LARGO(SUBSTITUTE(F416," ",""))-ENCONTRAR(",",SUBSTITUTE(F416," ",""))),"")</f>
        <v/>
      </c>
    </row>
    <row r="417" ht="15.75" customHeight="1" s="10">
      <c r="A417" s="8">
        <f>CONCAT("AD507-",TEXT(ROW()-2,"0000"))</f>
        <v/>
      </c>
      <c r="C417" s="8" t="n"/>
      <c r="F417" s="8" t="n"/>
      <c r="G417" s="8">
        <f>IF(F417&lt;&gt;"",HYPERLINK("https://www.google.com/maps/search/?api=1&amp;query="&amp;SUBSTITUTE(F417," ",""),"🗺 Google Maps"),"")</f>
        <v/>
      </c>
      <c r="H417" s="8">
        <f>IF(F417&lt;&gt;"",HYPERLINK("https://waze.com/ul?ll="&amp;SUBSTITUTE(F417," ","")&amp;"&amp;navigate=yes","🚗 Waze"),"")</f>
        <v/>
      </c>
      <c r="I417" s="8">
        <f>IF(F417&lt;&gt;"",HYPERLINK("https://m.uber.com/ul/?action=setPickup&amp;pickup=my_location&amp;dropoff[latitude]="&amp;LEFT(SUBSTITUTE(F417," ",""),FIND(",",SUBSTITUTE(F417," ",""))-1)&amp;"&amp;dropoff[longitude]="&amp;MID(SUBSTITUTE(F417," ",""),FIND(",",SUBSTITUTE(F417," ",""))+1,99),"🚕 Uber"),"")</f>
        <v/>
      </c>
      <c r="J417" s="8">
        <f>IF(F417&lt;&gt;"","https://api.qrserver.com/v1/create-qr-code/?size=200x200&amp;data="&amp;ENCODEURL("https://www.google.com/maps/search/?api=1&amp;query="&amp;SUBSTITUTE(F417," ","")),"")</f>
        <v/>
      </c>
      <c r="K417" s="8">
        <f>IF(C417&lt;&gt;"",HYPERLINK("https://wa.me/507"&amp;REGEXREPLACE(C417,"[^0-9]","")&amp;"?text="&amp;ENCODEURL("Ya llegue. Codigo: "&amp;A417&amp;". Ubicacion: "&amp;"https://www.google.com/maps/search/?api=1&amp;query="&amp;SUBSTITUTE(F417," ","")),"📲 Avisar al cliente"),"")</f>
        <v/>
      </c>
      <c r="L417" s="8">
        <f>IF(C417&lt;&gt;"","https://api.qrserver.com/v1/create-qr-code/?size=200x200&amp;data="&amp;ENCODEURL("https://wa.me/507"&amp;REGEXREPLACE(C417,"[^0-9]","")&amp;"?text="&amp;ENCODEURL("Ya llegue. Codigo: "&amp;A417&amp;". Ubicacion: "&amp;"https://www.google.com/maps/search/?api=1&amp;query="&amp;SUBSTITUTE(F417," ",""))),"")</f>
        <v/>
      </c>
      <c r="M417" s="8">
        <f>IF(B417&lt;&gt;"",TODAY(),"")</f>
        <v/>
      </c>
      <c r="N417" s="8">
        <f>IF(F417&lt;&gt;"",IFERROR(IF(AND(REGEXMATCH(SUBSTITUTE(TRIM(F417)," ",""),"^-?\d+(\.\d+)?,-?\d+(\.\d+)?$"),VALUE(REGEXEXTRACT(SUBSTITUTE(TRIM(F417)," ",""),"^-?\d+(\.\d+)?"))&gt;=-90,VALUE(REGEXEXTRACT(SUBSTITUTE(TRIM(F417)," ",""),"^-?\d+(\.\d+)?"))&lt;=90,VALUE(REGEXEXTRACT(SUBSTITUTE(TRIM(F417)," ",""),"-?\d+(\.\d+)?$"))&gt;=-180,VALUE(REGEXEXTRACT(SUBSTITUTE(TRIM(F417)," ",""),"-?\d+(\.\d+)?$"))&lt;=180),"OK","REVISAR"),"REVISAR"),"")</f>
        <v/>
      </c>
      <c r="O417">
        <f>IF(A417&lt;&gt;"","https://direcciones507.github.io/direcciones507/panel.html?codigo="&amp;A417&amp;"&amp;nombre="&amp;ENCODEURL(B417)&amp;"&amp;telefono="&amp;SUBSTITUTE(C417,"-","")&amp;"&amp;referencia="&amp;ENCODEURL(E417)&amp;"&amp;lat="&amp;IZQUIERDA(SUBSTITUTE(F417," ",""),ENCONTRAR(",",SUBSTITUTE(F417," ",""))-1)&amp;"&amp;lng="&amp;DERECHA(SUBSTITUTE(F417," ",""),LARGO(SUBSTITUTE(F417," ",""))-ENCONTRAR(",",SUBSTITUTE(F417," ",""))),"")</f>
        <v/>
      </c>
    </row>
    <row r="418" ht="15.75" customHeight="1" s="10">
      <c r="A418" s="8">
        <f>CONCAT("AD507-",TEXT(ROW()-2,"0000"))</f>
        <v/>
      </c>
      <c r="C418" s="8" t="n"/>
      <c r="F418" s="8" t="n"/>
      <c r="G418" s="8">
        <f>IF(F418&lt;&gt;"",HYPERLINK("https://www.google.com/maps/search/?api=1&amp;query="&amp;SUBSTITUTE(F418," ",""),"🗺 Google Maps"),"")</f>
        <v/>
      </c>
      <c r="H418" s="8">
        <f>IF(F418&lt;&gt;"",HYPERLINK("https://waze.com/ul?ll="&amp;SUBSTITUTE(F418," ","")&amp;"&amp;navigate=yes","🚗 Waze"),"")</f>
        <v/>
      </c>
      <c r="I418" s="8">
        <f>IF(F418&lt;&gt;"",HYPERLINK("https://m.uber.com/ul/?action=setPickup&amp;pickup=my_location&amp;dropoff[latitude]="&amp;LEFT(SUBSTITUTE(F418," ",""),FIND(",",SUBSTITUTE(F418," ",""))-1)&amp;"&amp;dropoff[longitude]="&amp;MID(SUBSTITUTE(F418," ",""),FIND(",",SUBSTITUTE(F418," ",""))+1,99),"🚕 Uber"),"")</f>
        <v/>
      </c>
      <c r="J418" s="8">
        <f>IF(F418&lt;&gt;"","https://api.qrserver.com/v1/create-qr-code/?size=200x200&amp;data="&amp;ENCODEURL("https://www.google.com/maps/search/?api=1&amp;query="&amp;SUBSTITUTE(F418," ","")),"")</f>
        <v/>
      </c>
      <c r="K418" s="8">
        <f>IF(C418&lt;&gt;"",HYPERLINK("https://wa.me/507"&amp;REGEXREPLACE(C418,"[^0-9]","")&amp;"?text="&amp;ENCODEURL("Ya llegue. Codigo: "&amp;A418&amp;". Ubicacion: "&amp;"https://www.google.com/maps/search/?api=1&amp;query="&amp;SUBSTITUTE(F418," ","")),"📲 Avisar al cliente"),"")</f>
        <v/>
      </c>
      <c r="L418" s="8">
        <f>IF(C418&lt;&gt;"","https://api.qrserver.com/v1/create-qr-code/?size=200x200&amp;data="&amp;ENCODEURL("https://wa.me/507"&amp;REGEXREPLACE(C418,"[^0-9]","")&amp;"?text="&amp;ENCODEURL("Ya llegue. Codigo: "&amp;A418&amp;". Ubicacion: "&amp;"https://www.google.com/maps/search/?api=1&amp;query="&amp;SUBSTITUTE(F418," ",""))),"")</f>
        <v/>
      </c>
      <c r="M418" s="8">
        <f>IF(B418&lt;&gt;"",TODAY(),"")</f>
        <v/>
      </c>
      <c r="N418" s="8">
        <f>IF(F418&lt;&gt;"",IFERROR(IF(AND(REGEXMATCH(SUBSTITUTE(TRIM(F418)," ",""),"^-?\d+(\.\d+)?,-?\d+(\.\d+)?$"),VALUE(REGEXEXTRACT(SUBSTITUTE(TRIM(F418)," ",""),"^-?\d+(\.\d+)?"))&gt;=-90,VALUE(REGEXEXTRACT(SUBSTITUTE(TRIM(F418)," ",""),"^-?\d+(\.\d+)?"))&lt;=90,VALUE(REGEXEXTRACT(SUBSTITUTE(TRIM(F418)," ",""),"-?\d+(\.\d+)?$"))&gt;=-180,VALUE(REGEXEXTRACT(SUBSTITUTE(TRIM(F418)," ",""),"-?\d+(\.\d+)?$"))&lt;=180),"OK","REVISAR"),"REVISAR"),"")</f>
        <v/>
      </c>
      <c r="O418">
        <f>IF(A418&lt;&gt;"","https://direcciones507.github.io/direcciones507/panel.html?codigo="&amp;A418&amp;"&amp;nombre="&amp;ENCODEURL(B418)&amp;"&amp;telefono="&amp;SUBSTITUTE(C418,"-","")&amp;"&amp;referencia="&amp;ENCODEURL(E418)&amp;"&amp;lat="&amp;IZQUIERDA(SUBSTITUTE(F418," ",""),ENCONTRAR(",",SUBSTITUTE(F418," ",""))-1)&amp;"&amp;lng="&amp;DERECHA(SUBSTITUTE(F418," ",""),LARGO(SUBSTITUTE(F418," ",""))-ENCONTRAR(",",SUBSTITUTE(F418," ",""))),"")</f>
        <v/>
      </c>
    </row>
    <row r="419" ht="15.75" customHeight="1" s="10">
      <c r="A419" s="8">
        <f>CONCAT("AD507-",TEXT(ROW()-2,"0000"))</f>
        <v/>
      </c>
      <c r="C419" s="8" t="n"/>
      <c r="F419" s="8" t="n"/>
      <c r="G419" s="8">
        <f>IF(F419&lt;&gt;"",HYPERLINK("https://www.google.com/maps/search/?api=1&amp;query="&amp;SUBSTITUTE(F419," ",""),"🗺 Google Maps"),"")</f>
        <v/>
      </c>
      <c r="H419" s="8">
        <f>IF(F419&lt;&gt;"",HYPERLINK("https://waze.com/ul?ll="&amp;SUBSTITUTE(F419," ","")&amp;"&amp;navigate=yes","🚗 Waze"),"")</f>
        <v/>
      </c>
      <c r="I419" s="8">
        <f>IF(F419&lt;&gt;"",HYPERLINK("https://m.uber.com/ul/?action=setPickup&amp;pickup=my_location&amp;dropoff[latitude]="&amp;LEFT(SUBSTITUTE(F419," ",""),FIND(",",SUBSTITUTE(F419," ",""))-1)&amp;"&amp;dropoff[longitude]="&amp;MID(SUBSTITUTE(F419," ",""),FIND(",",SUBSTITUTE(F419," ",""))+1,99),"🚕 Uber"),"")</f>
        <v/>
      </c>
      <c r="J419" s="8">
        <f>IF(F419&lt;&gt;"","https://api.qrserver.com/v1/create-qr-code/?size=200x200&amp;data="&amp;ENCODEURL("https://www.google.com/maps/search/?api=1&amp;query="&amp;SUBSTITUTE(F419," ","")),"")</f>
        <v/>
      </c>
      <c r="K419" s="8">
        <f>IF(C419&lt;&gt;"",HYPERLINK("https://wa.me/507"&amp;REGEXREPLACE(C419,"[^0-9]","")&amp;"?text="&amp;ENCODEURL("Ya llegue. Codigo: "&amp;A419&amp;". Ubicacion: "&amp;"https://www.google.com/maps/search/?api=1&amp;query="&amp;SUBSTITUTE(F419," ","")),"📲 Avisar al cliente"),"")</f>
        <v/>
      </c>
      <c r="L419" s="8">
        <f>IF(C419&lt;&gt;"","https://api.qrserver.com/v1/create-qr-code/?size=200x200&amp;data="&amp;ENCODEURL("https://wa.me/507"&amp;REGEXREPLACE(C419,"[^0-9]","")&amp;"?text="&amp;ENCODEURL("Ya llegue. Codigo: "&amp;A419&amp;". Ubicacion: "&amp;"https://www.google.com/maps/search/?api=1&amp;query="&amp;SUBSTITUTE(F419," ",""))),"")</f>
        <v/>
      </c>
      <c r="M419" s="8">
        <f>IF(B419&lt;&gt;"",TODAY(),"")</f>
        <v/>
      </c>
      <c r="N419" s="8">
        <f>IF(F419&lt;&gt;"",IFERROR(IF(AND(REGEXMATCH(SUBSTITUTE(TRIM(F419)," ",""),"^-?\d+(\.\d+)?,-?\d+(\.\d+)?$"),VALUE(REGEXEXTRACT(SUBSTITUTE(TRIM(F419)," ",""),"^-?\d+(\.\d+)?"))&gt;=-90,VALUE(REGEXEXTRACT(SUBSTITUTE(TRIM(F419)," ",""),"^-?\d+(\.\d+)?"))&lt;=90,VALUE(REGEXEXTRACT(SUBSTITUTE(TRIM(F419)," ",""),"-?\d+(\.\d+)?$"))&gt;=-180,VALUE(REGEXEXTRACT(SUBSTITUTE(TRIM(F419)," ",""),"-?\d+(\.\d+)?$"))&lt;=180),"OK","REVISAR"),"REVISAR"),"")</f>
        <v/>
      </c>
      <c r="O419">
        <f>IF(A419&lt;&gt;"","https://direcciones507.github.io/direcciones507/panel.html?codigo="&amp;A419&amp;"&amp;nombre="&amp;ENCODEURL(B419)&amp;"&amp;telefono="&amp;SUBSTITUTE(C419,"-","")&amp;"&amp;referencia="&amp;ENCODEURL(E419)&amp;"&amp;lat="&amp;IZQUIERDA(SUBSTITUTE(F419," ",""),ENCONTRAR(",",SUBSTITUTE(F419," ",""))-1)&amp;"&amp;lng="&amp;DERECHA(SUBSTITUTE(F419," ",""),LARGO(SUBSTITUTE(F419," ",""))-ENCONTRAR(",",SUBSTITUTE(F419," ",""))),"")</f>
        <v/>
      </c>
    </row>
    <row r="420" ht="15.75" customHeight="1" s="10">
      <c r="A420" s="8">
        <f>CONCAT("AD507-",TEXT(ROW()-2,"0000"))</f>
        <v/>
      </c>
      <c r="C420" s="8" t="n"/>
      <c r="F420" s="8" t="n"/>
      <c r="G420" s="8">
        <f>IF(F420&lt;&gt;"",HYPERLINK("https://www.google.com/maps/search/?api=1&amp;query="&amp;SUBSTITUTE(F420," ",""),"🗺 Google Maps"),"")</f>
        <v/>
      </c>
      <c r="H420" s="8">
        <f>IF(F420&lt;&gt;"",HYPERLINK("https://waze.com/ul?ll="&amp;SUBSTITUTE(F420," ","")&amp;"&amp;navigate=yes","🚗 Waze"),"")</f>
        <v/>
      </c>
      <c r="I420" s="8">
        <f>IF(F420&lt;&gt;"",HYPERLINK("https://m.uber.com/ul/?action=setPickup&amp;pickup=my_location&amp;dropoff[latitude]="&amp;LEFT(SUBSTITUTE(F420," ",""),FIND(",",SUBSTITUTE(F420," ",""))-1)&amp;"&amp;dropoff[longitude]="&amp;MID(SUBSTITUTE(F420," ",""),FIND(",",SUBSTITUTE(F420," ",""))+1,99),"🚕 Uber"),"")</f>
        <v/>
      </c>
      <c r="J420" s="8">
        <f>IF(F420&lt;&gt;"","https://api.qrserver.com/v1/create-qr-code/?size=200x200&amp;data="&amp;ENCODEURL("https://www.google.com/maps/search/?api=1&amp;query="&amp;SUBSTITUTE(F420," ","")),"")</f>
        <v/>
      </c>
      <c r="K420" s="8">
        <f>IF(C420&lt;&gt;"",HYPERLINK("https://wa.me/507"&amp;REGEXREPLACE(C420,"[^0-9]","")&amp;"?text="&amp;ENCODEURL("Ya llegue. Codigo: "&amp;A420&amp;". Ubicacion: "&amp;"https://www.google.com/maps/search/?api=1&amp;query="&amp;SUBSTITUTE(F420," ","")),"📲 Avisar al cliente"),"")</f>
        <v/>
      </c>
      <c r="L420" s="8">
        <f>IF(C420&lt;&gt;"","https://api.qrserver.com/v1/create-qr-code/?size=200x200&amp;data="&amp;ENCODEURL("https://wa.me/507"&amp;REGEXREPLACE(C420,"[^0-9]","")&amp;"?text="&amp;ENCODEURL("Ya llegue. Codigo: "&amp;A420&amp;". Ubicacion: "&amp;"https://www.google.com/maps/search/?api=1&amp;query="&amp;SUBSTITUTE(F420," ",""))),"")</f>
        <v/>
      </c>
      <c r="M420" s="8">
        <f>IF(B420&lt;&gt;"",TODAY(),"")</f>
        <v/>
      </c>
      <c r="N420" s="8">
        <f>IF(F420&lt;&gt;"",IFERROR(IF(AND(REGEXMATCH(SUBSTITUTE(TRIM(F420)," ",""),"^-?\d+(\.\d+)?,-?\d+(\.\d+)?$"),VALUE(REGEXEXTRACT(SUBSTITUTE(TRIM(F420)," ",""),"^-?\d+(\.\d+)?"))&gt;=-90,VALUE(REGEXEXTRACT(SUBSTITUTE(TRIM(F420)," ",""),"^-?\d+(\.\d+)?"))&lt;=90,VALUE(REGEXEXTRACT(SUBSTITUTE(TRIM(F420)," ",""),"-?\d+(\.\d+)?$"))&gt;=-180,VALUE(REGEXEXTRACT(SUBSTITUTE(TRIM(F420)," ",""),"-?\d+(\.\d+)?$"))&lt;=180),"OK","REVISAR"),"REVISAR"),"")</f>
        <v/>
      </c>
      <c r="O420">
        <f>IF(A420&lt;&gt;"","https://direcciones507.github.io/direcciones507/panel.html?codigo="&amp;A420&amp;"&amp;nombre="&amp;ENCODEURL(B420)&amp;"&amp;telefono="&amp;SUBSTITUTE(C420,"-","")&amp;"&amp;referencia="&amp;ENCODEURL(E420)&amp;"&amp;lat="&amp;IZQUIERDA(SUBSTITUTE(F420," ",""),ENCONTRAR(",",SUBSTITUTE(F420," ",""))-1)&amp;"&amp;lng="&amp;DERECHA(SUBSTITUTE(F420," ",""),LARGO(SUBSTITUTE(F420," ",""))-ENCONTRAR(",",SUBSTITUTE(F420," ",""))),"")</f>
        <v/>
      </c>
    </row>
    <row r="421" ht="15.75" customHeight="1" s="10">
      <c r="A421" s="8">
        <f>CONCAT("AD507-",TEXT(ROW()-2,"0000"))</f>
        <v/>
      </c>
      <c r="C421" s="8" t="n"/>
      <c r="F421" s="8" t="n"/>
      <c r="G421" s="8">
        <f>IF(F421&lt;&gt;"",HYPERLINK("https://www.google.com/maps/search/?api=1&amp;query="&amp;SUBSTITUTE(F421," ",""),"🗺 Google Maps"),"")</f>
        <v/>
      </c>
      <c r="H421" s="8">
        <f>IF(F421&lt;&gt;"",HYPERLINK("https://waze.com/ul?ll="&amp;SUBSTITUTE(F421," ","")&amp;"&amp;navigate=yes","🚗 Waze"),"")</f>
        <v/>
      </c>
      <c r="I421" s="8">
        <f>IF(F421&lt;&gt;"",HYPERLINK("https://m.uber.com/ul/?action=setPickup&amp;pickup=my_location&amp;dropoff[latitude]="&amp;LEFT(SUBSTITUTE(F421," ",""),FIND(",",SUBSTITUTE(F421," ",""))-1)&amp;"&amp;dropoff[longitude]="&amp;MID(SUBSTITUTE(F421," ",""),FIND(",",SUBSTITUTE(F421," ",""))+1,99),"🚕 Uber"),"")</f>
        <v/>
      </c>
      <c r="J421" s="8">
        <f>IF(F421&lt;&gt;"","https://api.qrserver.com/v1/create-qr-code/?size=200x200&amp;data="&amp;ENCODEURL("https://www.google.com/maps/search/?api=1&amp;query="&amp;SUBSTITUTE(F421," ","")),"")</f>
        <v/>
      </c>
      <c r="K421" s="8">
        <f>IF(C421&lt;&gt;"",HYPERLINK("https://wa.me/507"&amp;REGEXREPLACE(C421,"[^0-9]","")&amp;"?text="&amp;ENCODEURL("Ya llegue. Codigo: "&amp;A421&amp;". Ubicacion: "&amp;"https://www.google.com/maps/search/?api=1&amp;query="&amp;SUBSTITUTE(F421," ","")),"📲 Avisar al cliente"),"")</f>
        <v/>
      </c>
      <c r="L421" s="8">
        <f>IF(C421&lt;&gt;"","https://api.qrserver.com/v1/create-qr-code/?size=200x200&amp;data="&amp;ENCODEURL("https://wa.me/507"&amp;REGEXREPLACE(C421,"[^0-9]","")&amp;"?text="&amp;ENCODEURL("Ya llegue. Codigo: "&amp;A421&amp;". Ubicacion: "&amp;"https://www.google.com/maps/search/?api=1&amp;query="&amp;SUBSTITUTE(F421," ",""))),"")</f>
        <v/>
      </c>
      <c r="M421" s="8">
        <f>IF(B421&lt;&gt;"",TODAY(),"")</f>
        <v/>
      </c>
      <c r="N421" s="8">
        <f>IF(F421&lt;&gt;"",IFERROR(IF(AND(REGEXMATCH(SUBSTITUTE(TRIM(F421)," ",""),"^-?\d+(\.\d+)?,-?\d+(\.\d+)?$"),VALUE(REGEXEXTRACT(SUBSTITUTE(TRIM(F421)," ",""),"^-?\d+(\.\d+)?"))&gt;=-90,VALUE(REGEXEXTRACT(SUBSTITUTE(TRIM(F421)," ",""),"^-?\d+(\.\d+)?"))&lt;=90,VALUE(REGEXEXTRACT(SUBSTITUTE(TRIM(F421)," ",""),"-?\d+(\.\d+)?$"))&gt;=-180,VALUE(REGEXEXTRACT(SUBSTITUTE(TRIM(F421)," ",""),"-?\d+(\.\d+)?$"))&lt;=180),"OK","REVISAR"),"REVISAR"),"")</f>
        <v/>
      </c>
      <c r="O421">
        <f>IF(A421&lt;&gt;"","https://direcciones507.github.io/direcciones507/panel.html?codigo="&amp;A421&amp;"&amp;nombre="&amp;ENCODEURL(B421)&amp;"&amp;telefono="&amp;SUBSTITUTE(C421,"-","")&amp;"&amp;referencia="&amp;ENCODEURL(E421)&amp;"&amp;lat="&amp;IZQUIERDA(SUBSTITUTE(F421," ",""),ENCONTRAR(",",SUBSTITUTE(F421," ",""))-1)&amp;"&amp;lng="&amp;DERECHA(SUBSTITUTE(F421," ",""),LARGO(SUBSTITUTE(F421," ",""))-ENCONTRAR(",",SUBSTITUTE(F421," ",""))),"")</f>
        <v/>
      </c>
    </row>
    <row r="422" ht="15.75" customHeight="1" s="10">
      <c r="A422" s="8">
        <f>CONCAT("AD507-",TEXT(ROW()-2,"0000"))</f>
        <v/>
      </c>
      <c r="C422" s="8" t="n"/>
      <c r="F422" s="8" t="n"/>
      <c r="G422" s="8">
        <f>IF(F422&lt;&gt;"",HYPERLINK("https://www.google.com/maps/search/?api=1&amp;query="&amp;SUBSTITUTE(F422," ",""),"🗺 Google Maps"),"")</f>
        <v/>
      </c>
      <c r="H422" s="8">
        <f>IF(F422&lt;&gt;"",HYPERLINK("https://waze.com/ul?ll="&amp;SUBSTITUTE(F422," ","")&amp;"&amp;navigate=yes","🚗 Waze"),"")</f>
        <v/>
      </c>
      <c r="I422" s="8">
        <f>IF(F422&lt;&gt;"",HYPERLINK("https://m.uber.com/ul/?action=setPickup&amp;pickup=my_location&amp;dropoff[latitude]="&amp;LEFT(SUBSTITUTE(F422," ",""),FIND(",",SUBSTITUTE(F422," ",""))-1)&amp;"&amp;dropoff[longitude]="&amp;MID(SUBSTITUTE(F422," ",""),FIND(",",SUBSTITUTE(F422," ",""))+1,99),"🚕 Uber"),"")</f>
        <v/>
      </c>
      <c r="J422" s="8">
        <f>IF(F422&lt;&gt;"","https://api.qrserver.com/v1/create-qr-code/?size=200x200&amp;data="&amp;ENCODEURL("https://www.google.com/maps/search/?api=1&amp;query="&amp;SUBSTITUTE(F422," ","")),"")</f>
        <v/>
      </c>
      <c r="K422" s="8">
        <f>IF(C422&lt;&gt;"",HYPERLINK("https://wa.me/507"&amp;REGEXREPLACE(C422,"[^0-9]","")&amp;"?text="&amp;ENCODEURL("Ya llegue. Codigo: "&amp;A422&amp;". Ubicacion: "&amp;"https://www.google.com/maps/search/?api=1&amp;query="&amp;SUBSTITUTE(F422," ","")),"📲 Avisar al cliente"),"")</f>
        <v/>
      </c>
      <c r="L422" s="8">
        <f>IF(C422&lt;&gt;"","https://api.qrserver.com/v1/create-qr-code/?size=200x200&amp;data="&amp;ENCODEURL("https://wa.me/507"&amp;REGEXREPLACE(C422,"[^0-9]","")&amp;"?text="&amp;ENCODEURL("Ya llegue. Codigo: "&amp;A422&amp;". Ubicacion: "&amp;"https://www.google.com/maps/search/?api=1&amp;query="&amp;SUBSTITUTE(F422," ",""))),"")</f>
        <v/>
      </c>
      <c r="M422" s="8">
        <f>IF(B422&lt;&gt;"",TODAY(),"")</f>
        <v/>
      </c>
      <c r="N422" s="8">
        <f>IF(F422&lt;&gt;"",IFERROR(IF(AND(REGEXMATCH(SUBSTITUTE(TRIM(F422)," ",""),"^-?\d+(\.\d+)?,-?\d+(\.\d+)?$"),VALUE(REGEXEXTRACT(SUBSTITUTE(TRIM(F422)," ",""),"^-?\d+(\.\d+)?"))&gt;=-90,VALUE(REGEXEXTRACT(SUBSTITUTE(TRIM(F422)," ",""),"^-?\d+(\.\d+)?"))&lt;=90,VALUE(REGEXEXTRACT(SUBSTITUTE(TRIM(F422)," ",""),"-?\d+(\.\d+)?$"))&gt;=-180,VALUE(REGEXEXTRACT(SUBSTITUTE(TRIM(F422)," ",""),"-?\d+(\.\d+)?$"))&lt;=180),"OK","REVISAR"),"REVISAR"),"")</f>
        <v/>
      </c>
      <c r="O422">
        <f>IF(A422&lt;&gt;"","https://direcciones507.github.io/direcciones507/panel.html?codigo="&amp;A422&amp;"&amp;nombre="&amp;ENCODEURL(B422)&amp;"&amp;telefono="&amp;SUBSTITUTE(C422,"-","")&amp;"&amp;referencia="&amp;ENCODEURL(E422)&amp;"&amp;lat="&amp;IZQUIERDA(SUBSTITUTE(F422," ",""),ENCONTRAR(",",SUBSTITUTE(F422," ",""))-1)&amp;"&amp;lng="&amp;DERECHA(SUBSTITUTE(F422," ",""),LARGO(SUBSTITUTE(F422," ",""))-ENCONTRAR(",",SUBSTITUTE(F422," ",""))),"")</f>
        <v/>
      </c>
    </row>
    <row r="423" ht="15.75" customHeight="1" s="10">
      <c r="A423" s="8">
        <f>CONCAT("AD507-",TEXT(ROW()-2,"0000"))</f>
        <v/>
      </c>
      <c r="C423" s="8" t="n"/>
      <c r="F423" s="8" t="n"/>
      <c r="G423" s="8">
        <f>IF(F423&lt;&gt;"",HYPERLINK("https://www.google.com/maps/search/?api=1&amp;query="&amp;SUBSTITUTE(F423," ",""),"🗺 Google Maps"),"")</f>
        <v/>
      </c>
      <c r="H423" s="8">
        <f>IF(F423&lt;&gt;"",HYPERLINK("https://waze.com/ul?ll="&amp;SUBSTITUTE(F423," ","")&amp;"&amp;navigate=yes","🚗 Waze"),"")</f>
        <v/>
      </c>
      <c r="I423" s="8">
        <f>IF(F423&lt;&gt;"",HYPERLINK("https://m.uber.com/ul/?action=setPickup&amp;pickup=my_location&amp;dropoff[latitude]="&amp;LEFT(SUBSTITUTE(F423," ",""),FIND(",",SUBSTITUTE(F423," ",""))-1)&amp;"&amp;dropoff[longitude]="&amp;MID(SUBSTITUTE(F423," ",""),FIND(",",SUBSTITUTE(F423," ",""))+1,99),"🚕 Uber"),"")</f>
        <v/>
      </c>
      <c r="J423" s="8">
        <f>IF(F423&lt;&gt;"","https://api.qrserver.com/v1/create-qr-code/?size=200x200&amp;data="&amp;ENCODEURL("https://www.google.com/maps/search/?api=1&amp;query="&amp;SUBSTITUTE(F423," ","")),"")</f>
        <v/>
      </c>
      <c r="K423" s="8">
        <f>IF(C423&lt;&gt;"",HYPERLINK("https://wa.me/507"&amp;REGEXREPLACE(C423,"[^0-9]","")&amp;"?text="&amp;ENCODEURL("Ya llegue. Codigo: "&amp;A423&amp;". Ubicacion: "&amp;"https://www.google.com/maps/search/?api=1&amp;query="&amp;SUBSTITUTE(F423," ","")),"📲 Avisar al cliente"),"")</f>
        <v/>
      </c>
      <c r="L423" s="8">
        <f>IF(C423&lt;&gt;"","https://api.qrserver.com/v1/create-qr-code/?size=200x200&amp;data="&amp;ENCODEURL("https://wa.me/507"&amp;REGEXREPLACE(C423,"[^0-9]","")&amp;"?text="&amp;ENCODEURL("Ya llegue. Codigo: "&amp;A423&amp;". Ubicacion: "&amp;"https://www.google.com/maps/search/?api=1&amp;query="&amp;SUBSTITUTE(F423," ",""))),"")</f>
        <v/>
      </c>
      <c r="M423" s="8">
        <f>IF(B423&lt;&gt;"",TODAY(),"")</f>
        <v/>
      </c>
      <c r="N423" s="8">
        <f>IF(F423&lt;&gt;"",IFERROR(IF(AND(REGEXMATCH(SUBSTITUTE(TRIM(F423)," ",""),"^-?\d+(\.\d+)?,-?\d+(\.\d+)?$"),VALUE(REGEXEXTRACT(SUBSTITUTE(TRIM(F423)," ",""),"^-?\d+(\.\d+)?"))&gt;=-90,VALUE(REGEXEXTRACT(SUBSTITUTE(TRIM(F423)," ",""),"^-?\d+(\.\d+)?"))&lt;=90,VALUE(REGEXEXTRACT(SUBSTITUTE(TRIM(F423)," ",""),"-?\d+(\.\d+)?$"))&gt;=-180,VALUE(REGEXEXTRACT(SUBSTITUTE(TRIM(F423)," ",""),"-?\d+(\.\d+)?$"))&lt;=180),"OK","REVISAR"),"REVISAR"),"")</f>
        <v/>
      </c>
      <c r="O423">
        <f>IF(A423&lt;&gt;"","https://direcciones507.github.io/direcciones507/panel.html?codigo="&amp;A423&amp;"&amp;nombre="&amp;ENCODEURL(B423)&amp;"&amp;telefono="&amp;SUBSTITUTE(C423,"-","")&amp;"&amp;referencia="&amp;ENCODEURL(E423)&amp;"&amp;lat="&amp;IZQUIERDA(SUBSTITUTE(F423," ",""),ENCONTRAR(",",SUBSTITUTE(F423," ",""))-1)&amp;"&amp;lng="&amp;DERECHA(SUBSTITUTE(F423," ",""),LARGO(SUBSTITUTE(F423," ",""))-ENCONTRAR(",",SUBSTITUTE(F423," ",""))),"")</f>
        <v/>
      </c>
    </row>
    <row r="424" ht="15.75" customHeight="1" s="10">
      <c r="A424" s="8">
        <f>CONCAT("AD507-",TEXT(ROW()-2,"0000"))</f>
        <v/>
      </c>
      <c r="C424" s="8" t="n"/>
      <c r="F424" s="8" t="n"/>
      <c r="G424" s="8">
        <f>IF(F424&lt;&gt;"",HYPERLINK("https://www.google.com/maps/search/?api=1&amp;query="&amp;SUBSTITUTE(F424," ",""),"🗺 Google Maps"),"")</f>
        <v/>
      </c>
      <c r="H424" s="8">
        <f>IF(F424&lt;&gt;"",HYPERLINK("https://waze.com/ul?ll="&amp;SUBSTITUTE(F424," ","")&amp;"&amp;navigate=yes","🚗 Waze"),"")</f>
        <v/>
      </c>
      <c r="I424" s="8">
        <f>IF(F424&lt;&gt;"",HYPERLINK("https://m.uber.com/ul/?action=setPickup&amp;pickup=my_location&amp;dropoff[latitude]="&amp;LEFT(SUBSTITUTE(F424," ",""),FIND(",",SUBSTITUTE(F424," ",""))-1)&amp;"&amp;dropoff[longitude]="&amp;MID(SUBSTITUTE(F424," ",""),FIND(",",SUBSTITUTE(F424," ",""))+1,99),"🚕 Uber"),"")</f>
        <v/>
      </c>
      <c r="J424" s="8">
        <f>IF(F424&lt;&gt;"","https://api.qrserver.com/v1/create-qr-code/?size=200x200&amp;data="&amp;ENCODEURL("https://www.google.com/maps/search/?api=1&amp;query="&amp;SUBSTITUTE(F424," ","")),"")</f>
        <v/>
      </c>
      <c r="K424" s="8">
        <f>IF(C424&lt;&gt;"",HYPERLINK("https://wa.me/507"&amp;REGEXREPLACE(C424,"[^0-9]","")&amp;"?text="&amp;ENCODEURL("Ya llegue. Codigo: "&amp;A424&amp;". Ubicacion: "&amp;"https://www.google.com/maps/search/?api=1&amp;query="&amp;SUBSTITUTE(F424," ","")),"📲 Avisar al cliente"),"")</f>
        <v/>
      </c>
      <c r="L424" s="8">
        <f>IF(C424&lt;&gt;"","https://api.qrserver.com/v1/create-qr-code/?size=200x200&amp;data="&amp;ENCODEURL("https://wa.me/507"&amp;REGEXREPLACE(C424,"[^0-9]","")&amp;"?text="&amp;ENCODEURL("Ya llegue. Codigo: "&amp;A424&amp;". Ubicacion: "&amp;"https://www.google.com/maps/search/?api=1&amp;query="&amp;SUBSTITUTE(F424," ",""))),"")</f>
        <v/>
      </c>
      <c r="M424" s="8">
        <f>IF(B424&lt;&gt;"",TODAY(),"")</f>
        <v/>
      </c>
      <c r="N424" s="8">
        <f>IF(F424&lt;&gt;"",IFERROR(IF(AND(REGEXMATCH(SUBSTITUTE(TRIM(F424)," ",""),"^-?\d+(\.\d+)?,-?\d+(\.\d+)?$"),VALUE(REGEXEXTRACT(SUBSTITUTE(TRIM(F424)," ",""),"^-?\d+(\.\d+)?"))&gt;=-90,VALUE(REGEXEXTRACT(SUBSTITUTE(TRIM(F424)," ",""),"^-?\d+(\.\d+)?"))&lt;=90,VALUE(REGEXEXTRACT(SUBSTITUTE(TRIM(F424)," ",""),"-?\d+(\.\d+)?$"))&gt;=-180,VALUE(REGEXEXTRACT(SUBSTITUTE(TRIM(F424)," ",""),"-?\d+(\.\d+)?$"))&lt;=180),"OK","REVISAR"),"REVISAR"),"")</f>
        <v/>
      </c>
      <c r="O424">
        <f>IF(A424&lt;&gt;"","https://direcciones507.github.io/direcciones507/panel.html?codigo="&amp;A424&amp;"&amp;nombre="&amp;ENCODEURL(B424)&amp;"&amp;telefono="&amp;SUBSTITUTE(C424,"-","")&amp;"&amp;referencia="&amp;ENCODEURL(E424)&amp;"&amp;lat="&amp;IZQUIERDA(SUBSTITUTE(F424," ",""),ENCONTRAR(",",SUBSTITUTE(F424," ",""))-1)&amp;"&amp;lng="&amp;DERECHA(SUBSTITUTE(F424," ",""),LARGO(SUBSTITUTE(F424," ",""))-ENCONTRAR(",",SUBSTITUTE(F424," ",""))),"")</f>
        <v/>
      </c>
    </row>
    <row r="425" ht="15.75" customHeight="1" s="10">
      <c r="A425" s="8">
        <f>CONCAT("AD507-",TEXT(ROW()-2,"0000"))</f>
        <v/>
      </c>
      <c r="C425" s="8" t="n"/>
      <c r="F425" s="8" t="n"/>
      <c r="G425" s="8">
        <f>IF(F425&lt;&gt;"",HYPERLINK("https://www.google.com/maps/search/?api=1&amp;query="&amp;SUBSTITUTE(F425," ",""),"🗺 Google Maps"),"")</f>
        <v/>
      </c>
      <c r="H425" s="8">
        <f>IF(F425&lt;&gt;"",HYPERLINK("https://waze.com/ul?ll="&amp;SUBSTITUTE(F425," ","")&amp;"&amp;navigate=yes","🚗 Waze"),"")</f>
        <v/>
      </c>
      <c r="I425" s="8">
        <f>IF(F425&lt;&gt;"",HYPERLINK("https://m.uber.com/ul/?action=setPickup&amp;pickup=my_location&amp;dropoff[latitude]="&amp;LEFT(SUBSTITUTE(F425," ",""),FIND(",",SUBSTITUTE(F425," ",""))-1)&amp;"&amp;dropoff[longitude]="&amp;MID(SUBSTITUTE(F425," ",""),FIND(",",SUBSTITUTE(F425," ",""))+1,99),"🚕 Uber"),"")</f>
        <v/>
      </c>
      <c r="J425" s="8">
        <f>IF(F425&lt;&gt;"","https://api.qrserver.com/v1/create-qr-code/?size=200x200&amp;data="&amp;ENCODEURL("https://www.google.com/maps/search/?api=1&amp;query="&amp;SUBSTITUTE(F425," ","")),"")</f>
        <v/>
      </c>
      <c r="K425" s="8">
        <f>IF(C425&lt;&gt;"",HYPERLINK("https://wa.me/507"&amp;REGEXREPLACE(C425,"[^0-9]","")&amp;"?text="&amp;ENCODEURL("Ya llegue. Codigo: "&amp;A425&amp;". Ubicacion: "&amp;"https://www.google.com/maps/search/?api=1&amp;query="&amp;SUBSTITUTE(F425," ","")),"📲 Avisar al cliente"),"")</f>
        <v/>
      </c>
      <c r="L425" s="8">
        <f>IF(C425&lt;&gt;"","https://api.qrserver.com/v1/create-qr-code/?size=200x200&amp;data="&amp;ENCODEURL("https://wa.me/507"&amp;REGEXREPLACE(C425,"[^0-9]","")&amp;"?text="&amp;ENCODEURL("Ya llegue. Codigo: "&amp;A425&amp;". Ubicacion: "&amp;"https://www.google.com/maps/search/?api=1&amp;query="&amp;SUBSTITUTE(F425," ",""))),"")</f>
        <v/>
      </c>
      <c r="M425" s="8">
        <f>IF(B425&lt;&gt;"",TODAY(),"")</f>
        <v/>
      </c>
      <c r="N425" s="8">
        <f>IF(F425&lt;&gt;"",IFERROR(IF(AND(REGEXMATCH(SUBSTITUTE(TRIM(F425)," ",""),"^-?\d+(\.\d+)?,-?\d+(\.\d+)?$"),VALUE(REGEXEXTRACT(SUBSTITUTE(TRIM(F425)," ",""),"^-?\d+(\.\d+)?"))&gt;=-90,VALUE(REGEXEXTRACT(SUBSTITUTE(TRIM(F425)," ",""),"^-?\d+(\.\d+)?"))&lt;=90,VALUE(REGEXEXTRACT(SUBSTITUTE(TRIM(F425)," ",""),"-?\d+(\.\d+)?$"))&gt;=-180,VALUE(REGEXEXTRACT(SUBSTITUTE(TRIM(F425)," ",""),"-?\d+(\.\d+)?$"))&lt;=180),"OK","REVISAR"),"REVISAR"),"")</f>
        <v/>
      </c>
      <c r="O425">
        <f>IF(A425&lt;&gt;"","https://direcciones507.github.io/direcciones507/panel.html?codigo="&amp;A425&amp;"&amp;nombre="&amp;ENCODEURL(B425)&amp;"&amp;telefono="&amp;SUBSTITUTE(C425,"-","")&amp;"&amp;referencia="&amp;ENCODEURL(E425)&amp;"&amp;lat="&amp;IZQUIERDA(SUBSTITUTE(F425," ",""),ENCONTRAR(",",SUBSTITUTE(F425," ",""))-1)&amp;"&amp;lng="&amp;DERECHA(SUBSTITUTE(F425," ",""),LARGO(SUBSTITUTE(F425," ",""))-ENCONTRAR(",",SUBSTITUTE(F425," ",""))),"")</f>
        <v/>
      </c>
    </row>
    <row r="426" ht="15.75" customHeight="1" s="10">
      <c r="A426" s="8">
        <f>CONCAT("AD507-",TEXT(ROW()-2,"0000"))</f>
        <v/>
      </c>
      <c r="C426" s="8" t="n"/>
      <c r="F426" s="8" t="n"/>
      <c r="G426" s="8">
        <f>IF(F426&lt;&gt;"",HYPERLINK("https://www.google.com/maps/search/?api=1&amp;query="&amp;SUBSTITUTE(F426," ",""),"🗺 Google Maps"),"")</f>
        <v/>
      </c>
      <c r="H426" s="8">
        <f>IF(F426&lt;&gt;"",HYPERLINK("https://waze.com/ul?ll="&amp;SUBSTITUTE(F426," ","")&amp;"&amp;navigate=yes","🚗 Waze"),"")</f>
        <v/>
      </c>
      <c r="I426" s="8">
        <f>IF(F426&lt;&gt;"",HYPERLINK("https://m.uber.com/ul/?action=setPickup&amp;pickup=my_location&amp;dropoff[latitude]="&amp;LEFT(SUBSTITUTE(F426," ",""),FIND(",",SUBSTITUTE(F426," ",""))-1)&amp;"&amp;dropoff[longitude]="&amp;MID(SUBSTITUTE(F426," ",""),FIND(",",SUBSTITUTE(F426," ",""))+1,99),"🚕 Uber"),"")</f>
        <v/>
      </c>
      <c r="J426" s="8">
        <f>IF(F426&lt;&gt;"","https://api.qrserver.com/v1/create-qr-code/?size=200x200&amp;data="&amp;ENCODEURL("https://www.google.com/maps/search/?api=1&amp;query="&amp;SUBSTITUTE(F426," ","")),"")</f>
        <v/>
      </c>
      <c r="K426" s="8">
        <f>IF(C426&lt;&gt;"",HYPERLINK("https://wa.me/507"&amp;REGEXREPLACE(C426,"[^0-9]","")&amp;"?text="&amp;ENCODEURL("Ya llegue. Codigo: "&amp;A426&amp;". Ubicacion: "&amp;"https://www.google.com/maps/search/?api=1&amp;query="&amp;SUBSTITUTE(F426," ","")),"📲 Avisar al cliente"),"")</f>
        <v/>
      </c>
      <c r="L426" s="8">
        <f>IF(C426&lt;&gt;"","https://api.qrserver.com/v1/create-qr-code/?size=200x200&amp;data="&amp;ENCODEURL("https://wa.me/507"&amp;REGEXREPLACE(C426,"[^0-9]","")&amp;"?text="&amp;ENCODEURL("Ya llegue. Codigo: "&amp;A426&amp;". Ubicacion: "&amp;"https://www.google.com/maps/search/?api=1&amp;query="&amp;SUBSTITUTE(F426," ",""))),"")</f>
        <v/>
      </c>
      <c r="M426" s="8">
        <f>IF(B426&lt;&gt;"",TODAY(),"")</f>
        <v/>
      </c>
      <c r="N426" s="8">
        <f>IF(F426&lt;&gt;"",IFERROR(IF(AND(REGEXMATCH(SUBSTITUTE(TRIM(F426)," ",""),"^-?\d+(\.\d+)?,-?\d+(\.\d+)?$"),VALUE(REGEXEXTRACT(SUBSTITUTE(TRIM(F426)," ",""),"^-?\d+(\.\d+)?"))&gt;=-90,VALUE(REGEXEXTRACT(SUBSTITUTE(TRIM(F426)," ",""),"^-?\d+(\.\d+)?"))&lt;=90,VALUE(REGEXEXTRACT(SUBSTITUTE(TRIM(F426)," ",""),"-?\d+(\.\d+)?$"))&gt;=-180,VALUE(REGEXEXTRACT(SUBSTITUTE(TRIM(F426)," ",""),"-?\d+(\.\d+)?$"))&lt;=180),"OK","REVISAR"),"REVISAR"),"")</f>
        <v/>
      </c>
      <c r="O426">
        <f>IF(A426&lt;&gt;"","https://direcciones507.github.io/direcciones507/panel.html?codigo="&amp;A426&amp;"&amp;nombre="&amp;ENCODEURL(B426)&amp;"&amp;telefono="&amp;SUBSTITUTE(C426,"-","")&amp;"&amp;referencia="&amp;ENCODEURL(E426)&amp;"&amp;lat="&amp;IZQUIERDA(SUBSTITUTE(F426," ",""),ENCONTRAR(",",SUBSTITUTE(F426," ",""))-1)&amp;"&amp;lng="&amp;DERECHA(SUBSTITUTE(F426," ",""),LARGO(SUBSTITUTE(F426," ",""))-ENCONTRAR(",",SUBSTITUTE(F426," ",""))),"")</f>
        <v/>
      </c>
    </row>
    <row r="427" ht="15.75" customHeight="1" s="10">
      <c r="A427" s="8">
        <f>CONCAT("AD507-",TEXT(ROW()-2,"0000"))</f>
        <v/>
      </c>
      <c r="C427" s="8" t="n"/>
      <c r="F427" s="8" t="n"/>
      <c r="G427" s="8">
        <f>IF(F427&lt;&gt;"",HYPERLINK("https://www.google.com/maps/search/?api=1&amp;query="&amp;SUBSTITUTE(F427," ",""),"🗺 Google Maps"),"")</f>
        <v/>
      </c>
      <c r="H427" s="8">
        <f>IF(F427&lt;&gt;"",HYPERLINK("https://waze.com/ul?ll="&amp;SUBSTITUTE(F427," ","")&amp;"&amp;navigate=yes","🚗 Waze"),"")</f>
        <v/>
      </c>
      <c r="I427" s="8">
        <f>IF(F427&lt;&gt;"",HYPERLINK("https://m.uber.com/ul/?action=setPickup&amp;pickup=my_location&amp;dropoff[latitude]="&amp;LEFT(SUBSTITUTE(F427," ",""),FIND(",",SUBSTITUTE(F427," ",""))-1)&amp;"&amp;dropoff[longitude]="&amp;MID(SUBSTITUTE(F427," ",""),FIND(",",SUBSTITUTE(F427," ",""))+1,99),"🚕 Uber"),"")</f>
        <v/>
      </c>
      <c r="J427" s="8">
        <f>IF(F427&lt;&gt;"","https://api.qrserver.com/v1/create-qr-code/?size=200x200&amp;data="&amp;ENCODEURL("https://www.google.com/maps/search/?api=1&amp;query="&amp;SUBSTITUTE(F427," ","")),"")</f>
        <v/>
      </c>
      <c r="K427" s="8">
        <f>IF(C427&lt;&gt;"",HYPERLINK("https://wa.me/507"&amp;REGEXREPLACE(C427,"[^0-9]","")&amp;"?text="&amp;ENCODEURL("Ya llegue. Codigo: "&amp;A427&amp;". Ubicacion: "&amp;"https://www.google.com/maps/search/?api=1&amp;query="&amp;SUBSTITUTE(F427," ","")),"📲 Avisar al cliente"),"")</f>
        <v/>
      </c>
      <c r="L427" s="8">
        <f>IF(C427&lt;&gt;"","https://api.qrserver.com/v1/create-qr-code/?size=200x200&amp;data="&amp;ENCODEURL("https://wa.me/507"&amp;REGEXREPLACE(C427,"[^0-9]","")&amp;"?text="&amp;ENCODEURL("Ya llegue. Codigo: "&amp;A427&amp;". Ubicacion: "&amp;"https://www.google.com/maps/search/?api=1&amp;query="&amp;SUBSTITUTE(F427," ",""))),"")</f>
        <v/>
      </c>
      <c r="M427" s="8">
        <f>IF(B427&lt;&gt;"",TODAY(),"")</f>
        <v/>
      </c>
      <c r="N427" s="8">
        <f>IF(F427&lt;&gt;"",IFERROR(IF(AND(REGEXMATCH(SUBSTITUTE(TRIM(F427)," ",""),"^-?\d+(\.\d+)?,-?\d+(\.\d+)?$"),VALUE(REGEXEXTRACT(SUBSTITUTE(TRIM(F427)," ",""),"^-?\d+(\.\d+)?"))&gt;=-90,VALUE(REGEXEXTRACT(SUBSTITUTE(TRIM(F427)," ",""),"^-?\d+(\.\d+)?"))&lt;=90,VALUE(REGEXEXTRACT(SUBSTITUTE(TRIM(F427)," ",""),"-?\d+(\.\d+)?$"))&gt;=-180,VALUE(REGEXEXTRACT(SUBSTITUTE(TRIM(F427)," ",""),"-?\d+(\.\d+)?$"))&lt;=180),"OK","REVISAR"),"REVISAR"),"")</f>
        <v/>
      </c>
      <c r="O427">
        <f>IF(A427&lt;&gt;"","https://direcciones507.github.io/direcciones507/panel.html?codigo="&amp;A427&amp;"&amp;nombre="&amp;ENCODEURL(B427)&amp;"&amp;telefono="&amp;SUBSTITUTE(C427,"-","")&amp;"&amp;referencia="&amp;ENCODEURL(E427)&amp;"&amp;lat="&amp;IZQUIERDA(SUBSTITUTE(F427," ",""),ENCONTRAR(",",SUBSTITUTE(F427," ",""))-1)&amp;"&amp;lng="&amp;DERECHA(SUBSTITUTE(F427," ",""),LARGO(SUBSTITUTE(F427," ",""))-ENCONTRAR(",",SUBSTITUTE(F427," ",""))),"")</f>
        <v/>
      </c>
    </row>
    <row r="428" ht="15.75" customHeight="1" s="10">
      <c r="A428" s="8">
        <f>CONCAT("AD507-",TEXT(ROW()-2,"0000"))</f>
        <v/>
      </c>
      <c r="C428" s="8" t="n"/>
      <c r="F428" s="8" t="n"/>
      <c r="G428" s="8">
        <f>IF(F428&lt;&gt;"",HYPERLINK("https://www.google.com/maps/search/?api=1&amp;query="&amp;SUBSTITUTE(F428," ",""),"🗺 Google Maps"),"")</f>
        <v/>
      </c>
      <c r="H428" s="8">
        <f>IF(F428&lt;&gt;"",HYPERLINK("https://waze.com/ul?ll="&amp;SUBSTITUTE(F428," ","")&amp;"&amp;navigate=yes","🚗 Waze"),"")</f>
        <v/>
      </c>
      <c r="I428" s="8">
        <f>IF(F428&lt;&gt;"",HYPERLINK("https://m.uber.com/ul/?action=setPickup&amp;pickup=my_location&amp;dropoff[latitude]="&amp;LEFT(SUBSTITUTE(F428," ",""),FIND(",",SUBSTITUTE(F428," ",""))-1)&amp;"&amp;dropoff[longitude]="&amp;MID(SUBSTITUTE(F428," ",""),FIND(",",SUBSTITUTE(F428," ",""))+1,99),"🚕 Uber"),"")</f>
        <v/>
      </c>
      <c r="J428" s="8">
        <f>IF(F428&lt;&gt;"","https://api.qrserver.com/v1/create-qr-code/?size=200x200&amp;data="&amp;ENCODEURL("https://www.google.com/maps/search/?api=1&amp;query="&amp;SUBSTITUTE(F428," ","")),"")</f>
        <v/>
      </c>
      <c r="K428" s="8">
        <f>IF(C428&lt;&gt;"",HYPERLINK("https://wa.me/507"&amp;REGEXREPLACE(C428,"[^0-9]","")&amp;"?text="&amp;ENCODEURL("Ya llegue. Codigo: "&amp;A428&amp;". Ubicacion: "&amp;"https://www.google.com/maps/search/?api=1&amp;query="&amp;SUBSTITUTE(F428," ","")),"📲 Avisar al cliente"),"")</f>
        <v/>
      </c>
      <c r="L428" s="8">
        <f>IF(C428&lt;&gt;"","https://api.qrserver.com/v1/create-qr-code/?size=200x200&amp;data="&amp;ENCODEURL("https://wa.me/507"&amp;REGEXREPLACE(C428,"[^0-9]","")&amp;"?text="&amp;ENCODEURL("Ya llegue. Codigo: "&amp;A428&amp;". Ubicacion: "&amp;"https://www.google.com/maps/search/?api=1&amp;query="&amp;SUBSTITUTE(F428," ",""))),"")</f>
        <v/>
      </c>
      <c r="M428" s="8">
        <f>IF(B428&lt;&gt;"",TODAY(),"")</f>
        <v/>
      </c>
      <c r="N428" s="8">
        <f>IF(F428&lt;&gt;"",IFERROR(IF(AND(REGEXMATCH(SUBSTITUTE(TRIM(F428)," ",""),"^-?\d+(\.\d+)?,-?\d+(\.\d+)?$"),VALUE(REGEXEXTRACT(SUBSTITUTE(TRIM(F428)," ",""),"^-?\d+(\.\d+)?"))&gt;=-90,VALUE(REGEXEXTRACT(SUBSTITUTE(TRIM(F428)," ",""),"^-?\d+(\.\d+)?"))&lt;=90,VALUE(REGEXEXTRACT(SUBSTITUTE(TRIM(F428)," ",""),"-?\d+(\.\d+)?$"))&gt;=-180,VALUE(REGEXEXTRACT(SUBSTITUTE(TRIM(F428)," ",""),"-?\d+(\.\d+)?$"))&lt;=180),"OK","REVISAR"),"REVISAR"),"")</f>
        <v/>
      </c>
      <c r="O428">
        <f>IF(A428&lt;&gt;"","https://direcciones507.github.io/direcciones507/panel.html?codigo="&amp;A428&amp;"&amp;nombre="&amp;ENCODEURL(B428)&amp;"&amp;telefono="&amp;SUBSTITUTE(C428,"-","")&amp;"&amp;referencia="&amp;ENCODEURL(E428)&amp;"&amp;lat="&amp;IZQUIERDA(SUBSTITUTE(F428," ",""),ENCONTRAR(",",SUBSTITUTE(F428," ",""))-1)&amp;"&amp;lng="&amp;DERECHA(SUBSTITUTE(F428," ",""),LARGO(SUBSTITUTE(F428," ",""))-ENCONTRAR(",",SUBSTITUTE(F428," ",""))),"")</f>
        <v/>
      </c>
    </row>
    <row r="429" ht="15.75" customHeight="1" s="10">
      <c r="A429" s="8">
        <f>CONCAT("AD507-",TEXT(ROW()-2,"0000"))</f>
        <v/>
      </c>
      <c r="C429" s="8" t="n"/>
      <c r="F429" s="8" t="n"/>
      <c r="G429" s="8">
        <f>IF(F429&lt;&gt;"",HYPERLINK("https://www.google.com/maps/search/?api=1&amp;query="&amp;SUBSTITUTE(F429," ",""),"🗺 Google Maps"),"")</f>
        <v/>
      </c>
      <c r="H429" s="8">
        <f>IF(F429&lt;&gt;"",HYPERLINK("https://waze.com/ul?ll="&amp;SUBSTITUTE(F429," ","")&amp;"&amp;navigate=yes","🚗 Waze"),"")</f>
        <v/>
      </c>
      <c r="I429" s="8">
        <f>IF(F429&lt;&gt;"",HYPERLINK("https://m.uber.com/ul/?action=setPickup&amp;pickup=my_location&amp;dropoff[latitude]="&amp;LEFT(SUBSTITUTE(F429," ",""),FIND(",",SUBSTITUTE(F429," ",""))-1)&amp;"&amp;dropoff[longitude]="&amp;MID(SUBSTITUTE(F429," ",""),FIND(",",SUBSTITUTE(F429," ",""))+1,99),"🚕 Uber"),"")</f>
        <v/>
      </c>
      <c r="J429" s="8">
        <f>IF(F429&lt;&gt;"","https://api.qrserver.com/v1/create-qr-code/?size=200x200&amp;data="&amp;ENCODEURL("https://www.google.com/maps/search/?api=1&amp;query="&amp;SUBSTITUTE(F429," ","")),"")</f>
        <v/>
      </c>
      <c r="K429" s="8">
        <f>IF(C429&lt;&gt;"",HYPERLINK("https://wa.me/507"&amp;REGEXREPLACE(C429,"[^0-9]","")&amp;"?text="&amp;ENCODEURL("Ya llegue. Codigo: "&amp;A429&amp;". Ubicacion: "&amp;"https://www.google.com/maps/search/?api=1&amp;query="&amp;SUBSTITUTE(F429," ","")),"📲 Avisar al cliente"),"")</f>
        <v/>
      </c>
      <c r="L429" s="8">
        <f>IF(C429&lt;&gt;"","https://api.qrserver.com/v1/create-qr-code/?size=200x200&amp;data="&amp;ENCODEURL("https://wa.me/507"&amp;REGEXREPLACE(C429,"[^0-9]","")&amp;"?text="&amp;ENCODEURL("Ya llegue. Codigo: "&amp;A429&amp;". Ubicacion: "&amp;"https://www.google.com/maps/search/?api=1&amp;query="&amp;SUBSTITUTE(F429," ",""))),"")</f>
        <v/>
      </c>
      <c r="M429" s="8">
        <f>IF(B429&lt;&gt;"",TODAY(),"")</f>
        <v/>
      </c>
      <c r="N429" s="8">
        <f>IF(F429&lt;&gt;"",IFERROR(IF(AND(REGEXMATCH(SUBSTITUTE(TRIM(F429)," ",""),"^-?\d+(\.\d+)?,-?\d+(\.\d+)?$"),VALUE(REGEXEXTRACT(SUBSTITUTE(TRIM(F429)," ",""),"^-?\d+(\.\d+)?"))&gt;=-90,VALUE(REGEXEXTRACT(SUBSTITUTE(TRIM(F429)," ",""),"^-?\d+(\.\d+)?"))&lt;=90,VALUE(REGEXEXTRACT(SUBSTITUTE(TRIM(F429)," ",""),"-?\d+(\.\d+)?$"))&gt;=-180,VALUE(REGEXEXTRACT(SUBSTITUTE(TRIM(F429)," ",""),"-?\d+(\.\d+)?$"))&lt;=180),"OK","REVISAR"),"REVISAR"),"")</f>
        <v/>
      </c>
      <c r="O429">
        <f>IF(A429&lt;&gt;"","https://direcciones507.github.io/direcciones507/panel.html?codigo="&amp;A429&amp;"&amp;nombre="&amp;ENCODEURL(B429)&amp;"&amp;telefono="&amp;SUBSTITUTE(C429,"-","")&amp;"&amp;referencia="&amp;ENCODEURL(E429)&amp;"&amp;lat="&amp;IZQUIERDA(SUBSTITUTE(F429," ",""),ENCONTRAR(",",SUBSTITUTE(F429," ",""))-1)&amp;"&amp;lng="&amp;DERECHA(SUBSTITUTE(F429," ",""),LARGO(SUBSTITUTE(F429," ",""))-ENCONTRAR(",",SUBSTITUTE(F429," ",""))),"")</f>
        <v/>
      </c>
    </row>
    <row r="430" ht="15.75" customHeight="1" s="10">
      <c r="A430" s="8">
        <f>CONCAT("AD507-",TEXT(ROW()-2,"0000"))</f>
        <v/>
      </c>
      <c r="C430" s="8" t="n"/>
      <c r="F430" s="8" t="n"/>
      <c r="G430" s="8">
        <f>IF(F430&lt;&gt;"",HYPERLINK("https://www.google.com/maps/search/?api=1&amp;query="&amp;SUBSTITUTE(F430," ",""),"🗺 Google Maps"),"")</f>
        <v/>
      </c>
      <c r="H430" s="8">
        <f>IF(F430&lt;&gt;"",HYPERLINK("https://waze.com/ul?ll="&amp;SUBSTITUTE(F430," ","")&amp;"&amp;navigate=yes","🚗 Waze"),"")</f>
        <v/>
      </c>
      <c r="I430" s="8">
        <f>IF(F430&lt;&gt;"",HYPERLINK("https://m.uber.com/ul/?action=setPickup&amp;pickup=my_location&amp;dropoff[latitude]="&amp;LEFT(SUBSTITUTE(F430," ",""),FIND(",",SUBSTITUTE(F430," ",""))-1)&amp;"&amp;dropoff[longitude]="&amp;MID(SUBSTITUTE(F430," ",""),FIND(",",SUBSTITUTE(F430," ",""))+1,99),"🚕 Uber"),"")</f>
        <v/>
      </c>
      <c r="J430" s="8">
        <f>IF(F430&lt;&gt;"","https://api.qrserver.com/v1/create-qr-code/?size=200x200&amp;data="&amp;ENCODEURL("https://www.google.com/maps/search/?api=1&amp;query="&amp;SUBSTITUTE(F430," ","")),"")</f>
        <v/>
      </c>
      <c r="K430" s="8">
        <f>IF(C430&lt;&gt;"",HYPERLINK("https://wa.me/507"&amp;REGEXREPLACE(C430,"[^0-9]","")&amp;"?text="&amp;ENCODEURL("Ya llegue. Codigo: "&amp;A430&amp;". Ubicacion: "&amp;"https://www.google.com/maps/search/?api=1&amp;query="&amp;SUBSTITUTE(F430," ","")),"📲 Avisar al cliente"),"")</f>
        <v/>
      </c>
      <c r="L430" s="8">
        <f>IF(C430&lt;&gt;"","https://api.qrserver.com/v1/create-qr-code/?size=200x200&amp;data="&amp;ENCODEURL("https://wa.me/507"&amp;REGEXREPLACE(C430,"[^0-9]","")&amp;"?text="&amp;ENCODEURL("Ya llegue. Codigo: "&amp;A430&amp;". Ubicacion: "&amp;"https://www.google.com/maps/search/?api=1&amp;query="&amp;SUBSTITUTE(F430," ",""))),"")</f>
        <v/>
      </c>
      <c r="M430" s="8">
        <f>IF(B430&lt;&gt;"",TODAY(),"")</f>
        <v/>
      </c>
      <c r="N430" s="8">
        <f>IF(F430&lt;&gt;"",IFERROR(IF(AND(REGEXMATCH(SUBSTITUTE(TRIM(F430)," ",""),"^-?\d+(\.\d+)?,-?\d+(\.\d+)?$"),VALUE(REGEXEXTRACT(SUBSTITUTE(TRIM(F430)," ",""),"^-?\d+(\.\d+)?"))&gt;=-90,VALUE(REGEXEXTRACT(SUBSTITUTE(TRIM(F430)," ",""),"^-?\d+(\.\d+)?"))&lt;=90,VALUE(REGEXEXTRACT(SUBSTITUTE(TRIM(F430)," ",""),"-?\d+(\.\d+)?$"))&gt;=-180,VALUE(REGEXEXTRACT(SUBSTITUTE(TRIM(F430)," ",""),"-?\d+(\.\d+)?$"))&lt;=180),"OK","REVISAR"),"REVISAR"),"")</f>
        <v/>
      </c>
      <c r="O430">
        <f>IF(A430&lt;&gt;"","https://direcciones507.github.io/direcciones507/panel.html?codigo="&amp;A430&amp;"&amp;nombre="&amp;ENCODEURL(B430)&amp;"&amp;telefono="&amp;SUBSTITUTE(C430,"-","")&amp;"&amp;referencia="&amp;ENCODEURL(E430)&amp;"&amp;lat="&amp;IZQUIERDA(SUBSTITUTE(F430," ",""),ENCONTRAR(",",SUBSTITUTE(F430," ",""))-1)&amp;"&amp;lng="&amp;DERECHA(SUBSTITUTE(F430," ",""),LARGO(SUBSTITUTE(F430," ",""))-ENCONTRAR(",",SUBSTITUTE(F430," ",""))),"")</f>
        <v/>
      </c>
    </row>
    <row r="431" ht="15.75" customHeight="1" s="10">
      <c r="A431" s="8">
        <f>CONCAT("AD507-",TEXT(ROW()-2,"0000"))</f>
        <v/>
      </c>
      <c r="C431" s="8" t="n"/>
      <c r="F431" s="8" t="n"/>
      <c r="G431" s="8">
        <f>IF(F431&lt;&gt;"",HYPERLINK("https://www.google.com/maps/search/?api=1&amp;query="&amp;SUBSTITUTE(F431," ",""),"🗺 Google Maps"),"")</f>
        <v/>
      </c>
      <c r="H431" s="8">
        <f>IF(F431&lt;&gt;"",HYPERLINK("https://waze.com/ul?ll="&amp;SUBSTITUTE(F431," ","")&amp;"&amp;navigate=yes","🚗 Waze"),"")</f>
        <v/>
      </c>
      <c r="I431" s="8">
        <f>IF(F431&lt;&gt;"",HYPERLINK("https://m.uber.com/ul/?action=setPickup&amp;pickup=my_location&amp;dropoff[latitude]="&amp;LEFT(SUBSTITUTE(F431," ",""),FIND(",",SUBSTITUTE(F431," ",""))-1)&amp;"&amp;dropoff[longitude]="&amp;MID(SUBSTITUTE(F431," ",""),FIND(",",SUBSTITUTE(F431," ",""))+1,99),"🚕 Uber"),"")</f>
        <v/>
      </c>
      <c r="J431" s="8">
        <f>IF(F431&lt;&gt;"","https://api.qrserver.com/v1/create-qr-code/?size=200x200&amp;data="&amp;ENCODEURL("https://www.google.com/maps/search/?api=1&amp;query="&amp;SUBSTITUTE(F431," ","")),"")</f>
        <v/>
      </c>
      <c r="K431" s="8">
        <f>IF(C431&lt;&gt;"",HYPERLINK("https://wa.me/507"&amp;REGEXREPLACE(C431,"[^0-9]","")&amp;"?text="&amp;ENCODEURL("Ya llegue. Codigo: "&amp;A431&amp;". Ubicacion: "&amp;"https://www.google.com/maps/search/?api=1&amp;query="&amp;SUBSTITUTE(F431," ","")),"📲 Avisar al cliente"),"")</f>
        <v/>
      </c>
      <c r="L431" s="8">
        <f>IF(C431&lt;&gt;"","https://api.qrserver.com/v1/create-qr-code/?size=200x200&amp;data="&amp;ENCODEURL("https://wa.me/507"&amp;REGEXREPLACE(C431,"[^0-9]","")&amp;"?text="&amp;ENCODEURL("Ya llegue. Codigo: "&amp;A431&amp;". Ubicacion: "&amp;"https://www.google.com/maps/search/?api=1&amp;query="&amp;SUBSTITUTE(F431," ",""))),"")</f>
        <v/>
      </c>
      <c r="M431" s="8">
        <f>IF(B431&lt;&gt;"",TODAY(),"")</f>
        <v/>
      </c>
      <c r="N431" s="8">
        <f>IF(F431&lt;&gt;"",IFERROR(IF(AND(REGEXMATCH(SUBSTITUTE(TRIM(F431)," ",""),"^-?\d+(\.\d+)?,-?\d+(\.\d+)?$"),VALUE(REGEXEXTRACT(SUBSTITUTE(TRIM(F431)," ",""),"^-?\d+(\.\d+)?"))&gt;=-90,VALUE(REGEXEXTRACT(SUBSTITUTE(TRIM(F431)," ",""),"^-?\d+(\.\d+)?"))&lt;=90,VALUE(REGEXEXTRACT(SUBSTITUTE(TRIM(F431)," ",""),"-?\d+(\.\d+)?$"))&gt;=-180,VALUE(REGEXEXTRACT(SUBSTITUTE(TRIM(F431)," ",""),"-?\d+(\.\d+)?$"))&lt;=180),"OK","REVISAR"),"REVISAR"),"")</f>
        <v/>
      </c>
      <c r="O431">
        <f>IF(A431&lt;&gt;"","https://direcciones507.github.io/direcciones507/panel.html?codigo="&amp;A431&amp;"&amp;nombre="&amp;ENCODEURL(B431)&amp;"&amp;telefono="&amp;SUBSTITUTE(C431,"-","")&amp;"&amp;referencia="&amp;ENCODEURL(E431)&amp;"&amp;lat="&amp;IZQUIERDA(SUBSTITUTE(F431," ",""),ENCONTRAR(",",SUBSTITUTE(F431," ",""))-1)&amp;"&amp;lng="&amp;DERECHA(SUBSTITUTE(F431," ",""),LARGO(SUBSTITUTE(F431," ",""))-ENCONTRAR(",",SUBSTITUTE(F431," ",""))),"")</f>
        <v/>
      </c>
    </row>
    <row r="432" ht="15.75" customHeight="1" s="10">
      <c r="A432" s="8">
        <f>CONCAT("AD507-",TEXT(ROW()-2,"0000"))</f>
        <v/>
      </c>
      <c r="C432" s="8" t="n"/>
      <c r="F432" s="8" t="n"/>
      <c r="G432" s="8">
        <f>IF(F432&lt;&gt;"",HYPERLINK("https://www.google.com/maps/search/?api=1&amp;query="&amp;SUBSTITUTE(F432," ",""),"🗺 Google Maps"),"")</f>
        <v/>
      </c>
      <c r="H432" s="8">
        <f>IF(F432&lt;&gt;"",HYPERLINK("https://waze.com/ul?ll="&amp;SUBSTITUTE(F432," ","")&amp;"&amp;navigate=yes","🚗 Waze"),"")</f>
        <v/>
      </c>
      <c r="I432" s="8">
        <f>IF(F432&lt;&gt;"",HYPERLINK("https://m.uber.com/ul/?action=setPickup&amp;pickup=my_location&amp;dropoff[latitude]="&amp;LEFT(SUBSTITUTE(F432," ",""),FIND(",",SUBSTITUTE(F432," ",""))-1)&amp;"&amp;dropoff[longitude]="&amp;MID(SUBSTITUTE(F432," ",""),FIND(",",SUBSTITUTE(F432," ",""))+1,99),"🚕 Uber"),"")</f>
        <v/>
      </c>
      <c r="J432" s="8">
        <f>IF(F432&lt;&gt;"","https://api.qrserver.com/v1/create-qr-code/?size=200x200&amp;data="&amp;ENCODEURL("https://www.google.com/maps/search/?api=1&amp;query="&amp;SUBSTITUTE(F432," ","")),"")</f>
        <v/>
      </c>
      <c r="K432" s="8">
        <f>IF(C432&lt;&gt;"",HYPERLINK("https://wa.me/507"&amp;REGEXREPLACE(C432,"[^0-9]","")&amp;"?text="&amp;ENCODEURL("Ya llegue. Codigo: "&amp;A432&amp;". Ubicacion: "&amp;"https://www.google.com/maps/search/?api=1&amp;query="&amp;SUBSTITUTE(F432," ","")),"📲 Avisar al cliente"),"")</f>
        <v/>
      </c>
      <c r="L432" s="8">
        <f>IF(C432&lt;&gt;"","https://api.qrserver.com/v1/create-qr-code/?size=200x200&amp;data="&amp;ENCODEURL("https://wa.me/507"&amp;REGEXREPLACE(C432,"[^0-9]","")&amp;"?text="&amp;ENCODEURL("Ya llegue. Codigo: "&amp;A432&amp;". Ubicacion: "&amp;"https://www.google.com/maps/search/?api=1&amp;query="&amp;SUBSTITUTE(F432," ",""))),"")</f>
        <v/>
      </c>
      <c r="M432" s="8">
        <f>IF(B432&lt;&gt;"",TODAY(),"")</f>
        <v/>
      </c>
      <c r="N432" s="8">
        <f>IF(F432&lt;&gt;"",IFERROR(IF(AND(REGEXMATCH(SUBSTITUTE(TRIM(F432)," ",""),"^-?\d+(\.\d+)?,-?\d+(\.\d+)?$"),VALUE(REGEXEXTRACT(SUBSTITUTE(TRIM(F432)," ",""),"^-?\d+(\.\d+)?"))&gt;=-90,VALUE(REGEXEXTRACT(SUBSTITUTE(TRIM(F432)," ",""),"^-?\d+(\.\d+)?"))&lt;=90,VALUE(REGEXEXTRACT(SUBSTITUTE(TRIM(F432)," ",""),"-?\d+(\.\d+)?$"))&gt;=-180,VALUE(REGEXEXTRACT(SUBSTITUTE(TRIM(F432)," ",""),"-?\d+(\.\d+)?$"))&lt;=180),"OK","REVISAR"),"REVISAR"),"")</f>
        <v/>
      </c>
      <c r="O432">
        <f>IF(A432&lt;&gt;"","https://direcciones507.github.io/direcciones507/panel.html?codigo="&amp;A432&amp;"&amp;nombre="&amp;ENCODEURL(B432)&amp;"&amp;telefono="&amp;SUBSTITUTE(C432,"-","")&amp;"&amp;referencia="&amp;ENCODEURL(E432)&amp;"&amp;lat="&amp;IZQUIERDA(SUBSTITUTE(F432," ",""),ENCONTRAR(",",SUBSTITUTE(F432," ",""))-1)&amp;"&amp;lng="&amp;DERECHA(SUBSTITUTE(F432," ",""),LARGO(SUBSTITUTE(F432," ",""))-ENCONTRAR(",",SUBSTITUTE(F432," ",""))),"")</f>
        <v/>
      </c>
    </row>
    <row r="433" ht="15.75" customHeight="1" s="10">
      <c r="A433" s="8">
        <f>CONCAT("AD507-",TEXT(ROW()-2,"0000"))</f>
        <v/>
      </c>
      <c r="C433" s="8" t="n"/>
      <c r="F433" s="8" t="n"/>
      <c r="G433" s="8">
        <f>IF(F433&lt;&gt;"",HYPERLINK("https://www.google.com/maps/search/?api=1&amp;query="&amp;SUBSTITUTE(F433," ",""),"🗺 Google Maps"),"")</f>
        <v/>
      </c>
      <c r="H433" s="8">
        <f>IF(F433&lt;&gt;"",HYPERLINK("https://waze.com/ul?ll="&amp;SUBSTITUTE(F433," ","")&amp;"&amp;navigate=yes","🚗 Waze"),"")</f>
        <v/>
      </c>
      <c r="I433" s="8">
        <f>IF(F433&lt;&gt;"",HYPERLINK("https://m.uber.com/ul/?action=setPickup&amp;pickup=my_location&amp;dropoff[latitude]="&amp;LEFT(SUBSTITUTE(F433," ",""),FIND(",",SUBSTITUTE(F433," ",""))-1)&amp;"&amp;dropoff[longitude]="&amp;MID(SUBSTITUTE(F433," ",""),FIND(",",SUBSTITUTE(F433," ",""))+1,99),"🚕 Uber"),"")</f>
        <v/>
      </c>
      <c r="J433" s="8">
        <f>IF(F433&lt;&gt;"","https://api.qrserver.com/v1/create-qr-code/?size=200x200&amp;data="&amp;ENCODEURL("https://www.google.com/maps/search/?api=1&amp;query="&amp;SUBSTITUTE(F433," ","")),"")</f>
        <v/>
      </c>
      <c r="K433" s="8">
        <f>IF(C433&lt;&gt;"",HYPERLINK("https://wa.me/507"&amp;REGEXREPLACE(C433,"[^0-9]","")&amp;"?text="&amp;ENCODEURL("Ya llegue. Codigo: "&amp;A433&amp;". Ubicacion: "&amp;"https://www.google.com/maps/search/?api=1&amp;query="&amp;SUBSTITUTE(F433," ","")),"📲 Avisar al cliente"),"")</f>
        <v/>
      </c>
      <c r="L433" s="8">
        <f>IF(C433&lt;&gt;"","https://api.qrserver.com/v1/create-qr-code/?size=200x200&amp;data="&amp;ENCODEURL("https://wa.me/507"&amp;REGEXREPLACE(C433,"[^0-9]","")&amp;"?text="&amp;ENCODEURL("Ya llegue. Codigo: "&amp;A433&amp;". Ubicacion: "&amp;"https://www.google.com/maps/search/?api=1&amp;query="&amp;SUBSTITUTE(F433," ",""))),"")</f>
        <v/>
      </c>
      <c r="M433" s="8">
        <f>IF(B433&lt;&gt;"",TODAY(),"")</f>
        <v/>
      </c>
      <c r="N433" s="8">
        <f>IF(F433&lt;&gt;"",IFERROR(IF(AND(REGEXMATCH(SUBSTITUTE(TRIM(F433)," ",""),"^-?\d+(\.\d+)?,-?\d+(\.\d+)?$"),VALUE(REGEXEXTRACT(SUBSTITUTE(TRIM(F433)," ",""),"^-?\d+(\.\d+)?"))&gt;=-90,VALUE(REGEXEXTRACT(SUBSTITUTE(TRIM(F433)," ",""),"^-?\d+(\.\d+)?"))&lt;=90,VALUE(REGEXEXTRACT(SUBSTITUTE(TRIM(F433)," ",""),"-?\d+(\.\d+)?$"))&gt;=-180,VALUE(REGEXEXTRACT(SUBSTITUTE(TRIM(F433)," ",""),"-?\d+(\.\d+)?$"))&lt;=180),"OK","REVISAR"),"REVISAR"),"")</f>
        <v/>
      </c>
      <c r="O433">
        <f>IF(A433&lt;&gt;"","https://direcciones507.github.io/direcciones507/panel.html?codigo="&amp;A433&amp;"&amp;nombre="&amp;ENCODEURL(B433)&amp;"&amp;telefono="&amp;SUBSTITUTE(C433,"-","")&amp;"&amp;referencia="&amp;ENCODEURL(E433)&amp;"&amp;lat="&amp;IZQUIERDA(SUBSTITUTE(F433," ",""),ENCONTRAR(",",SUBSTITUTE(F433," ",""))-1)&amp;"&amp;lng="&amp;DERECHA(SUBSTITUTE(F433," ",""),LARGO(SUBSTITUTE(F433," ",""))-ENCONTRAR(",",SUBSTITUTE(F433," ",""))),"")</f>
        <v/>
      </c>
    </row>
    <row r="434" ht="15.75" customHeight="1" s="10">
      <c r="A434" s="8">
        <f>CONCAT("AD507-",TEXT(ROW()-2,"0000"))</f>
        <v/>
      </c>
      <c r="C434" s="8" t="n"/>
      <c r="F434" s="8" t="n"/>
      <c r="G434" s="8">
        <f>IF(F434&lt;&gt;"",HYPERLINK("https://www.google.com/maps/search/?api=1&amp;query="&amp;SUBSTITUTE(F434," ",""),"🗺 Google Maps"),"")</f>
        <v/>
      </c>
      <c r="H434" s="8">
        <f>IF(F434&lt;&gt;"",HYPERLINK("https://waze.com/ul?ll="&amp;SUBSTITUTE(F434," ","")&amp;"&amp;navigate=yes","🚗 Waze"),"")</f>
        <v/>
      </c>
      <c r="I434" s="8">
        <f>IF(F434&lt;&gt;"",HYPERLINK("https://m.uber.com/ul/?action=setPickup&amp;pickup=my_location&amp;dropoff[latitude]="&amp;LEFT(SUBSTITUTE(F434," ",""),FIND(",",SUBSTITUTE(F434," ",""))-1)&amp;"&amp;dropoff[longitude]="&amp;MID(SUBSTITUTE(F434," ",""),FIND(",",SUBSTITUTE(F434," ",""))+1,99),"🚕 Uber"),"")</f>
        <v/>
      </c>
      <c r="J434" s="8">
        <f>IF(F434&lt;&gt;"","https://api.qrserver.com/v1/create-qr-code/?size=200x200&amp;data="&amp;ENCODEURL("https://www.google.com/maps/search/?api=1&amp;query="&amp;SUBSTITUTE(F434," ","")),"")</f>
        <v/>
      </c>
      <c r="K434" s="8">
        <f>IF(C434&lt;&gt;"",HYPERLINK("https://wa.me/507"&amp;REGEXREPLACE(C434,"[^0-9]","")&amp;"?text="&amp;ENCODEURL("Ya llegue. Codigo: "&amp;A434&amp;". Ubicacion: "&amp;"https://www.google.com/maps/search/?api=1&amp;query="&amp;SUBSTITUTE(F434," ","")),"📲 Avisar al cliente"),"")</f>
        <v/>
      </c>
      <c r="L434" s="8">
        <f>IF(C434&lt;&gt;"","https://api.qrserver.com/v1/create-qr-code/?size=200x200&amp;data="&amp;ENCODEURL("https://wa.me/507"&amp;REGEXREPLACE(C434,"[^0-9]","")&amp;"?text="&amp;ENCODEURL("Ya llegue. Codigo: "&amp;A434&amp;". Ubicacion: "&amp;"https://www.google.com/maps/search/?api=1&amp;query="&amp;SUBSTITUTE(F434," ",""))),"")</f>
        <v/>
      </c>
      <c r="M434" s="8">
        <f>IF(B434&lt;&gt;"",TODAY(),"")</f>
        <v/>
      </c>
      <c r="N434" s="8">
        <f>IF(F434&lt;&gt;"",IFERROR(IF(AND(REGEXMATCH(SUBSTITUTE(TRIM(F434)," ",""),"^-?\d+(\.\d+)?,-?\d+(\.\d+)?$"),VALUE(REGEXEXTRACT(SUBSTITUTE(TRIM(F434)," ",""),"^-?\d+(\.\d+)?"))&gt;=-90,VALUE(REGEXEXTRACT(SUBSTITUTE(TRIM(F434)," ",""),"^-?\d+(\.\d+)?"))&lt;=90,VALUE(REGEXEXTRACT(SUBSTITUTE(TRIM(F434)," ",""),"-?\d+(\.\d+)?$"))&gt;=-180,VALUE(REGEXEXTRACT(SUBSTITUTE(TRIM(F434)," ",""),"-?\d+(\.\d+)?$"))&lt;=180),"OK","REVISAR"),"REVISAR"),"")</f>
        <v/>
      </c>
      <c r="O434">
        <f>IF(A434&lt;&gt;"","https://direcciones507.github.io/direcciones507/panel.html?codigo="&amp;A434&amp;"&amp;nombre="&amp;ENCODEURL(B434)&amp;"&amp;telefono="&amp;SUBSTITUTE(C434,"-","")&amp;"&amp;referencia="&amp;ENCODEURL(E434)&amp;"&amp;lat="&amp;IZQUIERDA(SUBSTITUTE(F434," ",""),ENCONTRAR(",",SUBSTITUTE(F434," ",""))-1)&amp;"&amp;lng="&amp;DERECHA(SUBSTITUTE(F434," ",""),LARGO(SUBSTITUTE(F434," ",""))-ENCONTRAR(",",SUBSTITUTE(F434," ",""))),"")</f>
        <v/>
      </c>
    </row>
    <row r="435" ht="15.75" customHeight="1" s="10">
      <c r="A435" s="8">
        <f>CONCAT("AD507-",TEXT(ROW()-2,"0000"))</f>
        <v/>
      </c>
      <c r="C435" s="8" t="n"/>
      <c r="F435" s="8" t="n"/>
      <c r="G435" s="8">
        <f>IF(F435&lt;&gt;"",HYPERLINK("https://www.google.com/maps/search/?api=1&amp;query="&amp;SUBSTITUTE(F435," ",""),"🗺 Google Maps"),"")</f>
        <v/>
      </c>
      <c r="H435" s="8">
        <f>IF(F435&lt;&gt;"",HYPERLINK("https://waze.com/ul?ll="&amp;SUBSTITUTE(F435," ","")&amp;"&amp;navigate=yes","🚗 Waze"),"")</f>
        <v/>
      </c>
      <c r="I435" s="8">
        <f>IF(F435&lt;&gt;"",HYPERLINK("https://m.uber.com/ul/?action=setPickup&amp;pickup=my_location&amp;dropoff[latitude]="&amp;LEFT(SUBSTITUTE(F435," ",""),FIND(",",SUBSTITUTE(F435," ",""))-1)&amp;"&amp;dropoff[longitude]="&amp;MID(SUBSTITUTE(F435," ",""),FIND(",",SUBSTITUTE(F435," ",""))+1,99),"🚕 Uber"),"")</f>
        <v/>
      </c>
      <c r="J435" s="8">
        <f>IF(F435&lt;&gt;"","https://api.qrserver.com/v1/create-qr-code/?size=200x200&amp;data="&amp;ENCODEURL("https://www.google.com/maps/search/?api=1&amp;query="&amp;SUBSTITUTE(F435," ","")),"")</f>
        <v/>
      </c>
      <c r="K435" s="8">
        <f>IF(C435&lt;&gt;"",HYPERLINK("https://wa.me/507"&amp;REGEXREPLACE(C435,"[^0-9]","")&amp;"?text="&amp;ENCODEURL("Ya llegue. Codigo: "&amp;A435&amp;". Ubicacion: "&amp;"https://www.google.com/maps/search/?api=1&amp;query="&amp;SUBSTITUTE(F435," ","")),"📲 Avisar al cliente"),"")</f>
        <v/>
      </c>
      <c r="L435" s="8">
        <f>IF(C435&lt;&gt;"","https://api.qrserver.com/v1/create-qr-code/?size=200x200&amp;data="&amp;ENCODEURL("https://wa.me/507"&amp;REGEXREPLACE(C435,"[^0-9]","")&amp;"?text="&amp;ENCODEURL("Ya llegue. Codigo: "&amp;A435&amp;". Ubicacion: "&amp;"https://www.google.com/maps/search/?api=1&amp;query="&amp;SUBSTITUTE(F435," ",""))),"")</f>
        <v/>
      </c>
      <c r="M435" s="8">
        <f>IF(B435&lt;&gt;"",TODAY(),"")</f>
        <v/>
      </c>
      <c r="N435" s="8">
        <f>IF(F435&lt;&gt;"",IFERROR(IF(AND(REGEXMATCH(SUBSTITUTE(TRIM(F435)," ",""),"^-?\d+(\.\d+)?,-?\d+(\.\d+)?$"),VALUE(REGEXEXTRACT(SUBSTITUTE(TRIM(F435)," ",""),"^-?\d+(\.\d+)?"))&gt;=-90,VALUE(REGEXEXTRACT(SUBSTITUTE(TRIM(F435)," ",""),"^-?\d+(\.\d+)?"))&lt;=90,VALUE(REGEXEXTRACT(SUBSTITUTE(TRIM(F435)," ",""),"-?\d+(\.\d+)?$"))&gt;=-180,VALUE(REGEXEXTRACT(SUBSTITUTE(TRIM(F435)," ",""),"-?\d+(\.\d+)?$"))&lt;=180),"OK","REVISAR"),"REVISAR"),"")</f>
        <v/>
      </c>
      <c r="O435">
        <f>IF(A435&lt;&gt;"","https://direcciones507.github.io/direcciones507/panel.html?codigo="&amp;A435&amp;"&amp;nombre="&amp;ENCODEURL(B435)&amp;"&amp;telefono="&amp;SUBSTITUTE(C435,"-","")&amp;"&amp;referencia="&amp;ENCODEURL(E435)&amp;"&amp;lat="&amp;IZQUIERDA(SUBSTITUTE(F435," ",""),ENCONTRAR(",",SUBSTITUTE(F435," ",""))-1)&amp;"&amp;lng="&amp;DERECHA(SUBSTITUTE(F435," ",""),LARGO(SUBSTITUTE(F435," ",""))-ENCONTRAR(",",SUBSTITUTE(F435," ",""))),"")</f>
        <v/>
      </c>
    </row>
    <row r="436" ht="15.75" customHeight="1" s="10">
      <c r="A436" s="8">
        <f>CONCAT("AD507-",TEXT(ROW()-2,"0000"))</f>
        <v/>
      </c>
      <c r="C436" s="8" t="n"/>
      <c r="F436" s="8" t="n"/>
      <c r="G436" s="8">
        <f>IF(F436&lt;&gt;"",HYPERLINK("https://www.google.com/maps/search/?api=1&amp;query="&amp;SUBSTITUTE(F436," ",""),"🗺 Google Maps"),"")</f>
        <v/>
      </c>
      <c r="H436" s="8">
        <f>IF(F436&lt;&gt;"",HYPERLINK("https://waze.com/ul?ll="&amp;SUBSTITUTE(F436," ","")&amp;"&amp;navigate=yes","🚗 Waze"),"")</f>
        <v/>
      </c>
      <c r="I436" s="8">
        <f>IF(F436&lt;&gt;"",HYPERLINK("https://m.uber.com/ul/?action=setPickup&amp;pickup=my_location&amp;dropoff[latitude]="&amp;LEFT(SUBSTITUTE(F436," ",""),FIND(",",SUBSTITUTE(F436," ",""))-1)&amp;"&amp;dropoff[longitude]="&amp;MID(SUBSTITUTE(F436," ",""),FIND(",",SUBSTITUTE(F436," ",""))+1,99),"🚕 Uber"),"")</f>
        <v/>
      </c>
      <c r="J436" s="8">
        <f>IF(F436&lt;&gt;"","https://api.qrserver.com/v1/create-qr-code/?size=200x200&amp;data="&amp;ENCODEURL("https://www.google.com/maps/search/?api=1&amp;query="&amp;SUBSTITUTE(F436," ","")),"")</f>
        <v/>
      </c>
      <c r="K436" s="8">
        <f>IF(C436&lt;&gt;"",HYPERLINK("https://wa.me/507"&amp;REGEXREPLACE(C436,"[^0-9]","")&amp;"?text="&amp;ENCODEURL("Ya llegue. Codigo: "&amp;A436&amp;". Ubicacion: "&amp;"https://www.google.com/maps/search/?api=1&amp;query="&amp;SUBSTITUTE(F436," ","")),"📲 Avisar al cliente"),"")</f>
        <v/>
      </c>
      <c r="L436" s="8">
        <f>IF(C436&lt;&gt;"","https://api.qrserver.com/v1/create-qr-code/?size=200x200&amp;data="&amp;ENCODEURL("https://wa.me/507"&amp;REGEXREPLACE(C436,"[^0-9]","")&amp;"?text="&amp;ENCODEURL("Ya llegue. Codigo: "&amp;A436&amp;". Ubicacion: "&amp;"https://www.google.com/maps/search/?api=1&amp;query="&amp;SUBSTITUTE(F436," ",""))),"")</f>
        <v/>
      </c>
      <c r="M436" s="8">
        <f>IF(B436&lt;&gt;"",TODAY(),"")</f>
        <v/>
      </c>
      <c r="N436" s="8">
        <f>IF(F436&lt;&gt;"",IFERROR(IF(AND(REGEXMATCH(SUBSTITUTE(TRIM(F436)," ",""),"^-?\d+(\.\d+)?,-?\d+(\.\d+)?$"),VALUE(REGEXEXTRACT(SUBSTITUTE(TRIM(F436)," ",""),"^-?\d+(\.\d+)?"))&gt;=-90,VALUE(REGEXEXTRACT(SUBSTITUTE(TRIM(F436)," ",""),"^-?\d+(\.\d+)?"))&lt;=90,VALUE(REGEXEXTRACT(SUBSTITUTE(TRIM(F436)," ",""),"-?\d+(\.\d+)?$"))&gt;=-180,VALUE(REGEXEXTRACT(SUBSTITUTE(TRIM(F436)," ",""),"-?\d+(\.\d+)?$"))&lt;=180),"OK","REVISAR"),"REVISAR"),"")</f>
        <v/>
      </c>
      <c r="O436">
        <f>IF(A436&lt;&gt;"","https://direcciones507.github.io/direcciones507/panel.html?codigo="&amp;A436&amp;"&amp;nombre="&amp;ENCODEURL(B436)&amp;"&amp;telefono="&amp;SUBSTITUTE(C436,"-","")&amp;"&amp;referencia="&amp;ENCODEURL(E436)&amp;"&amp;lat="&amp;IZQUIERDA(SUBSTITUTE(F436," ",""),ENCONTRAR(",",SUBSTITUTE(F436," ",""))-1)&amp;"&amp;lng="&amp;DERECHA(SUBSTITUTE(F436," ",""),LARGO(SUBSTITUTE(F436," ",""))-ENCONTRAR(",",SUBSTITUTE(F436," ",""))),"")</f>
        <v/>
      </c>
    </row>
    <row r="437" ht="15.75" customHeight="1" s="10">
      <c r="A437" s="8">
        <f>CONCAT("AD507-",TEXT(ROW()-2,"0000"))</f>
        <v/>
      </c>
      <c r="C437" s="8" t="n"/>
      <c r="F437" s="8" t="n"/>
      <c r="G437" s="8">
        <f>IF(F437&lt;&gt;"",HYPERLINK("https://www.google.com/maps/search/?api=1&amp;query="&amp;SUBSTITUTE(F437," ",""),"🗺 Google Maps"),"")</f>
        <v/>
      </c>
      <c r="H437" s="8">
        <f>IF(F437&lt;&gt;"",HYPERLINK("https://waze.com/ul?ll="&amp;SUBSTITUTE(F437," ","")&amp;"&amp;navigate=yes","🚗 Waze"),"")</f>
        <v/>
      </c>
      <c r="I437" s="8">
        <f>IF(F437&lt;&gt;"",HYPERLINK("https://m.uber.com/ul/?action=setPickup&amp;pickup=my_location&amp;dropoff[latitude]="&amp;LEFT(SUBSTITUTE(F437," ",""),FIND(",",SUBSTITUTE(F437," ",""))-1)&amp;"&amp;dropoff[longitude]="&amp;MID(SUBSTITUTE(F437," ",""),FIND(",",SUBSTITUTE(F437," ",""))+1,99),"🚕 Uber"),"")</f>
        <v/>
      </c>
      <c r="J437" s="8">
        <f>IF(F437&lt;&gt;"","https://api.qrserver.com/v1/create-qr-code/?size=200x200&amp;data="&amp;ENCODEURL("https://www.google.com/maps/search/?api=1&amp;query="&amp;SUBSTITUTE(F437," ","")),"")</f>
        <v/>
      </c>
      <c r="K437" s="8">
        <f>IF(C437&lt;&gt;"",HYPERLINK("https://wa.me/507"&amp;REGEXREPLACE(C437,"[^0-9]","")&amp;"?text="&amp;ENCODEURL("Ya llegue. Codigo: "&amp;A437&amp;". Ubicacion: "&amp;"https://www.google.com/maps/search/?api=1&amp;query="&amp;SUBSTITUTE(F437," ","")),"📲 Avisar al cliente"),"")</f>
        <v/>
      </c>
      <c r="L437" s="8">
        <f>IF(C437&lt;&gt;"","https://api.qrserver.com/v1/create-qr-code/?size=200x200&amp;data="&amp;ENCODEURL("https://wa.me/507"&amp;REGEXREPLACE(C437,"[^0-9]","")&amp;"?text="&amp;ENCODEURL("Ya llegue. Codigo: "&amp;A437&amp;". Ubicacion: "&amp;"https://www.google.com/maps/search/?api=1&amp;query="&amp;SUBSTITUTE(F437," ",""))),"")</f>
        <v/>
      </c>
      <c r="M437" s="8">
        <f>IF(B437&lt;&gt;"",TODAY(),"")</f>
        <v/>
      </c>
      <c r="N437" s="8">
        <f>IF(F437&lt;&gt;"",IFERROR(IF(AND(REGEXMATCH(SUBSTITUTE(TRIM(F437)," ",""),"^-?\d+(\.\d+)?,-?\d+(\.\d+)?$"),VALUE(REGEXEXTRACT(SUBSTITUTE(TRIM(F437)," ",""),"^-?\d+(\.\d+)?"))&gt;=-90,VALUE(REGEXEXTRACT(SUBSTITUTE(TRIM(F437)," ",""),"^-?\d+(\.\d+)?"))&lt;=90,VALUE(REGEXEXTRACT(SUBSTITUTE(TRIM(F437)," ",""),"-?\d+(\.\d+)?$"))&gt;=-180,VALUE(REGEXEXTRACT(SUBSTITUTE(TRIM(F437)," ",""),"-?\d+(\.\d+)?$"))&lt;=180),"OK","REVISAR"),"REVISAR"),"")</f>
        <v/>
      </c>
      <c r="O437">
        <f>IF(A437&lt;&gt;"","https://direcciones507.github.io/direcciones507/panel.html?codigo="&amp;A437&amp;"&amp;nombre="&amp;ENCODEURL(B437)&amp;"&amp;telefono="&amp;SUBSTITUTE(C437,"-","")&amp;"&amp;referencia="&amp;ENCODEURL(E437)&amp;"&amp;lat="&amp;IZQUIERDA(SUBSTITUTE(F437," ",""),ENCONTRAR(",",SUBSTITUTE(F437," ",""))-1)&amp;"&amp;lng="&amp;DERECHA(SUBSTITUTE(F437," ",""),LARGO(SUBSTITUTE(F437," ",""))-ENCONTRAR(",",SUBSTITUTE(F437," ",""))),"")</f>
        <v/>
      </c>
    </row>
    <row r="438" ht="15.75" customHeight="1" s="10">
      <c r="A438" s="8">
        <f>CONCAT("AD507-",TEXT(ROW()-2,"0000"))</f>
        <v/>
      </c>
      <c r="C438" s="8" t="n"/>
      <c r="F438" s="8" t="n"/>
      <c r="G438" s="8">
        <f>IF(F438&lt;&gt;"",HYPERLINK("https://www.google.com/maps/search/?api=1&amp;query="&amp;SUBSTITUTE(F438," ",""),"🗺 Google Maps"),"")</f>
        <v/>
      </c>
      <c r="H438" s="8">
        <f>IF(F438&lt;&gt;"",HYPERLINK("https://waze.com/ul?ll="&amp;SUBSTITUTE(F438," ","")&amp;"&amp;navigate=yes","🚗 Waze"),"")</f>
        <v/>
      </c>
      <c r="I438" s="8">
        <f>IF(F438&lt;&gt;"",HYPERLINK("https://m.uber.com/ul/?action=setPickup&amp;pickup=my_location&amp;dropoff[latitude]="&amp;LEFT(SUBSTITUTE(F438," ",""),FIND(",",SUBSTITUTE(F438," ",""))-1)&amp;"&amp;dropoff[longitude]="&amp;MID(SUBSTITUTE(F438," ",""),FIND(",",SUBSTITUTE(F438," ",""))+1,99),"🚕 Uber"),"")</f>
        <v/>
      </c>
      <c r="J438" s="8">
        <f>IF(F438&lt;&gt;"","https://api.qrserver.com/v1/create-qr-code/?size=200x200&amp;data="&amp;ENCODEURL("https://www.google.com/maps/search/?api=1&amp;query="&amp;SUBSTITUTE(F438," ","")),"")</f>
        <v/>
      </c>
      <c r="K438" s="8">
        <f>IF(C438&lt;&gt;"",HYPERLINK("https://wa.me/507"&amp;REGEXREPLACE(C438,"[^0-9]","")&amp;"?text="&amp;ENCODEURL("Ya llegue. Codigo: "&amp;A438&amp;". Ubicacion: "&amp;"https://www.google.com/maps/search/?api=1&amp;query="&amp;SUBSTITUTE(F438," ","")),"📲 Avisar al cliente"),"")</f>
        <v/>
      </c>
      <c r="L438" s="8">
        <f>IF(C438&lt;&gt;"","https://api.qrserver.com/v1/create-qr-code/?size=200x200&amp;data="&amp;ENCODEURL("https://wa.me/507"&amp;REGEXREPLACE(C438,"[^0-9]","")&amp;"?text="&amp;ENCODEURL("Ya llegue. Codigo: "&amp;A438&amp;". Ubicacion: "&amp;"https://www.google.com/maps/search/?api=1&amp;query="&amp;SUBSTITUTE(F438," ",""))),"")</f>
        <v/>
      </c>
      <c r="M438" s="8">
        <f>IF(B438&lt;&gt;"",TODAY(),"")</f>
        <v/>
      </c>
      <c r="N438" s="8">
        <f>IF(F438&lt;&gt;"",IFERROR(IF(AND(REGEXMATCH(SUBSTITUTE(TRIM(F438)," ",""),"^-?\d+(\.\d+)?,-?\d+(\.\d+)?$"),VALUE(REGEXEXTRACT(SUBSTITUTE(TRIM(F438)," ",""),"^-?\d+(\.\d+)?"))&gt;=-90,VALUE(REGEXEXTRACT(SUBSTITUTE(TRIM(F438)," ",""),"^-?\d+(\.\d+)?"))&lt;=90,VALUE(REGEXEXTRACT(SUBSTITUTE(TRIM(F438)," ",""),"-?\d+(\.\d+)?$"))&gt;=-180,VALUE(REGEXEXTRACT(SUBSTITUTE(TRIM(F438)," ",""),"-?\d+(\.\d+)?$"))&lt;=180),"OK","REVISAR"),"REVISAR"),"")</f>
        <v/>
      </c>
      <c r="O438">
        <f>IF(A438&lt;&gt;"","https://direcciones507.github.io/direcciones507/panel.html?codigo="&amp;A438&amp;"&amp;nombre="&amp;ENCODEURL(B438)&amp;"&amp;telefono="&amp;SUBSTITUTE(C438,"-","")&amp;"&amp;referencia="&amp;ENCODEURL(E438)&amp;"&amp;lat="&amp;IZQUIERDA(SUBSTITUTE(F438," ",""),ENCONTRAR(",",SUBSTITUTE(F438," ",""))-1)&amp;"&amp;lng="&amp;DERECHA(SUBSTITUTE(F438," ",""),LARGO(SUBSTITUTE(F438," ",""))-ENCONTRAR(",",SUBSTITUTE(F438," ",""))),"")</f>
        <v/>
      </c>
    </row>
    <row r="439" ht="15.75" customHeight="1" s="10">
      <c r="A439" s="8">
        <f>CONCAT("AD507-",TEXT(ROW()-2,"0000"))</f>
        <v/>
      </c>
      <c r="C439" s="8" t="n"/>
      <c r="F439" s="8" t="n"/>
      <c r="G439" s="8">
        <f>IF(F439&lt;&gt;"",HYPERLINK("https://www.google.com/maps/search/?api=1&amp;query="&amp;SUBSTITUTE(F439," ",""),"🗺 Google Maps"),"")</f>
        <v/>
      </c>
      <c r="H439" s="8">
        <f>IF(F439&lt;&gt;"",HYPERLINK("https://waze.com/ul?ll="&amp;SUBSTITUTE(F439," ","")&amp;"&amp;navigate=yes","🚗 Waze"),"")</f>
        <v/>
      </c>
      <c r="I439" s="8">
        <f>IF(F439&lt;&gt;"",HYPERLINK("https://m.uber.com/ul/?action=setPickup&amp;pickup=my_location&amp;dropoff[latitude]="&amp;LEFT(SUBSTITUTE(F439," ",""),FIND(",",SUBSTITUTE(F439," ",""))-1)&amp;"&amp;dropoff[longitude]="&amp;MID(SUBSTITUTE(F439," ",""),FIND(",",SUBSTITUTE(F439," ",""))+1,99),"🚕 Uber"),"")</f>
        <v/>
      </c>
      <c r="J439" s="8">
        <f>IF(F439&lt;&gt;"","https://api.qrserver.com/v1/create-qr-code/?size=200x200&amp;data="&amp;ENCODEURL("https://www.google.com/maps/search/?api=1&amp;query="&amp;SUBSTITUTE(F439," ","")),"")</f>
        <v/>
      </c>
      <c r="K439" s="8">
        <f>IF(C439&lt;&gt;"",HYPERLINK("https://wa.me/507"&amp;REGEXREPLACE(C439,"[^0-9]","")&amp;"?text="&amp;ENCODEURL("Ya llegue. Codigo: "&amp;A439&amp;". Ubicacion: "&amp;"https://www.google.com/maps/search/?api=1&amp;query="&amp;SUBSTITUTE(F439," ","")),"📲 Avisar al cliente"),"")</f>
        <v/>
      </c>
      <c r="L439" s="8">
        <f>IF(C439&lt;&gt;"","https://api.qrserver.com/v1/create-qr-code/?size=200x200&amp;data="&amp;ENCODEURL("https://wa.me/507"&amp;REGEXREPLACE(C439,"[^0-9]","")&amp;"?text="&amp;ENCODEURL("Ya llegue. Codigo: "&amp;A439&amp;". Ubicacion: "&amp;"https://www.google.com/maps/search/?api=1&amp;query="&amp;SUBSTITUTE(F439," ",""))),"")</f>
        <v/>
      </c>
      <c r="M439" s="8">
        <f>IF(B439&lt;&gt;"",TODAY(),"")</f>
        <v/>
      </c>
      <c r="N439" s="8">
        <f>IF(F439&lt;&gt;"",IFERROR(IF(AND(REGEXMATCH(SUBSTITUTE(TRIM(F439)," ",""),"^-?\d+(\.\d+)?,-?\d+(\.\d+)?$"),VALUE(REGEXEXTRACT(SUBSTITUTE(TRIM(F439)," ",""),"^-?\d+(\.\d+)?"))&gt;=-90,VALUE(REGEXEXTRACT(SUBSTITUTE(TRIM(F439)," ",""),"^-?\d+(\.\d+)?"))&lt;=90,VALUE(REGEXEXTRACT(SUBSTITUTE(TRIM(F439)," ",""),"-?\d+(\.\d+)?$"))&gt;=-180,VALUE(REGEXEXTRACT(SUBSTITUTE(TRIM(F439)," ",""),"-?\d+(\.\d+)?$"))&lt;=180),"OK","REVISAR"),"REVISAR"),"")</f>
        <v/>
      </c>
      <c r="O439">
        <f>IF(A439&lt;&gt;"","https://direcciones507.github.io/direcciones507/panel.html?codigo="&amp;A439&amp;"&amp;nombre="&amp;ENCODEURL(B439)&amp;"&amp;telefono="&amp;SUBSTITUTE(C439,"-","")&amp;"&amp;referencia="&amp;ENCODEURL(E439)&amp;"&amp;lat="&amp;IZQUIERDA(SUBSTITUTE(F439," ",""),ENCONTRAR(",",SUBSTITUTE(F439," ",""))-1)&amp;"&amp;lng="&amp;DERECHA(SUBSTITUTE(F439," ",""),LARGO(SUBSTITUTE(F439," ",""))-ENCONTRAR(",",SUBSTITUTE(F439," ",""))),"")</f>
        <v/>
      </c>
    </row>
    <row r="440" ht="15.75" customHeight="1" s="10">
      <c r="A440" s="8">
        <f>CONCAT("AD507-",TEXT(ROW()-2,"0000"))</f>
        <v/>
      </c>
      <c r="C440" s="8" t="n"/>
      <c r="F440" s="8" t="n"/>
      <c r="G440" s="8">
        <f>IF(F440&lt;&gt;"",HYPERLINK("https://www.google.com/maps/search/?api=1&amp;query="&amp;SUBSTITUTE(F440," ",""),"🗺 Google Maps"),"")</f>
        <v/>
      </c>
      <c r="H440" s="8">
        <f>IF(F440&lt;&gt;"",HYPERLINK("https://waze.com/ul?ll="&amp;SUBSTITUTE(F440," ","")&amp;"&amp;navigate=yes","🚗 Waze"),"")</f>
        <v/>
      </c>
      <c r="I440" s="8">
        <f>IF(F440&lt;&gt;"",HYPERLINK("https://m.uber.com/ul/?action=setPickup&amp;pickup=my_location&amp;dropoff[latitude]="&amp;LEFT(SUBSTITUTE(F440," ",""),FIND(",",SUBSTITUTE(F440," ",""))-1)&amp;"&amp;dropoff[longitude]="&amp;MID(SUBSTITUTE(F440," ",""),FIND(",",SUBSTITUTE(F440," ",""))+1,99),"🚕 Uber"),"")</f>
        <v/>
      </c>
      <c r="J440" s="8">
        <f>IF(F440&lt;&gt;"","https://api.qrserver.com/v1/create-qr-code/?size=200x200&amp;data="&amp;ENCODEURL("https://www.google.com/maps/search/?api=1&amp;query="&amp;SUBSTITUTE(F440," ","")),"")</f>
        <v/>
      </c>
      <c r="K440" s="8">
        <f>IF(C440&lt;&gt;"",HYPERLINK("https://wa.me/507"&amp;REGEXREPLACE(C440,"[^0-9]","")&amp;"?text="&amp;ENCODEURL("Ya llegue. Codigo: "&amp;A440&amp;". Ubicacion: "&amp;"https://www.google.com/maps/search/?api=1&amp;query="&amp;SUBSTITUTE(F440," ","")),"📲 Avisar al cliente"),"")</f>
        <v/>
      </c>
      <c r="L440" s="8">
        <f>IF(C440&lt;&gt;"","https://api.qrserver.com/v1/create-qr-code/?size=200x200&amp;data="&amp;ENCODEURL("https://wa.me/507"&amp;REGEXREPLACE(C440,"[^0-9]","")&amp;"?text="&amp;ENCODEURL("Ya llegue. Codigo: "&amp;A440&amp;". Ubicacion: "&amp;"https://www.google.com/maps/search/?api=1&amp;query="&amp;SUBSTITUTE(F440," ",""))),"")</f>
        <v/>
      </c>
      <c r="M440" s="8">
        <f>IF(B440&lt;&gt;"",TODAY(),"")</f>
        <v/>
      </c>
      <c r="N440" s="8">
        <f>IF(F440&lt;&gt;"",IFERROR(IF(AND(REGEXMATCH(SUBSTITUTE(TRIM(F440)," ",""),"^-?\d+(\.\d+)?,-?\d+(\.\d+)?$"),VALUE(REGEXEXTRACT(SUBSTITUTE(TRIM(F440)," ",""),"^-?\d+(\.\d+)?"))&gt;=-90,VALUE(REGEXEXTRACT(SUBSTITUTE(TRIM(F440)," ",""),"^-?\d+(\.\d+)?"))&lt;=90,VALUE(REGEXEXTRACT(SUBSTITUTE(TRIM(F440)," ",""),"-?\d+(\.\d+)?$"))&gt;=-180,VALUE(REGEXEXTRACT(SUBSTITUTE(TRIM(F440)," ",""),"-?\d+(\.\d+)?$"))&lt;=180),"OK","REVISAR"),"REVISAR"),"")</f>
        <v/>
      </c>
      <c r="O440">
        <f>IF(A440&lt;&gt;"","https://direcciones507.github.io/direcciones507/panel.html?codigo="&amp;A440&amp;"&amp;nombre="&amp;ENCODEURL(B440)&amp;"&amp;telefono="&amp;SUBSTITUTE(C440,"-","")&amp;"&amp;referencia="&amp;ENCODEURL(E440)&amp;"&amp;lat="&amp;IZQUIERDA(SUBSTITUTE(F440," ",""),ENCONTRAR(",",SUBSTITUTE(F440," ",""))-1)&amp;"&amp;lng="&amp;DERECHA(SUBSTITUTE(F440," ",""),LARGO(SUBSTITUTE(F440," ",""))-ENCONTRAR(",",SUBSTITUTE(F440," ",""))),"")</f>
        <v/>
      </c>
    </row>
    <row r="441" ht="15.75" customHeight="1" s="10">
      <c r="A441" s="8">
        <f>CONCAT("AD507-",TEXT(ROW()-2,"0000"))</f>
        <v/>
      </c>
      <c r="C441" s="8" t="n"/>
      <c r="F441" s="8" t="n"/>
      <c r="G441" s="8">
        <f>IF(F441&lt;&gt;"",HYPERLINK("https://www.google.com/maps/search/?api=1&amp;query="&amp;SUBSTITUTE(F441," ",""),"🗺 Google Maps"),"")</f>
        <v/>
      </c>
      <c r="H441" s="8">
        <f>IF(F441&lt;&gt;"",HYPERLINK("https://waze.com/ul?ll="&amp;SUBSTITUTE(F441," ","")&amp;"&amp;navigate=yes","🚗 Waze"),"")</f>
        <v/>
      </c>
      <c r="I441" s="8">
        <f>IF(F441&lt;&gt;"",HYPERLINK("https://m.uber.com/ul/?action=setPickup&amp;pickup=my_location&amp;dropoff[latitude]="&amp;LEFT(SUBSTITUTE(F441," ",""),FIND(",",SUBSTITUTE(F441," ",""))-1)&amp;"&amp;dropoff[longitude]="&amp;MID(SUBSTITUTE(F441," ",""),FIND(",",SUBSTITUTE(F441," ",""))+1,99),"🚕 Uber"),"")</f>
        <v/>
      </c>
      <c r="J441" s="8">
        <f>IF(F441&lt;&gt;"","https://api.qrserver.com/v1/create-qr-code/?size=200x200&amp;data="&amp;ENCODEURL("https://www.google.com/maps/search/?api=1&amp;query="&amp;SUBSTITUTE(F441," ","")),"")</f>
        <v/>
      </c>
      <c r="K441" s="8">
        <f>IF(C441&lt;&gt;"",HYPERLINK("https://wa.me/507"&amp;REGEXREPLACE(C441,"[^0-9]","")&amp;"?text="&amp;ENCODEURL("Ya llegue. Codigo: "&amp;A441&amp;". Ubicacion: "&amp;"https://www.google.com/maps/search/?api=1&amp;query="&amp;SUBSTITUTE(F441," ","")),"📲 Avisar al cliente"),"")</f>
        <v/>
      </c>
      <c r="L441" s="8">
        <f>IF(C441&lt;&gt;"","https://api.qrserver.com/v1/create-qr-code/?size=200x200&amp;data="&amp;ENCODEURL("https://wa.me/507"&amp;REGEXREPLACE(C441,"[^0-9]","")&amp;"?text="&amp;ENCODEURL("Ya llegue. Codigo: "&amp;A441&amp;". Ubicacion: "&amp;"https://www.google.com/maps/search/?api=1&amp;query="&amp;SUBSTITUTE(F441," ",""))),"")</f>
        <v/>
      </c>
      <c r="M441" s="8">
        <f>IF(B441&lt;&gt;"",TODAY(),"")</f>
        <v/>
      </c>
      <c r="N441" s="8">
        <f>IF(F441&lt;&gt;"",IFERROR(IF(AND(REGEXMATCH(SUBSTITUTE(TRIM(F441)," ",""),"^-?\d+(\.\d+)?,-?\d+(\.\d+)?$"),VALUE(REGEXEXTRACT(SUBSTITUTE(TRIM(F441)," ",""),"^-?\d+(\.\d+)?"))&gt;=-90,VALUE(REGEXEXTRACT(SUBSTITUTE(TRIM(F441)," ",""),"^-?\d+(\.\d+)?"))&lt;=90,VALUE(REGEXEXTRACT(SUBSTITUTE(TRIM(F441)," ",""),"-?\d+(\.\d+)?$"))&gt;=-180,VALUE(REGEXEXTRACT(SUBSTITUTE(TRIM(F441)," ",""),"-?\d+(\.\d+)?$"))&lt;=180),"OK","REVISAR"),"REVISAR"),"")</f>
        <v/>
      </c>
      <c r="O441">
        <f>IF(A441&lt;&gt;"","https://direcciones507.github.io/direcciones507/panel.html?codigo="&amp;A441&amp;"&amp;nombre="&amp;ENCODEURL(B441)&amp;"&amp;telefono="&amp;SUBSTITUTE(C441,"-","")&amp;"&amp;referencia="&amp;ENCODEURL(E441)&amp;"&amp;lat="&amp;IZQUIERDA(SUBSTITUTE(F441," ",""),ENCONTRAR(",",SUBSTITUTE(F441," ",""))-1)&amp;"&amp;lng="&amp;DERECHA(SUBSTITUTE(F441," ",""),LARGO(SUBSTITUTE(F441," ",""))-ENCONTRAR(",",SUBSTITUTE(F441," ",""))),"")</f>
        <v/>
      </c>
    </row>
    <row r="442" ht="15.75" customHeight="1" s="10">
      <c r="A442" s="8">
        <f>CONCAT("AD507-",TEXT(ROW()-2,"0000"))</f>
        <v/>
      </c>
      <c r="C442" s="8" t="n"/>
      <c r="F442" s="8" t="n"/>
      <c r="G442" s="8">
        <f>IF(F442&lt;&gt;"",HYPERLINK("https://www.google.com/maps/search/?api=1&amp;query="&amp;SUBSTITUTE(F442," ",""),"🗺 Google Maps"),"")</f>
        <v/>
      </c>
      <c r="H442" s="8">
        <f>IF(F442&lt;&gt;"",HYPERLINK("https://waze.com/ul?ll="&amp;SUBSTITUTE(F442," ","")&amp;"&amp;navigate=yes","🚗 Waze"),"")</f>
        <v/>
      </c>
      <c r="I442" s="8">
        <f>IF(F442&lt;&gt;"",HYPERLINK("https://m.uber.com/ul/?action=setPickup&amp;pickup=my_location&amp;dropoff[latitude]="&amp;LEFT(SUBSTITUTE(F442," ",""),FIND(",",SUBSTITUTE(F442," ",""))-1)&amp;"&amp;dropoff[longitude]="&amp;MID(SUBSTITUTE(F442," ",""),FIND(",",SUBSTITUTE(F442," ",""))+1,99),"🚕 Uber"),"")</f>
        <v/>
      </c>
      <c r="J442" s="8">
        <f>IF(F442&lt;&gt;"","https://api.qrserver.com/v1/create-qr-code/?size=200x200&amp;data="&amp;ENCODEURL("https://www.google.com/maps/search/?api=1&amp;query="&amp;SUBSTITUTE(F442," ","")),"")</f>
        <v/>
      </c>
      <c r="K442" s="8">
        <f>IF(C442&lt;&gt;"",HYPERLINK("https://wa.me/507"&amp;REGEXREPLACE(C442,"[^0-9]","")&amp;"?text="&amp;ENCODEURL("Ya llegue. Codigo: "&amp;A442&amp;". Ubicacion: "&amp;"https://www.google.com/maps/search/?api=1&amp;query="&amp;SUBSTITUTE(F442," ","")),"📲 Avisar al cliente"),"")</f>
        <v/>
      </c>
      <c r="L442" s="8">
        <f>IF(C442&lt;&gt;"","https://api.qrserver.com/v1/create-qr-code/?size=200x200&amp;data="&amp;ENCODEURL("https://wa.me/507"&amp;REGEXREPLACE(C442,"[^0-9]","")&amp;"?text="&amp;ENCODEURL("Ya llegue. Codigo: "&amp;A442&amp;". Ubicacion: "&amp;"https://www.google.com/maps/search/?api=1&amp;query="&amp;SUBSTITUTE(F442," ",""))),"")</f>
        <v/>
      </c>
      <c r="M442" s="8">
        <f>IF(B442&lt;&gt;"",TODAY(),"")</f>
        <v/>
      </c>
      <c r="N442" s="8">
        <f>IF(F442&lt;&gt;"",IFERROR(IF(AND(REGEXMATCH(SUBSTITUTE(TRIM(F442)," ",""),"^-?\d+(\.\d+)?,-?\d+(\.\d+)?$"),VALUE(REGEXEXTRACT(SUBSTITUTE(TRIM(F442)," ",""),"^-?\d+(\.\d+)?"))&gt;=-90,VALUE(REGEXEXTRACT(SUBSTITUTE(TRIM(F442)," ",""),"^-?\d+(\.\d+)?"))&lt;=90,VALUE(REGEXEXTRACT(SUBSTITUTE(TRIM(F442)," ",""),"-?\d+(\.\d+)?$"))&gt;=-180,VALUE(REGEXEXTRACT(SUBSTITUTE(TRIM(F442)," ",""),"-?\d+(\.\d+)?$"))&lt;=180),"OK","REVISAR"),"REVISAR"),"")</f>
        <v/>
      </c>
      <c r="O442">
        <f>IF(A442&lt;&gt;"","https://direcciones507.github.io/direcciones507/panel.html?codigo="&amp;A442&amp;"&amp;nombre="&amp;ENCODEURL(B442)&amp;"&amp;telefono="&amp;SUBSTITUTE(C442,"-","")&amp;"&amp;referencia="&amp;ENCODEURL(E442)&amp;"&amp;lat="&amp;IZQUIERDA(SUBSTITUTE(F442," ",""),ENCONTRAR(",",SUBSTITUTE(F442," ",""))-1)&amp;"&amp;lng="&amp;DERECHA(SUBSTITUTE(F442," ",""),LARGO(SUBSTITUTE(F442," ",""))-ENCONTRAR(",",SUBSTITUTE(F442," ",""))),"")</f>
        <v/>
      </c>
    </row>
    <row r="443" ht="15.75" customHeight="1" s="10">
      <c r="A443" s="8">
        <f>CONCAT("AD507-",TEXT(ROW()-2,"0000"))</f>
        <v/>
      </c>
      <c r="C443" s="8" t="n"/>
      <c r="F443" s="8" t="n"/>
      <c r="G443" s="8">
        <f>IF(F443&lt;&gt;"",HYPERLINK("https://www.google.com/maps/search/?api=1&amp;query="&amp;SUBSTITUTE(F443," ",""),"🗺 Google Maps"),"")</f>
        <v/>
      </c>
      <c r="H443" s="8">
        <f>IF(F443&lt;&gt;"",HYPERLINK("https://waze.com/ul?ll="&amp;SUBSTITUTE(F443," ","")&amp;"&amp;navigate=yes","🚗 Waze"),"")</f>
        <v/>
      </c>
      <c r="I443" s="8">
        <f>IF(F443&lt;&gt;"",HYPERLINK("https://m.uber.com/ul/?action=setPickup&amp;pickup=my_location&amp;dropoff[latitude]="&amp;LEFT(SUBSTITUTE(F443," ",""),FIND(",",SUBSTITUTE(F443," ",""))-1)&amp;"&amp;dropoff[longitude]="&amp;MID(SUBSTITUTE(F443," ",""),FIND(",",SUBSTITUTE(F443," ",""))+1,99),"🚕 Uber"),"")</f>
        <v/>
      </c>
      <c r="J443" s="8">
        <f>IF(F443&lt;&gt;"","https://api.qrserver.com/v1/create-qr-code/?size=200x200&amp;data="&amp;ENCODEURL("https://www.google.com/maps/search/?api=1&amp;query="&amp;SUBSTITUTE(F443," ","")),"")</f>
        <v/>
      </c>
      <c r="K443" s="8">
        <f>IF(C443&lt;&gt;"",HYPERLINK("https://wa.me/507"&amp;REGEXREPLACE(C443,"[^0-9]","")&amp;"?text="&amp;ENCODEURL("Ya llegue. Codigo: "&amp;A443&amp;". Ubicacion: "&amp;"https://www.google.com/maps/search/?api=1&amp;query="&amp;SUBSTITUTE(F443," ","")),"📲 Avisar al cliente"),"")</f>
        <v/>
      </c>
      <c r="L443" s="8">
        <f>IF(C443&lt;&gt;"","https://api.qrserver.com/v1/create-qr-code/?size=200x200&amp;data="&amp;ENCODEURL("https://wa.me/507"&amp;REGEXREPLACE(C443,"[^0-9]","")&amp;"?text="&amp;ENCODEURL("Ya llegue. Codigo: "&amp;A443&amp;". Ubicacion: "&amp;"https://www.google.com/maps/search/?api=1&amp;query="&amp;SUBSTITUTE(F443," ",""))),"")</f>
        <v/>
      </c>
      <c r="M443" s="8">
        <f>IF(B443&lt;&gt;"",TODAY(),"")</f>
        <v/>
      </c>
      <c r="N443" s="8">
        <f>IF(F443&lt;&gt;"",IFERROR(IF(AND(REGEXMATCH(SUBSTITUTE(TRIM(F443)," ",""),"^-?\d+(\.\d+)?,-?\d+(\.\d+)?$"),VALUE(REGEXEXTRACT(SUBSTITUTE(TRIM(F443)," ",""),"^-?\d+(\.\d+)?"))&gt;=-90,VALUE(REGEXEXTRACT(SUBSTITUTE(TRIM(F443)," ",""),"^-?\d+(\.\d+)?"))&lt;=90,VALUE(REGEXEXTRACT(SUBSTITUTE(TRIM(F443)," ",""),"-?\d+(\.\d+)?$"))&gt;=-180,VALUE(REGEXEXTRACT(SUBSTITUTE(TRIM(F443)," ",""),"-?\d+(\.\d+)?$"))&lt;=180),"OK","REVISAR"),"REVISAR"),"")</f>
        <v/>
      </c>
      <c r="O443">
        <f>IF(A443&lt;&gt;"","https://direcciones507.github.io/direcciones507/panel.html?codigo="&amp;A443&amp;"&amp;nombre="&amp;ENCODEURL(B443)&amp;"&amp;telefono="&amp;SUBSTITUTE(C443,"-","")&amp;"&amp;referencia="&amp;ENCODEURL(E443)&amp;"&amp;lat="&amp;IZQUIERDA(SUBSTITUTE(F443," ",""),ENCONTRAR(",",SUBSTITUTE(F443," ",""))-1)&amp;"&amp;lng="&amp;DERECHA(SUBSTITUTE(F443," ",""),LARGO(SUBSTITUTE(F443," ",""))-ENCONTRAR(",",SUBSTITUTE(F443," ",""))),"")</f>
        <v/>
      </c>
    </row>
    <row r="444" ht="15.75" customHeight="1" s="10">
      <c r="A444" s="8">
        <f>CONCAT("AD507-",TEXT(ROW()-2,"0000"))</f>
        <v/>
      </c>
      <c r="C444" s="8" t="n"/>
      <c r="F444" s="8" t="n"/>
      <c r="G444" s="8">
        <f>IF(F444&lt;&gt;"",HYPERLINK("https://www.google.com/maps/search/?api=1&amp;query="&amp;SUBSTITUTE(F444," ",""),"🗺 Google Maps"),"")</f>
        <v/>
      </c>
      <c r="H444" s="8">
        <f>IF(F444&lt;&gt;"",HYPERLINK("https://waze.com/ul?ll="&amp;SUBSTITUTE(F444," ","")&amp;"&amp;navigate=yes","🚗 Waze"),"")</f>
        <v/>
      </c>
      <c r="I444" s="8">
        <f>IF(F444&lt;&gt;"",HYPERLINK("https://m.uber.com/ul/?action=setPickup&amp;pickup=my_location&amp;dropoff[latitude]="&amp;LEFT(SUBSTITUTE(F444," ",""),FIND(",",SUBSTITUTE(F444," ",""))-1)&amp;"&amp;dropoff[longitude]="&amp;MID(SUBSTITUTE(F444," ",""),FIND(",",SUBSTITUTE(F444," ",""))+1,99),"🚕 Uber"),"")</f>
        <v/>
      </c>
      <c r="J444" s="8">
        <f>IF(F444&lt;&gt;"","https://api.qrserver.com/v1/create-qr-code/?size=200x200&amp;data="&amp;ENCODEURL("https://www.google.com/maps/search/?api=1&amp;query="&amp;SUBSTITUTE(F444," ","")),"")</f>
        <v/>
      </c>
      <c r="K444" s="8">
        <f>IF(C444&lt;&gt;"",HYPERLINK("https://wa.me/507"&amp;REGEXREPLACE(C444,"[^0-9]","")&amp;"?text="&amp;ENCODEURL("Ya llegue. Codigo: "&amp;A444&amp;". Ubicacion: "&amp;"https://www.google.com/maps/search/?api=1&amp;query="&amp;SUBSTITUTE(F444," ","")),"📲 Avisar al cliente"),"")</f>
        <v/>
      </c>
      <c r="L444" s="8">
        <f>IF(C444&lt;&gt;"","https://api.qrserver.com/v1/create-qr-code/?size=200x200&amp;data="&amp;ENCODEURL("https://wa.me/507"&amp;REGEXREPLACE(C444,"[^0-9]","")&amp;"?text="&amp;ENCODEURL("Ya llegue. Codigo: "&amp;A444&amp;". Ubicacion: "&amp;"https://www.google.com/maps/search/?api=1&amp;query="&amp;SUBSTITUTE(F444," ",""))),"")</f>
        <v/>
      </c>
      <c r="M444" s="8">
        <f>IF(B444&lt;&gt;"",TODAY(),"")</f>
        <v/>
      </c>
      <c r="N444" s="8">
        <f>IF(F444&lt;&gt;"",IFERROR(IF(AND(REGEXMATCH(SUBSTITUTE(TRIM(F444)," ",""),"^-?\d+(\.\d+)?,-?\d+(\.\d+)?$"),VALUE(REGEXEXTRACT(SUBSTITUTE(TRIM(F444)," ",""),"^-?\d+(\.\d+)?"))&gt;=-90,VALUE(REGEXEXTRACT(SUBSTITUTE(TRIM(F444)," ",""),"^-?\d+(\.\d+)?"))&lt;=90,VALUE(REGEXEXTRACT(SUBSTITUTE(TRIM(F444)," ",""),"-?\d+(\.\d+)?$"))&gt;=-180,VALUE(REGEXEXTRACT(SUBSTITUTE(TRIM(F444)," ",""),"-?\d+(\.\d+)?$"))&lt;=180),"OK","REVISAR"),"REVISAR"),"")</f>
        <v/>
      </c>
      <c r="O444">
        <f>IF(A444&lt;&gt;"","https://direcciones507.github.io/direcciones507/panel.html?codigo="&amp;A444&amp;"&amp;nombre="&amp;ENCODEURL(B444)&amp;"&amp;telefono="&amp;SUBSTITUTE(C444,"-","")&amp;"&amp;referencia="&amp;ENCODEURL(E444)&amp;"&amp;lat="&amp;IZQUIERDA(SUBSTITUTE(F444," ",""),ENCONTRAR(",",SUBSTITUTE(F444," ",""))-1)&amp;"&amp;lng="&amp;DERECHA(SUBSTITUTE(F444," ",""),LARGO(SUBSTITUTE(F444," ",""))-ENCONTRAR(",",SUBSTITUTE(F444," ",""))),"")</f>
        <v/>
      </c>
    </row>
    <row r="445" ht="15.75" customHeight="1" s="10">
      <c r="A445" s="8">
        <f>CONCAT("AD507-",TEXT(ROW()-2,"0000"))</f>
        <v/>
      </c>
      <c r="C445" s="8" t="n"/>
      <c r="F445" s="8" t="n"/>
      <c r="G445" s="8">
        <f>IF(F445&lt;&gt;"",HYPERLINK("https://www.google.com/maps/search/?api=1&amp;query="&amp;SUBSTITUTE(F445," ",""),"🗺 Google Maps"),"")</f>
        <v/>
      </c>
      <c r="H445" s="8">
        <f>IF(F445&lt;&gt;"",HYPERLINK("https://waze.com/ul?ll="&amp;SUBSTITUTE(F445," ","")&amp;"&amp;navigate=yes","🚗 Waze"),"")</f>
        <v/>
      </c>
      <c r="I445" s="8">
        <f>IF(F445&lt;&gt;"",HYPERLINK("https://m.uber.com/ul/?action=setPickup&amp;pickup=my_location&amp;dropoff[latitude]="&amp;LEFT(SUBSTITUTE(F445," ",""),FIND(",",SUBSTITUTE(F445," ",""))-1)&amp;"&amp;dropoff[longitude]="&amp;MID(SUBSTITUTE(F445," ",""),FIND(",",SUBSTITUTE(F445," ",""))+1,99),"🚕 Uber"),"")</f>
        <v/>
      </c>
      <c r="J445" s="8">
        <f>IF(F445&lt;&gt;"","https://api.qrserver.com/v1/create-qr-code/?size=200x200&amp;data="&amp;ENCODEURL("https://www.google.com/maps/search/?api=1&amp;query="&amp;SUBSTITUTE(F445," ","")),"")</f>
        <v/>
      </c>
      <c r="K445" s="8">
        <f>IF(C445&lt;&gt;"",HYPERLINK("https://wa.me/507"&amp;REGEXREPLACE(C445,"[^0-9]","")&amp;"?text="&amp;ENCODEURL("Ya llegue. Codigo: "&amp;A445&amp;". Ubicacion: "&amp;"https://www.google.com/maps/search/?api=1&amp;query="&amp;SUBSTITUTE(F445," ","")),"📲 Avisar al cliente"),"")</f>
        <v/>
      </c>
      <c r="L445" s="8">
        <f>IF(C445&lt;&gt;"","https://api.qrserver.com/v1/create-qr-code/?size=200x200&amp;data="&amp;ENCODEURL("https://wa.me/507"&amp;REGEXREPLACE(C445,"[^0-9]","")&amp;"?text="&amp;ENCODEURL("Ya llegue. Codigo: "&amp;A445&amp;". Ubicacion: "&amp;"https://www.google.com/maps/search/?api=1&amp;query="&amp;SUBSTITUTE(F445," ",""))),"")</f>
        <v/>
      </c>
      <c r="M445" s="8">
        <f>IF(B445&lt;&gt;"",TODAY(),"")</f>
        <v/>
      </c>
      <c r="N445" s="8">
        <f>IF(F445&lt;&gt;"",IFERROR(IF(AND(REGEXMATCH(SUBSTITUTE(TRIM(F445)," ",""),"^-?\d+(\.\d+)?,-?\d+(\.\d+)?$"),VALUE(REGEXEXTRACT(SUBSTITUTE(TRIM(F445)," ",""),"^-?\d+(\.\d+)?"))&gt;=-90,VALUE(REGEXEXTRACT(SUBSTITUTE(TRIM(F445)," ",""),"^-?\d+(\.\d+)?"))&lt;=90,VALUE(REGEXEXTRACT(SUBSTITUTE(TRIM(F445)," ",""),"-?\d+(\.\d+)?$"))&gt;=-180,VALUE(REGEXEXTRACT(SUBSTITUTE(TRIM(F445)," ",""),"-?\d+(\.\d+)?$"))&lt;=180),"OK","REVISAR"),"REVISAR"),"")</f>
        <v/>
      </c>
      <c r="O445">
        <f>IF(A445&lt;&gt;"","https://direcciones507.github.io/direcciones507/panel.html?codigo="&amp;A445&amp;"&amp;nombre="&amp;ENCODEURL(B445)&amp;"&amp;telefono="&amp;SUBSTITUTE(C445,"-","")&amp;"&amp;referencia="&amp;ENCODEURL(E445)&amp;"&amp;lat="&amp;IZQUIERDA(SUBSTITUTE(F445," ",""),ENCONTRAR(",",SUBSTITUTE(F445," ",""))-1)&amp;"&amp;lng="&amp;DERECHA(SUBSTITUTE(F445," ",""),LARGO(SUBSTITUTE(F445," ",""))-ENCONTRAR(",",SUBSTITUTE(F445," ",""))),"")</f>
        <v/>
      </c>
    </row>
    <row r="446" ht="15.75" customHeight="1" s="10">
      <c r="A446" s="8">
        <f>CONCAT("AD507-",TEXT(ROW()-2,"0000"))</f>
        <v/>
      </c>
      <c r="C446" s="8" t="n"/>
      <c r="F446" s="8" t="n"/>
      <c r="G446" s="8">
        <f>IF(F446&lt;&gt;"",HYPERLINK("https://www.google.com/maps/search/?api=1&amp;query="&amp;SUBSTITUTE(F446," ",""),"🗺 Google Maps"),"")</f>
        <v/>
      </c>
      <c r="H446" s="8">
        <f>IF(F446&lt;&gt;"",HYPERLINK("https://waze.com/ul?ll="&amp;SUBSTITUTE(F446," ","")&amp;"&amp;navigate=yes","🚗 Waze"),"")</f>
        <v/>
      </c>
      <c r="I446" s="8">
        <f>IF(F446&lt;&gt;"",HYPERLINK("https://m.uber.com/ul/?action=setPickup&amp;pickup=my_location&amp;dropoff[latitude]="&amp;LEFT(SUBSTITUTE(F446," ",""),FIND(",",SUBSTITUTE(F446," ",""))-1)&amp;"&amp;dropoff[longitude]="&amp;MID(SUBSTITUTE(F446," ",""),FIND(",",SUBSTITUTE(F446," ",""))+1,99),"🚕 Uber"),"")</f>
        <v/>
      </c>
      <c r="J446" s="8">
        <f>IF(F446&lt;&gt;"","https://api.qrserver.com/v1/create-qr-code/?size=200x200&amp;data="&amp;ENCODEURL("https://www.google.com/maps/search/?api=1&amp;query="&amp;SUBSTITUTE(F446," ","")),"")</f>
        <v/>
      </c>
      <c r="K446" s="8">
        <f>IF(C446&lt;&gt;"",HYPERLINK("https://wa.me/507"&amp;REGEXREPLACE(C446,"[^0-9]","")&amp;"?text="&amp;ENCODEURL("Ya llegue. Codigo: "&amp;A446&amp;". Ubicacion: "&amp;"https://www.google.com/maps/search/?api=1&amp;query="&amp;SUBSTITUTE(F446," ","")),"📲 Avisar al cliente"),"")</f>
        <v/>
      </c>
      <c r="L446" s="8">
        <f>IF(C446&lt;&gt;"","https://api.qrserver.com/v1/create-qr-code/?size=200x200&amp;data="&amp;ENCODEURL("https://wa.me/507"&amp;REGEXREPLACE(C446,"[^0-9]","")&amp;"?text="&amp;ENCODEURL("Ya llegue. Codigo: "&amp;A446&amp;". Ubicacion: "&amp;"https://www.google.com/maps/search/?api=1&amp;query="&amp;SUBSTITUTE(F446," ",""))),"")</f>
        <v/>
      </c>
      <c r="M446" s="8">
        <f>IF(B446&lt;&gt;"",TODAY(),"")</f>
        <v/>
      </c>
      <c r="N446" s="8">
        <f>IF(F446&lt;&gt;"",IFERROR(IF(AND(REGEXMATCH(SUBSTITUTE(TRIM(F446)," ",""),"^-?\d+(\.\d+)?,-?\d+(\.\d+)?$"),VALUE(REGEXEXTRACT(SUBSTITUTE(TRIM(F446)," ",""),"^-?\d+(\.\d+)?"))&gt;=-90,VALUE(REGEXEXTRACT(SUBSTITUTE(TRIM(F446)," ",""),"^-?\d+(\.\d+)?"))&lt;=90,VALUE(REGEXEXTRACT(SUBSTITUTE(TRIM(F446)," ",""),"-?\d+(\.\d+)?$"))&gt;=-180,VALUE(REGEXEXTRACT(SUBSTITUTE(TRIM(F446)," ",""),"-?\d+(\.\d+)?$"))&lt;=180),"OK","REVISAR"),"REVISAR"),"")</f>
        <v/>
      </c>
      <c r="O446">
        <f>IF(A446&lt;&gt;"","https://direcciones507.github.io/direcciones507/panel.html?codigo="&amp;A446&amp;"&amp;nombre="&amp;ENCODEURL(B446)&amp;"&amp;telefono="&amp;SUBSTITUTE(C446,"-","")&amp;"&amp;referencia="&amp;ENCODEURL(E446)&amp;"&amp;lat="&amp;IZQUIERDA(SUBSTITUTE(F446," ",""),ENCONTRAR(",",SUBSTITUTE(F446," ",""))-1)&amp;"&amp;lng="&amp;DERECHA(SUBSTITUTE(F446," ",""),LARGO(SUBSTITUTE(F446," ",""))-ENCONTRAR(",",SUBSTITUTE(F446," ",""))),"")</f>
        <v/>
      </c>
    </row>
    <row r="447" ht="15.75" customHeight="1" s="10">
      <c r="A447" s="8">
        <f>CONCAT("AD507-",TEXT(ROW()-2,"0000"))</f>
        <v/>
      </c>
      <c r="C447" s="8" t="n"/>
      <c r="F447" s="8" t="n"/>
      <c r="G447" s="8">
        <f>IF(F447&lt;&gt;"",HYPERLINK("https://www.google.com/maps/search/?api=1&amp;query="&amp;SUBSTITUTE(F447," ",""),"🗺 Google Maps"),"")</f>
        <v/>
      </c>
      <c r="H447" s="8">
        <f>IF(F447&lt;&gt;"",HYPERLINK("https://waze.com/ul?ll="&amp;SUBSTITUTE(F447," ","")&amp;"&amp;navigate=yes","🚗 Waze"),"")</f>
        <v/>
      </c>
      <c r="I447" s="8">
        <f>IF(F447&lt;&gt;"",HYPERLINK("https://m.uber.com/ul/?action=setPickup&amp;pickup=my_location&amp;dropoff[latitude]="&amp;LEFT(SUBSTITUTE(F447," ",""),FIND(",",SUBSTITUTE(F447," ",""))-1)&amp;"&amp;dropoff[longitude]="&amp;MID(SUBSTITUTE(F447," ",""),FIND(",",SUBSTITUTE(F447," ",""))+1,99),"🚕 Uber"),"")</f>
        <v/>
      </c>
      <c r="J447" s="8">
        <f>IF(F447&lt;&gt;"","https://api.qrserver.com/v1/create-qr-code/?size=200x200&amp;data="&amp;ENCODEURL("https://www.google.com/maps/search/?api=1&amp;query="&amp;SUBSTITUTE(F447," ","")),"")</f>
        <v/>
      </c>
      <c r="K447" s="8">
        <f>IF(C447&lt;&gt;"",HYPERLINK("https://wa.me/507"&amp;REGEXREPLACE(C447,"[^0-9]","")&amp;"?text="&amp;ENCODEURL("Ya llegue. Codigo: "&amp;A447&amp;". Ubicacion: "&amp;"https://www.google.com/maps/search/?api=1&amp;query="&amp;SUBSTITUTE(F447," ","")),"📲 Avisar al cliente"),"")</f>
        <v/>
      </c>
      <c r="L447" s="8">
        <f>IF(C447&lt;&gt;"","https://api.qrserver.com/v1/create-qr-code/?size=200x200&amp;data="&amp;ENCODEURL("https://wa.me/507"&amp;REGEXREPLACE(C447,"[^0-9]","")&amp;"?text="&amp;ENCODEURL("Ya llegue. Codigo: "&amp;A447&amp;". Ubicacion: "&amp;"https://www.google.com/maps/search/?api=1&amp;query="&amp;SUBSTITUTE(F447," ",""))),"")</f>
        <v/>
      </c>
      <c r="M447" s="8">
        <f>IF(B447&lt;&gt;"",TODAY(),"")</f>
        <v/>
      </c>
      <c r="N447" s="8">
        <f>IF(F447&lt;&gt;"",IFERROR(IF(AND(REGEXMATCH(SUBSTITUTE(TRIM(F447)," ",""),"^-?\d+(\.\d+)?,-?\d+(\.\d+)?$"),VALUE(REGEXEXTRACT(SUBSTITUTE(TRIM(F447)," ",""),"^-?\d+(\.\d+)?"))&gt;=-90,VALUE(REGEXEXTRACT(SUBSTITUTE(TRIM(F447)," ",""),"^-?\d+(\.\d+)?"))&lt;=90,VALUE(REGEXEXTRACT(SUBSTITUTE(TRIM(F447)," ",""),"-?\d+(\.\d+)?$"))&gt;=-180,VALUE(REGEXEXTRACT(SUBSTITUTE(TRIM(F447)," ",""),"-?\d+(\.\d+)?$"))&lt;=180),"OK","REVISAR"),"REVISAR"),"")</f>
        <v/>
      </c>
      <c r="O447">
        <f>IF(A447&lt;&gt;"","https://direcciones507.github.io/direcciones507/panel.html?codigo="&amp;A447&amp;"&amp;nombre="&amp;ENCODEURL(B447)&amp;"&amp;telefono="&amp;SUBSTITUTE(C447,"-","")&amp;"&amp;referencia="&amp;ENCODEURL(E447)&amp;"&amp;lat="&amp;IZQUIERDA(SUBSTITUTE(F447," ",""),ENCONTRAR(",",SUBSTITUTE(F447," ",""))-1)&amp;"&amp;lng="&amp;DERECHA(SUBSTITUTE(F447," ",""),LARGO(SUBSTITUTE(F447," ",""))-ENCONTRAR(",",SUBSTITUTE(F447," ",""))),"")</f>
        <v/>
      </c>
    </row>
    <row r="448" ht="15.75" customHeight="1" s="10">
      <c r="A448" s="8">
        <f>CONCAT("AD507-",TEXT(ROW()-2,"0000"))</f>
        <v/>
      </c>
      <c r="C448" s="8" t="n"/>
      <c r="F448" s="8" t="n"/>
      <c r="G448" s="8">
        <f>IF(F448&lt;&gt;"",HYPERLINK("https://www.google.com/maps/search/?api=1&amp;query="&amp;SUBSTITUTE(F448," ",""),"🗺 Google Maps"),"")</f>
        <v/>
      </c>
      <c r="H448" s="8">
        <f>IF(F448&lt;&gt;"",HYPERLINK("https://waze.com/ul?ll="&amp;SUBSTITUTE(F448," ","")&amp;"&amp;navigate=yes","🚗 Waze"),"")</f>
        <v/>
      </c>
      <c r="I448" s="8">
        <f>IF(F448&lt;&gt;"",HYPERLINK("https://m.uber.com/ul/?action=setPickup&amp;pickup=my_location&amp;dropoff[latitude]="&amp;LEFT(SUBSTITUTE(F448," ",""),FIND(",",SUBSTITUTE(F448," ",""))-1)&amp;"&amp;dropoff[longitude]="&amp;MID(SUBSTITUTE(F448," ",""),FIND(",",SUBSTITUTE(F448," ",""))+1,99),"🚕 Uber"),"")</f>
        <v/>
      </c>
      <c r="J448" s="8">
        <f>IF(F448&lt;&gt;"","https://api.qrserver.com/v1/create-qr-code/?size=200x200&amp;data="&amp;ENCODEURL("https://www.google.com/maps/search/?api=1&amp;query="&amp;SUBSTITUTE(F448," ","")),"")</f>
        <v/>
      </c>
      <c r="K448" s="8">
        <f>IF(C448&lt;&gt;"",HYPERLINK("https://wa.me/507"&amp;REGEXREPLACE(C448,"[^0-9]","")&amp;"?text="&amp;ENCODEURL("Ya llegue. Codigo: "&amp;A448&amp;". Ubicacion: "&amp;"https://www.google.com/maps/search/?api=1&amp;query="&amp;SUBSTITUTE(F448," ","")),"📲 Avisar al cliente"),"")</f>
        <v/>
      </c>
      <c r="L448" s="8">
        <f>IF(C448&lt;&gt;"","https://api.qrserver.com/v1/create-qr-code/?size=200x200&amp;data="&amp;ENCODEURL("https://wa.me/507"&amp;REGEXREPLACE(C448,"[^0-9]","")&amp;"?text="&amp;ENCODEURL("Ya llegue. Codigo: "&amp;A448&amp;". Ubicacion: "&amp;"https://www.google.com/maps/search/?api=1&amp;query="&amp;SUBSTITUTE(F448," ",""))),"")</f>
        <v/>
      </c>
      <c r="M448" s="8">
        <f>IF(B448&lt;&gt;"",TODAY(),"")</f>
        <v/>
      </c>
      <c r="N448" s="8">
        <f>IF(F448&lt;&gt;"",IFERROR(IF(AND(REGEXMATCH(SUBSTITUTE(TRIM(F448)," ",""),"^-?\d+(\.\d+)?,-?\d+(\.\d+)?$"),VALUE(REGEXEXTRACT(SUBSTITUTE(TRIM(F448)," ",""),"^-?\d+(\.\d+)?"))&gt;=-90,VALUE(REGEXEXTRACT(SUBSTITUTE(TRIM(F448)," ",""),"^-?\d+(\.\d+)?"))&lt;=90,VALUE(REGEXEXTRACT(SUBSTITUTE(TRIM(F448)," ",""),"-?\d+(\.\d+)?$"))&gt;=-180,VALUE(REGEXEXTRACT(SUBSTITUTE(TRIM(F448)," ",""),"-?\d+(\.\d+)?$"))&lt;=180),"OK","REVISAR"),"REVISAR"),"")</f>
        <v/>
      </c>
      <c r="O448">
        <f>IF(A448&lt;&gt;"","https://direcciones507.github.io/direcciones507/panel.html?codigo="&amp;A448&amp;"&amp;nombre="&amp;ENCODEURL(B448)&amp;"&amp;telefono="&amp;SUBSTITUTE(C448,"-","")&amp;"&amp;referencia="&amp;ENCODEURL(E448)&amp;"&amp;lat="&amp;IZQUIERDA(SUBSTITUTE(F448," ",""),ENCONTRAR(",",SUBSTITUTE(F448," ",""))-1)&amp;"&amp;lng="&amp;DERECHA(SUBSTITUTE(F448," ",""),LARGO(SUBSTITUTE(F448," ",""))-ENCONTRAR(",",SUBSTITUTE(F448," ",""))),"")</f>
        <v/>
      </c>
    </row>
    <row r="449" ht="15.75" customHeight="1" s="10">
      <c r="A449" s="8">
        <f>CONCAT("AD507-",TEXT(ROW()-2,"0000"))</f>
        <v/>
      </c>
      <c r="C449" s="8" t="n"/>
      <c r="F449" s="8" t="n"/>
      <c r="G449" s="8">
        <f>IF(F449&lt;&gt;"",HYPERLINK("https://www.google.com/maps/search/?api=1&amp;query="&amp;SUBSTITUTE(F449," ",""),"🗺 Google Maps"),"")</f>
        <v/>
      </c>
      <c r="H449" s="8">
        <f>IF(F449&lt;&gt;"",HYPERLINK("https://waze.com/ul?ll="&amp;SUBSTITUTE(F449," ","")&amp;"&amp;navigate=yes","🚗 Waze"),"")</f>
        <v/>
      </c>
      <c r="I449" s="8">
        <f>IF(F449&lt;&gt;"",HYPERLINK("https://m.uber.com/ul/?action=setPickup&amp;pickup=my_location&amp;dropoff[latitude]="&amp;LEFT(SUBSTITUTE(F449," ",""),FIND(",",SUBSTITUTE(F449," ",""))-1)&amp;"&amp;dropoff[longitude]="&amp;MID(SUBSTITUTE(F449," ",""),FIND(",",SUBSTITUTE(F449," ",""))+1,99),"🚕 Uber"),"")</f>
        <v/>
      </c>
      <c r="J449" s="8">
        <f>IF(F449&lt;&gt;"","https://api.qrserver.com/v1/create-qr-code/?size=200x200&amp;data="&amp;ENCODEURL("https://www.google.com/maps/search/?api=1&amp;query="&amp;SUBSTITUTE(F449," ","")),"")</f>
        <v/>
      </c>
      <c r="K449" s="8">
        <f>IF(C449&lt;&gt;"",HYPERLINK("https://wa.me/507"&amp;REGEXREPLACE(C449,"[^0-9]","")&amp;"?text="&amp;ENCODEURL("Ya llegue. Codigo: "&amp;A449&amp;". Ubicacion: "&amp;"https://www.google.com/maps/search/?api=1&amp;query="&amp;SUBSTITUTE(F449," ","")),"📲 Avisar al cliente"),"")</f>
        <v/>
      </c>
      <c r="L449" s="8">
        <f>IF(C449&lt;&gt;"","https://api.qrserver.com/v1/create-qr-code/?size=200x200&amp;data="&amp;ENCODEURL("https://wa.me/507"&amp;REGEXREPLACE(C449,"[^0-9]","")&amp;"?text="&amp;ENCODEURL("Ya llegue. Codigo: "&amp;A449&amp;". Ubicacion: "&amp;"https://www.google.com/maps/search/?api=1&amp;query="&amp;SUBSTITUTE(F449," ",""))),"")</f>
        <v/>
      </c>
      <c r="M449" s="8">
        <f>IF(B449&lt;&gt;"",TODAY(),"")</f>
        <v/>
      </c>
      <c r="N449" s="8">
        <f>IF(F449&lt;&gt;"",IFERROR(IF(AND(REGEXMATCH(SUBSTITUTE(TRIM(F449)," ",""),"^-?\d+(\.\d+)?,-?\d+(\.\d+)?$"),VALUE(REGEXEXTRACT(SUBSTITUTE(TRIM(F449)," ",""),"^-?\d+(\.\d+)?"))&gt;=-90,VALUE(REGEXEXTRACT(SUBSTITUTE(TRIM(F449)," ",""),"^-?\d+(\.\d+)?"))&lt;=90,VALUE(REGEXEXTRACT(SUBSTITUTE(TRIM(F449)," ",""),"-?\d+(\.\d+)?$"))&gt;=-180,VALUE(REGEXEXTRACT(SUBSTITUTE(TRIM(F449)," ",""),"-?\d+(\.\d+)?$"))&lt;=180),"OK","REVISAR"),"REVISAR"),"")</f>
        <v/>
      </c>
      <c r="O449">
        <f>IF(A449&lt;&gt;"","https://direcciones507.github.io/direcciones507/panel.html?codigo="&amp;A449&amp;"&amp;nombre="&amp;ENCODEURL(B449)&amp;"&amp;telefono="&amp;SUBSTITUTE(C449,"-","")&amp;"&amp;referencia="&amp;ENCODEURL(E449)&amp;"&amp;lat="&amp;IZQUIERDA(SUBSTITUTE(F449," ",""),ENCONTRAR(",",SUBSTITUTE(F449," ",""))-1)&amp;"&amp;lng="&amp;DERECHA(SUBSTITUTE(F449," ",""),LARGO(SUBSTITUTE(F449," ",""))-ENCONTRAR(",",SUBSTITUTE(F449," ",""))),"")</f>
        <v/>
      </c>
    </row>
    <row r="450" ht="15.75" customHeight="1" s="10">
      <c r="A450" s="8">
        <f>CONCAT("AD507-",TEXT(ROW()-2,"0000"))</f>
        <v/>
      </c>
      <c r="C450" s="8" t="n"/>
      <c r="F450" s="8" t="n"/>
      <c r="G450" s="8">
        <f>IF(F450&lt;&gt;"",HYPERLINK("https://www.google.com/maps/search/?api=1&amp;query="&amp;SUBSTITUTE(F450," ",""),"🗺 Google Maps"),"")</f>
        <v/>
      </c>
      <c r="H450" s="8">
        <f>IF(F450&lt;&gt;"",HYPERLINK("https://waze.com/ul?ll="&amp;SUBSTITUTE(F450," ","")&amp;"&amp;navigate=yes","🚗 Waze"),"")</f>
        <v/>
      </c>
      <c r="I450" s="8">
        <f>IF(F450&lt;&gt;"",HYPERLINK("https://m.uber.com/ul/?action=setPickup&amp;pickup=my_location&amp;dropoff[latitude]="&amp;LEFT(SUBSTITUTE(F450," ",""),FIND(",",SUBSTITUTE(F450," ",""))-1)&amp;"&amp;dropoff[longitude]="&amp;MID(SUBSTITUTE(F450," ",""),FIND(",",SUBSTITUTE(F450," ",""))+1,99),"🚕 Uber"),"")</f>
        <v/>
      </c>
      <c r="J450" s="8">
        <f>IF(F450&lt;&gt;"","https://api.qrserver.com/v1/create-qr-code/?size=200x200&amp;data="&amp;ENCODEURL("https://www.google.com/maps/search/?api=1&amp;query="&amp;SUBSTITUTE(F450," ","")),"")</f>
        <v/>
      </c>
      <c r="K450" s="8">
        <f>IF(C450&lt;&gt;"",HYPERLINK("https://wa.me/507"&amp;REGEXREPLACE(C450,"[^0-9]","")&amp;"?text="&amp;ENCODEURL("Ya llegue. Codigo: "&amp;A450&amp;". Ubicacion: "&amp;"https://www.google.com/maps/search/?api=1&amp;query="&amp;SUBSTITUTE(F450," ","")),"📲 Avisar al cliente"),"")</f>
        <v/>
      </c>
      <c r="L450" s="8">
        <f>IF(C450&lt;&gt;"","https://api.qrserver.com/v1/create-qr-code/?size=200x200&amp;data="&amp;ENCODEURL("https://wa.me/507"&amp;REGEXREPLACE(C450,"[^0-9]","")&amp;"?text="&amp;ENCODEURL("Ya llegue. Codigo: "&amp;A450&amp;". Ubicacion: "&amp;"https://www.google.com/maps/search/?api=1&amp;query="&amp;SUBSTITUTE(F450," ",""))),"")</f>
        <v/>
      </c>
      <c r="M450" s="8">
        <f>IF(B450&lt;&gt;"",TODAY(),"")</f>
        <v/>
      </c>
      <c r="N450" s="8">
        <f>IF(F450&lt;&gt;"",IFERROR(IF(AND(REGEXMATCH(SUBSTITUTE(TRIM(F450)," ",""),"^-?\d+(\.\d+)?,-?\d+(\.\d+)?$"),VALUE(REGEXEXTRACT(SUBSTITUTE(TRIM(F450)," ",""),"^-?\d+(\.\d+)?"))&gt;=-90,VALUE(REGEXEXTRACT(SUBSTITUTE(TRIM(F450)," ",""),"^-?\d+(\.\d+)?"))&lt;=90,VALUE(REGEXEXTRACT(SUBSTITUTE(TRIM(F450)," ",""),"-?\d+(\.\d+)?$"))&gt;=-180,VALUE(REGEXEXTRACT(SUBSTITUTE(TRIM(F450)," ",""),"-?\d+(\.\d+)?$"))&lt;=180),"OK","REVISAR"),"REVISAR"),"")</f>
        <v/>
      </c>
      <c r="O450">
        <f>IF(A450&lt;&gt;"","https://direcciones507.github.io/direcciones507/panel.html?codigo="&amp;A450&amp;"&amp;nombre="&amp;ENCODEURL(B450)&amp;"&amp;telefono="&amp;SUBSTITUTE(C450,"-","")&amp;"&amp;referencia="&amp;ENCODEURL(E450)&amp;"&amp;lat="&amp;IZQUIERDA(SUBSTITUTE(F450," ",""),ENCONTRAR(",",SUBSTITUTE(F450," ",""))-1)&amp;"&amp;lng="&amp;DERECHA(SUBSTITUTE(F450," ",""),LARGO(SUBSTITUTE(F450," ",""))-ENCONTRAR(",",SUBSTITUTE(F450," ",""))),"")</f>
        <v/>
      </c>
    </row>
    <row r="451" ht="15.75" customHeight="1" s="10">
      <c r="A451" s="8">
        <f>CONCAT("AD507-",TEXT(ROW()-2,"0000"))</f>
        <v/>
      </c>
      <c r="C451" s="8" t="n"/>
      <c r="F451" s="8" t="n"/>
      <c r="G451" s="8">
        <f>IF(F451&lt;&gt;"",HYPERLINK("https://www.google.com/maps/search/?api=1&amp;query="&amp;SUBSTITUTE(F451," ",""),"🗺 Google Maps"),"")</f>
        <v/>
      </c>
      <c r="H451" s="8">
        <f>IF(F451&lt;&gt;"",HYPERLINK("https://waze.com/ul?ll="&amp;SUBSTITUTE(F451," ","")&amp;"&amp;navigate=yes","🚗 Waze"),"")</f>
        <v/>
      </c>
      <c r="I451" s="8">
        <f>IF(F451&lt;&gt;"",HYPERLINK("https://m.uber.com/ul/?action=setPickup&amp;pickup=my_location&amp;dropoff[latitude]="&amp;LEFT(SUBSTITUTE(F451," ",""),FIND(",",SUBSTITUTE(F451," ",""))-1)&amp;"&amp;dropoff[longitude]="&amp;MID(SUBSTITUTE(F451," ",""),FIND(",",SUBSTITUTE(F451," ",""))+1,99),"🚕 Uber"),"")</f>
        <v/>
      </c>
      <c r="J451" s="8">
        <f>IF(F451&lt;&gt;"","https://api.qrserver.com/v1/create-qr-code/?size=200x200&amp;data="&amp;ENCODEURL("https://www.google.com/maps/search/?api=1&amp;query="&amp;SUBSTITUTE(F451," ","")),"")</f>
        <v/>
      </c>
      <c r="K451" s="8">
        <f>IF(C451&lt;&gt;"",HYPERLINK("https://wa.me/507"&amp;REGEXREPLACE(C451,"[^0-9]","")&amp;"?text="&amp;ENCODEURL("Ya llegue. Codigo: "&amp;A451&amp;". Ubicacion: "&amp;"https://www.google.com/maps/search/?api=1&amp;query="&amp;SUBSTITUTE(F451," ","")),"📲 Avisar al cliente"),"")</f>
        <v/>
      </c>
      <c r="L451" s="8">
        <f>IF(C451&lt;&gt;"","https://api.qrserver.com/v1/create-qr-code/?size=200x200&amp;data="&amp;ENCODEURL("https://wa.me/507"&amp;REGEXREPLACE(C451,"[^0-9]","")&amp;"?text="&amp;ENCODEURL("Ya llegue. Codigo: "&amp;A451&amp;". Ubicacion: "&amp;"https://www.google.com/maps/search/?api=1&amp;query="&amp;SUBSTITUTE(F451," ",""))),"")</f>
        <v/>
      </c>
      <c r="M451" s="8">
        <f>IF(B451&lt;&gt;"",TODAY(),"")</f>
        <v/>
      </c>
      <c r="N451" s="8">
        <f>IF(F451&lt;&gt;"",IFERROR(IF(AND(REGEXMATCH(SUBSTITUTE(TRIM(F451)," ",""),"^-?\d+(\.\d+)?,-?\d+(\.\d+)?$"),VALUE(REGEXEXTRACT(SUBSTITUTE(TRIM(F451)," ",""),"^-?\d+(\.\d+)?"))&gt;=-90,VALUE(REGEXEXTRACT(SUBSTITUTE(TRIM(F451)," ",""),"^-?\d+(\.\d+)?"))&lt;=90,VALUE(REGEXEXTRACT(SUBSTITUTE(TRIM(F451)," ",""),"-?\d+(\.\d+)?$"))&gt;=-180,VALUE(REGEXEXTRACT(SUBSTITUTE(TRIM(F451)," ",""),"-?\d+(\.\d+)?$"))&lt;=180),"OK","REVISAR"),"REVISAR"),"")</f>
        <v/>
      </c>
      <c r="O451">
        <f>IF(A451&lt;&gt;"","https://direcciones507.github.io/direcciones507/panel.html?codigo="&amp;A451&amp;"&amp;nombre="&amp;ENCODEURL(B451)&amp;"&amp;telefono="&amp;SUBSTITUTE(C451,"-","")&amp;"&amp;referencia="&amp;ENCODEURL(E451)&amp;"&amp;lat="&amp;IZQUIERDA(SUBSTITUTE(F451," ",""),ENCONTRAR(",",SUBSTITUTE(F451," ",""))-1)&amp;"&amp;lng="&amp;DERECHA(SUBSTITUTE(F451," ",""),LARGO(SUBSTITUTE(F451," ",""))-ENCONTRAR(",",SUBSTITUTE(F451," ",""))),"")</f>
        <v/>
      </c>
    </row>
    <row r="452" ht="15.75" customHeight="1" s="10">
      <c r="A452" s="8">
        <f>CONCAT("AD507-",TEXT(ROW()-2,"0000"))</f>
        <v/>
      </c>
      <c r="C452" s="8" t="n"/>
      <c r="F452" s="8" t="n"/>
      <c r="G452" s="8">
        <f>IF(F452&lt;&gt;"",HYPERLINK("https://www.google.com/maps/search/?api=1&amp;query="&amp;SUBSTITUTE(F452," ",""),"🗺 Google Maps"),"")</f>
        <v/>
      </c>
      <c r="H452" s="8">
        <f>IF(F452&lt;&gt;"",HYPERLINK("https://waze.com/ul?ll="&amp;SUBSTITUTE(F452," ","")&amp;"&amp;navigate=yes","🚗 Waze"),"")</f>
        <v/>
      </c>
      <c r="I452" s="8">
        <f>IF(F452&lt;&gt;"",HYPERLINK("https://m.uber.com/ul/?action=setPickup&amp;pickup=my_location&amp;dropoff[latitude]="&amp;LEFT(SUBSTITUTE(F452," ",""),FIND(",",SUBSTITUTE(F452," ",""))-1)&amp;"&amp;dropoff[longitude]="&amp;MID(SUBSTITUTE(F452," ",""),FIND(",",SUBSTITUTE(F452," ",""))+1,99),"🚕 Uber"),"")</f>
        <v/>
      </c>
      <c r="J452" s="8">
        <f>IF(F452&lt;&gt;"","https://api.qrserver.com/v1/create-qr-code/?size=200x200&amp;data="&amp;ENCODEURL("https://www.google.com/maps/search/?api=1&amp;query="&amp;SUBSTITUTE(F452," ","")),"")</f>
        <v/>
      </c>
      <c r="K452" s="8">
        <f>IF(C452&lt;&gt;"",HYPERLINK("https://wa.me/507"&amp;REGEXREPLACE(C452,"[^0-9]","")&amp;"?text="&amp;ENCODEURL("Ya llegue. Codigo: "&amp;A452&amp;". Ubicacion: "&amp;"https://www.google.com/maps/search/?api=1&amp;query="&amp;SUBSTITUTE(F452," ","")),"📲 Avisar al cliente"),"")</f>
        <v/>
      </c>
      <c r="L452" s="8">
        <f>IF(C452&lt;&gt;"","https://api.qrserver.com/v1/create-qr-code/?size=200x200&amp;data="&amp;ENCODEURL("https://wa.me/507"&amp;REGEXREPLACE(C452,"[^0-9]","")&amp;"?text="&amp;ENCODEURL("Ya llegue. Codigo: "&amp;A452&amp;". Ubicacion: "&amp;"https://www.google.com/maps/search/?api=1&amp;query="&amp;SUBSTITUTE(F452," ",""))),"")</f>
        <v/>
      </c>
      <c r="M452" s="8">
        <f>IF(B452&lt;&gt;"",TODAY(),"")</f>
        <v/>
      </c>
      <c r="N452" s="8">
        <f>IF(F452&lt;&gt;"",IFERROR(IF(AND(REGEXMATCH(SUBSTITUTE(TRIM(F452)," ",""),"^-?\d+(\.\d+)?,-?\d+(\.\d+)?$"),VALUE(REGEXEXTRACT(SUBSTITUTE(TRIM(F452)," ",""),"^-?\d+(\.\d+)?"))&gt;=-90,VALUE(REGEXEXTRACT(SUBSTITUTE(TRIM(F452)," ",""),"^-?\d+(\.\d+)?"))&lt;=90,VALUE(REGEXEXTRACT(SUBSTITUTE(TRIM(F452)," ",""),"-?\d+(\.\d+)?$"))&gt;=-180,VALUE(REGEXEXTRACT(SUBSTITUTE(TRIM(F452)," ",""),"-?\d+(\.\d+)?$"))&lt;=180),"OK","REVISAR"),"REVISAR"),"")</f>
        <v/>
      </c>
      <c r="O452">
        <f>IF(A452&lt;&gt;"","https://direcciones507.github.io/direcciones507/panel.html?codigo="&amp;A452&amp;"&amp;nombre="&amp;ENCODEURL(B452)&amp;"&amp;telefono="&amp;SUBSTITUTE(C452,"-","")&amp;"&amp;referencia="&amp;ENCODEURL(E452)&amp;"&amp;lat="&amp;IZQUIERDA(SUBSTITUTE(F452," ",""),ENCONTRAR(",",SUBSTITUTE(F452," ",""))-1)&amp;"&amp;lng="&amp;DERECHA(SUBSTITUTE(F452," ",""),LARGO(SUBSTITUTE(F452," ",""))-ENCONTRAR(",",SUBSTITUTE(F452," ",""))),"")</f>
        <v/>
      </c>
    </row>
    <row r="453" ht="15.75" customHeight="1" s="10">
      <c r="A453" s="8">
        <f>CONCAT("AD507-",TEXT(ROW()-2,"0000"))</f>
        <v/>
      </c>
      <c r="C453" s="8" t="n"/>
      <c r="F453" s="8" t="n"/>
      <c r="G453" s="8">
        <f>IF(F453&lt;&gt;"",HYPERLINK("https://www.google.com/maps/search/?api=1&amp;query="&amp;SUBSTITUTE(F453," ",""),"🗺 Google Maps"),"")</f>
        <v/>
      </c>
      <c r="H453" s="8">
        <f>IF(F453&lt;&gt;"",HYPERLINK("https://waze.com/ul?ll="&amp;SUBSTITUTE(F453," ","")&amp;"&amp;navigate=yes","🚗 Waze"),"")</f>
        <v/>
      </c>
      <c r="I453" s="8">
        <f>IF(F453&lt;&gt;"",HYPERLINK("https://m.uber.com/ul/?action=setPickup&amp;pickup=my_location&amp;dropoff[latitude]="&amp;LEFT(SUBSTITUTE(F453," ",""),FIND(",",SUBSTITUTE(F453," ",""))-1)&amp;"&amp;dropoff[longitude]="&amp;MID(SUBSTITUTE(F453," ",""),FIND(",",SUBSTITUTE(F453," ",""))+1,99),"🚕 Uber"),"")</f>
        <v/>
      </c>
      <c r="J453" s="8">
        <f>IF(F453&lt;&gt;"","https://api.qrserver.com/v1/create-qr-code/?size=200x200&amp;data="&amp;ENCODEURL("https://www.google.com/maps/search/?api=1&amp;query="&amp;SUBSTITUTE(F453," ","")),"")</f>
        <v/>
      </c>
      <c r="K453" s="8">
        <f>IF(C453&lt;&gt;"",HYPERLINK("https://wa.me/507"&amp;REGEXREPLACE(C453,"[^0-9]","")&amp;"?text="&amp;ENCODEURL("Ya llegue. Codigo: "&amp;A453&amp;". Ubicacion: "&amp;"https://www.google.com/maps/search/?api=1&amp;query="&amp;SUBSTITUTE(F453," ","")),"📲 Avisar al cliente"),"")</f>
        <v/>
      </c>
      <c r="L453" s="8">
        <f>IF(C453&lt;&gt;"","https://api.qrserver.com/v1/create-qr-code/?size=200x200&amp;data="&amp;ENCODEURL("https://wa.me/507"&amp;REGEXREPLACE(C453,"[^0-9]","")&amp;"?text="&amp;ENCODEURL("Ya llegue. Codigo: "&amp;A453&amp;". Ubicacion: "&amp;"https://www.google.com/maps/search/?api=1&amp;query="&amp;SUBSTITUTE(F453," ",""))),"")</f>
        <v/>
      </c>
      <c r="M453" s="8">
        <f>IF(B453&lt;&gt;"",TODAY(),"")</f>
        <v/>
      </c>
      <c r="N453" s="8">
        <f>IF(F453&lt;&gt;"",IFERROR(IF(AND(REGEXMATCH(SUBSTITUTE(TRIM(F453)," ",""),"^-?\d+(\.\d+)?,-?\d+(\.\d+)?$"),VALUE(REGEXEXTRACT(SUBSTITUTE(TRIM(F453)," ",""),"^-?\d+(\.\d+)?"))&gt;=-90,VALUE(REGEXEXTRACT(SUBSTITUTE(TRIM(F453)," ",""),"^-?\d+(\.\d+)?"))&lt;=90,VALUE(REGEXEXTRACT(SUBSTITUTE(TRIM(F453)," ",""),"-?\d+(\.\d+)?$"))&gt;=-180,VALUE(REGEXEXTRACT(SUBSTITUTE(TRIM(F453)," ",""),"-?\d+(\.\d+)?$"))&lt;=180),"OK","REVISAR"),"REVISAR"),"")</f>
        <v/>
      </c>
      <c r="O453">
        <f>IF(A453&lt;&gt;"","https://direcciones507.github.io/direcciones507/panel.html?codigo="&amp;A453&amp;"&amp;nombre="&amp;ENCODEURL(B453)&amp;"&amp;telefono="&amp;SUBSTITUTE(C453,"-","")&amp;"&amp;referencia="&amp;ENCODEURL(E453)&amp;"&amp;lat="&amp;IZQUIERDA(SUBSTITUTE(F453," ",""),ENCONTRAR(",",SUBSTITUTE(F453," ",""))-1)&amp;"&amp;lng="&amp;DERECHA(SUBSTITUTE(F453," ",""),LARGO(SUBSTITUTE(F453," ",""))-ENCONTRAR(",",SUBSTITUTE(F453," ",""))),"")</f>
        <v/>
      </c>
    </row>
    <row r="454" ht="15.75" customHeight="1" s="10">
      <c r="A454" s="8">
        <f>CONCAT("AD507-",TEXT(ROW()-2,"0000"))</f>
        <v/>
      </c>
      <c r="C454" s="8" t="n"/>
      <c r="F454" s="8" t="n"/>
      <c r="G454" s="8">
        <f>IF(F454&lt;&gt;"",HYPERLINK("https://www.google.com/maps/search/?api=1&amp;query="&amp;SUBSTITUTE(F454," ",""),"🗺 Google Maps"),"")</f>
        <v/>
      </c>
      <c r="H454" s="8">
        <f>IF(F454&lt;&gt;"",HYPERLINK("https://waze.com/ul?ll="&amp;SUBSTITUTE(F454," ","")&amp;"&amp;navigate=yes","🚗 Waze"),"")</f>
        <v/>
      </c>
      <c r="I454" s="8">
        <f>IF(F454&lt;&gt;"",HYPERLINK("https://m.uber.com/ul/?action=setPickup&amp;pickup=my_location&amp;dropoff[latitude]="&amp;LEFT(SUBSTITUTE(F454," ",""),FIND(",",SUBSTITUTE(F454," ",""))-1)&amp;"&amp;dropoff[longitude]="&amp;MID(SUBSTITUTE(F454," ",""),FIND(",",SUBSTITUTE(F454," ",""))+1,99),"🚕 Uber"),"")</f>
        <v/>
      </c>
      <c r="J454" s="8">
        <f>IF(F454&lt;&gt;"","https://api.qrserver.com/v1/create-qr-code/?size=200x200&amp;data="&amp;ENCODEURL("https://www.google.com/maps/search/?api=1&amp;query="&amp;SUBSTITUTE(F454," ","")),"")</f>
        <v/>
      </c>
      <c r="K454" s="8">
        <f>IF(C454&lt;&gt;"",HYPERLINK("https://wa.me/507"&amp;REGEXREPLACE(C454,"[^0-9]","")&amp;"?text="&amp;ENCODEURL("Ya llegue. Codigo: "&amp;A454&amp;". Ubicacion: "&amp;"https://www.google.com/maps/search/?api=1&amp;query="&amp;SUBSTITUTE(F454," ","")),"📲 Avisar al cliente"),"")</f>
        <v/>
      </c>
      <c r="L454" s="8">
        <f>IF(C454&lt;&gt;"","https://api.qrserver.com/v1/create-qr-code/?size=200x200&amp;data="&amp;ENCODEURL("https://wa.me/507"&amp;REGEXREPLACE(C454,"[^0-9]","")&amp;"?text="&amp;ENCODEURL("Ya llegue. Codigo: "&amp;A454&amp;". Ubicacion: "&amp;"https://www.google.com/maps/search/?api=1&amp;query="&amp;SUBSTITUTE(F454," ",""))),"")</f>
        <v/>
      </c>
      <c r="M454" s="8">
        <f>IF(B454&lt;&gt;"",TODAY(),"")</f>
        <v/>
      </c>
      <c r="N454" s="8">
        <f>IF(F454&lt;&gt;"",IFERROR(IF(AND(REGEXMATCH(SUBSTITUTE(TRIM(F454)," ",""),"^-?\d+(\.\d+)?,-?\d+(\.\d+)?$"),VALUE(REGEXEXTRACT(SUBSTITUTE(TRIM(F454)," ",""),"^-?\d+(\.\d+)?"))&gt;=-90,VALUE(REGEXEXTRACT(SUBSTITUTE(TRIM(F454)," ",""),"^-?\d+(\.\d+)?"))&lt;=90,VALUE(REGEXEXTRACT(SUBSTITUTE(TRIM(F454)," ",""),"-?\d+(\.\d+)?$"))&gt;=-180,VALUE(REGEXEXTRACT(SUBSTITUTE(TRIM(F454)," ",""),"-?\d+(\.\d+)?$"))&lt;=180),"OK","REVISAR"),"REVISAR"),"")</f>
        <v/>
      </c>
      <c r="O454">
        <f>IF(A454&lt;&gt;"","https://direcciones507.github.io/direcciones507/panel.html?codigo="&amp;A454&amp;"&amp;nombre="&amp;ENCODEURL(B454)&amp;"&amp;telefono="&amp;SUBSTITUTE(C454,"-","")&amp;"&amp;referencia="&amp;ENCODEURL(E454)&amp;"&amp;lat="&amp;IZQUIERDA(SUBSTITUTE(F454," ",""),ENCONTRAR(",",SUBSTITUTE(F454," ",""))-1)&amp;"&amp;lng="&amp;DERECHA(SUBSTITUTE(F454," ",""),LARGO(SUBSTITUTE(F454," ",""))-ENCONTRAR(",",SUBSTITUTE(F454," ",""))),"")</f>
        <v/>
      </c>
    </row>
    <row r="455" ht="15.75" customHeight="1" s="10">
      <c r="A455" s="8">
        <f>CONCAT("AD507-",TEXT(ROW()-2,"0000"))</f>
        <v/>
      </c>
      <c r="C455" s="8" t="n"/>
      <c r="F455" s="8" t="n"/>
      <c r="G455" s="8">
        <f>IF(F455&lt;&gt;"",HYPERLINK("https://www.google.com/maps/search/?api=1&amp;query="&amp;SUBSTITUTE(F455," ",""),"🗺 Google Maps"),"")</f>
        <v/>
      </c>
      <c r="H455" s="8">
        <f>IF(F455&lt;&gt;"",HYPERLINK("https://waze.com/ul?ll="&amp;SUBSTITUTE(F455," ","")&amp;"&amp;navigate=yes","🚗 Waze"),"")</f>
        <v/>
      </c>
      <c r="I455" s="8">
        <f>IF(F455&lt;&gt;"",HYPERLINK("https://m.uber.com/ul/?action=setPickup&amp;pickup=my_location&amp;dropoff[latitude]="&amp;LEFT(SUBSTITUTE(F455," ",""),FIND(",",SUBSTITUTE(F455," ",""))-1)&amp;"&amp;dropoff[longitude]="&amp;MID(SUBSTITUTE(F455," ",""),FIND(",",SUBSTITUTE(F455," ",""))+1,99),"🚕 Uber"),"")</f>
        <v/>
      </c>
      <c r="J455" s="8">
        <f>IF(F455&lt;&gt;"","https://api.qrserver.com/v1/create-qr-code/?size=200x200&amp;data="&amp;ENCODEURL("https://www.google.com/maps/search/?api=1&amp;query="&amp;SUBSTITUTE(F455," ","")),"")</f>
        <v/>
      </c>
      <c r="K455" s="8">
        <f>IF(C455&lt;&gt;"",HYPERLINK("https://wa.me/507"&amp;REGEXREPLACE(C455,"[^0-9]","")&amp;"?text="&amp;ENCODEURL("Ya llegue. Codigo: "&amp;A455&amp;". Ubicacion: "&amp;"https://www.google.com/maps/search/?api=1&amp;query="&amp;SUBSTITUTE(F455," ","")),"📲 Avisar al cliente"),"")</f>
        <v/>
      </c>
      <c r="L455" s="8">
        <f>IF(C455&lt;&gt;"","https://api.qrserver.com/v1/create-qr-code/?size=200x200&amp;data="&amp;ENCODEURL("https://wa.me/507"&amp;REGEXREPLACE(C455,"[^0-9]","")&amp;"?text="&amp;ENCODEURL("Ya llegue. Codigo: "&amp;A455&amp;". Ubicacion: "&amp;"https://www.google.com/maps/search/?api=1&amp;query="&amp;SUBSTITUTE(F455," ",""))),"")</f>
        <v/>
      </c>
      <c r="M455" s="8">
        <f>IF(B455&lt;&gt;"",TODAY(),"")</f>
        <v/>
      </c>
      <c r="N455" s="8">
        <f>IF(F455&lt;&gt;"",IFERROR(IF(AND(REGEXMATCH(SUBSTITUTE(TRIM(F455)," ",""),"^-?\d+(\.\d+)?,-?\d+(\.\d+)?$"),VALUE(REGEXEXTRACT(SUBSTITUTE(TRIM(F455)," ",""),"^-?\d+(\.\d+)?"))&gt;=-90,VALUE(REGEXEXTRACT(SUBSTITUTE(TRIM(F455)," ",""),"^-?\d+(\.\d+)?"))&lt;=90,VALUE(REGEXEXTRACT(SUBSTITUTE(TRIM(F455)," ",""),"-?\d+(\.\d+)?$"))&gt;=-180,VALUE(REGEXEXTRACT(SUBSTITUTE(TRIM(F455)," ",""),"-?\d+(\.\d+)?$"))&lt;=180),"OK","REVISAR"),"REVISAR"),"")</f>
        <v/>
      </c>
      <c r="O455">
        <f>IF(A455&lt;&gt;"","https://direcciones507.github.io/direcciones507/panel.html?codigo="&amp;A455&amp;"&amp;nombre="&amp;ENCODEURL(B455)&amp;"&amp;telefono="&amp;SUBSTITUTE(C455,"-","")&amp;"&amp;referencia="&amp;ENCODEURL(E455)&amp;"&amp;lat="&amp;IZQUIERDA(SUBSTITUTE(F455," ",""),ENCONTRAR(",",SUBSTITUTE(F455," ",""))-1)&amp;"&amp;lng="&amp;DERECHA(SUBSTITUTE(F455," ",""),LARGO(SUBSTITUTE(F455," ",""))-ENCONTRAR(",",SUBSTITUTE(F455," ",""))),"")</f>
        <v/>
      </c>
    </row>
    <row r="456" ht="15.75" customHeight="1" s="10">
      <c r="A456" s="8">
        <f>CONCAT("AD507-",TEXT(ROW()-2,"0000"))</f>
        <v/>
      </c>
      <c r="C456" s="8" t="n"/>
      <c r="F456" s="8" t="n"/>
      <c r="G456" s="8">
        <f>IF(F456&lt;&gt;"",HYPERLINK("https://www.google.com/maps/search/?api=1&amp;query="&amp;SUBSTITUTE(F456," ",""),"🗺 Google Maps"),"")</f>
        <v/>
      </c>
      <c r="H456" s="8">
        <f>IF(F456&lt;&gt;"",HYPERLINK("https://waze.com/ul?ll="&amp;SUBSTITUTE(F456," ","")&amp;"&amp;navigate=yes","🚗 Waze"),"")</f>
        <v/>
      </c>
      <c r="I456" s="8">
        <f>IF(F456&lt;&gt;"",HYPERLINK("https://m.uber.com/ul/?action=setPickup&amp;pickup=my_location&amp;dropoff[latitude]="&amp;LEFT(SUBSTITUTE(F456," ",""),FIND(",",SUBSTITUTE(F456," ",""))-1)&amp;"&amp;dropoff[longitude]="&amp;MID(SUBSTITUTE(F456," ",""),FIND(",",SUBSTITUTE(F456," ",""))+1,99),"🚕 Uber"),"")</f>
        <v/>
      </c>
      <c r="J456" s="8">
        <f>IF(F456&lt;&gt;"","https://api.qrserver.com/v1/create-qr-code/?size=200x200&amp;data="&amp;ENCODEURL("https://www.google.com/maps/search/?api=1&amp;query="&amp;SUBSTITUTE(F456," ","")),"")</f>
        <v/>
      </c>
      <c r="K456" s="8">
        <f>IF(C456&lt;&gt;"",HYPERLINK("https://wa.me/507"&amp;REGEXREPLACE(C456,"[^0-9]","")&amp;"?text="&amp;ENCODEURL("Ya llegue. Codigo: "&amp;A456&amp;". Ubicacion: "&amp;"https://www.google.com/maps/search/?api=1&amp;query="&amp;SUBSTITUTE(F456," ","")),"📲 Avisar al cliente"),"")</f>
        <v/>
      </c>
      <c r="L456" s="8">
        <f>IF(C456&lt;&gt;"","https://api.qrserver.com/v1/create-qr-code/?size=200x200&amp;data="&amp;ENCODEURL("https://wa.me/507"&amp;REGEXREPLACE(C456,"[^0-9]","")&amp;"?text="&amp;ENCODEURL("Ya llegue. Codigo: "&amp;A456&amp;". Ubicacion: "&amp;"https://www.google.com/maps/search/?api=1&amp;query="&amp;SUBSTITUTE(F456," ",""))),"")</f>
        <v/>
      </c>
      <c r="M456" s="8">
        <f>IF(B456&lt;&gt;"",TODAY(),"")</f>
        <v/>
      </c>
      <c r="N456" s="8">
        <f>IF(F456&lt;&gt;"",IFERROR(IF(AND(REGEXMATCH(SUBSTITUTE(TRIM(F456)," ",""),"^-?\d+(\.\d+)?,-?\d+(\.\d+)?$"),VALUE(REGEXEXTRACT(SUBSTITUTE(TRIM(F456)," ",""),"^-?\d+(\.\d+)?"))&gt;=-90,VALUE(REGEXEXTRACT(SUBSTITUTE(TRIM(F456)," ",""),"^-?\d+(\.\d+)?"))&lt;=90,VALUE(REGEXEXTRACT(SUBSTITUTE(TRIM(F456)," ",""),"-?\d+(\.\d+)?$"))&gt;=-180,VALUE(REGEXEXTRACT(SUBSTITUTE(TRIM(F456)," ",""),"-?\d+(\.\d+)?$"))&lt;=180),"OK","REVISAR"),"REVISAR"),"")</f>
        <v/>
      </c>
      <c r="O456">
        <f>IF(A456&lt;&gt;"","https://direcciones507.github.io/direcciones507/panel.html?codigo="&amp;A456&amp;"&amp;nombre="&amp;ENCODEURL(B456)&amp;"&amp;telefono="&amp;SUBSTITUTE(C456,"-","")&amp;"&amp;referencia="&amp;ENCODEURL(E456)&amp;"&amp;lat="&amp;IZQUIERDA(SUBSTITUTE(F456," ",""),ENCONTRAR(",",SUBSTITUTE(F456," ",""))-1)&amp;"&amp;lng="&amp;DERECHA(SUBSTITUTE(F456," ",""),LARGO(SUBSTITUTE(F456," ",""))-ENCONTRAR(",",SUBSTITUTE(F456," ",""))),"")</f>
        <v/>
      </c>
    </row>
    <row r="457" ht="15.75" customHeight="1" s="10">
      <c r="A457" s="8">
        <f>CONCAT("AD507-",TEXT(ROW()-2,"0000"))</f>
        <v/>
      </c>
      <c r="C457" s="8" t="n"/>
      <c r="F457" s="8" t="n"/>
      <c r="G457" s="8">
        <f>IF(F457&lt;&gt;"",HYPERLINK("https://www.google.com/maps/search/?api=1&amp;query="&amp;SUBSTITUTE(F457," ",""),"🗺 Google Maps"),"")</f>
        <v/>
      </c>
      <c r="H457" s="8">
        <f>IF(F457&lt;&gt;"",HYPERLINK("https://waze.com/ul?ll="&amp;SUBSTITUTE(F457," ","")&amp;"&amp;navigate=yes","🚗 Waze"),"")</f>
        <v/>
      </c>
      <c r="I457" s="8">
        <f>IF(F457&lt;&gt;"",HYPERLINK("https://m.uber.com/ul/?action=setPickup&amp;pickup=my_location&amp;dropoff[latitude]="&amp;LEFT(SUBSTITUTE(F457," ",""),FIND(",",SUBSTITUTE(F457," ",""))-1)&amp;"&amp;dropoff[longitude]="&amp;MID(SUBSTITUTE(F457," ",""),FIND(",",SUBSTITUTE(F457," ",""))+1,99),"🚕 Uber"),"")</f>
        <v/>
      </c>
      <c r="J457" s="8">
        <f>IF(F457&lt;&gt;"","https://api.qrserver.com/v1/create-qr-code/?size=200x200&amp;data="&amp;ENCODEURL("https://www.google.com/maps/search/?api=1&amp;query="&amp;SUBSTITUTE(F457," ","")),"")</f>
        <v/>
      </c>
      <c r="K457" s="8">
        <f>IF(C457&lt;&gt;"",HYPERLINK("https://wa.me/507"&amp;REGEXREPLACE(C457,"[^0-9]","")&amp;"?text="&amp;ENCODEURL("Ya llegue. Codigo: "&amp;A457&amp;". Ubicacion: "&amp;"https://www.google.com/maps/search/?api=1&amp;query="&amp;SUBSTITUTE(F457," ","")),"📲 Avisar al cliente"),"")</f>
        <v/>
      </c>
      <c r="L457" s="8">
        <f>IF(C457&lt;&gt;"","https://api.qrserver.com/v1/create-qr-code/?size=200x200&amp;data="&amp;ENCODEURL("https://wa.me/507"&amp;REGEXREPLACE(C457,"[^0-9]","")&amp;"?text="&amp;ENCODEURL("Ya llegue. Codigo: "&amp;A457&amp;". Ubicacion: "&amp;"https://www.google.com/maps/search/?api=1&amp;query="&amp;SUBSTITUTE(F457," ",""))),"")</f>
        <v/>
      </c>
      <c r="M457" s="8">
        <f>IF(B457&lt;&gt;"",TODAY(),"")</f>
        <v/>
      </c>
      <c r="N457" s="8">
        <f>IF(F457&lt;&gt;"",IFERROR(IF(AND(REGEXMATCH(SUBSTITUTE(TRIM(F457)," ",""),"^-?\d+(\.\d+)?,-?\d+(\.\d+)?$"),VALUE(REGEXEXTRACT(SUBSTITUTE(TRIM(F457)," ",""),"^-?\d+(\.\d+)?"))&gt;=-90,VALUE(REGEXEXTRACT(SUBSTITUTE(TRIM(F457)," ",""),"^-?\d+(\.\d+)?"))&lt;=90,VALUE(REGEXEXTRACT(SUBSTITUTE(TRIM(F457)," ",""),"-?\d+(\.\d+)?$"))&gt;=-180,VALUE(REGEXEXTRACT(SUBSTITUTE(TRIM(F457)," ",""),"-?\d+(\.\d+)?$"))&lt;=180),"OK","REVISAR"),"REVISAR"),"")</f>
        <v/>
      </c>
      <c r="O457">
        <f>IF(A457&lt;&gt;"","https://direcciones507.github.io/direcciones507/panel.html?codigo="&amp;A457&amp;"&amp;nombre="&amp;ENCODEURL(B457)&amp;"&amp;telefono="&amp;SUBSTITUTE(C457,"-","")&amp;"&amp;referencia="&amp;ENCODEURL(E457)&amp;"&amp;lat="&amp;IZQUIERDA(SUBSTITUTE(F457," ",""),ENCONTRAR(",",SUBSTITUTE(F457," ",""))-1)&amp;"&amp;lng="&amp;DERECHA(SUBSTITUTE(F457," ",""),LARGO(SUBSTITUTE(F457," ",""))-ENCONTRAR(",",SUBSTITUTE(F457," ",""))),"")</f>
        <v/>
      </c>
    </row>
    <row r="458" ht="15.75" customHeight="1" s="10">
      <c r="A458" s="8">
        <f>CONCAT("AD507-",TEXT(ROW()-2,"0000"))</f>
        <v/>
      </c>
      <c r="C458" s="8" t="n"/>
      <c r="F458" s="8" t="n"/>
      <c r="G458" s="8">
        <f>IF(F458&lt;&gt;"",HYPERLINK("https://www.google.com/maps/search/?api=1&amp;query="&amp;SUBSTITUTE(F458," ",""),"🗺 Google Maps"),"")</f>
        <v/>
      </c>
      <c r="H458" s="8">
        <f>IF(F458&lt;&gt;"",HYPERLINK("https://waze.com/ul?ll="&amp;SUBSTITUTE(F458," ","")&amp;"&amp;navigate=yes","🚗 Waze"),"")</f>
        <v/>
      </c>
      <c r="I458" s="8">
        <f>IF(F458&lt;&gt;"",HYPERLINK("https://m.uber.com/ul/?action=setPickup&amp;pickup=my_location&amp;dropoff[latitude]="&amp;LEFT(SUBSTITUTE(F458," ",""),FIND(",",SUBSTITUTE(F458," ",""))-1)&amp;"&amp;dropoff[longitude]="&amp;MID(SUBSTITUTE(F458," ",""),FIND(",",SUBSTITUTE(F458," ",""))+1,99),"🚕 Uber"),"")</f>
        <v/>
      </c>
      <c r="J458" s="8">
        <f>IF(F458&lt;&gt;"","https://api.qrserver.com/v1/create-qr-code/?size=200x200&amp;data="&amp;ENCODEURL("https://www.google.com/maps/search/?api=1&amp;query="&amp;SUBSTITUTE(F458," ","")),"")</f>
        <v/>
      </c>
      <c r="K458" s="8">
        <f>IF(C458&lt;&gt;"",HYPERLINK("https://wa.me/507"&amp;REGEXREPLACE(C458,"[^0-9]","")&amp;"?text="&amp;ENCODEURL("Ya llegue. Codigo: "&amp;A458&amp;". Ubicacion: "&amp;"https://www.google.com/maps/search/?api=1&amp;query="&amp;SUBSTITUTE(F458," ","")),"📲 Avisar al cliente"),"")</f>
        <v/>
      </c>
      <c r="L458" s="8">
        <f>IF(C458&lt;&gt;"","https://api.qrserver.com/v1/create-qr-code/?size=200x200&amp;data="&amp;ENCODEURL("https://wa.me/507"&amp;REGEXREPLACE(C458,"[^0-9]","")&amp;"?text="&amp;ENCODEURL("Ya llegue. Codigo: "&amp;A458&amp;". Ubicacion: "&amp;"https://www.google.com/maps/search/?api=1&amp;query="&amp;SUBSTITUTE(F458," ",""))),"")</f>
        <v/>
      </c>
      <c r="M458" s="8">
        <f>IF(B458&lt;&gt;"",TODAY(),"")</f>
        <v/>
      </c>
      <c r="N458" s="8">
        <f>IF(F458&lt;&gt;"",IFERROR(IF(AND(REGEXMATCH(SUBSTITUTE(TRIM(F458)," ",""),"^-?\d+(\.\d+)?,-?\d+(\.\d+)?$"),VALUE(REGEXEXTRACT(SUBSTITUTE(TRIM(F458)," ",""),"^-?\d+(\.\d+)?"))&gt;=-90,VALUE(REGEXEXTRACT(SUBSTITUTE(TRIM(F458)," ",""),"^-?\d+(\.\d+)?"))&lt;=90,VALUE(REGEXEXTRACT(SUBSTITUTE(TRIM(F458)," ",""),"-?\d+(\.\d+)?$"))&gt;=-180,VALUE(REGEXEXTRACT(SUBSTITUTE(TRIM(F458)," ",""),"-?\d+(\.\d+)?$"))&lt;=180),"OK","REVISAR"),"REVISAR"),"")</f>
        <v/>
      </c>
      <c r="O458">
        <f>IF(A458&lt;&gt;"","https://direcciones507.github.io/direcciones507/panel.html?codigo="&amp;A458&amp;"&amp;nombre="&amp;ENCODEURL(B458)&amp;"&amp;telefono="&amp;SUBSTITUTE(C458,"-","")&amp;"&amp;referencia="&amp;ENCODEURL(E458)&amp;"&amp;lat="&amp;IZQUIERDA(SUBSTITUTE(F458," ",""),ENCONTRAR(",",SUBSTITUTE(F458," ",""))-1)&amp;"&amp;lng="&amp;DERECHA(SUBSTITUTE(F458," ",""),LARGO(SUBSTITUTE(F458," ",""))-ENCONTRAR(",",SUBSTITUTE(F458," ",""))),"")</f>
        <v/>
      </c>
    </row>
    <row r="459" ht="15.75" customHeight="1" s="10">
      <c r="A459" s="8">
        <f>CONCAT("AD507-",TEXT(ROW()-2,"0000"))</f>
        <v/>
      </c>
      <c r="C459" s="8" t="n"/>
      <c r="F459" s="8" t="n"/>
      <c r="G459" s="8">
        <f>IF(F459&lt;&gt;"",HYPERLINK("https://www.google.com/maps/search/?api=1&amp;query="&amp;SUBSTITUTE(F459," ",""),"🗺 Google Maps"),"")</f>
        <v/>
      </c>
      <c r="H459" s="8">
        <f>IF(F459&lt;&gt;"",HYPERLINK("https://waze.com/ul?ll="&amp;SUBSTITUTE(F459," ","")&amp;"&amp;navigate=yes","🚗 Waze"),"")</f>
        <v/>
      </c>
      <c r="I459" s="8">
        <f>IF(F459&lt;&gt;"",HYPERLINK("https://m.uber.com/ul/?action=setPickup&amp;pickup=my_location&amp;dropoff[latitude]="&amp;LEFT(SUBSTITUTE(F459," ",""),FIND(",",SUBSTITUTE(F459," ",""))-1)&amp;"&amp;dropoff[longitude]="&amp;MID(SUBSTITUTE(F459," ",""),FIND(",",SUBSTITUTE(F459," ",""))+1,99),"🚕 Uber"),"")</f>
        <v/>
      </c>
      <c r="J459" s="8">
        <f>IF(F459&lt;&gt;"","https://api.qrserver.com/v1/create-qr-code/?size=200x200&amp;data="&amp;ENCODEURL("https://www.google.com/maps/search/?api=1&amp;query="&amp;SUBSTITUTE(F459," ","")),"")</f>
        <v/>
      </c>
      <c r="K459" s="8">
        <f>IF(C459&lt;&gt;"",HYPERLINK("https://wa.me/507"&amp;REGEXREPLACE(C459,"[^0-9]","")&amp;"?text="&amp;ENCODEURL("Ya llegue. Codigo: "&amp;A459&amp;". Ubicacion: "&amp;"https://www.google.com/maps/search/?api=1&amp;query="&amp;SUBSTITUTE(F459," ","")),"📲 Avisar al cliente"),"")</f>
        <v/>
      </c>
      <c r="L459" s="8">
        <f>IF(C459&lt;&gt;"","https://api.qrserver.com/v1/create-qr-code/?size=200x200&amp;data="&amp;ENCODEURL("https://wa.me/507"&amp;REGEXREPLACE(C459,"[^0-9]","")&amp;"?text="&amp;ENCODEURL("Ya llegue. Codigo: "&amp;A459&amp;". Ubicacion: "&amp;"https://www.google.com/maps/search/?api=1&amp;query="&amp;SUBSTITUTE(F459," ",""))),"")</f>
        <v/>
      </c>
      <c r="M459" s="8">
        <f>IF(B459&lt;&gt;"",TODAY(),"")</f>
        <v/>
      </c>
      <c r="N459" s="8">
        <f>IF(F459&lt;&gt;"",IFERROR(IF(AND(REGEXMATCH(SUBSTITUTE(TRIM(F459)," ",""),"^-?\d+(\.\d+)?,-?\d+(\.\d+)?$"),VALUE(REGEXEXTRACT(SUBSTITUTE(TRIM(F459)," ",""),"^-?\d+(\.\d+)?"))&gt;=-90,VALUE(REGEXEXTRACT(SUBSTITUTE(TRIM(F459)," ",""),"^-?\d+(\.\d+)?"))&lt;=90,VALUE(REGEXEXTRACT(SUBSTITUTE(TRIM(F459)," ",""),"-?\d+(\.\d+)?$"))&gt;=-180,VALUE(REGEXEXTRACT(SUBSTITUTE(TRIM(F459)," ",""),"-?\d+(\.\d+)?$"))&lt;=180),"OK","REVISAR"),"REVISAR"),"")</f>
        <v/>
      </c>
      <c r="O459">
        <f>IF(A459&lt;&gt;"","https://direcciones507.github.io/direcciones507/panel.html?codigo="&amp;A459&amp;"&amp;nombre="&amp;ENCODEURL(B459)&amp;"&amp;telefono="&amp;SUBSTITUTE(C459,"-","")&amp;"&amp;referencia="&amp;ENCODEURL(E459)&amp;"&amp;lat="&amp;IZQUIERDA(SUBSTITUTE(F459," ",""),ENCONTRAR(",",SUBSTITUTE(F459," ",""))-1)&amp;"&amp;lng="&amp;DERECHA(SUBSTITUTE(F459," ",""),LARGO(SUBSTITUTE(F459," ",""))-ENCONTRAR(",",SUBSTITUTE(F459," ",""))),"")</f>
        <v/>
      </c>
    </row>
    <row r="460" ht="15.75" customHeight="1" s="10">
      <c r="A460" s="8">
        <f>CONCAT("AD507-",TEXT(ROW()-2,"0000"))</f>
        <v/>
      </c>
      <c r="C460" s="8" t="n"/>
      <c r="F460" s="8" t="n"/>
      <c r="G460" s="8">
        <f>IF(F460&lt;&gt;"",HYPERLINK("https://www.google.com/maps/search/?api=1&amp;query="&amp;SUBSTITUTE(F460," ",""),"🗺 Google Maps"),"")</f>
        <v/>
      </c>
      <c r="H460" s="8">
        <f>IF(F460&lt;&gt;"",HYPERLINK("https://waze.com/ul?ll="&amp;SUBSTITUTE(F460," ","")&amp;"&amp;navigate=yes","🚗 Waze"),"")</f>
        <v/>
      </c>
      <c r="I460" s="8">
        <f>IF(F460&lt;&gt;"",HYPERLINK("https://m.uber.com/ul/?action=setPickup&amp;pickup=my_location&amp;dropoff[latitude]="&amp;LEFT(SUBSTITUTE(F460," ",""),FIND(",",SUBSTITUTE(F460," ",""))-1)&amp;"&amp;dropoff[longitude]="&amp;MID(SUBSTITUTE(F460," ",""),FIND(",",SUBSTITUTE(F460," ",""))+1,99),"🚕 Uber"),"")</f>
        <v/>
      </c>
      <c r="J460" s="8">
        <f>IF(F460&lt;&gt;"","https://api.qrserver.com/v1/create-qr-code/?size=200x200&amp;data="&amp;ENCODEURL("https://www.google.com/maps/search/?api=1&amp;query="&amp;SUBSTITUTE(F460," ","")),"")</f>
        <v/>
      </c>
      <c r="K460" s="8">
        <f>IF(C460&lt;&gt;"",HYPERLINK("https://wa.me/507"&amp;REGEXREPLACE(C460,"[^0-9]","")&amp;"?text="&amp;ENCODEURL("Ya llegue. Codigo: "&amp;A460&amp;". Ubicacion: "&amp;"https://www.google.com/maps/search/?api=1&amp;query="&amp;SUBSTITUTE(F460," ","")),"📲 Avisar al cliente"),"")</f>
        <v/>
      </c>
      <c r="L460" s="8">
        <f>IF(C460&lt;&gt;"","https://api.qrserver.com/v1/create-qr-code/?size=200x200&amp;data="&amp;ENCODEURL("https://wa.me/507"&amp;REGEXREPLACE(C460,"[^0-9]","")&amp;"?text="&amp;ENCODEURL("Ya llegue. Codigo: "&amp;A460&amp;". Ubicacion: "&amp;"https://www.google.com/maps/search/?api=1&amp;query="&amp;SUBSTITUTE(F460," ",""))),"")</f>
        <v/>
      </c>
      <c r="M460" s="8">
        <f>IF(B460&lt;&gt;"",TODAY(),"")</f>
        <v/>
      </c>
      <c r="N460" s="8">
        <f>IF(F460&lt;&gt;"",IFERROR(IF(AND(REGEXMATCH(SUBSTITUTE(TRIM(F460)," ",""),"^-?\d+(\.\d+)?,-?\d+(\.\d+)?$"),VALUE(REGEXEXTRACT(SUBSTITUTE(TRIM(F460)," ",""),"^-?\d+(\.\d+)?"))&gt;=-90,VALUE(REGEXEXTRACT(SUBSTITUTE(TRIM(F460)," ",""),"^-?\d+(\.\d+)?"))&lt;=90,VALUE(REGEXEXTRACT(SUBSTITUTE(TRIM(F460)," ",""),"-?\d+(\.\d+)?$"))&gt;=-180,VALUE(REGEXEXTRACT(SUBSTITUTE(TRIM(F460)," ",""),"-?\d+(\.\d+)?$"))&lt;=180),"OK","REVISAR"),"REVISAR"),"")</f>
        <v/>
      </c>
      <c r="O460">
        <f>IF(A460&lt;&gt;"","https://direcciones507.github.io/direcciones507/panel.html?codigo="&amp;A460&amp;"&amp;nombre="&amp;ENCODEURL(B460)&amp;"&amp;telefono="&amp;SUBSTITUTE(C460,"-","")&amp;"&amp;referencia="&amp;ENCODEURL(E460)&amp;"&amp;lat="&amp;IZQUIERDA(SUBSTITUTE(F460," ",""),ENCONTRAR(",",SUBSTITUTE(F460," ",""))-1)&amp;"&amp;lng="&amp;DERECHA(SUBSTITUTE(F460," ",""),LARGO(SUBSTITUTE(F460," ",""))-ENCONTRAR(",",SUBSTITUTE(F460," ",""))),"")</f>
        <v/>
      </c>
    </row>
    <row r="461" ht="15.75" customHeight="1" s="10">
      <c r="A461" s="8">
        <f>CONCAT("AD507-",TEXT(ROW()-2,"0000"))</f>
        <v/>
      </c>
      <c r="C461" s="8" t="n"/>
      <c r="F461" s="8" t="n"/>
      <c r="G461" s="8">
        <f>IF(F461&lt;&gt;"",HYPERLINK("https://www.google.com/maps/search/?api=1&amp;query="&amp;SUBSTITUTE(F461," ",""),"🗺 Google Maps"),"")</f>
        <v/>
      </c>
      <c r="H461" s="8">
        <f>IF(F461&lt;&gt;"",HYPERLINK("https://waze.com/ul?ll="&amp;SUBSTITUTE(F461," ","")&amp;"&amp;navigate=yes","🚗 Waze"),"")</f>
        <v/>
      </c>
      <c r="I461" s="8">
        <f>IF(F461&lt;&gt;"",HYPERLINK("https://m.uber.com/ul/?action=setPickup&amp;pickup=my_location&amp;dropoff[latitude]="&amp;LEFT(SUBSTITUTE(F461," ",""),FIND(",",SUBSTITUTE(F461," ",""))-1)&amp;"&amp;dropoff[longitude]="&amp;MID(SUBSTITUTE(F461," ",""),FIND(",",SUBSTITUTE(F461," ",""))+1,99),"🚕 Uber"),"")</f>
        <v/>
      </c>
      <c r="J461" s="8">
        <f>IF(F461&lt;&gt;"","https://api.qrserver.com/v1/create-qr-code/?size=200x200&amp;data="&amp;ENCODEURL("https://www.google.com/maps/search/?api=1&amp;query="&amp;SUBSTITUTE(F461," ","")),"")</f>
        <v/>
      </c>
      <c r="K461" s="8">
        <f>IF(C461&lt;&gt;"",HYPERLINK("https://wa.me/507"&amp;REGEXREPLACE(C461,"[^0-9]","")&amp;"?text="&amp;ENCODEURL("Ya llegue. Codigo: "&amp;A461&amp;". Ubicacion: "&amp;"https://www.google.com/maps/search/?api=1&amp;query="&amp;SUBSTITUTE(F461," ","")),"📲 Avisar al cliente"),"")</f>
        <v/>
      </c>
      <c r="L461" s="8">
        <f>IF(C461&lt;&gt;"","https://api.qrserver.com/v1/create-qr-code/?size=200x200&amp;data="&amp;ENCODEURL("https://wa.me/507"&amp;REGEXREPLACE(C461,"[^0-9]","")&amp;"?text="&amp;ENCODEURL("Ya llegue. Codigo: "&amp;A461&amp;". Ubicacion: "&amp;"https://www.google.com/maps/search/?api=1&amp;query="&amp;SUBSTITUTE(F461," ",""))),"")</f>
        <v/>
      </c>
      <c r="M461" s="8">
        <f>IF(B461&lt;&gt;"",TODAY(),"")</f>
        <v/>
      </c>
      <c r="N461" s="8">
        <f>IF(F461&lt;&gt;"",IFERROR(IF(AND(REGEXMATCH(SUBSTITUTE(TRIM(F461)," ",""),"^-?\d+(\.\d+)?,-?\d+(\.\d+)?$"),VALUE(REGEXEXTRACT(SUBSTITUTE(TRIM(F461)," ",""),"^-?\d+(\.\d+)?"))&gt;=-90,VALUE(REGEXEXTRACT(SUBSTITUTE(TRIM(F461)," ",""),"^-?\d+(\.\d+)?"))&lt;=90,VALUE(REGEXEXTRACT(SUBSTITUTE(TRIM(F461)," ",""),"-?\d+(\.\d+)?$"))&gt;=-180,VALUE(REGEXEXTRACT(SUBSTITUTE(TRIM(F461)," ",""),"-?\d+(\.\d+)?$"))&lt;=180),"OK","REVISAR"),"REVISAR"),"")</f>
        <v/>
      </c>
      <c r="O461">
        <f>IF(A461&lt;&gt;"","https://direcciones507.github.io/direcciones507/panel.html?codigo="&amp;A461&amp;"&amp;nombre="&amp;ENCODEURL(B461)&amp;"&amp;telefono="&amp;SUBSTITUTE(C461,"-","")&amp;"&amp;referencia="&amp;ENCODEURL(E461)&amp;"&amp;lat="&amp;IZQUIERDA(SUBSTITUTE(F461," ",""),ENCONTRAR(",",SUBSTITUTE(F461," ",""))-1)&amp;"&amp;lng="&amp;DERECHA(SUBSTITUTE(F461," ",""),LARGO(SUBSTITUTE(F461," ",""))-ENCONTRAR(",",SUBSTITUTE(F461," ",""))),"")</f>
        <v/>
      </c>
    </row>
    <row r="462" ht="15.75" customHeight="1" s="10">
      <c r="A462" s="8">
        <f>CONCAT("AD507-",TEXT(ROW()-2,"0000"))</f>
        <v/>
      </c>
      <c r="C462" s="8" t="n"/>
      <c r="F462" s="8" t="n"/>
      <c r="G462" s="8">
        <f>IF(F462&lt;&gt;"",HYPERLINK("https://www.google.com/maps/search/?api=1&amp;query="&amp;SUBSTITUTE(F462," ",""),"🗺 Google Maps"),"")</f>
        <v/>
      </c>
      <c r="H462" s="8">
        <f>IF(F462&lt;&gt;"",HYPERLINK("https://waze.com/ul?ll="&amp;SUBSTITUTE(F462," ","")&amp;"&amp;navigate=yes","🚗 Waze"),"")</f>
        <v/>
      </c>
      <c r="I462" s="8">
        <f>IF(F462&lt;&gt;"",HYPERLINK("https://m.uber.com/ul/?action=setPickup&amp;pickup=my_location&amp;dropoff[latitude]="&amp;LEFT(SUBSTITUTE(F462," ",""),FIND(",",SUBSTITUTE(F462," ",""))-1)&amp;"&amp;dropoff[longitude]="&amp;MID(SUBSTITUTE(F462," ",""),FIND(",",SUBSTITUTE(F462," ",""))+1,99),"🚕 Uber"),"")</f>
        <v/>
      </c>
      <c r="J462" s="8">
        <f>IF(F462&lt;&gt;"","https://api.qrserver.com/v1/create-qr-code/?size=200x200&amp;data="&amp;ENCODEURL("https://www.google.com/maps/search/?api=1&amp;query="&amp;SUBSTITUTE(F462," ","")),"")</f>
        <v/>
      </c>
      <c r="K462" s="8">
        <f>IF(C462&lt;&gt;"",HYPERLINK("https://wa.me/507"&amp;REGEXREPLACE(C462,"[^0-9]","")&amp;"?text="&amp;ENCODEURL("Ya llegue. Codigo: "&amp;A462&amp;". Ubicacion: "&amp;"https://www.google.com/maps/search/?api=1&amp;query="&amp;SUBSTITUTE(F462," ","")),"📲 Avisar al cliente"),"")</f>
        <v/>
      </c>
      <c r="L462" s="8">
        <f>IF(C462&lt;&gt;"","https://api.qrserver.com/v1/create-qr-code/?size=200x200&amp;data="&amp;ENCODEURL("https://wa.me/507"&amp;REGEXREPLACE(C462,"[^0-9]","")&amp;"?text="&amp;ENCODEURL("Ya llegue. Codigo: "&amp;A462&amp;". Ubicacion: "&amp;"https://www.google.com/maps/search/?api=1&amp;query="&amp;SUBSTITUTE(F462," ",""))),"")</f>
        <v/>
      </c>
      <c r="M462" s="8">
        <f>IF(B462&lt;&gt;"",TODAY(),"")</f>
        <v/>
      </c>
      <c r="N462" s="8">
        <f>IF(F462&lt;&gt;"",IFERROR(IF(AND(REGEXMATCH(SUBSTITUTE(TRIM(F462)," ",""),"^-?\d+(\.\d+)?,-?\d+(\.\d+)?$"),VALUE(REGEXEXTRACT(SUBSTITUTE(TRIM(F462)," ",""),"^-?\d+(\.\d+)?"))&gt;=-90,VALUE(REGEXEXTRACT(SUBSTITUTE(TRIM(F462)," ",""),"^-?\d+(\.\d+)?"))&lt;=90,VALUE(REGEXEXTRACT(SUBSTITUTE(TRIM(F462)," ",""),"-?\d+(\.\d+)?$"))&gt;=-180,VALUE(REGEXEXTRACT(SUBSTITUTE(TRIM(F462)," ",""),"-?\d+(\.\d+)?$"))&lt;=180),"OK","REVISAR"),"REVISAR"),"")</f>
        <v/>
      </c>
      <c r="O462">
        <f>IF(A462&lt;&gt;"","https://direcciones507.github.io/direcciones507/panel.html?codigo="&amp;A462&amp;"&amp;nombre="&amp;ENCODEURL(B462)&amp;"&amp;telefono="&amp;SUBSTITUTE(C462,"-","")&amp;"&amp;referencia="&amp;ENCODEURL(E462)&amp;"&amp;lat="&amp;IZQUIERDA(SUBSTITUTE(F462," ",""),ENCONTRAR(",",SUBSTITUTE(F462," ",""))-1)&amp;"&amp;lng="&amp;DERECHA(SUBSTITUTE(F462," ",""),LARGO(SUBSTITUTE(F462," ",""))-ENCONTRAR(",",SUBSTITUTE(F462," ",""))),"")</f>
        <v/>
      </c>
    </row>
    <row r="463" ht="15.75" customHeight="1" s="10">
      <c r="A463" s="8">
        <f>CONCAT("AD507-",TEXT(ROW()-2,"0000"))</f>
        <v/>
      </c>
      <c r="C463" s="8" t="n"/>
      <c r="F463" s="8" t="n"/>
      <c r="G463" s="8">
        <f>IF(F463&lt;&gt;"",HYPERLINK("https://www.google.com/maps/search/?api=1&amp;query="&amp;SUBSTITUTE(F463," ",""),"🗺 Google Maps"),"")</f>
        <v/>
      </c>
      <c r="H463" s="8">
        <f>IF(F463&lt;&gt;"",HYPERLINK("https://waze.com/ul?ll="&amp;SUBSTITUTE(F463," ","")&amp;"&amp;navigate=yes","🚗 Waze"),"")</f>
        <v/>
      </c>
      <c r="I463" s="8">
        <f>IF(F463&lt;&gt;"",HYPERLINK("https://m.uber.com/ul/?action=setPickup&amp;pickup=my_location&amp;dropoff[latitude]="&amp;LEFT(SUBSTITUTE(F463," ",""),FIND(",",SUBSTITUTE(F463," ",""))-1)&amp;"&amp;dropoff[longitude]="&amp;MID(SUBSTITUTE(F463," ",""),FIND(",",SUBSTITUTE(F463," ",""))+1,99),"🚕 Uber"),"")</f>
        <v/>
      </c>
      <c r="J463" s="8">
        <f>IF(F463&lt;&gt;"","https://api.qrserver.com/v1/create-qr-code/?size=200x200&amp;data="&amp;ENCODEURL("https://www.google.com/maps/search/?api=1&amp;query="&amp;SUBSTITUTE(F463," ","")),"")</f>
        <v/>
      </c>
      <c r="K463" s="8">
        <f>IF(C463&lt;&gt;"",HYPERLINK("https://wa.me/507"&amp;REGEXREPLACE(C463,"[^0-9]","")&amp;"?text="&amp;ENCODEURL("Ya llegue. Codigo: "&amp;A463&amp;". Ubicacion: "&amp;"https://www.google.com/maps/search/?api=1&amp;query="&amp;SUBSTITUTE(F463," ","")),"📲 Avisar al cliente"),"")</f>
        <v/>
      </c>
      <c r="L463" s="8">
        <f>IF(C463&lt;&gt;"","https://api.qrserver.com/v1/create-qr-code/?size=200x200&amp;data="&amp;ENCODEURL("https://wa.me/507"&amp;REGEXREPLACE(C463,"[^0-9]","")&amp;"?text="&amp;ENCODEURL("Ya llegue. Codigo: "&amp;A463&amp;". Ubicacion: "&amp;"https://www.google.com/maps/search/?api=1&amp;query="&amp;SUBSTITUTE(F463," ",""))),"")</f>
        <v/>
      </c>
      <c r="M463" s="8">
        <f>IF(B463&lt;&gt;"",TODAY(),"")</f>
        <v/>
      </c>
      <c r="N463" s="8">
        <f>IF(F463&lt;&gt;"",IFERROR(IF(AND(REGEXMATCH(SUBSTITUTE(TRIM(F463)," ",""),"^-?\d+(\.\d+)?,-?\d+(\.\d+)?$"),VALUE(REGEXEXTRACT(SUBSTITUTE(TRIM(F463)," ",""),"^-?\d+(\.\d+)?"))&gt;=-90,VALUE(REGEXEXTRACT(SUBSTITUTE(TRIM(F463)," ",""),"^-?\d+(\.\d+)?"))&lt;=90,VALUE(REGEXEXTRACT(SUBSTITUTE(TRIM(F463)," ",""),"-?\d+(\.\d+)?$"))&gt;=-180,VALUE(REGEXEXTRACT(SUBSTITUTE(TRIM(F463)," ",""),"-?\d+(\.\d+)?$"))&lt;=180),"OK","REVISAR"),"REVISAR"),"")</f>
        <v/>
      </c>
      <c r="O463">
        <f>IF(A463&lt;&gt;"","https://direcciones507.github.io/direcciones507/panel.html?codigo="&amp;A463&amp;"&amp;nombre="&amp;ENCODEURL(B463)&amp;"&amp;telefono="&amp;SUBSTITUTE(C463,"-","")&amp;"&amp;referencia="&amp;ENCODEURL(E463)&amp;"&amp;lat="&amp;IZQUIERDA(SUBSTITUTE(F463," ",""),ENCONTRAR(",",SUBSTITUTE(F463," ",""))-1)&amp;"&amp;lng="&amp;DERECHA(SUBSTITUTE(F463," ",""),LARGO(SUBSTITUTE(F463," ",""))-ENCONTRAR(",",SUBSTITUTE(F463," ",""))),"")</f>
        <v/>
      </c>
    </row>
    <row r="464" ht="15.75" customHeight="1" s="10">
      <c r="A464" s="8">
        <f>CONCAT("AD507-",TEXT(ROW()-2,"0000"))</f>
        <v/>
      </c>
      <c r="C464" s="8" t="n"/>
      <c r="F464" s="8" t="n"/>
      <c r="G464" s="8">
        <f>IF(F464&lt;&gt;"",HYPERLINK("https://www.google.com/maps/search/?api=1&amp;query="&amp;SUBSTITUTE(F464," ",""),"🗺 Google Maps"),"")</f>
        <v/>
      </c>
      <c r="H464" s="8">
        <f>IF(F464&lt;&gt;"",HYPERLINK("https://waze.com/ul?ll="&amp;SUBSTITUTE(F464," ","")&amp;"&amp;navigate=yes","🚗 Waze"),"")</f>
        <v/>
      </c>
      <c r="I464" s="8">
        <f>IF(F464&lt;&gt;"",HYPERLINK("https://m.uber.com/ul/?action=setPickup&amp;pickup=my_location&amp;dropoff[latitude]="&amp;LEFT(SUBSTITUTE(F464," ",""),FIND(",",SUBSTITUTE(F464," ",""))-1)&amp;"&amp;dropoff[longitude]="&amp;MID(SUBSTITUTE(F464," ",""),FIND(",",SUBSTITUTE(F464," ",""))+1,99),"🚕 Uber"),"")</f>
        <v/>
      </c>
      <c r="J464" s="8">
        <f>IF(F464&lt;&gt;"","https://api.qrserver.com/v1/create-qr-code/?size=200x200&amp;data="&amp;ENCODEURL("https://www.google.com/maps/search/?api=1&amp;query="&amp;SUBSTITUTE(F464," ","")),"")</f>
        <v/>
      </c>
      <c r="K464" s="8">
        <f>IF(C464&lt;&gt;"",HYPERLINK("https://wa.me/507"&amp;REGEXREPLACE(C464,"[^0-9]","")&amp;"?text="&amp;ENCODEURL("Ya llegue. Codigo: "&amp;A464&amp;". Ubicacion: "&amp;"https://www.google.com/maps/search/?api=1&amp;query="&amp;SUBSTITUTE(F464," ","")),"📲 Avisar al cliente"),"")</f>
        <v/>
      </c>
      <c r="L464" s="8">
        <f>IF(C464&lt;&gt;"","https://api.qrserver.com/v1/create-qr-code/?size=200x200&amp;data="&amp;ENCODEURL("https://wa.me/507"&amp;REGEXREPLACE(C464,"[^0-9]","")&amp;"?text="&amp;ENCODEURL("Ya llegue. Codigo: "&amp;A464&amp;". Ubicacion: "&amp;"https://www.google.com/maps/search/?api=1&amp;query="&amp;SUBSTITUTE(F464," ",""))),"")</f>
        <v/>
      </c>
      <c r="M464" s="8">
        <f>IF(B464&lt;&gt;"",TODAY(),"")</f>
        <v/>
      </c>
      <c r="N464" s="8">
        <f>IF(F464&lt;&gt;"",IFERROR(IF(AND(REGEXMATCH(SUBSTITUTE(TRIM(F464)," ",""),"^-?\d+(\.\d+)?,-?\d+(\.\d+)?$"),VALUE(REGEXEXTRACT(SUBSTITUTE(TRIM(F464)," ",""),"^-?\d+(\.\d+)?"))&gt;=-90,VALUE(REGEXEXTRACT(SUBSTITUTE(TRIM(F464)," ",""),"^-?\d+(\.\d+)?"))&lt;=90,VALUE(REGEXEXTRACT(SUBSTITUTE(TRIM(F464)," ",""),"-?\d+(\.\d+)?$"))&gt;=-180,VALUE(REGEXEXTRACT(SUBSTITUTE(TRIM(F464)," ",""),"-?\d+(\.\d+)?$"))&lt;=180),"OK","REVISAR"),"REVISAR"),"")</f>
        <v/>
      </c>
      <c r="O464">
        <f>IF(A464&lt;&gt;"","https://direcciones507.github.io/direcciones507/panel.html?codigo="&amp;A464&amp;"&amp;nombre="&amp;ENCODEURL(B464)&amp;"&amp;telefono="&amp;SUBSTITUTE(C464,"-","")&amp;"&amp;referencia="&amp;ENCODEURL(E464)&amp;"&amp;lat="&amp;IZQUIERDA(SUBSTITUTE(F464," ",""),ENCONTRAR(",",SUBSTITUTE(F464," ",""))-1)&amp;"&amp;lng="&amp;DERECHA(SUBSTITUTE(F464," ",""),LARGO(SUBSTITUTE(F464," ",""))-ENCONTRAR(",",SUBSTITUTE(F464," ",""))),"")</f>
        <v/>
      </c>
    </row>
    <row r="465" ht="15.75" customHeight="1" s="10">
      <c r="A465" s="8">
        <f>CONCAT("AD507-",TEXT(ROW()-2,"0000"))</f>
        <v/>
      </c>
      <c r="C465" s="8" t="n"/>
      <c r="F465" s="8" t="n"/>
      <c r="G465" s="8">
        <f>IF(F465&lt;&gt;"",HYPERLINK("https://www.google.com/maps/search/?api=1&amp;query="&amp;SUBSTITUTE(F465," ",""),"🗺 Google Maps"),"")</f>
        <v/>
      </c>
      <c r="H465" s="8">
        <f>IF(F465&lt;&gt;"",HYPERLINK("https://waze.com/ul?ll="&amp;SUBSTITUTE(F465," ","")&amp;"&amp;navigate=yes","🚗 Waze"),"")</f>
        <v/>
      </c>
      <c r="I465" s="8">
        <f>IF(F465&lt;&gt;"",HYPERLINK("https://m.uber.com/ul/?action=setPickup&amp;pickup=my_location&amp;dropoff[latitude]="&amp;LEFT(SUBSTITUTE(F465," ",""),FIND(",",SUBSTITUTE(F465," ",""))-1)&amp;"&amp;dropoff[longitude]="&amp;MID(SUBSTITUTE(F465," ",""),FIND(",",SUBSTITUTE(F465," ",""))+1,99),"🚕 Uber"),"")</f>
        <v/>
      </c>
      <c r="J465" s="8">
        <f>IF(F465&lt;&gt;"","https://api.qrserver.com/v1/create-qr-code/?size=200x200&amp;data="&amp;ENCODEURL("https://www.google.com/maps/search/?api=1&amp;query="&amp;SUBSTITUTE(F465," ","")),"")</f>
        <v/>
      </c>
      <c r="K465" s="8">
        <f>IF(C465&lt;&gt;"",HYPERLINK("https://wa.me/507"&amp;REGEXREPLACE(C465,"[^0-9]","")&amp;"?text="&amp;ENCODEURL("Ya llegue. Codigo: "&amp;A465&amp;". Ubicacion: "&amp;"https://www.google.com/maps/search/?api=1&amp;query="&amp;SUBSTITUTE(F465," ","")),"📲 Avisar al cliente"),"")</f>
        <v/>
      </c>
      <c r="L465" s="8">
        <f>IF(C465&lt;&gt;"","https://api.qrserver.com/v1/create-qr-code/?size=200x200&amp;data="&amp;ENCODEURL("https://wa.me/507"&amp;REGEXREPLACE(C465,"[^0-9]","")&amp;"?text="&amp;ENCODEURL("Ya llegue. Codigo: "&amp;A465&amp;". Ubicacion: "&amp;"https://www.google.com/maps/search/?api=1&amp;query="&amp;SUBSTITUTE(F465," ",""))),"")</f>
        <v/>
      </c>
      <c r="M465" s="8">
        <f>IF(B465&lt;&gt;"",TODAY(),"")</f>
        <v/>
      </c>
      <c r="N465" s="8">
        <f>IF(F465&lt;&gt;"",IFERROR(IF(AND(REGEXMATCH(SUBSTITUTE(TRIM(F465)," ",""),"^-?\d+(\.\d+)?,-?\d+(\.\d+)?$"),VALUE(REGEXEXTRACT(SUBSTITUTE(TRIM(F465)," ",""),"^-?\d+(\.\d+)?"))&gt;=-90,VALUE(REGEXEXTRACT(SUBSTITUTE(TRIM(F465)," ",""),"^-?\d+(\.\d+)?"))&lt;=90,VALUE(REGEXEXTRACT(SUBSTITUTE(TRIM(F465)," ",""),"-?\d+(\.\d+)?$"))&gt;=-180,VALUE(REGEXEXTRACT(SUBSTITUTE(TRIM(F465)," ",""),"-?\d+(\.\d+)?$"))&lt;=180),"OK","REVISAR"),"REVISAR"),"")</f>
        <v/>
      </c>
      <c r="O465">
        <f>IF(A465&lt;&gt;"","https://direcciones507.github.io/direcciones507/panel.html?codigo="&amp;A465&amp;"&amp;nombre="&amp;ENCODEURL(B465)&amp;"&amp;telefono="&amp;SUBSTITUTE(C465,"-","")&amp;"&amp;referencia="&amp;ENCODEURL(E465)&amp;"&amp;lat="&amp;IZQUIERDA(SUBSTITUTE(F465," ",""),ENCONTRAR(",",SUBSTITUTE(F465," ",""))-1)&amp;"&amp;lng="&amp;DERECHA(SUBSTITUTE(F465," ",""),LARGO(SUBSTITUTE(F465," ",""))-ENCONTRAR(",",SUBSTITUTE(F465," ",""))),"")</f>
        <v/>
      </c>
    </row>
    <row r="466" ht="15.75" customHeight="1" s="10">
      <c r="A466" s="8">
        <f>CONCAT("AD507-",TEXT(ROW()-2,"0000"))</f>
        <v/>
      </c>
      <c r="C466" s="8" t="n"/>
      <c r="F466" s="8" t="n"/>
      <c r="G466" s="8">
        <f>IF(F466&lt;&gt;"",HYPERLINK("https://www.google.com/maps/search/?api=1&amp;query="&amp;SUBSTITUTE(F466," ",""),"🗺 Google Maps"),"")</f>
        <v/>
      </c>
      <c r="H466" s="8">
        <f>IF(F466&lt;&gt;"",HYPERLINK("https://waze.com/ul?ll="&amp;SUBSTITUTE(F466," ","")&amp;"&amp;navigate=yes","🚗 Waze"),"")</f>
        <v/>
      </c>
      <c r="I466" s="8">
        <f>IF(F466&lt;&gt;"",HYPERLINK("https://m.uber.com/ul/?action=setPickup&amp;pickup=my_location&amp;dropoff[latitude]="&amp;LEFT(SUBSTITUTE(F466," ",""),FIND(",",SUBSTITUTE(F466," ",""))-1)&amp;"&amp;dropoff[longitude]="&amp;MID(SUBSTITUTE(F466," ",""),FIND(",",SUBSTITUTE(F466," ",""))+1,99),"🚕 Uber"),"")</f>
        <v/>
      </c>
      <c r="J466" s="8">
        <f>IF(F466&lt;&gt;"","https://api.qrserver.com/v1/create-qr-code/?size=200x200&amp;data="&amp;ENCODEURL("https://www.google.com/maps/search/?api=1&amp;query="&amp;SUBSTITUTE(F466," ","")),"")</f>
        <v/>
      </c>
      <c r="K466" s="8">
        <f>IF(C466&lt;&gt;"",HYPERLINK("https://wa.me/507"&amp;REGEXREPLACE(C466,"[^0-9]","")&amp;"?text="&amp;ENCODEURL("Ya llegue. Codigo: "&amp;A466&amp;". Ubicacion: "&amp;"https://www.google.com/maps/search/?api=1&amp;query="&amp;SUBSTITUTE(F466," ","")),"📲 Avisar al cliente"),"")</f>
        <v/>
      </c>
      <c r="L466" s="8">
        <f>IF(C466&lt;&gt;"","https://api.qrserver.com/v1/create-qr-code/?size=200x200&amp;data="&amp;ENCODEURL("https://wa.me/507"&amp;REGEXREPLACE(C466,"[^0-9]","")&amp;"?text="&amp;ENCODEURL("Ya llegue. Codigo: "&amp;A466&amp;". Ubicacion: "&amp;"https://www.google.com/maps/search/?api=1&amp;query="&amp;SUBSTITUTE(F466," ",""))),"")</f>
        <v/>
      </c>
      <c r="M466" s="8">
        <f>IF(B466&lt;&gt;"",TODAY(),"")</f>
        <v/>
      </c>
      <c r="N466" s="8">
        <f>IF(F466&lt;&gt;"",IFERROR(IF(AND(REGEXMATCH(SUBSTITUTE(TRIM(F466)," ",""),"^-?\d+(\.\d+)?,-?\d+(\.\d+)?$"),VALUE(REGEXEXTRACT(SUBSTITUTE(TRIM(F466)," ",""),"^-?\d+(\.\d+)?"))&gt;=-90,VALUE(REGEXEXTRACT(SUBSTITUTE(TRIM(F466)," ",""),"^-?\d+(\.\d+)?"))&lt;=90,VALUE(REGEXEXTRACT(SUBSTITUTE(TRIM(F466)," ",""),"-?\d+(\.\d+)?$"))&gt;=-180,VALUE(REGEXEXTRACT(SUBSTITUTE(TRIM(F466)," ",""),"-?\d+(\.\d+)?$"))&lt;=180),"OK","REVISAR"),"REVISAR"),"")</f>
        <v/>
      </c>
      <c r="O466">
        <f>IF(A466&lt;&gt;"","https://direcciones507.github.io/direcciones507/panel.html?codigo="&amp;A466&amp;"&amp;nombre="&amp;ENCODEURL(B466)&amp;"&amp;telefono="&amp;SUBSTITUTE(C466,"-","")&amp;"&amp;referencia="&amp;ENCODEURL(E466)&amp;"&amp;lat="&amp;IZQUIERDA(SUBSTITUTE(F466," ",""),ENCONTRAR(",",SUBSTITUTE(F466," ",""))-1)&amp;"&amp;lng="&amp;DERECHA(SUBSTITUTE(F466," ",""),LARGO(SUBSTITUTE(F466," ",""))-ENCONTRAR(",",SUBSTITUTE(F466," ",""))),"")</f>
        <v/>
      </c>
    </row>
    <row r="467" ht="15.75" customHeight="1" s="10">
      <c r="A467" s="8">
        <f>CONCAT("AD507-",TEXT(ROW()-2,"0000"))</f>
        <v/>
      </c>
      <c r="C467" s="8" t="n"/>
      <c r="F467" s="8" t="n"/>
      <c r="G467" s="8">
        <f>IF(F467&lt;&gt;"",HYPERLINK("https://www.google.com/maps/search/?api=1&amp;query="&amp;SUBSTITUTE(F467," ",""),"🗺 Google Maps"),"")</f>
        <v/>
      </c>
      <c r="H467" s="8">
        <f>IF(F467&lt;&gt;"",HYPERLINK("https://waze.com/ul?ll="&amp;SUBSTITUTE(F467," ","")&amp;"&amp;navigate=yes","🚗 Waze"),"")</f>
        <v/>
      </c>
      <c r="I467" s="8">
        <f>IF(F467&lt;&gt;"",HYPERLINK("https://m.uber.com/ul/?action=setPickup&amp;pickup=my_location&amp;dropoff[latitude]="&amp;LEFT(SUBSTITUTE(F467," ",""),FIND(",",SUBSTITUTE(F467," ",""))-1)&amp;"&amp;dropoff[longitude]="&amp;MID(SUBSTITUTE(F467," ",""),FIND(",",SUBSTITUTE(F467," ",""))+1,99),"🚕 Uber"),"")</f>
        <v/>
      </c>
      <c r="J467" s="8">
        <f>IF(F467&lt;&gt;"","https://api.qrserver.com/v1/create-qr-code/?size=200x200&amp;data="&amp;ENCODEURL("https://www.google.com/maps/search/?api=1&amp;query="&amp;SUBSTITUTE(F467," ","")),"")</f>
        <v/>
      </c>
      <c r="K467" s="8">
        <f>IF(C467&lt;&gt;"",HYPERLINK("https://wa.me/507"&amp;REGEXREPLACE(C467,"[^0-9]","")&amp;"?text="&amp;ENCODEURL("Ya llegue. Codigo: "&amp;A467&amp;". Ubicacion: "&amp;"https://www.google.com/maps/search/?api=1&amp;query="&amp;SUBSTITUTE(F467," ","")),"📲 Avisar al cliente"),"")</f>
        <v/>
      </c>
      <c r="L467" s="8">
        <f>IF(C467&lt;&gt;"","https://api.qrserver.com/v1/create-qr-code/?size=200x200&amp;data="&amp;ENCODEURL("https://wa.me/507"&amp;REGEXREPLACE(C467,"[^0-9]","")&amp;"?text="&amp;ENCODEURL("Ya llegue. Codigo: "&amp;A467&amp;". Ubicacion: "&amp;"https://www.google.com/maps/search/?api=1&amp;query="&amp;SUBSTITUTE(F467," ",""))),"")</f>
        <v/>
      </c>
      <c r="M467" s="8">
        <f>IF(B467&lt;&gt;"",TODAY(),"")</f>
        <v/>
      </c>
      <c r="N467" s="8">
        <f>IF(F467&lt;&gt;"",IFERROR(IF(AND(REGEXMATCH(SUBSTITUTE(TRIM(F467)," ",""),"^-?\d+(\.\d+)?,-?\d+(\.\d+)?$"),VALUE(REGEXEXTRACT(SUBSTITUTE(TRIM(F467)," ",""),"^-?\d+(\.\d+)?"))&gt;=-90,VALUE(REGEXEXTRACT(SUBSTITUTE(TRIM(F467)," ",""),"^-?\d+(\.\d+)?"))&lt;=90,VALUE(REGEXEXTRACT(SUBSTITUTE(TRIM(F467)," ",""),"-?\d+(\.\d+)?$"))&gt;=-180,VALUE(REGEXEXTRACT(SUBSTITUTE(TRIM(F467)," ",""),"-?\d+(\.\d+)?$"))&lt;=180),"OK","REVISAR"),"REVISAR"),"")</f>
        <v/>
      </c>
      <c r="O467">
        <f>IF(A467&lt;&gt;"","https://direcciones507.github.io/direcciones507/panel.html?codigo="&amp;A467&amp;"&amp;nombre="&amp;ENCODEURL(B467)&amp;"&amp;telefono="&amp;SUBSTITUTE(C467,"-","")&amp;"&amp;referencia="&amp;ENCODEURL(E467)&amp;"&amp;lat="&amp;IZQUIERDA(SUBSTITUTE(F467," ",""),ENCONTRAR(",",SUBSTITUTE(F467," ",""))-1)&amp;"&amp;lng="&amp;DERECHA(SUBSTITUTE(F467," ",""),LARGO(SUBSTITUTE(F467," ",""))-ENCONTRAR(",",SUBSTITUTE(F467," ",""))),"")</f>
        <v/>
      </c>
    </row>
    <row r="468" ht="15.75" customHeight="1" s="10">
      <c r="A468" s="8">
        <f>CONCAT("AD507-",TEXT(ROW()-2,"0000"))</f>
        <v/>
      </c>
      <c r="C468" s="8" t="n"/>
      <c r="F468" s="8" t="n"/>
      <c r="G468" s="8">
        <f>IF(F468&lt;&gt;"",HYPERLINK("https://www.google.com/maps/search/?api=1&amp;query="&amp;SUBSTITUTE(F468," ",""),"🗺 Google Maps"),"")</f>
        <v/>
      </c>
      <c r="H468" s="8">
        <f>IF(F468&lt;&gt;"",HYPERLINK("https://waze.com/ul?ll="&amp;SUBSTITUTE(F468," ","")&amp;"&amp;navigate=yes","🚗 Waze"),"")</f>
        <v/>
      </c>
      <c r="I468" s="8">
        <f>IF(F468&lt;&gt;"",HYPERLINK("https://m.uber.com/ul/?action=setPickup&amp;pickup=my_location&amp;dropoff[latitude]="&amp;LEFT(SUBSTITUTE(F468," ",""),FIND(",",SUBSTITUTE(F468," ",""))-1)&amp;"&amp;dropoff[longitude]="&amp;MID(SUBSTITUTE(F468," ",""),FIND(",",SUBSTITUTE(F468," ",""))+1,99),"🚕 Uber"),"")</f>
        <v/>
      </c>
      <c r="J468" s="8">
        <f>IF(F468&lt;&gt;"","https://api.qrserver.com/v1/create-qr-code/?size=200x200&amp;data="&amp;ENCODEURL("https://www.google.com/maps/search/?api=1&amp;query="&amp;SUBSTITUTE(F468," ","")),"")</f>
        <v/>
      </c>
      <c r="K468" s="8">
        <f>IF(C468&lt;&gt;"",HYPERLINK("https://wa.me/507"&amp;REGEXREPLACE(C468,"[^0-9]","")&amp;"?text="&amp;ENCODEURL("Ya llegue. Codigo: "&amp;A468&amp;". Ubicacion: "&amp;"https://www.google.com/maps/search/?api=1&amp;query="&amp;SUBSTITUTE(F468," ","")),"📲 Avisar al cliente"),"")</f>
        <v/>
      </c>
      <c r="L468" s="8">
        <f>IF(C468&lt;&gt;"","https://api.qrserver.com/v1/create-qr-code/?size=200x200&amp;data="&amp;ENCODEURL("https://wa.me/507"&amp;REGEXREPLACE(C468,"[^0-9]","")&amp;"?text="&amp;ENCODEURL("Ya llegue. Codigo: "&amp;A468&amp;". Ubicacion: "&amp;"https://www.google.com/maps/search/?api=1&amp;query="&amp;SUBSTITUTE(F468," ",""))),"")</f>
        <v/>
      </c>
      <c r="M468" s="8">
        <f>IF(B468&lt;&gt;"",TODAY(),"")</f>
        <v/>
      </c>
      <c r="N468" s="8">
        <f>IF(F468&lt;&gt;"",IFERROR(IF(AND(REGEXMATCH(SUBSTITUTE(TRIM(F468)," ",""),"^-?\d+(\.\d+)?,-?\d+(\.\d+)?$"),VALUE(REGEXEXTRACT(SUBSTITUTE(TRIM(F468)," ",""),"^-?\d+(\.\d+)?"))&gt;=-90,VALUE(REGEXEXTRACT(SUBSTITUTE(TRIM(F468)," ",""),"^-?\d+(\.\d+)?"))&lt;=90,VALUE(REGEXEXTRACT(SUBSTITUTE(TRIM(F468)," ",""),"-?\d+(\.\d+)?$"))&gt;=-180,VALUE(REGEXEXTRACT(SUBSTITUTE(TRIM(F468)," ",""),"-?\d+(\.\d+)?$"))&lt;=180),"OK","REVISAR"),"REVISAR"),"")</f>
        <v/>
      </c>
      <c r="O468">
        <f>IF(A468&lt;&gt;"","https://direcciones507.github.io/direcciones507/panel.html?codigo="&amp;A468&amp;"&amp;nombre="&amp;ENCODEURL(B468)&amp;"&amp;telefono="&amp;SUBSTITUTE(C468,"-","")&amp;"&amp;referencia="&amp;ENCODEURL(E468)&amp;"&amp;lat="&amp;IZQUIERDA(SUBSTITUTE(F468," ",""),ENCONTRAR(",",SUBSTITUTE(F468," ",""))-1)&amp;"&amp;lng="&amp;DERECHA(SUBSTITUTE(F468," ",""),LARGO(SUBSTITUTE(F468," ",""))-ENCONTRAR(",",SUBSTITUTE(F468," ",""))),"")</f>
        <v/>
      </c>
    </row>
    <row r="469" ht="15.75" customHeight="1" s="10">
      <c r="A469" s="8">
        <f>CONCAT("AD507-",TEXT(ROW()-2,"0000"))</f>
        <v/>
      </c>
      <c r="C469" s="8" t="n"/>
      <c r="F469" s="8" t="n"/>
      <c r="G469" s="8">
        <f>IF(F469&lt;&gt;"",HYPERLINK("https://www.google.com/maps/search/?api=1&amp;query="&amp;SUBSTITUTE(F469," ",""),"🗺 Google Maps"),"")</f>
        <v/>
      </c>
      <c r="H469" s="8">
        <f>IF(F469&lt;&gt;"",HYPERLINK("https://waze.com/ul?ll="&amp;SUBSTITUTE(F469," ","")&amp;"&amp;navigate=yes","🚗 Waze"),"")</f>
        <v/>
      </c>
      <c r="I469" s="8">
        <f>IF(F469&lt;&gt;"",HYPERLINK("https://m.uber.com/ul/?action=setPickup&amp;pickup=my_location&amp;dropoff[latitude]="&amp;LEFT(SUBSTITUTE(F469," ",""),FIND(",",SUBSTITUTE(F469," ",""))-1)&amp;"&amp;dropoff[longitude]="&amp;MID(SUBSTITUTE(F469," ",""),FIND(",",SUBSTITUTE(F469," ",""))+1,99),"🚕 Uber"),"")</f>
        <v/>
      </c>
      <c r="J469" s="8">
        <f>IF(F469&lt;&gt;"","https://api.qrserver.com/v1/create-qr-code/?size=200x200&amp;data="&amp;ENCODEURL("https://www.google.com/maps/search/?api=1&amp;query="&amp;SUBSTITUTE(F469," ","")),"")</f>
        <v/>
      </c>
      <c r="K469" s="8">
        <f>IF(C469&lt;&gt;"",HYPERLINK("https://wa.me/507"&amp;REGEXREPLACE(C469,"[^0-9]","")&amp;"?text="&amp;ENCODEURL("Ya llegue. Codigo: "&amp;A469&amp;". Ubicacion: "&amp;"https://www.google.com/maps/search/?api=1&amp;query="&amp;SUBSTITUTE(F469," ","")),"📲 Avisar al cliente"),"")</f>
        <v/>
      </c>
      <c r="L469" s="8">
        <f>IF(C469&lt;&gt;"","https://api.qrserver.com/v1/create-qr-code/?size=200x200&amp;data="&amp;ENCODEURL("https://wa.me/507"&amp;REGEXREPLACE(C469,"[^0-9]","")&amp;"?text="&amp;ENCODEURL("Ya llegue. Codigo: "&amp;A469&amp;". Ubicacion: "&amp;"https://www.google.com/maps/search/?api=1&amp;query="&amp;SUBSTITUTE(F469," ",""))),"")</f>
        <v/>
      </c>
      <c r="M469" s="8">
        <f>IF(B469&lt;&gt;"",TODAY(),"")</f>
        <v/>
      </c>
      <c r="N469" s="8">
        <f>IF(F469&lt;&gt;"",IFERROR(IF(AND(REGEXMATCH(SUBSTITUTE(TRIM(F469)," ",""),"^-?\d+(\.\d+)?,-?\d+(\.\d+)?$"),VALUE(REGEXEXTRACT(SUBSTITUTE(TRIM(F469)," ",""),"^-?\d+(\.\d+)?"))&gt;=-90,VALUE(REGEXEXTRACT(SUBSTITUTE(TRIM(F469)," ",""),"^-?\d+(\.\d+)?"))&lt;=90,VALUE(REGEXEXTRACT(SUBSTITUTE(TRIM(F469)," ",""),"-?\d+(\.\d+)?$"))&gt;=-180,VALUE(REGEXEXTRACT(SUBSTITUTE(TRIM(F469)," ",""),"-?\d+(\.\d+)?$"))&lt;=180),"OK","REVISAR"),"REVISAR"),"")</f>
        <v/>
      </c>
      <c r="O469">
        <f>IF(A469&lt;&gt;"","https://direcciones507.github.io/direcciones507/panel.html?codigo="&amp;A469&amp;"&amp;nombre="&amp;ENCODEURL(B469)&amp;"&amp;telefono="&amp;SUBSTITUTE(C469,"-","")&amp;"&amp;referencia="&amp;ENCODEURL(E469)&amp;"&amp;lat="&amp;IZQUIERDA(SUBSTITUTE(F469," ",""),ENCONTRAR(",",SUBSTITUTE(F469," ",""))-1)&amp;"&amp;lng="&amp;DERECHA(SUBSTITUTE(F469," ",""),LARGO(SUBSTITUTE(F469," ",""))-ENCONTRAR(",",SUBSTITUTE(F469," ",""))),"")</f>
        <v/>
      </c>
    </row>
    <row r="470" ht="15.75" customHeight="1" s="10">
      <c r="A470" s="8">
        <f>CONCAT("AD507-",TEXT(ROW()-2,"0000"))</f>
        <v/>
      </c>
      <c r="C470" s="8" t="n"/>
      <c r="F470" s="8" t="n"/>
      <c r="G470" s="8">
        <f>IF(F470&lt;&gt;"",HYPERLINK("https://www.google.com/maps/search/?api=1&amp;query="&amp;SUBSTITUTE(F470," ",""),"🗺 Google Maps"),"")</f>
        <v/>
      </c>
      <c r="H470" s="8">
        <f>IF(F470&lt;&gt;"",HYPERLINK("https://waze.com/ul?ll="&amp;SUBSTITUTE(F470," ","")&amp;"&amp;navigate=yes","🚗 Waze"),"")</f>
        <v/>
      </c>
      <c r="I470" s="8">
        <f>IF(F470&lt;&gt;"",HYPERLINK("https://m.uber.com/ul/?action=setPickup&amp;pickup=my_location&amp;dropoff[latitude]="&amp;LEFT(SUBSTITUTE(F470," ",""),FIND(",",SUBSTITUTE(F470," ",""))-1)&amp;"&amp;dropoff[longitude]="&amp;MID(SUBSTITUTE(F470," ",""),FIND(",",SUBSTITUTE(F470," ",""))+1,99),"🚕 Uber"),"")</f>
        <v/>
      </c>
      <c r="J470" s="8">
        <f>IF(F470&lt;&gt;"","https://api.qrserver.com/v1/create-qr-code/?size=200x200&amp;data="&amp;ENCODEURL("https://www.google.com/maps/search/?api=1&amp;query="&amp;SUBSTITUTE(F470," ","")),"")</f>
        <v/>
      </c>
      <c r="K470" s="8">
        <f>IF(C470&lt;&gt;"",HYPERLINK("https://wa.me/507"&amp;REGEXREPLACE(C470,"[^0-9]","")&amp;"?text="&amp;ENCODEURL("Ya llegue. Codigo: "&amp;A470&amp;". Ubicacion: "&amp;"https://www.google.com/maps/search/?api=1&amp;query="&amp;SUBSTITUTE(F470," ","")),"📲 Avisar al cliente"),"")</f>
        <v/>
      </c>
      <c r="L470" s="8">
        <f>IF(C470&lt;&gt;"","https://api.qrserver.com/v1/create-qr-code/?size=200x200&amp;data="&amp;ENCODEURL("https://wa.me/507"&amp;REGEXREPLACE(C470,"[^0-9]","")&amp;"?text="&amp;ENCODEURL("Ya llegue. Codigo: "&amp;A470&amp;". Ubicacion: "&amp;"https://www.google.com/maps/search/?api=1&amp;query="&amp;SUBSTITUTE(F470," ",""))),"")</f>
        <v/>
      </c>
      <c r="M470" s="8">
        <f>IF(B470&lt;&gt;"",TODAY(),"")</f>
        <v/>
      </c>
      <c r="N470" s="8">
        <f>IF(F470&lt;&gt;"",IFERROR(IF(AND(REGEXMATCH(SUBSTITUTE(TRIM(F470)," ",""),"^-?\d+(\.\d+)?,-?\d+(\.\d+)?$"),VALUE(REGEXEXTRACT(SUBSTITUTE(TRIM(F470)," ",""),"^-?\d+(\.\d+)?"))&gt;=-90,VALUE(REGEXEXTRACT(SUBSTITUTE(TRIM(F470)," ",""),"^-?\d+(\.\d+)?"))&lt;=90,VALUE(REGEXEXTRACT(SUBSTITUTE(TRIM(F470)," ",""),"-?\d+(\.\d+)?$"))&gt;=-180,VALUE(REGEXEXTRACT(SUBSTITUTE(TRIM(F470)," ",""),"-?\d+(\.\d+)?$"))&lt;=180),"OK","REVISAR"),"REVISAR"),"")</f>
        <v/>
      </c>
      <c r="O470">
        <f>IF(A470&lt;&gt;"","https://direcciones507.github.io/direcciones507/panel.html?codigo="&amp;A470&amp;"&amp;nombre="&amp;ENCODEURL(B470)&amp;"&amp;telefono="&amp;SUBSTITUTE(C470,"-","")&amp;"&amp;referencia="&amp;ENCODEURL(E470)&amp;"&amp;lat="&amp;IZQUIERDA(SUBSTITUTE(F470," ",""),ENCONTRAR(",",SUBSTITUTE(F470," ",""))-1)&amp;"&amp;lng="&amp;DERECHA(SUBSTITUTE(F470," ",""),LARGO(SUBSTITUTE(F470," ",""))-ENCONTRAR(",",SUBSTITUTE(F470," ",""))),"")</f>
        <v/>
      </c>
    </row>
    <row r="471" ht="15.75" customHeight="1" s="10">
      <c r="A471" s="8">
        <f>CONCAT("AD507-",TEXT(ROW()-2,"0000"))</f>
        <v/>
      </c>
      <c r="C471" s="8" t="n"/>
      <c r="F471" s="8" t="n"/>
      <c r="G471" s="8">
        <f>IF(F471&lt;&gt;"",HYPERLINK("https://www.google.com/maps/search/?api=1&amp;query="&amp;SUBSTITUTE(F471," ",""),"🗺 Google Maps"),"")</f>
        <v/>
      </c>
      <c r="H471" s="8">
        <f>IF(F471&lt;&gt;"",HYPERLINK("https://waze.com/ul?ll="&amp;SUBSTITUTE(F471," ","")&amp;"&amp;navigate=yes","🚗 Waze"),"")</f>
        <v/>
      </c>
      <c r="I471" s="8">
        <f>IF(F471&lt;&gt;"",HYPERLINK("https://m.uber.com/ul/?action=setPickup&amp;pickup=my_location&amp;dropoff[latitude]="&amp;LEFT(SUBSTITUTE(F471," ",""),FIND(",",SUBSTITUTE(F471," ",""))-1)&amp;"&amp;dropoff[longitude]="&amp;MID(SUBSTITUTE(F471," ",""),FIND(",",SUBSTITUTE(F471," ",""))+1,99),"🚕 Uber"),"")</f>
        <v/>
      </c>
      <c r="J471" s="8">
        <f>IF(F471&lt;&gt;"","https://api.qrserver.com/v1/create-qr-code/?size=200x200&amp;data="&amp;ENCODEURL("https://www.google.com/maps/search/?api=1&amp;query="&amp;SUBSTITUTE(F471," ","")),"")</f>
        <v/>
      </c>
      <c r="K471" s="8">
        <f>IF(C471&lt;&gt;"",HYPERLINK("https://wa.me/507"&amp;REGEXREPLACE(C471,"[^0-9]","")&amp;"?text="&amp;ENCODEURL("Ya llegue. Codigo: "&amp;A471&amp;". Ubicacion: "&amp;"https://www.google.com/maps/search/?api=1&amp;query="&amp;SUBSTITUTE(F471," ","")),"📲 Avisar al cliente"),"")</f>
        <v/>
      </c>
      <c r="L471" s="8">
        <f>IF(C471&lt;&gt;"","https://api.qrserver.com/v1/create-qr-code/?size=200x200&amp;data="&amp;ENCODEURL("https://wa.me/507"&amp;REGEXREPLACE(C471,"[^0-9]","")&amp;"?text="&amp;ENCODEURL("Ya llegue. Codigo: "&amp;A471&amp;". Ubicacion: "&amp;"https://www.google.com/maps/search/?api=1&amp;query="&amp;SUBSTITUTE(F471," ",""))),"")</f>
        <v/>
      </c>
      <c r="M471" s="8">
        <f>IF(B471&lt;&gt;"",TODAY(),"")</f>
        <v/>
      </c>
      <c r="N471" s="8">
        <f>IF(F471&lt;&gt;"",IFERROR(IF(AND(REGEXMATCH(SUBSTITUTE(TRIM(F471)," ",""),"^-?\d+(\.\d+)?,-?\d+(\.\d+)?$"),VALUE(REGEXEXTRACT(SUBSTITUTE(TRIM(F471)," ",""),"^-?\d+(\.\d+)?"))&gt;=-90,VALUE(REGEXEXTRACT(SUBSTITUTE(TRIM(F471)," ",""),"^-?\d+(\.\d+)?"))&lt;=90,VALUE(REGEXEXTRACT(SUBSTITUTE(TRIM(F471)," ",""),"-?\d+(\.\d+)?$"))&gt;=-180,VALUE(REGEXEXTRACT(SUBSTITUTE(TRIM(F471)," ",""),"-?\d+(\.\d+)?$"))&lt;=180),"OK","REVISAR"),"REVISAR"),"")</f>
        <v/>
      </c>
      <c r="O471">
        <f>IF(A471&lt;&gt;"","https://direcciones507.github.io/direcciones507/panel.html?codigo="&amp;A471&amp;"&amp;nombre="&amp;ENCODEURL(B471)&amp;"&amp;telefono="&amp;SUBSTITUTE(C471,"-","")&amp;"&amp;referencia="&amp;ENCODEURL(E471)&amp;"&amp;lat="&amp;IZQUIERDA(SUBSTITUTE(F471," ",""),ENCONTRAR(",",SUBSTITUTE(F471," ",""))-1)&amp;"&amp;lng="&amp;DERECHA(SUBSTITUTE(F471," ",""),LARGO(SUBSTITUTE(F471," ",""))-ENCONTRAR(",",SUBSTITUTE(F471," ",""))),"")</f>
        <v/>
      </c>
    </row>
    <row r="472" ht="15.75" customHeight="1" s="10">
      <c r="A472" s="8">
        <f>CONCAT("AD507-",TEXT(ROW()-2,"0000"))</f>
        <v/>
      </c>
      <c r="C472" s="8" t="n"/>
      <c r="F472" s="8" t="n"/>
      <c r="G472" s="8">
        <f>IF(F472&lt;&gt;"",HYPERLINK("https://www.google.com/maps/search/?api=1&amp;query="&amp;SUBSTITUTE(F472," ",""),"🗺 Google Maps"),"")</f>
        <v/>
      </c>
      <c r="H472" s="8">
        <f>IF(F472&lt;&gt;"",HYPERLINK("https://waze.com/ul?ll="&amp;SUBSTITUTE(F472," ","")&amp;"&amp;navigate=yes","🚗 Waze"),"")</f>
        <v/>
      </c>
      <c r="I472" s="8">
        <f>IF(F472&lt;&gt;"",HYPERLINK("https://m.uber.com/ul/?action=setPickup&amp;pickup=my_location&amp;dropoff[latitude]="&amp;LEFT(SUBSTITUTE(F472," ",""),FIND(",",SUBSTITUTE(F472," ",""))-1)&amp;"&amp;dropoff[longitude]="&amp;MID(SUBSTITUTE(F472," ",""),FIND(",",SUBSTITUTE(F472," ",""))+1,99),"🚕 Uber"),"")</f>
        <v/>
      </c>
      <c r="J472" s="8">
        <f>IF(F472&lt;&gt;"","https://api.qrserver.com/v1/create-qr-code/?size=200x200&amp;data="&amp;ENCODEURL("https://www.google.com/maps/search/?api=1&amp;query="&amp;SUBSTITUTE(F472," ","")),"")</f>
        <v/>
      </c>
      <c r="K472" s="8">
        <f>IF(C472&lt;&gt;"",HYPERLINK("https://wa.me/507"&amp;REGEXREPLACE(C472,"[^0-9]","")&amp;"?text="&amp;ENCODEURL("Ya llegue. Codigo: "&amp;A472&amp;". Ubicacion: "&amp;"https://www.google.com/maps/search/?api=1&amp;query="&amp;SUBSTITUTE(F472," ","")),"📲 Avisar al cliente"),"")</f>
        <v/>
      </c>
      <c r="L472" s="8">
        <f>IF(C472&lt;&gt;"","https://api.qrserver.com/v1/create-qr-code/?size=200x200&amp;data="&amp;ENCODEURL("https://wa.me/507"&amp;REGEXREPLACE(C472,"[^0-9]","")&amp;"?text="&amp;ENCODEURL("Ya llegue. Codigo: "&amp;A472&amp;". Ubicacion: "&amp;"https://www.google.com/maps/search/?api=1&amp;query="&amp;SUBSTITUTE(F472," ",""))),"")</f>
        <v/>
      </c>
      <c r="M472" s="8">
        <f>IF(B472&lt;&gt;"",TODAY(),"")</f>
        <v/>
      </c>
      <c r="N472" s="8">
        <f>IF(F472&lt;&gt;"",IFERROR(IF(AND(REGEXMATCH(SUBSTITUTE(TRIM(F472)," ",""),"^-?\d+(\.\d+)?,-?\d+(\.\d+)?$"),VALUE(REGEXEXTRACT(SUBSTITUTE(TRIM(F472)," ",""),"^-?\d+(\.\d+)?"))&gt;=-90,VALUE(REGEXEXTRACT(SUBSTITUTE(TRIM(F472)," ",""),"^-?\d+(\.\d+)?"))&lt;=90,VALUE(REGEXEXTRACT(SUBSTITUTE(TRIM(F472)," ",""),"-?\d+(\.\d+)?$"))&gt;=-180,VALUE(REGEXEXTRACT(SUBSTITUTE(TRIM(F472)," ",""),"-?\d+(\.\d+)?$"))&lt;=180),"OK","REVISAR"),"REVISAR"),"")</f>
        <v/>
      </c>
      <c r="O472">
        <f>IF(A472&lt;&gt;"","https://direcciones507.github.io/direcciones507/panel.html?codigo="&amp;A472&amp;"&amp;nombre="&amp;ENCODEURL(B472)&amp;"&amp;telefono="&amp;SUBSTITUTE(C472,"-","")&amp;"&amp;referencia="&amp;ENCODEURL(E472)&amp;"&amp;lat="&amp;IZQUIERDA(SUBSTITUTE(F472," ",""),ENCONTRAR(",",SUBSTITUTE(F472," ",""))-1)&amp;"&amp;lng="&amp;DERECHA(SUBSTITUTE(F472," ",""),LARGO(SUBSTITUTE(F472," ",""))-ENCONTRAR(",",SUBSTITUTE(F472," ",""))),"")</f>
        <v/>
      </c>
    </row>
    <row r="473" ht="15.75" customHeight="1" s="10">
      <c r="A473" s="8">
        <f>CONCAT("AD507-",TEXT(ROW()-2,"0000"))</f>
        <v/>
      </c>
      <c r="C473" s="8" t="n"/>
      <c r="F473" s="8" t="n"/>
      <c r="G473" s="8">
        <f>IF(F473&lt;&gt;"",HYPERLINK("https://www.google.com/maps/search/?api=1&amp;query="&amp;SUBSTITUTE(F473," ",""),"🗺 Google Maps"),"")</f>
        <v/>
      </c>
      <c r="H473" s="8">
        <f>IF(F473&lt;&gt;"",HYPERLINK("https://waze.com/ul?ll="&amp;SUBSTITUTE(F473," ","")&amp;"&amp;navigate=yes","🚗 Waze"),"")</f>
        <v/>
      </c>
      <c r="I473" s="8">
        <f>IF(F473&lt;&gt;"",HYPERLINK("https://m.uber.com/ul/?action=setPickup&amp;pickup=my_location&amp;dropoff[latitude]="&amp;LEFT(SUBSTITUTE(F473," ",""),FIND(",",SUBSTITUTE(F473," ",""))-1)&amp;"&amp;dropoff[longitude]="&amp;MID(SUBSTITUTE(F473," ",""),FIND(",",SUBSTITUTE(F473," ",""))+1,99),"🚕 Uber"),"")</f>
        <v/>
      </c>
      <c r="J473" s="8">
        <f>IF(F473&lt;&gt;"","https://api.qrserver.com/v1/create-qr-code/?size=200x200&amp;data="&amp;ENCODEURL("https://www.google.com/maps/search/?api=1&amp;query="&amp;SUBSTITUTE(F473," ","")),"")</f>
        <v/>
      </c>
      <c r="K473" s="8">
        <f>IF(C473&lt;&gt;"",HYPERLINK("https://wa.me/507"&amp;REGEXREPLACE(C473,"[^0-9]","")&amp;"?text="&amp;ENCODEURL("Ya llegue. Codigo: "&amp;A473&amp;". Ubicacion: "&amp;"https://www.google.com/maps/search/?api=1&amp;query="&amp;SUBSTITUTE(F473," ","")),"📲 Avisar al cliente"),"")</f>
        <v/>
      </c>
      <c r="L473" s="8">
        <f>IF(C473&lt;&gt;"","https://api.qrserver.com/v1/create-qr-code/?size=200x200&amp;data="&amp;ENCODEURL("https://wa.me/507"&amp;REGEXREPLACE(C473,"[^0-9]","")&amp;"?text="&amp;ENCODEURL("Ya llegue. Codigo: "&amp;A473&amp;". Ubicacion: "&amp;"https://www.google.com/maps/search/?api=1&amp;query="&amp;SUBSTITUTE(F473," ",""))),"")</f>
        <v/>
      </c>
      <c r="M473" s="8">
        <f>IF(B473&lt;&gt;"",TODAY(),"")</f>
        <v/>
      </c>
      <c r="N473" s="8">
        <f>IF(F473&lt;&gt;"",IFERROR(IF(AND(REGEXMATCH(SUBSTITUTE(TRIM(F473)," ",""),"^-?\d+(\.\d+)?,-?\d+(\.\d+)?$"),VALUE(REGEXEXTRACT(SUBSTITUTE(TRIM(F473)," ",""),"^-?\d+(\.\d+)?"))&gt;=-90,VALUE(REGEXEXTRACT(SUBSTITUTE(TRIM(F473)," ",""),"^-?\d+(\.\d+)?"))&lt;=90,VALUE(REGEXEXTRACT(SUBSTITUTE(TRIM(F473)," ",""),"-?\d+(\.\d+)?$"))&gt;=-180,VALUE(REGEXEXTRACT(SUBSTITUTE(TRIM(F473)," ",""),"-?\d+(\.\d+)?$"))&lt;=180),"OK","REVISAR"),"REVISAR"),"")</f>
        <v/>
      </c>
      <c r="O473">
        <f>IF(A473&lt;&gt;"","https://direcciones507.github.io/direcciones507/panel.html?codigo="&amp;A473&amp;"&amp;nombre="&amp;ENCODEURL(B473)&amp;"&amp;telefono="&amp;SUBSTITUTE(C473,"-","")&amp;"&amp;referencia="&amp;ENCODEURL(E473)&amp;"&amp;lat="&amp;IZQUIERDA(SUBSTITUTE(F473," ",""),ENCONTRAR(",",SUBSTITUTE(F473," ",""))-1)&amp;"&amp;lng="&amp;DERECHA(SUBSTITUTE(F473," ",""),LARGO(SUBSTITUTE(F473," ",""))-ENCONTRAR(",",SUBSTITUTE(F473," ",""))),"")</f>
        <v/>
      </c>
    </row>
    <row r="474" ht="15.75" customHeight="1" s="10">
      <c r="A474" s="8">
        <f>CONCAT("AD507-",TEXT(ROW()-2,"0000"))</f>
        <v/>
      </c>
      <c r="C474" s="8" t="n"/>
      <c r="F474" s="8" t="n"/>
      <c r="G474" s="8">
        <f>IF(F474&lt;&gt;"",HYPERLINK("https://www.google.com/maps/search/?api=1&amp;query="&amp;SUBSTITUTE(F474," ",""),"🗺 Google Maps"),"")</f>
        <v/>
      </c>
      <c r="H474" s="8">
        <f>IF(F474&lt;&gt;"",HYPERLINK("https://waze.com/ul?ll="&amp;SUBSTITUTE(F474," ","")&amp;"&amp;navigate=yes","🚗 Waze"),"")</f>
        <v/>
      </c>
      <c r="I474" s="8">
        <f>IF(F474&lt;&gt;"",HYPERLINK("https://m.uber.com/ul/?action=setPickup&amp;pickup=my_location&amp;dropoff[latitude]="&amp;LEFT(SUBSTITUTE(F474," ",""),FIND(",",SUBSTITUTE(F474," ",""))-1)&amp;"&amp;dropoff[longitude]="&amp;MID(SUBSTITUTE(F474," ",""),FIND(",",SUBSTITUTE(F474," ",""))+1,99),"🚕 Uber"),"")</f>
        <v/>
      </c>
      <c r="J474" s="8">
        <f>IF(F474&lt;&gt;"","https://api.qrserver.com/v1/create-qr-code/?size=200x200&amp;data="&amp;ENCODEURL("https://www.google.com/maps/search/?api=1&amp;query="&amp;SUBSTITUTE(F474," ","")),"")</f>
        <v/>
      </c>
      <c r="K474" s="8">
        <f>IF(C474&lt;&gt;"",HYPERLINK("https://wa.me/507"&amp;REGEXREPLACE(C474,"[^0-9]","")&amp;"?text="&amp;ENCODEURL("Ya llegue. Codigo: "&amp;A474&amp;". Ubicacion: "&amp;"https://www.google.com/maps/search/?api=1&amp;query="&amp;SUBSTITUTE(F474," ","")),"📲 Avisar al cliente"),"")</f>
        <v/>
      </c>
      <c r="L474" s="8">
        <f>IF(C474&lt;&gt;"","https://api.qrserver.com/v1/create-qr-code/?size=200x200&amp;data="&amp;ENCODEURL("https://wa.me/507"&amp;REGEXREPLACE(C474,"[^0-9]","")&amp;"?text="&amp;ENCODEURL("Ya llegue. Codigo: "&amp;A474&amp;". Ubicacion: "&amp;"https://www.google.com/maps/search/?api=1&amp;query="&amp;SUBSTITUTE(F474," ",""))),"")</f>
        <v/>
      </c>
      <c r="M474" s="8">
        <f>IF(B474&lt;&gt;"",TODAY(),"")</f>
        <v/>
      </c>
      <c r="N474" s="8">
        <f>IF(F474&lt;&gt;"",IFERROR(IF(AND(REGEXMATCH(SUBSTITUTE(TRIM(F474)," ",""),"^-?\d+(\.\d+)?,-?\d+(\.\d+)?$"),VALUE(REGEXEXTRACT(SUBSTITUTE(TRIM(F474)," ",""),"^-?\d+(\.\d+)?"))&gt;=-90,VALUE(REGEXEXTRACT(SUBSTITUTE(TRIM(F474)," ",""),"^-?\d+(\.\d+)?"))&lt;=90,VALUE(REGEXEXTRACT(SUBSTITUTE(TRIM(F474)," ",""),"-?\d+(\.\d+)?$"))&gt;=-180,VALUE(REGEXEXTRACT(SUBSTITUTE(TRIM(F474)," ",""),"-?\d+(\.\d+)?$"))&lt;=180),"OK","REVISAR"),"REVISAR"),"")</f>
        <v/>
      </c>
      <c r="O474">
        <f>IF(A474&lt;&gt;"","https://direcciones507.github.io/direcciones507/panel.html?codigo="&amp;A474&amp;"&amp;nombre="&amp;ENCODEURL(B474)&amp;"&amp;telefono="&amp;SUBSTITUTE(C474,"-","")&amp;"&amp;referencia="&amp;ENCODEURL(E474)&amp;"&amp;lat="&amp;IZQUIERDA(SUBSTITUTE(F474," ",""),ENCONTRAR(",",SUBSTITUTE(F474," ",""))-1)&amp;"&amp;lng="&amp;DERECHA(SUBSTITUTE(F474," ",""),LARGO(SUBSTITUTE(F474," ",""))-ENCONTRAR(",",SUBSTITUTE(F474," ",""))),"")</f>
        <v/>
      </c>
    </row>
    <row r="475" ht="15.75" customHeight="1" s="10">
      <c r="A475" s="8">
        <f>CONCAT("AD507-",TEXT(ROW()-2,"0000"))</f>
        <v/>
      </c>
      <c r="C475" s="8" t="n"/>
      <c r="F475" s="8" t="n"/>
      <c r="G475" s="8">
        <f>IF(F475&lt;&gt;"",HYPERLINK("https://www.google.com/maps/search/?api=1&amp;query="&amp;SUBSTITUTE(F475," ",""),"🗺 Google Maps"),"")</f>
        <v/>
      </c>
      <c r="H475" s="8">
        <f>IF(F475&lt;&gt;"",HYPERLINK("https://waze.com/ul?ll="&amp;SUBSTITUTE(F475," ","")&amp;"&amp;navigate=yes","🚗 Waze"),"")</f>
        <v/>
      </c>
      <c r="I475" s="8">
        <f>IF(F475&lt;&gt;"",HYPERLINK("https://m.uber.com/ul/?action=setPickup&amp;pickup=my_location&amp;dropoff[latitude]="&amp;LEFT(SUBSTITUTE(F475," ",""),FIND(",",SUBSTITUTE(F475," ",""))-1)&amp;"&amp;dropoff[longitude]="&amp;MID(SUBSTITUTE(F475," ",""),FIND(",",SUBSTITUTE(F475," ",""))+1,99),"🚕 Uber"),"")</f>
        <v/>
      </c>
      <c r="J475" s="8">
        <f>IF(F475&lt;&gt;"","https://api.qrserver.com/v1/create-qr-code/?size=200x200&amp;data="&amp;ENCODEURL("https://www.google.com/maps/search/?api=1&amp;query="&amp;SUBSTITUTE(F475," ","")),"")</f>
        <v/>
      </c>
      <c r="K475" s="8">
        <f>IF(C475&lt;&gt;"",HYPERLINK("https://wa.me/507"&amp;REGEXREPLACE(C475,"[^0-9]","")&amp;"?text="&amp;ENCODEURL("Ya llegue. Codigo: "&amp;A475&amp;". Ubicacion: "&amp;"https://www.google.com/maps/search/?api=1&amp;query="&amp;SUBSTITUTE(F475," ","")),"📲 Avisar al cliente"),"")</f>
        <v/>
      </c>
      <c r="L475" s="8">
        <f>IF(C475&lt;&gt;"","https://api.qrserver.com/v1/create-qr-code/?size=200x200&amp;data="&amp;ENCODEURL("https://wa.me/507"&amp;REGEXREPLACE(C475,"[^0-9]","")&amp;"?text="&amp;ENCODEURL("Ya llegue. Codigo: "&amp;A475&amp;". Ubicacion: "&amp;"https://www.google.com/maps/search/?api=1&amp;query="&amp;SUBSTITUTE(F475," ",""))),"")</f>
        <v/>
      </c>
      <c r="M475" s="8">
        <f>IF(B475&lt;&gt;"",TODAY(),"")</f>
        <v/>
      </c>
      <c r="N475" s="8">
        <f>IF(F475&lt;&gt;"",IFERROR(IF(AND(REGEXMATCH(SUBSTITUTE(TRIM(F475)," ",""),"^-?\d+(\.\d+)?,-?\d+(\.\d+)?$"),VALUE(REGEXEXTRACT(SUBSTITUTE(TRIM(F475)," ",""),"^-?\d+(\.\d+)?"))&gt;=-90,VALUE(REGEXEXTRACT(SUBSTITUTE(TRIM(F475)," ",""),"^-?\d+(\.\d+)?"))&lt;=90,VALUE(REGEXEXTRACT(SUBSTITUTE(TRIM(F475)," ",""),"-?\d+(\.\d+)?$"))&gt;=-180,VALUE(REGEXEXTRACT(SUBSTITUTE(TRIM(F475)," ",""),"-?\d+(\.\d+)?$"))&lt;=180),"OK","REVISAR"),"REVISAR"),"")</f>
        <v/>
      </c>
      <c r="O475">
        <f>IF(A475&lt;&gt;"","https://direcciones507.github.io/direcciones507/panel.html?codigo="&amp;A475&amp;"&amp;nombre="&amp;ENCODEURL(B475)&amp;"&amp;telefono="&amp;SUBSTITUTE(C475,"-","")&amp;"&amp;referencia="&amp;ENCODEURL(E475)&amp;"&amp;lat="&amp;IZQUIERDA(SUBSTITUTE(F475," ",""),ENCONTRAR(",",SUBSTITUTE(F475," ",""))-1)&amp;"&amp;lng="&amp;DERECHA(SUBSTITUTE(F475," ",""),LARGO(SUBSTITUTE(F475," ",""))-ENCONTRAR(",",SUBSTITUTE(F475," ",""))),"")</f>
        <v/>
      </c>
    </row>
    <row r="476" ht="15.75" customHeight="1" s="10">
      <c r="A476" s="8">
        <f>CONCAT("AD507-",TEXT(ROW()-2,"0000"))</f>
        <v/>
      </c>
      <c r="C476" s="8" t="n"/>
      <c r="F476" s="8" t="n"/>
      <c r="G476" s="8">
        <f>IF(F476&lt;&gt;"",HYPERLINK("https://www.google.com/maps/search/?api=1&amp;query="&amp;SUBSTITUTE(F476," ",""),"🗺 Google Maps"),"")</f>
        <v/>
      </c>
      <c r="H476" s="8">
        <f>IF(F476&lt;&gt;"",HYPERLINK("https://waze.com/ul?ll="&amp;SUBSTITUTE(F476," ","")&amp;"&amp;navigate=yes","🚗 Waze"),"")</f>
        <v/>
      </c>
      <c r="I476" s="8">
        <f>IF(F476&lt;&gt;"",HYPERLINK("https://m.uber.com/ul/?action=setPickup&amp;pickup=my_location&amp;dropoff[latitude]="&amp;LEFT(SUBSTITUTE(F476," ",""),FIND(",",SUBSTITUTE(F476," ",""))-1)&amp;"&amp;dropoff[longitude]="&amp;MID(SUBSTITUTE(F476," ",""),FIND(",",SUBSTITUTE(F476," ",""))+1,99),"🚕 Uber"),"")</f>
        <v/>
      </c>
      <c r="J476" s="8">
        <f>IF(F476&lt;&gt;"","https://api.qrserver.com/v1/create-qr-code/?size=200x200&amp;data="&amp;ENCODEURL("https://www.google.com/maps/search/?api=1&amp;query="&amp;SUBSTITUTE(F476," ","")),"")</f>
        <v/>
      </c>
      <c r="K476" s="8">
        <f>IF(C476&lt;&gt;"",HYPERLINK("https://wa.me/507"&amp;REGEXREPLACE(C476,"[^0-9]","")&amp;"?text="&amp;ENCODEURL("Ya llegue. Codigo: "&amp;A476&amp;". Ubicacion: "&amp;"https://www.google.com/maps/search/?api=1&amp;query="&amp;SUBSTITUTE(F476," ","")),"📲 Avisar al cliente"),"")</f>
        <v/>
      </c>
      <c r="L476" s="8">
        <f>IF(C476&lt;&gt;"","https://api.qrserver.com/v1/create-qr-code/?size=200x200&amp;data="&amp;ENCODEURL("https://wa.me/507"&amp;REGEXREPLACE(C476,"[^0-9]","")&amp;"?text="&amp;ENCODEURL("Ya llegue. Codigo: "&amp;A476&amp;". Ubicacion: "&amp;"https://www.google.com/maps/search/?api=1&amp;query="&amp;SUBSTITUTE(F476," ",""))),"")</f>
        <v/>
      </c>
      <c r="M476" s="8">
        <f>IF(B476&lt;&gt;"",TODAY(),"")</f>
        <v/>
      </c>
      <c r="N476" s="8">
        <f>IF(F476&lt;&gt;"",IFERROR(IF(AND(REGEXMATCH(SUBSTITUTE(TRIM(F476)," ",""),"^-?\d+(\.\d+)?,-?\d+(\.\d+)?$"),VALUE(REGEXEXTRACT(SUBSTITUTE(TRIM(F476)," ",""),"^-?\d+(\.\d+)?"))&gt;=-90,VALUE(REGEXEXTRACT(SUBSTITUTE(TRIM(F476)," ",""),"^-?\d+(\.\d+)?"))&lt;=90,VALUE(REGEXEXTRACT(SUBSTITUTE(TRIM(F476)," ",""),"-?\d+(\.\d+)?$"))&gt;=-180,VALUE(REGEXEXTRACT(SUBSTITUTE(TRIM(F476)," ",""),"-?\d+(\.\d+)?$"))&lt;=180),"OK","REVISAR"),"REVISAR"),"")</f>
        <v/>
      </c>
      <c r="O476">
        <f>IF(A476&lt;&gt;"","https://direcciones507.github.io/direcciones507/panel.html?codigo="&amp;A476&amp;"&amp;nombre="&amp;ENCODEURL(B476)&amp;"&amp;telefono="&amp;SUBSTITUTE(C476,"-","")&amp;"&amp;referencia="&amp;ENCODEURL(E476)&amp;"&amp;lat="&amp;IZQUIERDA(SUBSTITUTE(F476," ",""),ENCONTRAR(",",SUBSTITUTE(F476," ",""))-1)&amp;"&amp;lng="&amp;DERECHA(SUBSTITUTE(F476," ",""),LARGO(SUBSTITUTE(F476," ",""))-ENCONTRAR(",",SUBSTITUTE(F476," ",""))),"")</f>
        <v/>
      </c>
    </row>
    <row r="477" ht="15.75" customHeight="1" s="10">
      <c r="A477" s="8">
        <f>CONCAT("AD507-",TEXT(ROW()-2,"0000"))</f>
        <v/>
      </c>
      <c r="C477" s="8" t="n"/>
      <c r="F477" s="8" t="n"/>
      <c r="G477" s="8">
        <f>IF(F477&lt;&gt;"",HYPERLINK("https://www.google.com/maps/search/?api=1&amp;query="&amp;SUBSTITUTE(F477," ",""),"🗺 Google Maps"),"")</f>
        <v/>
      </c>
      <c r="H477" s="8">
        <f>IF(F477&lt;&gt;"",HYPERLINK("https://waze.com/ul?ll="&amp;SUBSTITUTE(F477," ","")&amp;"&amp;navigate=yes","🚗 Waze"),"")</f>
        <v/>
      </c>
      <c r="I477" s="8">
        <f>IF(F477&lt;&gt;"",HYPERLINK("https://m.uber.com/ul/?action=setPickup&amp;pickup=my_location&amp;dropoff[latitude]="&amp;LEFT(SUBSTITUTE(F477," ",""),FIND(",",SUBSTITUTE(F477," ",""))-1)&amp;"&amp;dropoff[longitude]="&amp;MID(SUBSTITUTE(F477," ",""),FIND(",",SUBSTITUTE(F477," ",""))+1,99),"🚕 Uber"),"")</f>
        <v/>
      </c>
      <c r="J477" s="8">
        <f>IF(F477&lt;&gt;"","https://api.qrserver.com/v1/create-qr-code/?size=200x200&amp;data="&amp;ENCODEURL("https://www.google.com/maps/search/?api=1&amp;query="&amp;SUBSTITUTE(F477," ","")),"")</f>
        <v/>
      </c>
      <c r="K477" s="8">
        <f>IF(C477&lt;&gt;"",HYPERLINK("https://wa.me/507"&amp;REGEXREPLACE(C477,"[^0-9]","")&amp;"?text="&amp;ENCODEURL("Ya llegue. Codigo: "&amp;A477&amp;". Ubicacion: "&amp;"https://www.google.com/maps/search/?api=1&amp;query="&amp;SUBSTITUTE(F477," ","")),"📲 Avisar al cliente"),"")</f>
        <v/>
      </c>
      <c r="L477" s="8">
        <f>IF(C477&lt;&gt;"","https://api.qrserver.com/v1/create-qr-code/?size=200x200&amp;data="&amp;ENCODEURL("https://wa.me/507"&amp;REGEXREPLACE(C477,"[^0-9]","")&amp;"?text="&amp;ENCODEURL("Ya llegue. Codigo: "&amp;A477&amp;". Ubicacion: "&amp;"https://www.google.com/maps/search/?api=1&amp;query="&amp;SUBSTITUTE(F477," ",""))),"")</f>
        <v/>
      </c>
      <c r="M477" s="8">
        <f>IF(B477&lt;&gt;"",TODAY(),"")</f>
        <v/>
      </c>
      <c r="N477" s="8">
        <f>IF(F477&lt;&gt;"",IFERROR(IF(AND(REGEXMATCH(SUBSTITUTE(TRIM(F477)," ",""),"^-?\d+(\.\d+)?,-?\d+(\.\d+)?$"),VALUE(REGEXEXTRACT(SUBSTITUTE(TRIM(F477)," ",""),"^-?\d+(\.\d+)?"))&gt;=-90,VALUE(REGEXEXTRACT(SUBSTITUTE(TRIM(F477)," ",""),"^-?\d+(\.\d+)?"))&lt;=90,VALUE(REGEXEXTRACT(SUBSTITUTE(TRIM(F477)," ",""),"-?\d+(\.\d+)?$"))&gt;=-180,VALUE(REGEXEXTRACT(SUBSTITUTE(TRIM(F477)," ",""),"-?\d+(\.\d+)?$"))&lt;=180),"OK","REVISAR"),"REVISAR"),"")</f>
        <v/>
      </c>
      <c r="O477">
        <f>IF(A477&lt;&gt;"","https://direcciones507.github.io/direcciones507/panel.html?codigo="&amp;A477&amp;"&amp;nombre="&amp;ENCODEURL(B477)&amp;"&amp;telefono="&amp;SUBSTITUTE(C477,"-","")&amp;"&amp;referencia="&amp;ENCODEURL(E477)&amp;"&amp;lat="&amp;IZQUIERDA(SUBSTITUTE(F477," ",""),ENCONTRAR(",",SUBSTITUTE(F477," ",""))-1)&amp;"&amp;lng="&amp;DERECHA(SUBSTITUTE(F477," ",""),LARGO(SUBSTITUTE(F477," ",""))-ENCONTRAR(",",SUBSTITUTE(F477," ",""))),"")</f>
        <v/>
      </c>
    </row>
    <row r="478" ht="15.75" customHeight="1" s="10">
      <c r="A478" s="8">
        <f>CONCAT("AD507-",TEXT(ROW()-2,"0000"))</f>
        <v/>
      </c>
      <c r="C478" s="8" t="n"/>
      <c r="F478" s="8" t="n"/>
      <c r="G478" s="8">
        <f>IF(F478&lt;&gt;"",HYPERLINK("https://www.google.com/maps/search/?api=1&amp;query="&amp;SUBSTITUTE(F478," ",""),"🗺 Google Maps"),"")</f>
        <v/>
      </c>
      <c r="H478" s="8">
        <f>IF(F478&lt;&gt;"",HYPERLINK("https://waze.com/ul?ll="&amp;SUBSTITUTE(F478," ","")&amp;"&amp;navigate=yes","🚗 Waze"),"")</f>
        <v/>
      </c>
      <c r="I478" s="8">
        <f>IF(F478&lt;&gt;"",HYPERLINK("https://m.uber.com/ul/?action=setPickup&amp;pickup=my_location&amp;dropoff[latitude]="&amp;LEFT(SUBSTITUTE(F478," ",""),FIND(",",SUBSTITUTE(F478," ",""))-1)&amp;"&amp;dropoff[longitude]="&amp;MID(SUBSTITUTE(F478," ",""),FIND(",",SUBSTITUTE(F478," ",""))+1,99),"🚕 Uber"),"")</f>
        <v/>
      </c>
      <c r="J478" s="8">
        <f>IF(F478&lt;&gt;"","https://api.qrserver.com/v1/create-qr-code/?size=200x200&amp;data="&amp;ENCODEURL("https://www.google.com/maps/search/?api=1&amp;query="&amp;SUBSTITUTE(F478," ","")),"")</f>
        <v/>
      </c>
      <c r="K478" s="8">
        <f>IF(C478&lt;&gt;"",HYPERLINK("https://wa.me/507"&amp;REGEXREPLACE(C478,"[^0-9]","")&amp;"?text="&amp;ENCODEURL("Ya llegue. Codigo: "&amp;A478&amp;". Ubicacion: "&amp;"https://www.google.com/maps/search/?api=1&amp;query="&amp;SUBSTITUTE(F478," ","")),"📲 Avisar al cliente"),"")</f>
        <v/>
      </c>
      <c r="L478" s="8">
        <f>IF(C478&lt;&gt;"","https://api.qrserver.com/v1/create-qr-code/?size=200x200&amp;data="&amp;ENCODEURL("https://wa.me/507"&amp;REGEXREPLACE(C478,"[^0-9]","")&amp;"?text="&amp;ENCODEURL("Ya llegue. Codigo: "&amp;A478&amp;". Ubicacion: "&amp;"https://www.google.com/maps/search/?api=1&amp;query="&amp;SUBSTITUTE(F478," ",""))),"")</f>
        <v/>
      </c>
      <c r="M478" s="8">
        <f>IF(B478&lt;&gt;"",TODAY(),"")</f>
        <v/>
      </c>
      <c r="N478" s="8">
        <f>IF(F478&lt;&gt;"",IFERROR(IF(AND(REGEXMATCH(SUBSTITUTE(TRIM(F478)," ",""),"^-?\d+(\.\d+)?,-?\d+(\.\d+)?$"),VALUE(REGEXEXTRACT(SUBSTITUTE(TRIM(F478)," ",""),"^-?\d+(\.\d+)?"))&gt;=-90,VALUE(REGEXEXTRACT(SUBSTITUTE(TRIM(F478)," ",""),"^-?\d+(\.\d+)?"))&lt;=90,VALUE(REGEXEXTRACT(SUBSTITUTE(TRIM(F478)," ",""),"-?\d+(\.\d+)?$"))&gt;=-180,VALUE(REGEXEXTRACT(SUBSTITUTE(TRIM(F478)," ",""),"-?\d+(\.\d+)?$"))&lt;=180),"OK","REVISAR"),"REVISAR"),"")</f>
        <v/>
      </c>
      <c r="O478">
        <f>IF(A478&lt;&gt;"","https://direcciones507.github.io/direcciones507/panel.html?codigo="&amp;A478&amp;"&amp;nombre="&amp;ENCODEURL(B478)&amp;"&amp;telefono="&amp;SUBSTITUTE(C478,"-","")&amp;"&amp;referencia="&amp;ENCODEURL(E478)&amp;"&amp;lat="&amp;IZQUIERDA(SUBSTITUTE(F478," ",""),ENCONTRAR(",",SUBSTITUTE(F478," ",""))-1)&amp;"&amp;lng="&amp;DERECHA(SUBSTITUTE(F478," ",""),LARGO(SUBSTITUTE(F478," ",""))-ENCONTRAR(",",SUBSTITUTE(F478," ",""))),"")</f>
        <v/>
      </c>
    </row>
    <row r="479" ht="15.75" customHeight="1" s="10">
      <c r="A479" s="8">
        <f>CONCAT("AD507-",TEXT(ROW()-2,"0000"))</f>
        <v/>
      </c>
      <c r="C479" s="8" t="n"/>
      <c r="F479" s="8" t="n"/>
      <c r="G479" s="8">
        <f>IF(F479&lt;&gt;"",HYPERLINK("https://www.google.com/maps/search/?api=1&amp;query="&amp;SUBSTITUTE(F479," ",""),"🗺 Google Maps"),"")</f>
        <v/>
      </c>
      <c r="H479" s="8">
        <f>IF(F479&lt;&gt;"",HYPERLINK("https://waze.com/ul?ll="&amp;SUBSTITUTE(F479," ","")&amp;"&amp;navigate=yes","🚗 Waze"),"")</f>
        <v/>
      </c>
      <c r="I479" s="8">
        <f>IF(F479&lt;&gt;"",HYPERLINK("https://m.uber.com/ul/?action=setPickup&amp;pickup=my_location&amp;dropoff[latitude]="&amp;LEFT(SUBSTITUTE(F479," ",""),FIND(",",SUBSTITUTE(F479," ",""))-1)&amp;"&amp;dropoff[longitude]="&amp;MID(SUBSTITUTE(F479," ",""),FIND(",",SUBSTITUTE(F479," ",""))+1,99),"🚕 Uber"),"")</f>
        <v/>
      </c>
      <c r="J479" s="8">
        <f>IF(F479&lt;&gt;"","https://api.qrserver.com/v1/create-qr-code/?size=200x200&amp;data="&amp;ENCODEURL("https://www.google.com/maps/search/?api=1&amp;query="&amp;SUBSTITUTE(F479," ","")),"")</f>
        <v/>
      </c>
      <c r="K479" s="8">
        <f>IF(C479&lt;&gt;"",HYPERLINK("https://wa.me/507"&amp;REGEXREPLACE(C479,"[^0-9]","")&amp;"?text="&amp;ENCODEURL("Ya llegue. Codigo: "&amp;A479&amp;". Ubicacion: "&amp;"https://www.google.com/maps/search/?api=1&amp;query="&amp;SUBSTITUTE(F479," ","")),"📲 Avisar al cliente"),"")</f>
        <v/>
      </c>
      <c r="L479" s="8">
        <f>IF(C479&lt;&gt;"","https://api.qrserver.com/v1/create-qr-code/?size=200x200&amp;data="&amp;ENCODEURL("https://wa.me/507"&amp;REGEXREPLACE(C479,"[^0-9]","")&amp;"?text="&amp;ENCODEURL("Ya llegue. Codigo: "&amp;A479&amp;". Ubicacion: "&amp;"https://www.google.com/maps/search/?api=1&amp;query="&amp;SUBSTITUTE(F479," ",""))),"")</f>
        <v/>
      </c>
      <c r="M479" s="8">
        <f>IF(B479&lt;&gt;"",TODAY(),"")</f>
        <v/>
      </c>
      <c r="N479" s="8">
        <f>IF(F479&lt;&gt;"",IFERROR(IF(AND(REGEXMATCH(SUBSTITUTE(TRIM(F479)," ",""),"^-?\d+(\.\d+)?,-?\d+(\.\d+)?$"),VALUE(REGEXEXTRACT(SUBSTITUTE(TRIM(F479)," ",""),"^-?\d+(\.\d+)?"))&gt;=-90,VALUE(REGEXEXTRACT(SUBSTITUTE(TRIM(F479)," ",""),"^-?\d+(\.\d+)?"))&lt;=90,VALUE(REGEXEXTRACT(SUBSTITUTE(TRIM(F479)," ",""),"-?\d+(\.\d+)?$"))&gt;=-180,VALUE(REGEXEXTRACT(SUBSTITUTE(TRIM(F479)," ",""),"-?\d+(\.\d+)?$"))&lt;=180),"OK","REVISAR"),"REVISAR"),"")</f>
        <v/>
      </c>
      <c r="O479">
        <f>IF(A479&lt;&gt;"","https://direcciones507.github.io/direcciones507/panel.html?codigo="&amp;A479&amp;"&amp;nombre="&amp;ENCODEURL(B479)&amp;"&amp;telefono="&amp;SUBSTITUTE(C479,"-","")&amp;"&amp;referencia="&amp;ENCODEURL(E479)&amp;"&amp;lat="&amp;IZQUIERDA(SUBSTITUTE(F479," ",""),ENCONTRAR(",",SUBSTITUTE(F479," ",""))-1)&amp;"&amp;lng="&amp;DERECHA(SUBSTITUTE(F479," ",""),LARGO(SUBSTITUTE(F479," ",""))-ENCONTRAR(",",SUBSTITUTE(F479," ",""))),"")</f>
        <v/>
      </c>
    </row>
    <row r="480" ht="15.75" customHeight="1" s="10">
      <c r="A480" s="8">
        <f>CONCAT("AD507-",TEXT(ROW()-2,"0000"))</f>
        <v/>
      </c>
      <c r="C480" s="8" t="n"/>
      <c r="F480" s="8" t="n"/>
      <c r="G480" s="8">
        <f>IF(F480&lt;&gt;"",HYPERLINK("https://www.google.com/maps/search/?api=1&amp;query="&amp;SUBSTITUTE(F480," ",""),"🗺 Google Maps"),"")</f>
        <v/>
      </c>
      <c r="H480" s="8">
        <f>IF(F480&lt;&gt;"",HYPERLINK("https://waze.com/ul?ll="&amp;SUBSTITUTE(F480," ","")&amp;"&amp;navigate=yes","🚗 Waze"),"")</f>
        <v/>
      </c>
      <c r="I480" s="8">
        <f>IF(F480&lt;&gt;"",HYPERLINK("https://m.uber.com/ul/?action=setPickup&amp;pickup=my_location&amp;dropoff[latitude]="&amp;LEFT(SUBSTITUTE(F480," ",""),FIND(",",SUBSTITUTE(F480," ",""))-1)&amp;"&amp;dropoff[longitude]="&amp;MID(SUBSTITUTE(F480," ",""),FIND(",",SUBSTITUTE(F480," ",""))+1,99),"🚕 Uber"),"")</f>
        <v/>
      </c>
      <c r="J480" s="8">
        <f>IF(F480&lt;&gt;"","https://api.qrserver.com/v1/create-qr-code/?size=200x200&amp;data="&amp;ENCODEURL("https://www.google.com/maps/search/?api=1&amp;query="&amp;SUBSTITUTE(F480," ","")),"")</f>
        <v/>
      </c>
      <c r="K480" s="8">
        <f>IF(C480&lt;&gt;"",HYPERLINK("https://wa.me/507"&amp;REGEXREPLACE(C480,"[^0-9]","")&amp;"?text="&amp;ENCODEURL("Ya llegue. Codigo: "&amp;A480&amp;". Ubicacion: "&amp;"https://www.google.com/maps/search/?api=1&amp;query="&amp;SUBSTITUTE(F480," ","")),"📲 Avisar al cliente"),"")</f>
        <v/>
      </c>
      <c r="L480" s="8">
        <f>IF(C480&lt;&gt;"","https://api.qrserver.com/v1/create-qr-code/?size=200x200&amp;data="&amp;ENCODEURL("https://wa.me/507"&amp;REGEXREPLACE(C480,"[^0-9]","")&amp;"?text="&amp;ENCODEURL("Ya llegue. Codigo: "&amp;A480&amp;". Ubicacion: "&amp;"https://www.google.com/maps/search/?api=1&amp;query="&amp;SUBSTITUTE(F480," ",""))),"")</f>
        <v/>
      </c>
      <c r="M480" s="8">
        <f>IF(B480&lt;&gt;"",TODAY(),"")</f>
        <v/>
      </c>
      <c r="N480" s="8">
        <f>IF(F480&lt;&gt;"",IFERROR(IF(AND(REGEXMATCH(SUBSTITUTE(TRIM(F480)," ",""),"^-?\d+(\.\d+)?,-?\d+(\.\d+)?$"),VALUE(REGEXEXTRACT(SUBSTITUTE(TRIM(F480)," ",""),"^-?\d+(\.\d+)?"))&gt;=-90,VALUE(REGEXEXTRACT(SUBSTITUTE(TRIM(F480)," ",""),"^-?\d+(\.\d+)?"))&lt;=90,VALUE(REGEXEXTRACT(SUBSTITUTE(TRIM(F480)," ",""),"-?\d+(\.\d+)?$"))&gt;=-180,VALUE(REGEXEXTRACT(SUBSTITUTE(TRIM(F480)," ",""),"-?\d+(\.\d+)?$"))&lt;=180),"OK","REVISAR"),"REVISAR"),"")</f>
        <v/>
      </c>
      <c r="O480">
        <f>IF(A480&lt;&gt;"","https://direcciones507.github.io/direcciones507/panel.html?codigo="&amp;A480&amp;"&amp;nombre="&amp;ENCODEURL(B480)&amp;"&amp;telefono="&amp;SUBSTITUTE(C480,"-","")&amp;"&amp;referencia="&amp;ENCODEURL(E480)&amp;"&amp;lat="&amp;IZQUIERDA(SUBSTITUTE(F480," ",""),ENCONTRAR(",",SUBSTITUTE(F480," ",""))-1)&amp;"&amp;lng="&amp;DERECHA(SUBSTITUTE(F480," ",""),LARGO(SUBSTITUTE(F480," ",""))-ENCONTRAR(",",SUBSTITUTE(F480," ",""))),"")</f>
        <v/>
      </c>
    </row>
    <row r="481" ht="15.75" customHeight="1" s="10">
      <c r="A481" s="8">
        <f>CONCAT("AD507-",TEXT(ROW()-2,"0000"))</f>
        <v/>
      </c>
      <c r="C481" s="8" t="n"/>
      <c r="F481" s="8" t="n"/>
      <c r="G481" s="8">
        <f>IF(F481&lt;&gt;"",HYPERLINK("https://www.google.com/maps/search/?api=1&amp;query="&amp;SUBSTITUTE(F481," ",""),"🗺 Google Maps"),"")</f>
        <v/>
      </c>
      <c r="H481" s="8">
        <f>IF(F481&lt;&gt;"",HYPERLINK("https://waze.com/ul?ll="&amp;SUBSTITUTE(F481," ","")&amp;"&amp;navigate=yes","🚗 Waze"),"")</f>
        <v/>
      </c>
      <c r="I481" s="8">
        <f>IF(F481&lt;&gt;"",HYPERLINK("https://m.uber.com/ul/?action=setPickup&amp;pickup=my_location&amp;dropoff[latitude]="&amp;LEFT(SUBSTITUTE(F481," ",""),FIND(",",SUBSTITUTE(F481," ",""))-1)&amp;"&amp;dropoff[longitude]="&amp;MID(SUBSTITUTE(F481," ",""),FIND(",",SUBSTITUTE(F481," ",""))+1,99),"🚕 Uber"),"")</f>
        <v/>
      </c>
      <c r="J481" s="8">
        <f>IF(F481&lt;&gt;"","https://api.qrserver.com/v1/create-qr-code/?size=200x200&amp;data="&amp;ENCODEURL("https://www.google.com/maps/search/?api=1&amp;query="&amp;SUBSTITUTE(F481," ","")),"")</f>
        <v/>
      </c>
      <c r="K481" s="8">
        <f>IF(C481&lt;&gt;"",HYPERLINK("https://wa.me/507"&amp;REGEXREPLACE(C481,"[^0-9]","")&amp;"?text="&amp;ENCODEURL("Ya llegue. Codigo: "&amp;A481&amp;". Ubicacion: "&amp;"https://www.google.com/maps/search/?api=1&amp;query="&amp;SUBSTITUTE(F481," ","")),"📲 Avisar al cliente"),"")</f>
        <v/>
      </c>
      <c r="L481" s="8">
        <f>IF(C481&lt;&gt;"","https://api.qrserver.com/v1/create-qr-code/?size=200x200&amp;data="&amp;ENCODEURL("https://wa.me/507"&amp;REGEXREPLACE(C481,"[^0-9]","")&amp;"?text="&amp;ENCODEURL("Ya llegue. Codigo: "&amp;A481&amp;". Ubicacion: "&amp;"https://www.google.com/maps/search/?api=1&amp;query="&amp;SUBSTITUTE(F481," ",""))),"")</f>
        <v/>
      </c>
      <c r="M481" s="8">
        <f>IF(B481&lt;&gt;"",TODAY(),"")</f>
        <v/>
      </c>
      <c r="N481" s="8">
        <f>IF(F481&lt;&gt;"",IFERROR(IF(AND(REGEXMATCH(SUBSTITUTE(TRIM(F481)," ",""),"^-?\d+(\.\d+)?,-?\d+(\.\d+)?$"),VALUE(REGEXEXTRACT(SUBSTITUTE(TRIM(F481)," ",""),"^-?\d+(\.\d+)?"))&gt;=-90,VALUE(REGEXEXTRACT(SUBSTITUTE(TRIM(F481)," ",""),"^-?\d+(\.\d+)?"))&lt;=90,VALUE(REGEXEXTRACT(SUBSTITUTE(TRIM(F481)," ",""),"-?\d+(\.\d+)?$"))&gt;=-180,VALUE(REGEXEXTRACT(SUBSTITUTE(TRIM(F481)," ",""),"-?\d+(\.\d+)?$"))&lt;=180),"OK","REVISAR"),"REVISAR"),"")</f>
        <v/>
      </c>
      <c r="O481">
        <f>IF(A481&lt;&gt;"","https://direcciones507.github.io/direcciones507/panel.html?codigo="&amp;A481&amp;"&amp;nombre="&amp;ENCODEURL(B481)&amp;"&amp;telefono="&amp;SUBSTITUTE(C481,"-","")&amp;"&amp;referencia="&amp;ENCODEURL(E481)&amp;"&amp;lat="&amp;IZQUIERDA(SUBSTITUTE(F481," ",""),ENCONTRAR(",",SUBSTITUTE(F481," ",""))-1)&amp;"&amp;lng="&amp;DERECHA(SUBSTITUTE(F481," ",""),LARGO(SUBSTITUTE(F481," ",""))-ENCONTRAR(",",SUBSTITUTE(F481," ",""))),"")</f>
        <v/>
      </c>
    </row>
    <row r="482" ht="15.75" customHeight="1" s="10">
      <c r="A482" s="8">
        <f>CONCAT("AD507-",TEXT(ROW()-2,"0000"))</f>
        <v/>
      </c>
      <c r="C482" s="8" t="n"/>
      <c r="F482" s="8" t="n"/>
      <c r="G482" s="8">
        <f>IF(F482&lt;&gt;"",HYPERLINK("https://www.google.com/maps/search/?api=1&amp;query="&amp;SUBSTITUTE(F482," ",""),"🗺 Google Maps"),"")</f>
        <v/>
      </c>
      <c r="H482" s="8">
        <f>IF(F482&lt;&gt;"",HYPERLINK("https://waze.com/ul?ll="&amp;SUBSTITUTE(F482," ","")&amp;"&amp;navigate=yes","🚗 Waze"),"")</f>
        <v/>
      </c>
      <c r="I482" s="8">
        <f>IF(F482&lt;&gt;"",HYPERLINK("https://m.uber.com/ul/?action=setPickup&amp;pickup=my_location&amp;dropoff[latitude]="&amp;LEFT(SUBSTITUTE(F482," ",""),FIND(",",SUBSTITUTE(F482," ",""))-1)&amp;"&amp;dropoff[longitude]="&amp;MID(SUBSTITUTE(F482," ",""),FIND(",",SUBSTITUTE(F482," ",""))+1,99),"🚕 Uber"),"")</f>
        <v/>
      </c>
      <c r="J482" s="8">
        <f>IF(F482&lt;&gt;"","https://api.qrserver.com/v1/create-qr-code/?size=200x200&amp;data="&amp;ENCODEURL("https://www.google.com/maps/search/?api=1&amp;query="&amp;SUBSTITUTE(F482," ","")),"")</f>
        <v/>
      </c>
      <c r="K482" s="8">
        <f>IF(C482&lt;&gt;"",HYPERLINK("https://wa.me/507"&amp;REGEXREPLACE(C482,"[^0-9]","")&amp;"?text="&amp;ENCODEURL("Ya llegue. Codigo: "&amp;A482&amp;". Ubicacion: "&amp;"https://www.google.com/maps/search/?api=1&amp;query="&amp;SUBSTITUTE(F482," ","")),"📲 Avisar al cliente"),"")</f>
        <v/>
      </c>
      <c r="L482" s="8">
        <f>IF(C482&lt;&gt;"","https://api.qrserver.com/v1/create-qr-code/?size=200x200&amp;data="&amp;ENCODEURL("https://wa.me/507"&amp;REGEXREPLACE(C482,"[^0-9]","")&amp;"?text="&amp;ENCODEURL("Ya llegue. Codigo: "&amp;A482&amp;". Ubicacion: "&amp;"https://www.google.com/maps/search/?api=1&amp;query="&amp;SUBSTITUTE(F482," ",""))),"")</f>
        <v/>
      </c>
      <c r="M482" s="8">
        <f>IF(B482&lt;&gt;"",TODAY(),"")</f>
        <v/>
      </c>
      <c r="N482" s="8">
        <f>IF(F482&lt;&gt;"",IFERROR(IF(AND(REGEXMATCH(SUBSTITUTE(TRIM(F482)," ",""),"^-?\d+(\.\d+)?,-?\d+(\.\d+)?$"),VALUE(REGEXEXTRACT(SUBSTITUTE(TRIM(F482)," ",""),"^-?\d+(\.\d+)?"))&gt;=-90,VALUE(REGEXEXTRACT(SUBSTITUTE(TRIM(F482)," ",""),"^-?\d+(\.\d+)?"))&lt;=90,VALUE(REGEXEXTRACT(SUBSTITUTE(TRIM(F482)," ",""),"-?\d+(\.\d+)?$"))&gt;=-180,VALUE(REGEXEXTRACT(SUBSTITUTE(TRIM(F482)," ",""),"-?\d+(\.\d+)?$"))&lt;=180),"OK","REVISAR"),"REVISAR"),"")</f>
        <v/>
      </c>
      <c r="O482">
        <f>IF(A482&lt;&gt;"","https://direcciones507.github.io/direcciones507/panel.html?codigo="&amp;A482&amp;"&amp;nombre="&amp;ENCODEURL(B482)&amp;"&amp;telefono="&amp;SUBSTITUTE(C482,"-","")&amp;"&amp;referencia="&amp;ENCODEURL(E482)&amp;"&amp;lat="&amp;IZQUIERDA(SUBSTITUTE(F482," ",""),ENCONTRAR(",",SUBSTITUTE(F482," ",""))-1)&amp;"&amp;lng="&amp;DERECHA(SUBSTITUTE(F482," ",""),LARGO(SUBSTITUTE(F482," ",""))-ENCONTRAR(",",SUBSTITUTE(F482," ",""))),"")</f>
        <v/>
      </c>
    </row>
    <row r="483" ht="15.75" customHeight="1" s="10">
      <c r="A483" s="8">
        <f>CONCAT("AD507-",TEXT(ROW()-2,"0000"))</f>
        <v/>
      </c>
      <c r="C483" s="8" t="n"/>
      <c r="F483" s="8" t="n"/>
      <c r="G483" s="8">
        <f>IF(F483&lt;&gt;"",HYPERLINK("https://www.google.com/maps/search/?api=1&amp;query="&amp;SUBSTITUTE(F483," ",""),"🗺 Google Maps"),"")</f>
        <v/>
      </c>
      <c r="H483" s="8">
        <f>IF(F483&lt;&gt;"",HYPERLINK("https://waze.com/ul?ll="&amp;SUBSTITUTE(F483," ","")&amp;"&amp;navigate=yes","🚗 Waze"),"")</f>
        <v/>
      </c>
      <c r="I483" s="8">
        <f>IF(F483&lt;&gt;"",HYPERLINK("https://m.uber.com/ul/?action=setPickup&amp;pickup=my_location&amp;dropoff[latitude]="&amp;LEFT(SUBSTITUTE(F483," ",""),FIND(",",SUBSTITUTE(F483," ",""))-1)&amp;"&amp;dropoff[longitude]="&amp;MID(SUBSTITUTE(F483," ",""),FIND(",",SUBSTITUTE(F483," ",""))+1,99),"🚕 Uber"),"")</f>
        <v/>
      </c>
      <c r="J483" s="8">
        <f>IF(F483&lt;&gt;"","https://api.qrserver.com/v1/create-qr-code/?size=200x200&amp;data="&amp;ENCODEURL("https://www.google.com/maps/search/?api=1&amp;query="&amp;SUBSTITUTE(F483," ","")),"")</f>
        <v/>
      </c>
      <c r="K483" s="8">
        <f>IF(C483&lt;&gt;"",HYPERLINK("https://wa.me/507"&amp;REGEXREPLACE(C483,"[^0-9]","")&amp;"?text="&amp;ENCODEURL("Ya llegue. Codigo: "&amp;A483&amp;". Ubicacion: "&amp;"https://www.google.com/maps/search/?api=1&amp;query="&amp;SUBSTITUTE(F483," ","")),"📲 Avisar al cliente"),"")</f>
        <v/>
      </c>
      <c r="L483" s="8">
        <f>IF(C483&lt;&gt;"","https://api.qrserver.com/v1/create-qr-code/?size=200x200&amp;data="&amp;ENCODEURL("https://wa.me/507"&amp;REGEXREPLACE(C483,"[^0-9]","")&amp;"?text="&amp;ENCODEURL("Ya llegue. Codigo: "&amp;A483&amp;". Ubicacion: "&amp;"https://www.google.com/maps/search/?api=1&amp;query="&amp;SUBSTITUTE(F483," ",""))),"")</f>
        <v/>
      </c>
      <c r="M483" s="8">
        <f>IF(B483&lt;&gt;"",TODAY(),"")</f>
        <v/>
      </c>
      <c r="N483" s="8">
        <f>IF(F483&lt;&gt;"",IFERROR(IF(AND(REGEXMATCH(SUBSTITUTE(TRIM(F483)," ",""),"^-?\d+(\.\d+)?,-?\d+(\.\d+)?$"),VALUE(REGEXEXTRACT(SUBSTITUTE(TRIM(F483)," ",""),"^-?\d+(\.\d+)?"))&gt;=-90,VALUE(REGEXEXTRACT(SUBSTITUTE(TRIM(F483)," ",""),"^-?\d+(\.\d+)?"))&lt;=90,VALUE(REGEXEXTRACT(SUBSTITUTE(TRIM(F483)," ",""),"-?\d+(\.\d+)?$"))&gt;=-180,VALUE(REGEXEXTRACT(SUBSTITUTE(TRIM(F483)," ",""),"-?\d+(\.\d+)?$"))&lt;=180),"OK","REVISAR"),"REVISAR"),"")</f>
        <v/>
      </c>
      <c r="O483">
        <f>IF(A483&lt;&gt;"","https://direcciones507.github.io/direcciones507/panel.html?codigo="&amp;A483&amp;"&amp;nombre="&amp;ENCODEURL(B483)&amp;"&amp;telefono="&amp;SUBSTITUTE(C483,"-","")&amp;"&amp;referencia="&amp;ENCODEURL(E483)&amp;"&amp;lat="&amp;IZQUIERDA(SUBSTITUTE(F483," ",""),ENCONTRAR(",",SUBSTITUTE(F483," ",""))-1)&amp;"&amp;lng="&amp;DERECHA(SUBSTITUTE(F483," ",""),LARGO(SUBSTITUTE(F483," ",""))-ENCONTRAR(",",SUBSTITUTE(F483," ",""))),"")</f>
        <v/>
      </c>
    </row>
    <row r="484" ht="15.75" customHeight="1" s="10">
      <c r="A484" s="8">
        <f>CONCAT("AD507-",TEXT(ROW()-2,"0000"))</f>
        <v/>
      </c>
      <c r="C484" s="8" t="n"/>
      <c r="F484" s="8" t="n"/>
      <c r="G484" s="8">
        <f>IF(F484&lt;&gt;"",HYPERLINK("https://www.google.com/maps/search/?api=1&amp;query="&amp;SUBSTITUTE(F484," ",""),"🗺 Google Maps"),"")</f>
        <v/>
      </c>
      <c r="H484" s="8">
        <f>IF(F484&lt;&gt;"",HYPERLINK("https://waze.com/ul?ll="&amp;SUBSTITUTE(F484," ","")&amp;"&amp;navigate=yes","🚗 Waze"),"")</f>
        <v/>
      </c>
      <c r="I484" s="8">
        <f>IF(F484&lt;&gt;"",HYPERLINK("https://m.uber.com/ul/?action=setPickup&amp;pickup=my_location&amp;dropoff[latitude]="&amp;LEFT(SUBSTITUTE(F484," ",""),FIND(",",SUBSTITUTE(F484," ",""))-1)&amp;"&amp;dropoff[longitude]="&amp;MID(SUBSTITUTE(F484," ",""),FIND(",",SUBSTITUTE(F484," ",""))+1,99),"🚕 Uber"),"")</f>
        <v/>
      </c>
      <c r="J484" s="8">
        <f>IF(F484&lt;&gt;"","https://api.qrserver.com/v1/create-qr-code/?size=200x200&amp;data="&amp;ENCODEURL("https://www.google.com/maps/search/?api=1&amp;query="&amp;SUBSTITUTE(F484," ","")),"")</f>
        <v/>
      </c>
      <c r="K484" s="8">
        <f>IF(C484&lt;&gt;"",HYPERLINK("https://wa.me/507"&amp;REGEXREPLACE(C484,"[^0-9]","")&amp;"?text="&amp;ENCODEURL("Ya llegue. Codigo: "&amp;A484&amp;". Ubicacion: "&amp;"https://www.google.com/maps/search/?api=1&amp;query="&amp;SUBSTITUTE(F484," ","")),"📲 Avisar al cliente"),"")</f>
        <v/>
      </c>
      <c r="L484" s="8">
        <f>IF(C484&lt;&gt;"","https://api.qrserver.com/v1/create-qr-code/?size=200x200&amp;data="&amp;ENCODEURL("https://wa.me/507"&amp;REGEXREPLACE(C484,"[^0-9]","")&amp;"?text="&amp;ENCODEURL("Ya llegue. Codigo: "&amp;A484&amp;". Ubicacion: "&amp;"https://www.google.com/maps/search/?api=1&amp;query="&amp;SUBSTITUTE(F484," ",""))),"")</f>
        <v/>
      </c>
      <c r="M484" s="8">
        <f>IF(B484&lt;&gt;"",TODAY(),"")</f>
        <v/>
      </c>
      <c r="N484" s="8">
        <f>IF(F484&lt;&gt;"",IFERROR(IF(AND(REGEXMATCH(SUBSTITUTE(TRIM(F484)," ",""),"^-?\d+(\.\d+)?,-?\d+(\.\d+)?$"),VALUE(REGEXEXTRACT(SUBSTITUTE(TRIM(F484)," ",""),"^-?\d+(\.\d+)?"))&gt;=-90,VALUE(REGEXEXTRACT(SUBSTITUTE(TRIM(F484)," ",""),"^-?\d+(\.\d+)?"))&lt;=90,VALUE(REGEXEXTRACT(SUBSTITUTE(TRIM(F484)," ",""),"-?\d+(\.\d+)?$"))&gt;=-180,VALUE(REGEXEXTRACT(SUBSTITUTE(TRIM(F484)," ",""),"-?\d+(\.\d+)?$"))&lt;=180),"OK","REVISAR"),"REVISAR"),"")</f>
        <v/>
      </c>
      <c r="O484">
        <f>IF(A484&lt;&gt;"","https://direcciones507.github.io/direcciones507/panel.html?codigo="&amp;A484&amp;"&amp;nombre="&amp;ENCODEURL(B484)&amp;"&amp;telefono="&amp;SUBSTITUTE(C484,"-","")&amp;"&amp;referencia="&amp;ENCODEURL(E484)&amp;"&amp;lat="&amp;IZQUIERDA(SUBSTITUTE(F484," ",""),ENCONTRAR(",",SUBSTITUTE(F484," ",""))-1)&amp;"&amp;lng="&amp;DERECHA(SUBSTITUTE(F484," ",""),LARGO(SUBSTITUTE(F484," ",""))-ENCONTRAR(",",SUBSTITUTE(F484," ",""))),"")</f>
        <v/>
      </c>
    </row>
    <row r="485" ht="15.75" customHeight="1" s="10">
      <c r="A485" s="8">
        <f>CONCAT("AD507-",TEXT(ROW()-2,"0000"))</f>
        <v/>
      </c>
      <c r="C485" s="8" t="n"/>
      <c r="F485" s="8" t="n"/>
      <c r="G485" s="8">
        <f>IF(F485&lt;&gt;"",HYPERLINK("https://www.google.com/maps/search/?api=1&amp;query="&amp;SUBSTITUTE(F485," ",""),"🗺 Google Maps"),"")</f>
        <v/>
      </c>
      <c r="H485" s="8">
        <f>IF(F485&lt;&gt;"",HYPERLINK("https://waze.com/ul?ll="&amp;SUBSTITUTE(F485," ","")&amp;"&amp;navigate=yes","🚗 Waze"),"")</f>
        <v/>
      </c>
      <c r="I485" s="8">
        <f>IF(F485&lt;&gt;"",HYPERLINK("https://m.uber.com/ul/?action=setPickup&amp;pickup=my_location&amp;dropoff[latitude]="&amp;LEFT(SUBSTITUTE(F485," ",""),FIND(",",SUBSTITUTE(F485," ",""))-1)&amp;"&amp;dropoff[longitude]="&amp;MID(SUBSTITUTE(F485," ",""),FIND(",",SUBSTITUTE(F485," ",""))+1,99),"🚕 Uber"),"")</f>
        <v/>
      </c>
      <c r="J485" s="8">
        <f>IF(F485&lt;&gt;"","https://api.qrserver.com/v1/create-qr-code/?size=200x200&amp;data="&amp;ENCODEURL("https://www.google.com/maps/search/?api=1&amp;query="&amp;SUBSTITUTE(F485," ","")),"")</f>
        <v/>
      </c>
      <c r="K485" s="8">
        <f>IF(C485&lt;&gt;"",HYPERLINK("https://wa.me/507"&amp;REGEXREPLACE(C485,"[^0-9]","")&amp;"?text="&amp;ENCODEURL("Ya llegue. Codigo: "&amp;A485&amp;". Ubicacion: "&amp;"https://www.google.com/maps/search/?api=1&amp;query="&amp;SUBSTITUTE(F485," ","")),"📲 Avisar al cliente"),"")</f>
        <v/>
      </c>
      <c r="L485" s="8">
        <f>IF(C485&lt;&gt;"","https://api.qrserver.com/v1/create-qr-code/?size=200x200&amp;data="&amp;ENCODEURL("https://wa.me/507"&amp;REGEXREPLACE(C485,"[^0-9]","")&amp;"?text="&amp;ENCODEURL("Ya llegue. Codigo: "&amp;A485&amp;". Ubicacion: "&amp;"https://www.google.com/maps/search/?api=1&amp;query="&amp;SUBSTITUTE(F485," ",""))),"")</f>
        <v/>
      </c>
      <c r="M485" s="8">
        <f>IF(B485&lt;&gt;"",TODAY(),"")</f>
        <v/>
      </c>
      <c r="N485" s="8">
        <f>IF(F485&lt;&gt;"",IFERROR(IF(AND(REGEXMATCH(SUBSTITUTE(TRIM(F485)," ",""),"^-?\d+(\.\d+)?,-?\d+(\.\d+)?$"),VALUE(REGEXEXTRACT(SUBSTITUTE(TRIM(F485)," ",""),"^-?\d+(\.\d+)?"))&gt;=-90,VALUE(REGEXEXTRACT(SUBSTITUTE(TRIM(F485)," ",""),"^-?\d+(\.\d+)?"))&lt;=90,VALUE(REGEXEXTRACT(SUBSTITUTE(TRIM(F485)," ",""),"-?\d+(\.\d+)?$"))&gt;=-180,VALUE(REGEXEXTRACT(SUBSTITUTE(TRIM(F485)," ",""),"-?\d+(\.\d+)?$"))&lt;=180),"OK","REVISAR"),"REVISAR"),"")</f>
        <v/>
      </c>
      <c r="O485">
        <f>IF(A485&lt;&gt;"","https://direcciones507.github.io/direcciones507/panel.html?codigo="&amp;A485&amp;"&amp;nombre="&amp;ENCODEURL(B485)&amp;"&amp;telefono="&amp;SUBSTITUTE(C485,"-","")&amp;"&amp;referencia="&amp;ENCODEURL(E485)&amp;"&amp;lat="&amp;IZQUIERDA(SUBSTITUTE(F485," ",""),ENCONTRAR(",",SUBSTITUTE(F485," ",""))-1)&amp;"&amp;lng="&amp;DERECHA(SUBSTITUTE(F485," ",""),LARGO(SUBSTITUTE(F485," ",""))-ENCONTRAR(",",SUBSTITUTE(F485," ",""))),"")</f>
        <v/>
      </c>
    </row>
    <row r="486" ht="15.75" customHeight="1" s="10">
      <c r="A486" s="8">
        <f>CONCAT("AD507-",TEXT(ROW()-2,"0000"))</f>
        <v/>
      </c>
      <c r="C486" s="8" t="n"/>
      <c r="F486" s="8" t="n"/>
      <c r="G486" s="8">
        <f>IF(F486&lt;&gt;"",HYPERLINK("https://www.google.com/maps/search/?api=1&amp;query="&amp;SUBSTITUTE(F486," ",""),"🗺 Google Maps"),"")</f>
        <v/>
      </c>
      <c r="H486" s="8">
        <f>IF(F486&lt;&gt;"",HYPERLINK("https://waze.com/ul?ll="&amp;SUBSTITUTE(F486," ","")&amp;"&amp;navigate=yes","🚗 Waze"),"")</f>
        <v/>
      </c>
      <c r="I486" s="8">
        <f>IF(F486&lt;&gt;"",HYPERLINK("https://m.uber.com/ul/?action=setPickup&amp;pickup=my_location&amp;dropoff[latitude]="&amp;LEFT(SUBSTITUTE(F486," ",""),FIND(",",SUBSTITUTE(F486," ",""))-1)&amp;"&amp;dropoff[longitude]="&amp;MID(SUBSTITUTE(F486," ",""),FIND(",",SUBSTITUTE(F486," ",""))+1,99),"🚕 Uber"),"")</f>
        <v/>
      </c>
      <c r="J486" s="8">
        <f>IF(F486&lt;&gt;"","https://api.qrserver.com/v1/create-qr-code/?size=200x200&amp;data="&amp;ENCODEURL("https://www.google.com/maps/search/?api=1&amp;query="&amp;SUBSTITUTE(F486," ","")),"")</f>
        <v/>
      </c>
      <c r="K486" s="8">
        <f>IF(C486&lt;&gt;"",HYPERLINK("https://wa.me/507"&amp;REGEXREPLACE(C486,"[^0-9]","")&amp;"?text="&amp;ENCODEURL("Ya llegue. Codigo: "&amp;A486&amp;". Ubicacion: "&amp;"https://www.google.com/maps/search/?api=1&amp;query="&amp;SUBSTITUTE(F486," ","")),"📲 Avisar al cliente"),"")</f>
        <v/>
      </c>
      <c r="L486" s="8">
        <f>IF(C486&lt;&gt;"","https://api.qrserver.com/v1/create-qr-code/?size=200x200&amp;data="&amp;ENCODEURL("https://wa.me/507"&amp;REGEXREPLACE(C486,"[^0-9]","")&amp;"?text="&amp;ENCODEURL("Ya llegue. Codigo: "&amp;A486&amp;". Ubicacion: "&amp;"https://www.google.com/maps/search/?api=1&amp;query="&amp;SUBSTITUTE(F486," ",""))),"")</f>
        <v/>
      </c>
      <c r="M486" s="8">
        <f>IF(B486&lt;&gt;"",TODAY(),"")</f>
        <v/>
      </c>
      <c r="N486" s="8">
        <f>IF(F486&lt;&gt;"",IFERROR(IF(AND(REGEXMATCH(SUBSTITUTE(TRIM(F486)," ",""),"^-?\d+(\.\d+)?,-?\d+(\.\d+)?$"),VALUE(REGEXEXTRACT(SUBSTITUTE(TRIM(F486)," ",""),"^-?\d+(\.\d+)?"))&gt;=-90,VALUE(REGEXEXTRACT(SUBSTITUTE(TRIM(F486)," ",""),"^-?\d+(\.\d+)?"))&lt;=90,VALUE(REGEXEXTRACT(SUBSTITUTE(TRIM(F486)," ",""),"-?\d+(\.\d+)?$"))&gt;=-180,VALUE(REGEXEXTRACT(SUBSTITUTE(TRIM(F486)," ",""),"-?\d+(\.\d+)?$"))&lt;=180),"OK","REVISAR"),"REVISAR"),"")</f>
        <v/>
      </c>
      <c r="O486">
        <f>IF(A486&lt;&gt;"","https://direcciones507.github.io/direcciones507/panel.html?codigo="&amp;A486&amp;"&amp;nombre="&amp;ENCODEURL(B486)&amp;"&amp;telefono="&amp;SUBSTITUTE(C486,"-","")&amp;"&amp;referencia="&amp;ENCODEURL(E486)&amp;"&amp;lat="&amp;IZQUIERDA(SUBSTITUTE(F486," ",""),ENCONTRAR(",",SUBSTITUTE(F486," ",""))-1)&amp;"&amp;lng="&amp;DERECHA(SUBSTITUTE(F486," ",""),LARGO(SUBSTITUTE(F486," ",""))-ENCONTRAR(",",SUBSTITUTE(F486," ",""))),"")</f>
        <v/>
      </c>
    </row>
    <row r="487" ht="15.75" customHeight="1" s="10">
      <c r="A487" s="8">
        <f>CONCAT("AD507-",TEXT(ROW()-2,"0000"))</f>
        <v/>
      </c>
      <c r="C487" s="8" t="n"/>
      <c r="F487" s="8" t="n"/>
      <c r="G487" s="8">
        <f>IF(F487&lt;&gt;"",HYPERLINK("https://www.google.com/maps/search/?api=1&amp;query="&amp;SUBSTITUTE(F487," ",""),"🗺 Google Maps"),"")</f>
        <v/>
      </c>
      <c r="H487" s="8">
        <f>IF(F487&lt;&gt;"",HYPERLINK("https://waze.com/ul?ll="&amp;SUBSTITUTE(F487," ","")&amp;"&amp;navigate=yes","🚗 Waze"),"")</f>
        <v/>
      </c>
      <c r="I487" s="8">
        <f>IF(F487&lt;&gt;"",HYPERLINK("https://m.uber.com/ul/?action=setPickup&amp;pickup=my_location&amp;dropoff[latitude]="&amp;LEFT(SUBSTITUTE(F487," ",""),FIND(",",SUBSTITUTE(F487," ",""))-1)&amp;"&amp;dropoff[longitude]="&amp;MID(SUBSTITUTE(F487," ",""),FIND(",",SUBSTITUTE(F487," ",""))+1,99),"🚕 Uber"),"")</f>
        <v/>
      </c>
      <c r="J487" s="8">
        <f>IF(F487&lt;&gt;"","https://api.qrserver.com/v1/create-qr-code/?size=200x200&amp;data="&amp;ENCODEURL("https://www.google.com/maps/search/?api=1&amp;query="&amp;SUBSTITUTE(F487," ","")),"")</f>
        <v/>
      </c>
      <c r="K487" s="8">
        <f>IF(C487&lt;&gt;"",HYPERLINK("https://wa.me/507"&amp;REGEXREPLACE(C487,"[^0-9]","")&amp;"?text="&amp;ENCODEURL("Ya llegue. Codigo: "&amp;A487&amp;". Ubicacion: "&amp;"https://www.google.com/maps/search/?api=1&amp;query="&amp;SUBSTITUTE(F487," ","")),"📲 Avisar al cliente"),"")</f>
        <v/>
      </c>
      <c r="L487" s="8">
        <f>IF(C487&lt;&gt;"","https://api.qrserver.com/v1/create-qr-code/?size=200x200&amp;data="&amp;ENCODEURL("https://wa.me/507"&amp;REGEXREPLACE(C487,"[^0-9]","")&amp;"?text="&amp;ENCODEURL("Ya llegue. Codigo: "&amp;A487&amp;". Ubicacion: "&amp;"https://www.google.com/maps/search/?api=1&amp;query="&amp;SUBSTITUTE(F487," ",""))),"")</f>
        <v/>
      </c>
      <c r="M487" s="8">
        <f>IF(B487&lt;&gt;"",TODAY(),"")</f>
        <v/>
      </c>
      <c r="N487" s="8">
        <f>IF(F487&lt;&gt;"",IFERROR(IF(AND(REGEXMATCH(SUBSTITUTE(TRIM(F487)," ",""),"^-?\d+(\.\d+)?,-?\d+(\.\d+)?$"),VALUE(REGEXEXTRACT(SUBSTITUTE(TRIM(F487)," ",""),"^-?\d+(\.\d+)?"))&gt;=-90,VALUE(REGEXEXTRACT(SUBSTITUTE(TRIM(F487)," ",""),"^-?\d+(\.\d+)?"))&lt;=90,VALUE(REGEXEXTRACT(SUBSTITUTE(TRIM(F487)," ",""),"-?\d+(\.\d+)?$"))&gt;=-180,VALUE(REGEXEXTRACT(SUBSTITUTE(TRIM(F487)," ",""),"-?\d+(\.\d+)?$"))&lt;=180),"OK","REVISAR"),"REVISAR"),"")</f>
        <v/>
      </c>
      <c r="O487">
        <f>IF(A487&lt;&gt;"","https://direcciones507.github.io/direcciones507/panel.html?codigo="&amp;A487&amp;"&amp;nombre="&amp;ENCODEURL(B487)&amp;"&amp;telefono="&amp;SUBSTITUTE(C487,"-","")&amp;"&amp;referencia="&amp;ENCODEURL(E487)&amp;"&amp;lat="&amp;IZQUIERDA(SUBSTITUTE(F487," ",""),ENCONTRAR(",",SUBSTITUTE(F487," ",""))-1)&amp;"&amp;lng="&amp;DERECHA(SUBSTITUTE(F487," ",""),LARGO(SUBSTITUTE(F487," ",""))-ENCONTRAR(",",SUBSTITUTE(F487," ",""))),"")</f>
        <v/>
      </c>
    </row>
    <row r="488" ht="15.75" customHeight="1" s="10">
      <c r="A488" s="8">
        <f>CONCAT("AD507-",TEXT(ROW()-2,"0000"))</f>
        <v/>
      </c>
      <c r="C488" s="8" t="n"/>
      <c r="F488" s="8" t="n"/>
      <c r="G488" s="8">
        <f>IF(F488&lt;&gt;"",HYPERLINK("https://www.google.com/maps/search/?api=1&amp;query="&amp;SUBSTITUTE(F488," ",""),"🗺 Google Maps"),"")</f>
        <v/>
      </c>
      <c r="H488" s="8">
        <f>IF(F488&lt;&gt;"",HYPERLINK("https://waze.com/ul?ll="&amp;SUBSTITUTE(F488," ","")&amp;"&amp;navigate=yes","🚗 Waze"),"")</f>
        <v/>
      </c>
      <c r="I488" s="8">
        <f>IF(F488&lt;&gt;"",HYPERLINK("https://m.uber.com/ul/?action=setPickup&amp;pickup=my_location&amp;dropoff[latitude]="&amp;LEFT(SUBSTITUTE(F488," ",""),FIND(",",SUBSTITUTE(F488," ",""))-1)&amp;"&amp;dropoff[longitude]="&amp;MID(SUBSTITUTE(F488," ",""),FIND(",",SUBSTITUTE(F488," ",""))+1,99),"🚕 Uber"),"")</f>
        <v/>
      </c>
      <c r="J488" s="8">
        <f>IF(F488&lt;&gt;"","https://api.qrserver.com/v1/create-qr-code/?size=200x200&amp;data="&amp;ENCODEURL("https://www.google.com/maps/search/?api=1&amp;query="&amp;SUBSTITUTE(F488," ","")),"")</f>
        <v/>
      </c>
      <c r="K488" s="8">
        <f>IF(C488&lt;&gt;"",HYPERLINK("https://wa.me/507"&amp;REGEXREPLACE(C488,"[^0-9]","")&amp;"?text="&amp;ENCODEURL("Ya llegue. Codigo: "&amp;A488&amp;". Ubicacion: "&amp;"https://www.google.com/maps/search/?api=1&amp;query="&amp;SUBSTITUTE(F488," ","")),"📲 Avisar al cliente"),"")</f>
        <v/>
      </c>
      <c r="L488" s="8">
        <f>IF(C488&lt;&gt;"","https://api.qrserver.com/v1/create-qr-code/?size=200x200&amp;data="&amp;ENCODEURL("https://wa.me/507"&amp;REGEXREPLACE(C488,"[^0-9]","")&amp;"?text="&amp;ENCODEURL("Ya llegue. Codigo: "&amp;A488&amp;". Ubicacion: "&amp;"https://www.google.com/maps/search/?api=1&amp;query="&amp;SUBSTITUTE(F488," ",""))),"")</f>
        <v/>
      </c>
      <c r="M488" s="8">
        <f>IF(B488&lt;&gt;"",TODAY(),"")</f>
        <v/>
      </c>
      <c r="N488" s="8">
        <f>IF(F488&lt;&gt;"",IFERROR(IF(AND(REGEXMATCH(SUBSTITUTE(TRIM(F488)," ",""),"^-?\d+(\.\d+)?,-?\d+(\.\d+)?$"),VALUE(REGEXEXTRACT(SUBSTITUTE(TRIM(F488)," ",""),"^-?\d+(\.\d+)?"))&gt;=-90,VALUE(REGEXEXTRACT(SUBSTITUTE(TRIM(F488)," ",""),"^-?\d+(\.\d+)?"))&lt;=90,VALUE(REGEXEXTRACT(SUBSTITUTE(TRIM(F488)," ",""),"-?\d+(\.\d+)?$"))&gt;=-180,VALUE(REGEXEXTRACT(SUBSTITUTE(TRIM(F488)," ",""),"-?\d+(\.\d+)?$"))&lt;=180),"OK","REVISAR"),"REVISAR"),"")</f>
        <v/>
      </c>
      <c r="O488">
        <f>IF(A488&lt;&gt;"","https://direcciones507.github.io/direcciones507/panel.html?codigo="&amp;A488&amp;"&amp;nombre="&amp;ENCODEURL(B488)&amp;"&amp;telefono="&amp;SUBSTITUTE(C488,"-","")&amp;"&amp;referencia="&amp;ENCODEURL(E488)&amp;"&amp;lat="&amp;IZQUIERDA(SUBSTITUTE(F488," ",""),ENCONTRAR(",",SUBSTITUTE(F488," ",""))-1)&amp;"&amp;lng="&amp;DERECHA(SUBSTITUTE(F488," ",""),LARGO(SUBSTITUTE(F488," ",""))-ENCONTRAR(",",SUBSTITUTE(F488," ",""))),"")</f>
        <v/>
      </c>
    </row>
    <row r="489" ht="15.75" customHeight="1" s="10">
      <c r="A489" s="8">
        <f>CONCAT("AD507-",TEXT(ROW()-2,"0000"))</f>
        <v/>
      </c>
      <c r="C489" s="8" t="n"/>
      <c r="F489" s="8" t="n"/>
      <c r="G489" s="8">
        <f>IF(F489&lt;&gt;"",HYPERLINK("https://www.google.com/maps/search/?api=1&amp;query="&amp;SUBSTITUTE(F489," ",""),"🗺 Google Maps"),"")</f>
        <v/>
      </c>
      <c r="H489" s="8">
        <f>IF(F489&lt;&gt;"",HYPERLINK("https://waze.com/ul?ll="&amp;SUBSTITUTE(F489," ","")&amp;"&amp;navigate=yes","🚗 Waze"),"")</f>
        <v/>
      </c>
      <c r="I489" s="8">
        <f>IF(F489&lt;&gt;"",HYPERLINK("https://m.uber.com/ul/?action=setPickup&amp;pickup=my_location&amp;dropoff[latitude]="&amp;LEFT(SUBSTITUTE(F489," ",""),FIND(",",SUBSTITUTE(F489," ",""))-1)&amp;"&amp;dropoff[longitude]="&amp;MID(SUBSTITUTE(F489," ",""),FIND(",",SUBSTITUTE(F489," ",""))+1,99),"🚕 Uber"),"")</f>
        <v/>
      </c>
      <c r="J489" s="8">
        <f>IF(F489&lt;&gt;"","https://api.qrserver.com/v1/create-qr-code/?size=200x200&amp;data="&amp;ENCODEURL("https://www.google.com/maps/search/?api=1&amp;query="&amp;SUBSTITUTE(F489," ","")),"")</f>
        <v/>
      </c>
      <c r="K489" s="8">
        <f>IF(C489&lt;&gt;"",HYPERLINK("https://wa.me/507"&amp;REGEXREPLACE(C489,"[^0-9]","")&amp;"?text="&amp;ENCODEURL("Ya llegue. Codigo: "&amp;A489&amp;". Ubicacion: "&amp;"https://www.google.com/maps/search/?api=1&amp;query="&amp;SUBSTITUTE(F489," ","")),"📲 Avisar al cliente"),"")</f>
        <v/>
      </c>
      <c r="L489" s="8">
        <f>IF(C489&lt;&gt;"","https://api.qrserver.com/v1/create-qr-code/?size=200x200&amp;data="&amp;ENCODEURL("https://wa.me/507"&amp;REGEXREPLACE(C489,"[^0-9]","")&amp;"?text="&amp;ENCODEURL("Ya llegue. Codigo: "&amp;A489&amp;". Ubicacion: "&amp;"https://www.google.com/maps/search/?api=1&amp;query="&amp;SUBSTITUTE(F489," ",""))),"")</f>
        <v/>
      </c>
      <c r="M489" s="8">
        <f>IF(B489&lt;&gt;"",TODAY(),"")</f>
        <v/>
      </c>
      <c r="N489" s="8">
        <f>IF(F489&lt;&gt;"",IFERROR(IF(AND(REGEXMATCH(SUBSTITUTE(TRIM(F489)," ",""),"^-?\d+(\.\d+)?,-?\d+(\.\d+)?$"),VALUE(REGEXEXTRACT(SUBSTITUTE(TRIM(F489)," ",""),"^-?\d+(\.\d+)?"))&gt;=-90,VALUE(REGEXEXTRACT(SUBSTITUTE(TRIM(F489)," ",""),"^-?\d+(\.\d+)?"))&lt;=90,VALUE(REGEXEXTRACT(SUBSTITUTE(TRIM(F489)," ",""),"-?\d+(\.\d+)?$"))&gt;=-180,VALUE(REGEXEXTRACT(SUBSTITUTE(TRIM(F489)," ",""),"-?\d+(\.\d+)?$"))&lt;=180),"OK","REVISAR"),"REVISAR"),"")</f>
        <v/>
      </c>
      <c r="O489">
        <f>IF(A489&lt;&gt;"","https://direcciones507.github.io/direcciones507/panel.html?codigo="&amp;A489&amp;"&amp;nombre="&amp;ENCODEURL(B489)&amp;"&amp;telefono="&amp;SUBSTITUTE(C489,"-","")&amp;"&amp;referencia="&amp;ENCODEURL(E489)&amp;"&amp;lat="&amp;IZQUIERDA(SUBSTITUTE(F489," ",""),ENCONTRAR(",",SUBSTITUTE(F489," ",""))-1)&amp;"&amp;lng="&amp;DERECHA(SUBSTITUTE(F489," ",""),LARGO(SUBSTITUTE(F489," ",""))-ENCONTRAR(",",SUBSTITUTE(F489," ",""))),"")</f>
        <v/>
      </c>
    </row>
    <row r="490" ht="15.75" customHeight="1" s="10">
      <c r="A490" s="8">
        <f>CONCAT("AD507-",TEXT(ROW()-2,"0000"))</f>
        <v/>
      </c>
      <c r="C490" s="8" t="n"/>
      <c r="F490" s="8" t="n"/>
      <c r="G490" s="8">
        <f>IF(F490&lt;&gt;"",HYPERLINK("https://www.google.com/maps/search/?api=1&amp;query="&amp;SUBSTITUTE(F490," ",""),"🗺 Google Maps"),"")</f>
        <v/>
      </c>
      <c r="H490" s="8">
        <f>IF(F490&lt;&gt;"",HYPERLINK("https://waze.com/ul?ll="&amp;SUBSTITUTE(F490," ","")&amp;"&amp;navigate=yes","🚗 Waze"),"")</f>
        <v/>
      </c>
      <c r="I490" s="8">
        <f>IF(F490&lt;&gt;"",HYPERLINK("https://m.uber.com/ul/?action=setPickup&amp;pickup=my_location&amp;dropoff[latitude]="&amp;LEFT(SUBSTITUTE(F490," ",""),FIND(",",SUBSTITUTE(F490," ",""))-1)&amp;"&amp;dropoff[longitude]="&amp;MID(SUBSTITUTE(F490," ",""),FIND(",",SUBSTITUTE(F490," ",""))+1,99),"🚕 Uber"),"")</f>
        <v/>
      </c>
      <c r="J490" s="8">
        <f>IF(F490&lt;&gt;"","https://api.qrserver.com/v1/create-qr-code/?size=200x200&amp;data="&amp;ENCODEURL("https://www.google.com/maps/search/?api=1&amp;query="&amp;SUBSTITUTE(F490," ","")),"")</f>
        <v/>
      </c>
      <c r="K490" s="8">
        <f>IF(C490&lt;&gt;"",HYPERLINK("https://wa.me/507"&amp;REGEXREPLACE(C490,"[^0-9]","")&amp;"?text="&amp;ENCODEURL("Ya llegue. Codigo: "&amp;A490&amp;". Ubicacion: "&amp;"https://www.google.com/maps/search/?api=1&amp;query="&amp;SUBSTITUTE(F490," ","")),"📲 Avisar al cliente"),"")</f>
        <v/>
      </c>
      <c r="L490" s="8">
        <f>IF(C490&lt;&gt;"","https://api.qrserver.com/v1/create-qr-code/?size=200x200&amp;data="&amp;ENCODEURL("https://wa.me/507"&amp;REGEXREPLACE(C490,"[^0-9]","")&amp;"?text="&amp;ENCODEURL("Ya llegue. Codigo: "&amp;A490&amp;". Ubicacion: "&amp;"https://www.google.com/maps/search/?api=1&amp;query="&amp;SUBSTITUTE(F490," ",""))),"")</f>
        <v/>
      </c>
      <c r="M490" s="8">
        <f>IF(B490&lt;&gt;"",TODAY(),"")</f>
        <v/>
      </c>
      <c r="N490" s="8">
        <f>IF(F490&lt;&gt;"",IFERROR(IF(AND(REGEXMATCH(SUBSTITUTE(TRIM(F490)," ",""),"^-?\d+(\.\d+)?,-?\d+(\.\d+)?$"),VALUE(REGEXEXTRACT(SUBSTITUTE(TRIM(F490)," ",""),"^-?\d+(\.\d+)?"))&gt;=-90,VALUE(REGEXEXTRACT(SUBSTITUTE(TRIM(F490)," ",""),"^-?\d+(\.\d+)?"))&lt;=90,VALUE(REGEXEXTRACT(SUBSTITUTE(TRIM(F490)," ",""),"-?\d+(\.\d+)?$"))&gt;=-180,VALUE(REGEXEXTRACT(SUBSTITUTE(TRIM(F490)," ",""),"-?\d+(\.\d+)?$"))&lt;=180),"OK","REVISAR"),"REVISAR"),"")</f>
        <v/>
      </c>
      <c r="O490">
        <f>IF(A490&lt;&gt;"","https://direcciones507.github.io/direcciones507/panel.html?codigo="&amp;A490&amp;"&amp;nombre="&amp;ENCODEURL(B490)&amp;"&amp;telefono="&amp;SUBSTITUTE(C490,"-","")&amp;"&amp;referencia="&amp;ENCODEURL(E490)&amp;"&amp;lat="&amp;IZQUIERDA(SUBSTITUTE(F490," ",""),ENCONTRAR(",",SUBSTITUTE(F490," ",""))-1)&amp;"&amp;lng="&amp;DERECHA(SUBSTITUTE(F490," ",""),LARGO(SUBSTITUTE(F490," ",""))-ENCONTRAR(",",SUBSTITUTE(F490," ",""))),"")</f>
        <v/>
      </c>
    </row>
    <row r="491" ht="15.75" customHeight="1" s="10">
      <c r="A491" s="8">
        <f>CONCAT("AD507-",TEXT(ROW()-2,"0000"))</f>
        <v/>
      </c>
      <c r="C491" s="8" t="n"/>
      <c r="F491" s="8" t="n"/>
      <c r="G491" s="8">
        <f>IF(F491&lt;&gt;"",HYPERLINK("https://www.google.com/maps/search/?api=1&amp;query="&amp;SUBSTITUTE(F491," ",""),"🗺 Google Maps"),"")</f>
        <v/>
      </c>
      <c r="H491" s="8">
        <f>IF(F491&lt;&gt;"",HYPERLINK("https://waze.com/ul?ll="&amp;SUBSTITUTE(F491," ","")&amp;"&amp;navigate=yes","🚗 Waze"),"")</f>
        <v/>
      </c>
      <c r="I491" s="8">
        <f>IF(F491&lt;&gt;"",HYPERLINK("https://m.uber.com/ul/?action=setPickup&amp;pickup=my_location&amp;dropoff[latitude]="&amp;LEFT(SUBSTITUTE(F491," ",""),FIND(",",SUBSTITUTE(F491," ",""))-1)&amp;"&amp;dropoff[longitude]="&amp;MID(SUBSTITUTE(F491," ",""),FIND(",",SUBSTITUTE(F491," ",""))+1,99),"🚕 Uber"),"")</f>
        <v/>
      </c>
      <c r="J491" s="8">
        <f>IF(F491&lt;&gt;"","https://api.qrserver.com/v1/create-qr-code/?size=200x200&amp;data="&amp;ENCODEURL("https://www.google.com/maps/search/?api=1&amp;query="&amp;SUBSTITUTE(F491," ","")),"")</f>
        <v/>
      </c>
      <c r="K491" s="8">
        <f>IF(C491&lt;&gt;"",HYPERLINK("https://wa.me/507"&amp;REGEXREPLACE(C491,"[^0-9]","")&amp;"?text="&amp;ENCODEURL("Ya llegue. Codigo: "&amp;A491&amp;". Ubicacion: "&amp;"https://www.google.com/maps/search/?api=1&amp;query="&amp;SUBSTITUTE(F491," ","")),"📲 Avisar al cliente"),"")</f>
        <v/>
      </c>
      <c r="L491" s="8">
        <f>IF(C491&lt;&gt;"","https://api.qrserver.com/v1/create-qr-code/?size=200x200&amp;data="&amp;ENCODEURL("https://wa.me/507"&amp;REGEXREPLACE(C491,"[^0-9]","")&amp;"?text="&amp;ENCODEURL("Ya llegue. Codigo: "&amp;A491&amp;". Ubicacion: "&amp;"https://www.google.com/maps/search/?api=1&amp;query="&amp;SUBSTITUTE(F491," ",""))),"")</f>
        <v/>
      </c>
      <c r="M491" s="8">
        <f>IF(B491&lt;&gt;"",TODAY(),"")</f>
        <v/>
      </c>
      <c r="N491" s="8">
        <f>IF(F491&lt;&gt;"",IFERROR(IF(AND(REGEXMATCH(SUBSTITUTE(TRIM(F491)," ",""),"^-?\d+(\.\d+)?,-?\d+(\.\d+)?$"),VALUE(REGEXEXTRACT(SUBSTITUTE(TRIM(F491)," ",""),"^-?\d+(\.\d+)?"))&gt;=-90,VALUE(REGEXEXTRACT(SUBSTITUTE(TRIM(F491)," ",""),"^-?\d+(\.\d+)?"))&lt;=90,VALUE(REGEXEXTRACT(SUBSTITUTE(TRIM(F491)," ",""),"-?\d+(\.\d+)?$"))&gt;=-180,VALUE(REGEXEXTRACT(SUBSTITUTE(TRIM(F491)," ",""),"-?\d+(\.\d+)?$"))&lt;=180),"OK","REVISAR"),"REVISAR"),"")</f>
        <v/>
      </c>
      <c r="O491">
        <f>IF(A491&lt;&gt;"","https://direcciones507.github.io/direcciones507/panel.html?codigo="&amp;A491&amp;"&amp;nombre="&amp;ENCODEURL(B491)&amp;"&amp;telefono="&amp;SUBSTITUTE(C491,"-","")&amp;"&amp;referencia="&amp;ENCODEURL(E491)&amp;"&amp;lat="&amp;IZQUIERDA(SUBSTITUTE(F491," ",""),ENCONTRAR(",",SUBSTITUTE(F491," ",""))-1)&amp;"&amp;lng="&amp;DERECHA(SUBSTITUTE(F491," ",""),LARGO(SUBSTITUTE(F491," ",""))-ENCONTRAR(",",SUBSTITUTE(F491," ",""))),"")</f>
        <v/>
      </c>
    </row>
    <row r="492" ht="15.75" customHeight="1" s="10">
      <c r="A492" s="8">
        <f>CONCAT("AD507-",TEXT(ROW()-2,"0000"))</f>
        <v/>
      </c>
      <c r="C492" s="8" t="n"/>
      <c r="F492" s="8" t="n"/>
      <c r="G492" s="8">
        <f>IF(F492&lt;&gt;"",HYPERLINK("https://www.google.com/maps/search/?api=1&amp;query="&amp;SUBSTITUTE(F492," ",""),"🗺 Google Maps"),"")</f>
        <v/>
      </c>
      <c r="H492" s="8">
        <f>IF(F492&lt;&gt;"",HYPERLINK("https://waze.com/ul?ll="&amp;SUBSTITUTE(F492," ","")&amp;"&amp;navigate=yes","🚗 Waze"),"")</f>
        <v/>
      </c>
      <c r="I492" s="8">
        <f>IF(F492&lt;&gt;"",HYPERLINK("https://m.uber.com/ul/?action=setPickup&amp;pickup=my_location&amp;dropoff[latitude]="&amp;LEFT(SUBSTITUTE(F492," ",""),FIND(",",SUBSTITUTE(F492," ",""))-1)&amp;"&amp;dropoff[longitude]="&amp;MID(SUBSTITUTE(F492," ",""),FIND(",",SUBSTITUTE(F492," ",""))+1,99),"🚕 Uber"),"")</f>
        <v/>
      </c>
      <c r="J492" s="8">
        <f>IF(F492&lt;&gt;"","https://api.qrserver.com/v1/create-qr-code/?size=200x200&amp;data="&amp;ENCODEURL("https://www.google.com/maps/search/?api=1&amp;query="&amp;SUBSTITUTE(F492," ","")),"")</f>
        <v/>
      </c>
      <c r="K492" s="8">
        <f>IF(C492&lt;&gt;"",HYPERLINK("https://wa.me/507"&amp;REGEXREPLACE(C492,"[^0-9]","")&amp;"?text="&amp;ENCODEURL("Ya llegue. Codigo: "&amp;A492&amp;". Ubicacion: "&amp;"https://www.google.com/maps/search/?api=1&amp;query="&amp;SUBSTITUTE(F492," ","")),"📲 Avisar al cliente"),"")</f>
        <v/>
      </c>
      <c r="L492" s="8">
        <f>IF(C492&lt;&gt;"","https://api.qrserver.com/v1/create-qr-code/?size=200x200&amp;data="&amp;ENCODEURL("https://wa.me/507"&amp;REGEXREPLACE(C492,"[^0-9]","")&amp;"?text="&amp;ENCODEURL("Ya llegue. Codigo: "&amp;A492&amp;". Ubicacion: "&amp;"https://www.google.com/maps/search/?api=1&amp;query="&amp;SUBSTITUTE(F492," ",""))),"")</f>
        <v/>
      </c>
      <c r="M492" s="8">
        <f>IF(B492&lt;&gt;"",TODAY(),"")</f>
        <v/>
      </c>
      <c r="N492" s="8">
        <f>IF(F492&lt;&gt;"",IFERROR(IF(AND(REGEXMATCH(SUBSTITUTE(TRIM(F492)," ",""),"^-?\d+(\.\d+)?,-?\d+(\.\d+)?$"),VALUE(REGEXEXTRACT(SUBSTITUTE(TRIM(F492)," ",""),"^-?\d+(\.\d+)?"))&gt;=-90,VALUE(REGEXEXTRACT(SUBSTITUTE(TRIM(F492)," ",""),"^-?\d+(\.\d+)?"))&lt;=90,VALUE(REGEXEXTRACT(SUBSTITUTE(TRIM(F492)," ",""),"-?\d+(\.\d+)?$"))&gt;=-180,VALUE(REGEXEXTRACT(SUBSTITUTE(TRIM(F492)," ",""),"-?\d+(\.\d+)?$"))&lt;=180),"OK","REVISAR"),"REVISAR"),"")</f>
        <v/>
      </c>
      <c r="O492">
        <f>IF(A492&lt;&gt;"","https://direcciones507.github.io/direcciones507/panel.html?codigo="&amp;A492&amp;"&amp;nombre="&amp;ENCODEURL(B492)&amp;"&amp;telefono="&amp;SUBSTITUTE(C492,"-","")&amp;"&amp;referencia="&amp;ENCODEURL(E492)&amp;"&amp;lat="&amp;IZQUIERDA(SUBSTITUTE(F492," ",""),ENCONTRAR(",",SUBSTITUTE(F492," ",""))-1)&amp;"&amp;lng="&amp;DERECHA(SUBSTITUTE(F492," ",""),LARGO(SUBSTITUTE(F492," ",""))-ENCONTRAR(",",SUBSTITUTE(F492," ",""))),"")</f>
        <v/>
      </c>
    </row>
    <row r="493" ht="15.75" customHeight="1" s="10">
      <c r="A493" s="8">
        <f>CONCAT("AD507-",TEXT(ROW()-2,"0000"))</f>
        <v/>
      </c>
      <c r="C493" s="8" t="n"/>
      <c r="F493" s="8" t="n"/>
      <c r="G493" s="8">
        <f>IF(F493&lt;&gt;"",HYPERLINK("https://www.google.com/maps/search/?api=1&amp;query="&amp;SUBSTITUTE(F493," ",""),"🗺 Google Maps"),"")</f>
        <v/>
      </c>
      <c r="H493" s="8">
        <f>IF(F493&lt;&gt;"",HYPERLINK("https://waze.com/ul?ll="&amp;SUBSTITUTE(F493," ","")&amp;"&amp;navigate=yes","🚗 Waze"),"")</f>
        <v/>
      </c>
      <c r="I493" s="8">
        <f>IF(F493&lt;&gt;"",HYPERLINK("https://m.uber.com/ul/?action=setPickup&amp;pickup=my_location&amp;dropoff[latitude]="&amp;LEFT(SUBSTITUTE(F493," ",""),FIND(",",SUBSTITUTE(F493," ",""))-1)&amp;"&amp;dropoff[longitude]="&amp;MID(SUBSTITUTE(F493," ",""),FIND(",",SUBSTITUTE(F493," ",""))+1,99),"🚕 Uber"),"")</f>
        <v/>
      </c>
      <c r="J493" s="8">
        <f>IF(F493&lt;&gt;"","https://api.qrserver.com/v1/create-qr-code/?size=200x200&amp;data="&amp;ENCODEURL("https://www.google.com/maps/search/?api=1&amp;query="&amp;SUBSTITUTE(F493," ","")),"")</f>
        <v/>
      </c>
      <c r="K493" s="8">
        <f>IF(C493&lt;&gt;"",HYPERLINK("https://wa.me/507"&amp;REGEXREPLACE(C493,"[^0-9]","")&amp;"?text="&amp;ENCODEURL("Ya llegue. Codigo: "&amp;A493&amp;". Ubicacion: "&amp;"https://www.google.com/maps/search/?api=1&amp;query="&amp;SUBSTITUTE(F493," ","")),"📲 Avisar al cliente"),"")</f>
        <v/>
      </c>
      <c r="L493" s="8">
        <f>IF(C493&lt;&gt;"","https://api.qrserver.com/v1/create-qr-code/?size=200x200&amp;data="&amp;ENCODEURL("https://wa.me/507"&amp;REGEXREPLACE(C493,"[^0-9]","")&amp;"?text="&amp;ENCODEURL("Ya llegue. Codigo: "&amp;A493&amp;". Ubicacion: "&amp;"https://www.google.com/maps/search/?api=1&amp;query="&amp;SUBSTITUTE(F493," ",""))),"")</f>
        <v/>
      </c>
      <c r="M493" s="8">
        <f>IF(B493&lt;&gt;"",TODAY(),"")</f>
        <v/>
      </c>
      <c r="N493" s="8">
        <f>IF(F493&lt;&gt;"",IFERROR(IF(AND(REGEXMATCH(SUBSTITUTE(TRIM(F493)," ",""),"^-?\d+(\.\d+)?,-?\d+(\.\d+)?$"),VALUE(REGEXEXTRACT(SUBSTITUTE(TRIM(F493)," ",""),"^-?\d+(\.\d+)?"))&gt;=-90,VALUE(REGEXEXTRACT(SUBSTITUTE(TRIM(F493)," ",""),"^-?\d+(\.\d+)?"))&lt;=90,VALUE(REGEXEXTRACT(SUBSTITUTE(TRIM(F493)," ",""),"-?\d+(\.\d+)?$"))&gt;=-180,VALUE(REGEXEXTRACT(SUBSTITUTE(TRIM(F493)," ",""),"-?\d+(\.\d+)?$"))&lt;=180),"OK","REVISAR"),"REVISAR"),"")</f>
        <v/>
      </c>
      <c r="O493">
        <f>IF(A493&lt;&gt;"","https://direcciones507.github.io/direcciones507/panel.html?codigo="&amp;A493&amp;"&amp;nombre="&amp;ENCODEURL(B493)&amp;"&amp;telefono="&amp;SUBSTITUTE(C493,"-","")&amp;"&amp;referencia="&amp;ENCODEURL(E493)&amp;"&amp;lat="&amp;IZQUIERDA(SUBSTITUTE(F493," ",""),ENCONTRAR(",",SUBSTITUTE(F493," ",""))-1)&amp;"&amp;lng="&amp;DERECHA(SUBSTITUTE(F493," ",""),LARGO(SUBSTITUTE(F493," ",""))-ENCONTRAR(",",SUBSTITUTE(F493," ",""))),"")</f>
        <v/>
      </c>
    </row>
    <row r="494" ht="15.75" customHeight="1" s="10">
      <c r="A494" s="8">
        <f>CONCAT("AD507-",TEXT(ROW()-2,"0000"))</f>
        <v/>
      </c>
      <c r="C494" s="8" t="n"/>
      <c r="F494" s="8" t="n"/>
      <c r="G494" s="8">
        <f>IF(F494&lt;&gt;"",HYPERLINK("https://www.google.com/maps/search/?api=1&amp;query="&amp;SUBSTITUTE(F494," ",""),"🗺 Google Maps"),"")</f>
        <v/>
      </c>
      <c r="H494" s="8">
        <f>IF(F494&lt;&gt;"",HYPERLINK("https://waze.com/ul?ll="&amp;SUBSTITUTE(F494," ","")&amp;"&amp;navigate=yes","🚗 Waze"),"")</f>
        <v/>
      </c>
      <c r="I494" s="8">
        <f>IF(F494&lt;&gt;"",HYPERLINK("https://m.uber.com/ul/?action=setPickup&amp;pickup=my_location&amp;dropoff[latitude]="&amp;LEFT(SUBSTITUTE(F494," ",""),FIND(",",SUBSTITUTE(F494," ",""))-1)&amp;"&amp;dropoff[longitude]="&amp;MID(SUBSTITUTE(F494," ",""),FIND(",",SUBSTITUTE(F494," ",""))+1,99),"🚕 Uber"),"")</f>
        <v/>
      </c>
      <c r="J494" s="8">
        <f>IF(F494&lt;&gt;"","https://api.qrserver.com/v1/create-qr-code/?size=200x200&amp;data="&amp;ENCODEURL("https://www.google.com/maps/search/?api=1&amp;query="&amp;SUBSTITUTE(F494," ","")),"")</f>
        <v/>
      </c>
      <c r="K494" s="8">
        <f>IF(C494&lt;&gt;"",HYPERLINK("https://wa.me/507"&amp;REGEXREPLACE(C494,"[^0-9]","")&amp;"?text="&amp;ENCODEURL("Ya llegue. Codigo: "&amp;A494&amp;". Ubicacion: "&amp;"https://www.google.com/maps/search/?api=1&amp;query="&amp;SUBSTITUTE(F494," ","")),"📲 Avisar al cliente"),"")</f>
        <v/>
      </c>
      <c r="L494" s="8">
        <f>IF(C494&lt;&gt;"","https://api.qrserver.com/v1/create-qr-code/?size=200x200&amp;data="&amp;ENCODEURL("https://wa.me/507"&amp;REGEXREPLACE(C494,"[^0-9]","")&amp;"?text="&amp;ENCODEURL("Ya llegue. Codigo: "&amp;A494&amp;". Ubicacion: "&amp;"https://www.google.com/maps/search/?api=1&amp;query="&amp;SUBSTITUTE(F494," ",""))),"")</f>
        <v/>
      </c>
      <c r="M494" s="8">
        <f>IF(B494&lt;&gt;"",TODAY(),"")</f>
        <v/>
      </c>
      <c r="N494" s="8">
        <f>IF(F494&lt;&gt;"",IFERROR(IF(AND(REGEXMATCH(SUBSTITUTE(TRIM(F494)," ",""),"^-?\d+(\.\d+)?,-?\d+(\.\d+)?$"),VALUE(REGEXEXTRACT(SUBSTITUTE(TRIM(F494)," ",""),"^-?\d+(\.\d+)?"))&gt;=-90,VALUE(REGEXEXTRACT(SUBSTITUTE(TRIM(F494)," ",""),"^-?\d+(\.\d+)?"))&lt;=90,VALUE(REGEXEXTRACT(SUBSTITUTE(TRIM(F494)," ",""),"-?\d+(\.\d+)?$"))&gt;=-180,VALUE(REGEXEXTRACT(SUBSTITUTE(TRIM(F494)," ",""),"-?\d+(\.\d+)?$"))&lt;=180),"OK","REVISAR"),"REVISAR"),"")</f>
        <v/>
      </c>
      <c r="O494">
        <f>IF(A494&lt;&gt;"","https://direcciones507.github.io/direcciones507/panel.html?codigo="&amp;A494&amp;"&amp;nombre="&amp;ENCODEURL(B494)&amp;"&amp;telefono="&amp;SUBSTITUTE(C494,"-","")&amp;"&amp;referencia="&amp;ENCODEURL(E494)&amp;"&amp;lat="&amp;IZQUIERDA(SUBSTITUTE(F494," ",""),ENCONTRAR(",",SUBSTITUTE(F494," ",""))-1)&amp;"&amp;lng="&amp;DERECHA(SUBSTITUTE(F494," ",""),LARGO(SUBSTITUTE(F494," ",""))-ENCONTRAR(",",SUBSTITUTE(F494," ",""))),"")</f>
        <v/>
      </c>
    </row>
    <row r="495" ht="15.75" customHeight="1" s="10">
      <c r="A495" s="8">
        <f>CONCAT("AD507-",TEXT(ROW()-2,"0000"))</f>
        <v/>
      </c>
      <c r="C495" s="8" t="n"/>
      <c r="F495" s="8" t="n"/>
      <c r="G495" s="8">
        <f>IF(F495&lt;&gt;"",HYPERLINK("https://www.google.com/maps/search/?api=1&amp;query="&amp;SUBSTITUTE(F495," ",""),"🗺 Google Maps"),"")</f>
        <v/>
      </c>
      <c r="H495" s="8">
        <f>IF(F495&lt;&gt;"",HYPERLINK("https://waze.com/ul?ll="&amp;SUBSTITUTE(F495," ","")&amp;"&amp;navigate=yes","🚗 Waze"),"")</f>
        <v/>
      </c>
      <c r="I495" s="8">
        <f>IF(F495&lt;&gt;"",HYPERLINK("https://m.uber.com/ul/?action=setPickup&amp;pickup=my_location&amp;dropoff[latitude]="&amp;LEFT(SUBSTITUTE(F495," ",""),FIND(",",SUBSTITUTE(F495," ",""))-1)&amp;"&amp;dropoff[longitude]="&amp;MID(SUBSTITUTE(F495," ",""),FIND(",",SUBSTITUTE(F495," ",""))+1,99),"🚕 Uber"),"")</f>
        <v/>
      </c>
      <c r="J495" s="8">
        <f>IF(F495&lt;&gt;"","https://api.qrserver.com/v1/create-qr-code/?size=200x200&amp;data="&amp;ENCODEURL("https://www.google.com/maps/search/?api=1&amp;query="&amp;SUBSTITUTE(F495," ","")),"")</f>
        <v/>
      </c>
      <c r="K495" s="8">
        <f>IF(C495&lt;&gt;"",HYPERLINK("https://wa.me/507"&amp;REGEXREPLACE(C495,"[^0-9]","")&amp;"?text="&amp;ENCODEURL("Ya llegue. Codigo: "&amp;A495&amp;". Ubicacion: "&amp;"https://www.google.com/maps/search/?api=1&amp;query="&amp;SUBSTITUTE(F495," ","")),"📲 Avisar al cliente"),"")</f>
        <v/>
      </c>
      <c r="L495" s="8">
        <f>IF(C495&lt;&gt;"","https://api.qrserver.com/v1/create-qr-code/?size=200x200&amp;data="&amp;ENCODEURL("https://wa.me/507"&amp;REGEXREPLACE(C495,"[^0-9]","")&amp;"?text="&amp;ENCODEURL("Ya llegue. Codigo: "&amp;A495&amp;". Ubicacion: "&amp;"https://www.google.com/maps/search/?api=1&amp;query="&amp;SUBSTITUTE(F495," ",""))),"")</f>
        <v/>
      </c>
      <c r="M495" s="8">
        <f>IF(B495&lt;&gt;"",TODAY(),"")</f>
        <v/>
      </c>
      <c r="N495" s="8">
        <f>IF(F495&lt;&gt;"",IFERROR(IF(AND(REGEXMATCH(SUBSTITUTE(TRIM(F495)," ",""),"^-?\d+(\.\d+)?,-?\d+(\.\d+)?$"),VALUE(REGEXEXTRACT(SUBSTITUTE(TRIM(F495)," ",""),"^-?\d+(\.\d+)?"))&gt;=-90,VALUE(REGEXEXTRACT(SUBSTITUTE(TRIM(F495)," ",""),"^-?\d+(\.\d+)?"))&lt;=90,VALUE(REGEXEXTRACT(SUBSTITUTE(TRIM(F495)," ",""),"-?\d+(\.\d+)?$"))&gt;=-180,VALUE(REGEXEXTRACT(SUBSTITUTE(TRIM(F495)," ",""),"-?\d+(\.\d+)?$"))&lt;=180),"OK","REVISAR"),"REVISAR"),"")</f>
        <v/>
      </c>
      <c r="O495">
        <f>IF(A495&lt;&gt;"","https://direcciones507.github.io/direcciones507/panel.html?codigo="&amp;A495&amp;"&amp;nombre="&amp;ENCODEURL(B495)&amp;"&amp;telefono="&amp;SUBSTITUTE(C495,"-","")&amp;"&amp;referencia="&amp;ENCODEURL(E495)&amp;"&amp;lat="&amp;IZQUIERDA(SUBSTITUTE(F495," ",""),ENCONTRAR(",",SUBSTITUTE(F495," ",""))-1)&amp;"&amp;lng="&amp;DERECHA(SUBSTITUTE(F495," ",""),LARGO(SUBSTITUTE(F495," ",""))-ENCONTRAR(",",SUBSTITUTE(F495," ",""))),"")</f>
        <v/>
      </c>
    </row>
    <row r="496" ht="15.75" customHeight="1" s="10">
      <c r="A496" s="8">
        <f>CONCAT("AD507-",TEXT(ROW()-2,"0000"))</f>
        <v/>
      </c>
      <c r="C496" s="8" t="n"/>
      <c r="F496" s="8" t="n"/>
      <c r="G496" s="8">
        <f>IF(F496&lt;&gt;"",HYPERLINK("https://www.google.com/maps/search/?api=1&amp;query="&amp;SUBSTITUTE(F496," ",""),"🗺 Google Maps"),"")</f>
        <v/>
      </c>
      <c r="H496" s="8">
        <f>IF(F496&lt;&gt;"",HYPERLINK("https://waze.com/ul?ll="&amp;SUBSTITUTE(F496," ","")&amp;"&amp;navigate=yes","🚗 Waze"),"")</f>
        <v/>
      </c>
      <c r="I496" s="8">
        <f>IF(F496&lt;&gt;"",HYPERLINK("https://m.uber.com/ul/?action=setPickup&amp;pickup=my_location&amp;dropoff[latitude]="&amp;LEFT(SUBSTITUTE(F496," ",""),FIND(",",SUBSTITUTE(F496," ",""))-1)&amp;"&amp;dropoff[longitude]="&amp;MID(SUBSTITUTE(F496," ",""),FIND(",",SUBSTITUTE(F496," ",""))+1,99),"🚕 Uber"),"")</f>
        <v/>
      </c>
      <c r="J496" s="8">
        <f>IF(F496&lt;&gt;"","https://api.qrserver.com/v1/create-qr-code/?size=200x200&amp;data="&amp;ENCODEURL("https://www.google.com/maps/search/?api=1&amp;query="&amp;SUBSTITUTE(F496," ","")),"")</f>
        <v/>
      </c>
      <c r="K496" s="8">
        <f>IF(C496&lt;&gt;"",HYPERLINK("https://wa.me/507"&amp;REGEXREPLACE(C496,"[^0-9]","")&amp;"?text="&amp;ENCODEURL("Ya llegue. Codigo: "&amp;A496&amp;". Ubicacion: "&amp;"https://www.google.com/maps/search/?api=1&amp;query="&amp;SUBSTITUTE(F496," ","")),"📲 Avisar al cliente"),"")</f>
        <v/>
      </c>
      <c r="L496" s="8">
        <f>IF(C496&lt;&gt;"","https://api.qrserver.com/v1/create-qr-code/?size=200x200&amp;data="&amp;ENCODEURL("https://wa.me/507"&amp;REGEXREPLACE(C496,"[^0-9]","")&amp;"?text="&amp;ENCODEURL("Ya llegue. Codigo: "&amp;A496&amp;". Ubicacion: "&amp;"https://www.google.com/maps/search/?api=1&amp;query="&amp;SUBSTITUTE(F496," ",""))),"")</f>
        <v/>
      </c>
      <c r="M496" s="8">
        <f>IF(B496&lt;&gt;"",TODAY(),"")</f>
        <v/>
      </c>
      <c r="N496" s="8">
        <f>IF(F496&lt;&gt;"",IFERROR(IF(AND(REGEXMATCH(SUBSTITUTE(TRIM(F496)," ",""),"^-?\d+(\.\d+)?,-?\d+(\.\d+)?$"),VALUE(REGEXEXTRACT(SUBSTITUTE(TRIM(F496)," ",""),"^-?\d+(\.\d+)?"))&gt;=-90,VALUE(REGEXEXTRACT(SUBSTITUTE(TRIM(F496)," ",""),"^-?\d+(\.\d+)?"))&lt;=90,VALUE(REGEXEXTRACT(SUBSTITUTE(TRIM(F496)," ",""),"-?\d+(\.\d+)?$"))&gt;=-180,VALUE(REGEXEXTRACT(SUBSTITUTE(TRIM(F496)," ",""),"-?\d+(\.\d+)?$"))&lt;=180),"OK","REVISAR"),"REVISAR"),"")</f>
        <v/>
      </c>
      <c r="O496">
        <f>IF(A496&lt;&gt;"","https://direcciones507.github.io/direcciones507/panel.html?codigo="&amp;A496&amp;"&amp;nombre="&amp;ENCODEURL(B496)&amp;"&amp;telefono="&amp;SUBSTITUTE(C496,"-","")&amp;"&amp;referencia="&amp;ENCODEURL(E496)&amp;"&amp;lat="&amp;IZQUIERDA(SUBSTITUTE(F496," ",""),ENCONTRAR(",",SUBSTITUTE(F496," ",""))-1)&amp;"&amp;lng="&amp;DERECHA(SUBSTITUTE(F496," ",""),LARGO(SUBSTITUTE(F496," ",""))-ENCONTRAR(",",SUBSTITUTE(F496," ",""))),"")</f>
        <v/>
      </c>
    </row>
    <row r="497" ht="15.75" customHeight="1" s="10">
      <c r="A497" s="8">
        <f>CONCAT("AD507-",TEXT(ROW()-2,"0000"))</f>
        <v/>
      </c>
      <c r="C497" s="8" t="n"/>
      <c r="F497" s="8" t="n"/>
      <c r="G497" s="8">
        <f>IF(F497&lt;&gt;"",HYPERLINK("https://www.google.com/maps/search/?api=1&amp;query="&amp;SUBSTITUTE(F497," ",""),"🗺 Google Maps"),"")</f>
        <v/>
      </c>
      <c r="H497" s="8">
        <f>IF(F497&lt;&gt;"",HYPERLINK("https://waze.com/ul?ll="&amp;SUBSTITUTE(F497," ","")&amp;"&amp;navigate=yes","🚗 Waze"),"")</f>
        <v/>
      </c>
      <c r="I497" s="8">
        <f>IF(F497&lt;&gt;"",HYPERLINK("https://m.uber.com/ul/?action=setPickup&amp;pickup=my_location&amp;dropoff[latitude]="&amp;LEFT(SUBSTITUTE(F497," ",""),FIND(",",SUBSTITUTE(F497," ",""))-1)&amp;"&amp;dropoff[longitude]="&amp;MID(SUBSTITUTE(F497," ",""),FIND(",",SUBSTITUTE(F497," ",""))+1,99),"🚕 Uber"),"")</f>
        <v/>
      </c>
      <c r="J497" s="8">
        <f>IF(F497&lt;&gt;"","https://api.qrserver.com/v1/create-qr-code/?size=200x200&amp;data="&amp;ENCODEURL("https://www.google.com/maps/search/?api=1&amp;query="&amp;SUBSTITUTE(F497," ","")),"")</f>
        <v/>
      </c>
      <c r="K497" s="8">
        <f>IF(C497&lt;&gt;"",HYPERLINK("https://wa.me/507"&amp;REGEXREPLACE(C497,"[^0-9]","")&amp;"?text="&amp;ENCODEURL("Ya llegue. Codigo: "&amp;A497&amp;". Ubicacion: "&amp;"https://www.google.com/maps/search/?api=1&amp;query="&amp;SUBSTITUTE(F497," ","")),"📲 Avisar al cliente"),"")</f>
        <v/>
      </c>
      <c r="L497" s="8">
        <f>IF(C497&lt;&gt;"","https://api.qrserver.com/v1/create-qr-code/?size=200x200&amp;data="&amp;ENCODEURL("https://wa.me/507"&amp;REGEXREPLACE(C497,"[^0-9]","")&amp;"?text="&amp;ENCODEURL("Ya llegue. Codigo: "&amp;A497&amp;". Ubicacion: "&amp;"https://www.google.com/maps/search/?api=1&amp;query="&amp;SUBSTITUTE(F497," ",""))),"")</f>
        <v/>
      </c>
      <c r="M497" s="8">
        <f>IF(B497&lt;&gt;"",TODAY(),"")</f>
        <v/>
      </c>
      <c r="N497" s="8">
        <f>IF(F497&lt;&gt;"",IFERROR(IF(AND(REGEXMATCH(SUBSTITUTE(TRIM(F497)," ",""),"^-?\d+(\.\d+)?,-?\d+(\.\d+)?$"),VALUE(REGEXEXTRACT(SUBSTITUTE(TRIM(F497)," ",""),"^-?\d+(\.\d+)?"))&gt;=-90,VALUE(REGEXEXTRACT(SUBSTITUTE(TRIM(F497)," ",""),"^-?\d+(\.\d+)?"))&lt;=90,VALUE(REGEXEXTRACT(SUBSTITUTE(TRIM(F497)," ",""),"-?\d+(\.\d+)?$"))&gt;=-180,VALUE(REGEXEXTRACT(SUBSTITUTE(TRIM(F497)," ",""),"-?\d+(\.\d+)?$"))&lt;=180),"OK","REVISAR"),"REVISAR"),"")</f>
        <v/>
      </c>
      <c r="O497">
        <f>IF(A497&lt;&gt;"","https://direcciones507.github.io/direcciones507/panel.html?codigo="&amp;A497&amp;"&amp;nombre="&amp;ENCODEURL(B497)&amp;"&amp;telefono="&amp;SUBSTITUTE(C497,"-","")&amp;"&amp;referencia="&amp;ENCODEURL(E497)&amp;"&amp;lat="&amp;IZQUIERDA(SUBSTITUTE(F497," ",""),ENCONTRAR(",",SUBSTITUTE(F497," ",""))-1)&amp;"&amp;lng="&amp;DERECHA(SUBSTITUTE(F497," ",""),LARGO(SUBSTITUTE(F497," ",""))-ENCONTRAR(",",SUBSTITUTE(F497," ",""))),"")</f>
        <v/>
      </c>
    </row>
    <row r="498" ht="15.75" customHeight="1" s="10">
      <c r="A498" s="8">
        <f>CONCAT("AD507-",TEXT(ROW()-2,"0000"))</f>
        <v/>
      </c>
      <c r="C498" s="8" t="n"/>
      <c r="F498" s="8" t="n"/>
      <c r="G498" s="8">
        <f>IF(F498&lt;&gt;"",HYPERLINK("https://www.google.com/maps/search/?api=1&amp;query="&amp;SUBSTITUTE(F498," ",""),"🗺 Google Maps"),"")</f>
        <v/>
      </c>
      <c r="H498" s="8">
        <f>IF(F498&lt;&gt;"",HYPERLINK("https://waze.com/ul?ll="&amp;SUBSTITUTE(F498," ","")&amp;"&amp;navigate=yes","🚗 Waze"),"")</f>
        <v/>
      </c>
      <c r="I498" s="8">
        <f>IF(F498&lt;&gt;"",HYPERLINK("https://m.uber.com/ul/?action=setPickup&amp;pickup=my_location&amp;dropoff[latitude]="&amp;LEFT(SUBSTITUTE(F498," ",""),FIND(",",SUBSTITUTE(F498," ",""))-1)&amp;"&amp;dropoff[longitude]="&amp;MID(SUBSTITUTE(F498," ",""),FIND(",",SUBSTITUTE(F498," ",""))+1,99),"🚕 Uber"),"")</f>
        <v/>
      </c>
      <c r="J498" s="8">
        <f>IF(F498&lt;&gt;"","https://api.qrserver.com/v1/create-qr-code/?size=200x200&amp;data="&amp;ENCODEURL("https://www.google.com/maps/search/?api=1&amp;query="&amp;SUBSTITUTE(F498," ","")),"")</f>
        <v/>
      </c>
      <c r="K498" s="8">
        <f>IF(C498&lt;&gt;"",HYPERLINK("https://wa.me/507"&amp;REGEXREPLACE(C498,"[^0-9]","")&amp;"?text="&amp;ENCODEURL("Ya llegue. Codigo: "&amp;A498&amp;". Ubicacion: "&amp;"https://www.google.com/maps/search/?api=1&amp;query="&amp;SUBSTITUTE(F498," ","")),"📲 Avisar al cliente"),"")</f>
        <v/>
      </c>
      <c r="L498" s="8">
        <f>IF(C498&lt;&gt;"","https://api.qrserver.com/v1/create-qr-code/?size=200x200&amp;data="&amp;ENCODEURL("https://wa.me/507"&amp;REGEXREPLACE(C498,"[^0-9]","")&amp;"?text="&amp;ENCODEURL("Ya llegue. Codigo: "&amp;A498&amp;". Ubicacion: "&amp;"https://www.google.com/maps/search/?api=1&amp;query="&amp;SUBSTITUTE(F498," ",""))),"")</f>
        <v/>
      </c>
      <c r="M498" s="8">
        <f>IF(B498&lt;&gt;"",TODAY(),"")</f>
        <v/>
      </c>
      <c r="N498" s="8">
        <f>IF(F498&lt;&gt;"",IFERROR(IF(AND(REGEXMATCH(SUBSTITUTE(TRIM(F498)," ",""),"^-?\d+(\.\d+)?,-?\d+(\.\d+)?$"),VALUE(REGEXEXTRACT(SUBSTITUTE(TRIM(F498)," ",""),"^-?\d+(\.\d+)?"))&gt;=-90,VALUE(REGEXEXTRACT(SUBSTITUTE(TRIM(F498)," ",""),"^-?\d+(\.\d+)?"))&lt;=90,VALUE(REGEXEXTRACT(SUBSTITUTE(TRIM(F498)," ",""),"-?\d+(\.\d+)?$"))&gt;=-180,VALUE(REGEXEXTRACT(SUBSTITUTE(TRIM(F498)," ",""),"-?\d+(\.\d+)?$"))&lt;=180),"OK","REVISAR"),"REVISAR"),"")</f>
        <v/>
      </c>
      <c r="O498">
        <f>IF(A498&lt;&gt;"","https://direcciones507.github.io/direcciones507/panel.html?codigo="&amp;A498&amp;"&amp;nombre="&amp;ENCODEURL(B498)&amp;"&amp;telefono="&amp;SUBSTITUTE(C498,"-","")&amp;"&amp;referencia="&amp;ENCODEURL(E498)&amp;"&amp;lat="&amp;IZQUIERDA(SUBSTITUTE(F498," ",""),ENCONTRAR(",",SUBSTITUTE(F498," ",""))-1)&amp;"&amp;lng="&amp;DERECHA(SUBSTITUTE(F498," ",""),LARGO(SUBSTITUTE(F498," ",""))-ENCONTRAR(",",SUBSTITUTE(F498," ",""))),"")</f>
        <v/>
      </c>
    </row>
    <row r="499" ht="15.75" customHeight="1" s="10">
      <c r="A499" s="8">
        <f>CONCAT("AD507-",TEXT(ROW()-2,"0000"))</f>
        <v/>
      </c>
      <c r="C499" s="8" t="n"/>
      <c r="F499" s="8" t="n"/>
      <c r="G499" s="8">
        <f>IF(F499&lt;&gt;"",HYPERLINK("https://www.google.com/maps/search/?api=1&amp;query="&amp;SUBSTITUTE(F499," ",""),"🗺 Google Maps"),"")</f>
        <v/>
      </c>
      <c r="H499" s="8">
        <f>IF(F499&lt;&gt;"",HYPERLINK("https://waze.com/ul?ll="&amp;SUBSTITUTE(F499," ","")&amp;"&amp;navigate=yes","🚗 Waze"),"")</f>
        <v/>
      </c>
      <c r="I499" s="8">
        <f>IF(F499&lt;&gt;"",HYPERLINK("https://m.uber.com/ul/?action=setPickup&amp;pickup=my_location&amp;dropoff[latitude]="&amp;LEFT(SUBSTITUTE(F499," ",""),FIND(",",SUBSTITUTE(F499," ",""))-1)&amp;"&amp;dropoff[longitude]="&amp;MID(SUBSTITUTE(F499," ",""),FIND(",",SUBSTITUTE(F499," ",""))+1,99),"🚕 Uber"),"")</f>
        <v/>
      </c>
      <c r="J499" s="8">
        <f>IF(F499&lt;&gt;"","https://api.qrserver.com/v1/create-qr-code/?size=200x200&amp;data="&amp;ENCODEURL("https://www.google.com/maps/search/?api=1&amp;query="&amp;SUBSTITUTE(F499," ","")),"")</f>
        <v/>
      </c>
      <c r="K499" s="8">
        <f>IF(C499&lt;&gt;"",HYPERLINK("https://wa.me/507"&amp;REGEXREPLACE(C499,"[^0-9]","")&amp;"?text="&amp;ENCODEURL("Ya llegue. Codigo: "&amp;A499&amp;". Ubicacion: "&amp;"https://www.google.com/maps/search/?api=1&amp;query="&amp;SUBSTITUTE(F499," ","")),"📲 Avisar al cliente"),"")</f>
        <v/>
      </c>
      <c r="L499" s="8">
        <f>IF(C499&lt;&gt;"","https://api.qrserver.com/v1/create-qr-code/?size=200x200&amp;data="&amp;ENCODEURL("https://wa.me/507"&amp;REGEXREPLACE(C499,"[^0-9]","")&amp;"?text="&amp;ENCODEURL("Ya llegue. Codigo: "&amp;A499&amp;". Ubicacion: "&amp;"https://www.google.com/maps/search/?api=1&amp;query="&amp;SUBSTITUTE(F499," ",""))),"")</f>
        <v/>
      </c>
      <c r="M499" s="8">
        <f>IF(B499&lt;&gt;"",TODAY(),"")</f>
        <v/>
      </c>
      <c r="N499" s="8">
        <f>IF(F499&lt;&gt;"",IFERROR(IF(AND(REGEXMATCH(SUBSTITUTE(TRIM(F499)," ",""),"^-?\d+(\.\d+)?,-?\d+(\.\d+)?$"),VALUE(REGEXEXTRACT(SUBSTITUTE(TRIM(F499)," ",""),"^-?\d+(\.\d+)?"))&gt;=-90,VALUE(REGEXEXTRACT(SUBSTITUTE(TRIM(F499)," ",""),"^-?\d+(\.\d+)?"))&lt;=90,VALUE(REGEXEXTRACT(SUBSTITUTE(TRIM(F499)," ",""),"-?\d+(\.\d+)?$"))&gt;=-180,VALUE(REGEXEXTRACT(SUBSTITUTE(TRIM(F499)," ",""),"-?\d+(\.\d+)?$"))&lt;=180),"OK","REVISAR"),"REVISAR"),"")</f>
        <v/>
      </c>
      <c r="O499">
        <f>IF(A499&lt;&gt;"","https://direcciones507.github.io/direcciones507/panel.html?codigo="&amp;A499&amp;"&amp;nombre="&amp;ENCODEURL(B499)&amp;"&amp;telefono="&amp;SUBSTITUTE(C499,"-","")&amp;"&amp;referencia="&amp;ENCODEURL(E499)&amp;"&amp;lat="&amp;IZQUIERDA(SUBSTITUTE(F499," ",""),ENCONTRAR(",",SUBSTITUTE(F499," ",""))-1)&amp;"&amp;lng="&amp;DERECHA(SUBSTITUTE(F499," ",""),LARGO(SUBSTITUTE(F499," ",""))-ENCONTRAR(",",SUBSTITUTE(F499," ",""))),"")</f>
        <v/>
      </c>
    </row>
    <row r="500" ht="15.75" customHeight="1" s="10">
      <c r="A500" s="8">
        <f>CONCAT("AD507-",TEXT(ROW()-2,"0000"))</f>
        <v/>
      </c>
      <c r="C500" s="8" t="n"/>
      <c r="F500" s="8" t="n"/>
      <c r="G500" s="8">
        <f>IF(F500&lt;&gt;"",HYPERLINK("https://www.google.com/maps/search/?api=1&amp;query="&amp;SUBSTITUTE(F500," ",""),"🗺 Google Maps"),"")</f>
        <v/>
      </c>
      <c r="H500" s="8">
        <f>IF(F500&lt;&gt;"",HYPERLINK("https://waze.com/ul?ll="&amp;SUBSTITUTE(F500," ","")&amp;"&amp;navigate=yes","🚗 Waze"),"")</f>
        <v/>
      </c>
      <c r="I500" s="8">
        <f>IF(F500&lt;&gt;"",HYPERLINK("https://m.uber.com/ul/?action=setPickup&amp;pickup=my_location&amp;dropoff[latitude]="&amp;LEFT(SUBSTITUTE(F500," ",""),FIND(",",SUBSTITUTE(F500," ",""))-1)&amp;"&amp;dropoff[longitude]="&amp;MID(SUBSTITUTE(F500," ",""),FIND(",",SUBSTITUTE(F500," ",""))+1,99),"🚕 Uber"),"")</f>
        <v/>
      </c>
      <c r="J500" s="8">
        <f>IF(F500&lt;&gt;"","https://api.qrserver.com/v1/create-qr-code/?size=200x200&amp;data="&amp;ENCODEURL("https://www.google.com/maps/search/?api=1&amp;query="&amp;SUBSTITUTE(F500," ","")),"")</f>
        <v/>
      </c>
      <c r="K500" s="8">
        <f>IF(C500&lt;&gt;"",HYPERLINK("https://wa.me/507"&amp;REGEXREPLACE(C500,"[^0-9]","")&amp;"?text="&amp;ENCODEURL("Ya llegue. Codigo: "&amp;A500&amp;". Ubicacion: "&amp;"https://www.google.com/maps/search/?api=1&amp;query="&amp;SUBSTITUTE(F500," ","")),"📲 Avisar al cliente"),"")</f>
        <v/>
      </c>
      <c r="L500" s="8">
        <f>IF(C500&lt;&gt;"","https://api.qrserver.com/v1/create-qr-code/?size=200x200&amp;data="&amp;ENCODEURL("https://wa.me/507"&amp;REGEXREPLACE(C500,"[^0-9]","")&amp;"?text="&amp;ENCODEURL("Ya llegue. Codigo: "&amp;A500&amp;". Ubicacion: "&amp;"https://www.google.com/maps/search/?api=1&amp;query="&amp;SUBSTITUTE(F500," ",""))),"")</f>
        <v/>
      </c>
      <c r="M500" s="8">
        <f>IF(B500&lt;&gt;"",TODAY(),"")</f>
        <v/>
      </c>
      <c r="N500" s="8">
        <f>IF(F500&lt;&gt;"",IFERROR(IF(AND(REGEXMATCH(SUBSTITUTE(TRIM(F500)," ",""),"^-?\d+(\.\d+)?,-?\d+(\.\d+)?$"),VALUE(REGEXEXTRACT(SUBSTITUTE(TRIM(F500)," ",""),"^-?\d+(\.\d+)?"))&gt;=-90,VALUE(REGEXEXTRACT(SUBSTITUTE(TRIM(F500)," ",""),"^-?\d+(\.\d+)?"))&lt;=90,VALUE(REGEXEXTRACT(SUBSTITUTE(TRIM(F500)," ",""),"-?\d+(\.\d+)?$"))&gt;=-180,VALUE(REGEXEXTRACT(SUBSTITUTE(TRIM(F500)," ",""),"-?\d+(\.\d+)?$"))&lt;=180),"OK","REVISAR"),"REVISAR"),"")</f>
        <v/>
      </c>
      <c r="O500">
        <f>IF(A500&lt;&gt;"","https://direcciones507.github.io/direcciones507/panel.html?codigo="&amp;A500&amp;"&amp;nombre="&amp;ENCODEURL(B500)&amp;"&amp;telefono="&amp;SUBSTITUTE(C500,"-","")&amp;"&amp;referencia="&amp;ENCODEURL(E500)&amp;"&amp;lat="&amp;IZQUIERDA(SUBSTITUTE(F500," ",""),ENCONTRAR(",",SUBSTITUTE(F500," ",""))-1)&amp;"&amp;lng="&amp;DERECHA(SUBSTITUTE(F500," ",""),LARGO(SUBSTITUTE(F500," ",""))-ENCONTRAR(",",SUBSTITUTE(F500," ",""))),"")</f>
        <v/>
      </c>
    </row>
    <row r="501" ht="15.75" customHeight="1" s="10">
      <c r="A501" s="8">
        <f>CONCAT("AD507-",TEXT(ROW()-2,"0000"))</f>
        <v/>
      </c>
      <c r="C501" s="8" t="n"/>
      <c r="F501" s="8" t="n"/>
      <c r="G501" s="8">
        <f>IF(F501&lt;&gt;"",HYPERLINK("https://www.google.com/maps/search/?api=1&amp;query="&amp;SUBSTITUTE(F501," ",""),"🗺 Google Maps"),"")</f>
        <v/>
      </c>
      <c r="H501" s="8">
        <f>IF(F501&lt;&gt;"",HYPERLINK("https://waze.com/ul?ll="&amp;SUBSTITUTE(F501," ","")&amp;"&amp;navigate=yes","🚗 Waze"),"")</f>
        <v/>
      </c>
      <c r="I501" s="8">
        <f>IF(F501&lt;&gt;"",HYPERLINK("https://m.uber.com/ul/?action=setPickup&amp;pickup=my_location&amp;dropoff[latitude]="&amp;LEFT(SUBSTITUTE(F501," ",""),FIND(",",SUBSTITUTE(F501," ",""))-1)&amp;"&amp;dropoff[longitude]="&amp;MID(SUBSTITUTE(F501," ",""),FIND(",",SUBSTITUTE(F501," ",""))+1,99),"🚕 Uber"),"")</f>
        <v/>
      </c>
      <c r="J501" s="8">
        <f>IF(F501&lt;&gt;"","https://api.qrserver.com/v1/create-qr-code/?size=200x200&amp;data="&amp;ENCODEURL("https://www.google.com/maps/search/?api=1&amp;query="&amp;SUBSTITUTE(F501," ","")),"")</f>
        <v/>
      </c>
      <c r="K501" s="8">
        <f>IF(C501&lt;&gt;"",HYPERLINK("https://wa.me/507"&amp;REGEXREPLACE(C501,"[^0-9]","")&amp;"?text="&amp;ENCODEURL("Ya llegue. Codigo: "&amp;A501&amp;". Ubicacion: "&amp;"https://www.google.com/maps/search/?api=1&amp;query="&amp;SUBSTITUTE(F501," ","")),"📲 Avisar al cliente"),"")</f>
        <v/>
      </c>
      <c r="L501" s="8">
        <f>IF(C501&lt;&gt;"","https://api.qrserver.com/v1/create-qr-code/?size=200x200&amp;data="&amp;ENCODEURL("https://wa.me/507"&amp;REGEXREPLACE(C501,"[^0-9]","")&amp;"?text="&amp;ENCODEURL("Ya llegue. Codigo: "&amp;A501&amp;". Ubicacion: "&amp;"https://www.google.com/maps/search/?api=1&amp;query="&amp;SUBSTITUTE(F501," ",""))),"")</f>
        <v/>
      </c>
      <c r="M501" s="8">
        <f>IF(B501&lt;&gt;"",TODAY(),"")</f>
        <v/>
      </c>
      <c r="N501" s="8">
        <f>IF(F501&lt;&gt;"",IFERROR(IF(AND(REGEXMATCH(SUBSTITUTE(TRIM(F501)," ",""),"^-?\d+(\.\d+)?,-?\d+(\.\d+)?$"),VALUE(REGEXEXTRACT(SUBSTITUTE(TRIM(F501)," ",""),"^-?\d+(\.\d+)?"))&gt;=-90,VALUE(REGEXEXTRACT(SUBSTITUTE(TRIM(F501)," ",""),"^-?\d+(\.\d+)?"))&lt;=90,VALUE(REGEXEXTRACT(SUBSTITUTE(TRIM(F501)," ",""),"-?\d+(\.\d+)?$"))&gt;=-180,VALUE(REGEXEXTRACT(SUBSTITUTE(TRIM(F501)," ",""),"-?\d+(\.\d+)?$"))&lt;=180),"OK","REVISAR"),"REVISAR"),"")</f>
        <v/>
      </c>
      <c r="O501">
        <f>IF(A501&lt;&gt;"","https://direcciones507.github.io/direcciones507/panel.html?codigo="&amp;A501&amp;"&amp;nombre="&amp;ENCODEURL(B501)&amp;"&amp;telefono="&amp;SUBSTITUTE(C501,"-","")&amp;"&amp;referencia="&amp;ENCODEURL(E501)&amp;"&amp;lat="&amp;IZQUIERDA(SUBSTITUTE(F501," ",""),ENCONTRAR(",",SUBSTITUTE(F501," ",""))-1)&amp;"&amp;lng="&amp;DERECHA(SUBSTITUTE(F501," ",""),LARGO(SUBSTITUTE(F501," ",""))-ENCONTRAR(",",SUBSTITUTE(F501," ",""))),"")</f>
        <v/>
      </c>
    </row>
    <row r="502" ht="15.75" customHeight="1" s="10">
      <c r="A502" s="8">
        <f>CONCAT("AD507-",TEXT(ROW()-2,"0000"))</f>
        <v/>
      </c>
      <c r="C502" s="8" t="n"/>
      <c r="F502" s="8" t="n"/>
      <c r="G502" s="8">
        <f>IF(F502&lt;&gt;"",HYPERLINK("https://www.google.com/maps/search/?api=1&amp;query="&amp;SUBSTITUTE(F502," ",""),"🗺 Google Maps"),"")</f>
        <v/>
      </c>
      <c r="H502" s="8">
        <f>IF(F502&lt;&gt;"",HYPERLINK("https://waze.com/ul?ll="&amp;SUBSTITUTE(F502," ","")&amp;"&amp;navigate=yes","🚗 Waze"),"")</f>
        <v/>
      </c>
      <c r="I502" s="8">
        <f>IF(F502&lt;&gt;"",HYPERLINK("https://m.uber.com/ul/?action=setPickup&amp;pickup=my_location&amp;dropoff[latitude]="&amp;LEFT(SUBSTITUTE(F502," ",""),FIND(",",SUBSTITUTE(F502," ",""))-1)&amp;"&amp;dropoff[longitude]="&amp;MID(SUBSTITUTE(F502," ",""),FIND(",",SUBSTITUTE(F502," ",""))+1,99),"🚕 Uber"),"")</f>
        <v/>
      </c>
      <c r="J502" s="8">
        <f>IF(F502&lt;&gt;"","https://api.qrserver.com/v1/create-qr-code/?size=200x200&amp;data="&amp;ENCODEURL("https://www.google.com/maps/search/?api=1&amp;query="&amp;SUBSTITUTE(F502," ","")),"")</f>
        <v/>
      </c>
      <c r="K502" s="8">
        <f>IF(C502&lt;&gt;"",HYPERLINK("https://wa.me/507"&amp;REGEXREPLACE(C502,"[^0-9]","")&amp;"?text="&amp;ENCODEURL("Ya llegue. Codigo: "&amp;A502&amp;". Ubicacion: "&amp;"https://www.google.com/maps/search/?api=1&amp;query="&amp;SUBSTITUTE(F502," ","")),"📲 Avisar al cliente"),"")</f>
        <v/>
      </c>
      <c r="L502" s="8">
        <f>IF(C502&lt;&gt;"","https://api.qrserver.com/v1/create-qr-code/?size=200x200&amp;data="&amp;ENCODEURL("https://wa.me/507"&amp;REGEXREPLACE(C502,"[^0-9]","")&amp;"?text="&amp;ENCODEURL("Ya llegue. Codigo: "&amp;A502&amp;". Ubicacion: "&amp;"https://www.google.com/maps/search/?api=1&amp;query="&amp;SUBSTITUTE(F502," ",""))),"")</f>
        <v/>
      </c>
      <c r="M502" s="8">
        <f>IF(B502&lt;&gt;"",TODAY(),"")</f>
        <v/>
      </c>
      <c r="N502" s="8">
        <f>IF(F502&lt;&gt;"",IFERROR(IF(AND(REGEXMATCH(SUBSTITUTE(TRIM(F502)," ",""),"^-?\d+(\.\d+)?,-?\d+(\.\d+)?$"),VALUE(REGEXEXTRACT(SUBSTITUTE(TRIM(F502)," ",""),"^-?\d+(\.\d+)?"))&gt;=-90,VALUE(REGEXEXTRACT(SUBSTITUTE(TRIM(F502)," ",""),"^-?\d+(\.\d+)?"))&lt;=90,VALUE(REGEXEXTRACT(SUBSTITUTE(TRIM(F502)," ",""),"-?\d+(\.\d+)?$"))&gt;=-180,VALUE(REGEXEXTRACT(SUBSTITUTE(TRIM(F502)," ",""),"-?\d+(\.\d+)?$"))&lt;=180),"OK","REVISAR"),"REVISAR"),"")</f>
        <v/>
      </c>
      <c r="O502">
        <f>IF(A502&lt;&gt;"","https://direcciones507.github.io/direcciones507/panel.html?codigo="&amp;A502&amp;"&amp;nombre="&amp;ENCODEURL(B502)&amp;"&amp;telefono="&amp;SUBSTITUTE(C502,"-","")&amp;"&amp;referencia="&amp;ENCODEURL(E502)&amp;"&amp;lat="&amp;IZQUIERDA(SUBSTITUTE(F502," ",""),ENCONTRAR(",",SUBSTITUTE(F502," ",""))-1)&amp;"&amp;lng="&amp;DERECHA(SUBSTITUTE(F502," ",""),LARGO(SUBSTITUTE(F502," ",""))-ENCONTRAR(",",SUBSTITUTE(F502," ",""))),"")</f>
        <v/>
      </c>
    </row>
    <row r="503" ht="15.75" customHeight="1" s="10">
      <c r="A503" s="8">
        <f>CONCAT("AD507-",TEXT(ROW()-2,"0000"))</f>
        <v/>
      </c>
      <c r="C503" s="8" t="n"/>
      <c r="F503" s="8" t="n"/>
      <c r="G503" s="8">
        <f>IF(F503&lt;&gt;"",HYPERLINK("https://www.google.com/maps/search/?api=1&amp;query="&amp;SUBSTITUTE(F503," ",""),"🗺 Google Maps"),"")</f>
        <v/>
      </c>
      <c r="H503" s="8">
        <f>IF(F503&lt;&gt;"",HYPERLINK("https://waze.com/ul?ll="&amp;SUBSTITUTE(F503," ","")&amp;"&amp;navigate=yes","🚗 Waze"),"")</f>
        <v/>
      </c>
      <c r="I503" s="8">
        <f>IF(F503&lt;&gt;"",HYPERLINK("https://m.uber.com/ul/?action=setPickup&amp;pickup=my_location&amp;dropoff[latitude]="&amp;LEFT(SUBSTITUTE(F503," ",""),FIND(",",SUBSTITUTE(F503," ",""))-1)&amp;"&amp;dropoff[longitude]="&amp;MID(SUBSTITUTE(F503," ",""),FIND(",",SUBSTITUTE(F503," ",""))+1,99),"🚕 Uber"),"")</f>
        <v/>
      </c>
      <c r="J503" s="8">
        <f>IF(F503&lt;&gt;"","https://api.qrserver.com/v1/create-qr-code/?size=200x200&amp;data="&amp;ENCODEURL("https://www.google.com/maps/search/?api=1&amp;query="&amp;SUBSTITUTE(F503," ","")),"")</f>
        <v/>
      </c>
      <c r="K503" s="8">
        <f>IF(C503&lt;&gt;"",HYPERLINK("https://wa.me/507"&amp;REGEXREPLACE(C503,"[^0-9]","")&amp;"?text="&amp;ENCODEURL("Ya llegue. Codigo: "&amp;A503&amp;". Ubicacion: "&amp;"https://www.google.com/maps/search/?api=1&amp;query="&amp;SUBSTITUTE(F503," ","")),"📲 Avisar al cliente"),"")</f>
        <v/>
      </c>
      <c r="L503" s="8">
        <f>IF(C503&lt;&gt;"","https://api.qrserver.com/v1/create-qr-code/?size=200x200&amp;data="&amp;ENCODEURL("https://wa.me/507"&amp;REGEXREPLACE(C503,"[^0-9]","")&amp;"?text="&amp;ENCODEURL("Ya llegue. Codigo: "&amp;A503&amp;". Ubicacion: "&amp;"https://www.google.com/maps/search/?api=1&amp;query="&amp;SUBSTITUTE(F503," ",""))),"")</f>
        <v/>
      </c>
      <c r="M503" s="8">
        <f>IF(B503&lt;&gt;"",TODAY(),"")</f>
        <v/>
      </c>
      <c r="N503" s="8">
        <f>IF(F503&lt;&gt;"",IFERROR(IF(AND(REGEXMATCH(SUBSTITUTE(TRIM(F503)," ",""),"^-?\d+(\.\d+)?,-?\d+(\.\d+)?$"),VALUE(REGEXEXTRACT(SUBSTITUTE(TRIM(F503)," ",""),"^-?\d+(\.\d+)?"))&gt;=-90,VALUE(REGEXEXTRACT(SUBSTITUTE(TRIM(F503)," ",""),"^-?\d+(\.\d+)?"))&lt;=90,VALUE(REGEXEXTRACT(SUBSTITUTE(TRIM(F503)," ",""),"-?\d+(\.\d+)?$"))&gt;=-180,VALUE(REGEXEXTRACT(SUBSTITUTE(TRIM(F503)," ",""),"-?\d+(\.\d+)?$"))&lt;=180),"OK","REVISAR"),"REVISAR"),"")</f>
        <v/>
      </c>
      <c r="O503">
        <f>IF(A503&lt;&gt;"","https://direcciones507.github.io/direcciones507/panel.html?codigo="&amp;A503&amp;"&amp;nombre="&amp;ENCODEURL(B503)&amp;"&amp;telefono="&amp;SUBSTITUTE(C503,"-","")&amp;"&amp;referencia="&amp;ENCODEURL(E503)&amp;"&amp;lat="&amp;IZQUIERDA(SUBSTITUTE(F503," ",""),ENCONTRAR(",",SUBSTITUTE(F503," ",""))-1)&amp;"&amp;lng="&amp;DERECHA(SUBSTITUTE(F503," ",""),LARGO(SUBSTITUTE(F503," ",""))-ENCONTRAR(",",SUBSTITUTE(F503," ",""))),"")</f>
        <v/>
      </c>
    </row>
    <row r="504" ht="15.75" customHeight="1" s="10">
      <c r="A504" s="8">
        <f>CONCAT("AD507-",TEXT(ROW()-2,"0000"))</f>
        <v/>
      </c>
      <c r="C504" s="8" t="n"/>
      <c r="F504" s="8" t="n"/>
      <c r="G504" s="8">
        <f>IF(F504&lt;&gt;"",HYPERLINK("https://www.google.com/maps/search/?api=1&amp;query="&amp;SUBSTITUTE(F504," ",""),"🗺 Google Maps"),"")</f>
        <v/>
      </c>
      <c r="H504" s="8">
        <f>IF(F504&lt;&gt;"",HYPERLINK("https://waze.com/ul?ll="&amp;SUBSTITUTE(F504," ","")&amp;"&amp;navigate=yes","🚗 Waze"),"")</f>
        <v/>
      </c>
      <c r="I504" s="8">
        <f>IF(F504&lt;&gt;"",HYPERLINK("https://m.uber.com/ul/?action=setPickup&amp;pickup=my_location&amp;dropoff[latitude]="&amp;LEFT(SUBSTITUTE(F504," ",""),FIND(",",SUBSTITUTE(F504," ",""))-1)&amp;"&amp;dropoff[longitude]="&amp;MID(SUBSTITUTE(F504," ",""),FIND(",",SUBSTITUTE(F504," ",""))+1,99),"🚕 Uber"),"")</f>
        <v/>
      </c>
      <c r="J504" s="8">
        <f>IF(F504&lt;&gt;"","https://api.qrserver.com/v1/create-qr-code/?size=200x200&amp;data="&amp;ENCODEURL("https://www.google.com/maps/search/?api=1&amp;query="&amp;SUBSTITUTE(F504," ","")),"")</f>
        <v/>
      </c>
      <c r="K504" s="8">
        <f>IF(C504&lt;&gt;"",HYPERLINK("https://wa.me/507"&amp;REGEXREPLACE(C504,"[^0-9]","")&amp;"?text="&amp;ENCODEURL("Ya llegue. Codigo: "&amp;A504&amp;". Ubicacion: "&amp;"https://www.google.com/maps/search/?api=1&amp;query="&amp;SUBSTITUTE(F504," ","")),"📲 Avisar al cliente"),"")</f>
        <v/>
      </c>
      <c r="L504" s="8">
        <f>IF(C504&lt;&gt;"","https://api.qrserver.com/v1/create-qr-code/?size=200x200&amp;data="&amp;ENCODEURL("https://wa.me/507"&amp;REGEXREPLACE(C504,"[^0-9]","")&amp;"?text="&amp;ENCODEURL("Ya llegue. Codigo: "&amp;A504&amp;". Ubicacion: "&amp;"https://www.google.com/maps/search/?api=1&amp;query="&amp;SUBSTITUTE(F504," ",""))),"")</f>
        <v/>
      </c>
      <c r="M504" s="8">
        <f>IF(B504&lt;&gt;"",TODAY(),"")</f>
        <v/>
      </c>
      <c r="N504" s="8">
        <f>IF(F504&lt;&gt;"",IFERROR(IF(AND(REGEXMATCH(SUBSTITUTE(TRIM(F504)," ",""),"^-?\d+(\.\d+)?,-?\d+(\.\d+)?$"),VALUE(REGEXEXTRACT(SUBSTITUTE(TRIM(F504)," ",""),"^-?\d+(\.\d+)?"))&gt;=-90,VALUE(REGEXEXTRACT(SUBSTITUTE(TRIM(F504)," ",""),"^-?\d+(\.\d+)?"))&lt;=90,VALUE(REGEXEXTRACT(SUBSTITUTE(TRIM(F504)," ",""),"-?\d+(\.\d+)?$"))&gt;=-180,VALUE(REGEXEXTRACT(SUBSTITUTE(TRIM(F504)," ",""),"-?\d+(\.\d+)?$"))&lt;=180),"OK","REVISAR"),"REVISAR"),"")</f>
        <v/>
      </c>
      <c r="O504">
        <f>IF(A504&lt;&gt;"","https://direcciones507.github.io/direcciones507/panel.html?codigo="&amp;A504&amp;"&amp;nombre="&amp;ENCODEURL(B504)&amp;"&amp;telefono="&amp;SUBSTITUTE(C504,"-","")&amp;"&amp;referencia="&amp;ENCODEURL(E504)&amp;"&amp;lat="&amp;IZQUIERDA(SUBSTITUTE(F504," ",""),ENCONTRAR(",",SUBSTITUTE(F504," ",""))-1)&amp;"&amp;lng="&amp;DERECHA(SUBSTITUTE(F504," ",""),LARGO(SUBSTITUTE(F504," ",""))-ENCONTRAR(",",SUBSTITUTE(F504," ",""))),"")</f>
        <v/>
      </c>
    </row>
    <row r="505" ht="15.75" customHeight="1" s="10">
      <c r="A505" s="8">
        <f>CONCAT("AD507-",TEXT(ROW()-2,"0000"))</f>
        <v/>
      </c>
      <c r="C505" s="8" t="n"/>
      <c r="F505" s="8" t="n"/>
      <c r="G505" s="8">
        <f>IF(F505&lt;&gt;"",HYPERLINK("https://www.google.com/maps/search/?api=1&amp;query="&amp;SUBSTITUTE(F505," ",""),"🗺 Google Maps"),"")</f>
        <v/>
      </c>
      <c r="H505" s="8">
        <f>IF(F505&lt;&gt;"",HYPERLINK("https://waze.com/ul?ll="&amp;SUBSTITUTE(F505," ","")&amp;"&amp;navigate=yes","🚗 Waze"),"")</f>
        <v/>
      </c>
      <c r="I505" s="8">
        <f>IF(F505&lt;&gt;"",HYPERLINK("https://m.uber.com/ul/?action=setPickup&amp;pickup=my_location&amp;dropoff[latitude]="&amp;LEFT(SUBSTITUTE(F505," ",""),FIND(",",SUBSTITUTE(F505," ",""))-1)&amp;"&amp;dropoff[longitude]="&amp;MID(SUBSTITUTE(F505," ",""),FIND(",",SUBSTITUTE(F505," ",""))+1,99),"🚕 Uber"),"")</f>
        <v/>
      </c>
      <c r="J505" s="8">
        <f>IF(F505&lt;&gt;"","https://api.qrserver.com/v1/create-qr-code/?size=200x200&amp;data="&amp;ENCODEURL("https://www.google.com/maps/search/?api=1&amp;query="&amp;SUBSTITUTE(F505," ","")),"")</f>
        <v/>
      </c>
      <c r="K505" s="8">
        <f>IF(C505&lt;&gt;"",HYPERLINK("https://wa.me/507"&amp;REGEXREPLACE(C505,"[^0-9]","")&amp;"?text="&amp;ENCODEURL("Ya llegue. Codigo: "&amp;A505&amp;". Ubicacion: "&amp;"https://www.google.com/maps/search/?api=1&amp;query="&amp;SUBSTITUTE(F505," ","")),"📲 Avisar al cliente"),"")</f>
        <v/>
      </c>
      <c r="L505" s="8">
        <f>IF(C505&lt;&gt;"","https://api.qrserver.com/v1/create-qr-code/?size=200x200&amp;data="&amp;ENCODEURL("https://wa.me/507"&amp;REGEXREPLACE(C505,"[^0-9]","")&amp;"?text="&amp;ENCODEURL("Ya llegue. Codigo: "&amp;A505&amp;". Ubicacion: "&amp;"https://www.google.com/maps/search/?api=1&amp;query="&amp;SUBSTITUTE(F505," ",""))),"")</f>
        <v/>
      </c>
      <c r="M505" s="8">
        <f>IF(B505&lt;&gt;"",TODAY(),"")</f>
        <v/>
      </c>
      <c r="N505" s="8">
        <f>IF(F505&lt;&gt;"",IFERROR(IF(AND(REGEXMATCH(SUBSTITUTE(TRIM(F505)," ",""),"^-?\d+(\.\d+)?,-?\d+(\.\d+)?$"),VALUE(REGEXEXTRACT(SUBSTITUTE(TRIM(F505)," ",""),"^-?\d+(\.\d+)?"))&gt;=-90,VALUE(REGEXEXTRACT(SUBSTITUTE(TRIM(F505)," ",""),"^-?\d+(\.\d+)?"))&lt;=90,VALUE(REGEXEXTRACT(SUBSTITUTE(TRIM(F505)," ",""),"-?\d+(\.\d+)?$"))&gt;=-180,VALUE(REGEXEXTRACT(SUBSTITUTE(TRIM(F505)," ",""),"-?\d+(\.\d+)?$"))&lt;=180),"OK","REVISAR"),"REVISAR"),"")</f>
        <v/>
      </c>
      <c r="O505">
        <f>IF(A505&lt;&gt;"","https://direcciones507.github.io/direcciones507/panel.html?codigo="&amp;A505&amp;"&amp;nombre="&amp;ENCODEURL(B505)&amp;"&amp;telefono="&amp;SUBSTITUTE(C505,"-","")&amp;"&amp;referencia="&amp;ENCODEURL(E505)&amp;"&amp;lat="&amp;IZQUIERDA(SUBSTITUTE(F505," ",""),ENCONTRAR(",",SUBSTITUTE(F505," ",""))-1)&amp;"&amp;lng="&amp;DERECHA(SUBSTITUTE(F505," ",""),LARGO(SUBSTITUTE(F505," ",""))-ENCONTRAR(",",SUBSTITUTE(F505," ",""))),"")</f>
        <v/>
      </c>
    </row>
    <row r="506" ht="15.75" customHeight="1" s="10">
      <c r="A506" s="8">
        <f>CONCAT("AD507-",TEXT(ROW()-2,"0000"))</f>
        <v/>
      </c>
      <c r="C506" s="8" t="n"/>
      <c r="F506" s="8" t="n"/>
      <c r="G506" s="8">
        <f>IF(F506&lt;&gt;"",HYPERLINK("https://www.google.com/maps/search/?api=1&amp;query="&amp;SUBSTITUTE(F506," ",""),"🗺 Google Maps"),"")</f>
        <v/>
      </c>
      <c r="H506" s="8">
        <f>IF(F506&lt;&gt;"",HYPERLINK("https://waze.com/ul?ll="&amp;SUBSTITUTE(F506," ","")&amp;"&amp;navigate=yes","🚗 Waze"),"")</f>
        <v/>
      </c>
      <c r="I506" s="8">
        <f>IF(F506&lt;&gt;"",HYPERLINK("https://m.uber.com/ul/?action=setPickup&amp;pickup=my_location&amp;dropoff[latitude]="&amp;LEFT(SUBSTITUTE(F506," ",""),FIND(",",SUBSTITUTE(F506," ",""))-1)&amp;"&amp;dropoff[longitude]="&amp;MID(SUBSTITUTE(F506," ",""),FIND(",",SUBSTITUTE(F506," ",""))+1,99),"🚕 Uber"),"")</f>
        <v/>
      </c>
      <c r="J506" s="8">
        <f>IF(F506&lt;&gt;"","https://api.qrserver.com/v1/create-qr-code/?size=200x200&amp;data="&amp;ENCODEURL("https://www.google.com/maps/search/?api=1&amp;query="&amp;SUBSTITUTE(F506," ","")),"")</f>
        <v/>
      </c>
      <c r="K506" s="8">
        <f>IF(C506&lt;&gt;"",HYPERLINK("https://wa.me/507"&amp;REGEXREPLACE(C506,"[^0-9]","")&amp;"?text="&amp;ENCODEURL("Ya llegue. Codigo: "&amp;A506&amp;". Ubicacion: "&amp;"https://www.google.com/maps/search/?api=1&amp;query="&amp;SUBSTITUTE(F506," ","")),"📲 Avisar al cliente"),"")</f>
        <v/>
      </c>
      <c r="L506" s="8">
        <f>IF(C506&lt;&gt;"","https://api.qrserver.com/v1/create-qr-code/?size=200x200&amp;data="&amp;ENCODEURL("https://wa.me/507"&amp;REGEXREPLACE(C506,"[^0-9]","")&amp;"?text="&amp;ENCODEURL("Ya llegue. Codigo: "&amp;A506&amp;". Ubicacion: "&amp;"https://www.google.com/maps/search/?api=1&amp;query="&amp;SUBSTITUTE(F506," ",""))),"")</f>
        <v/>
      </c>
      <c r="M506" s="8">
        <f>IF(B506&lt;&gt;"",TODAY(),"")</f>
        <v/>
      </c>
      <c r="N506" s="8">
        <f>IF(F506&lt;&gt;"",IFERROR(IF(AND(REGEXMATCH(SUBSTITUTE(TRIM(F506)," ",""),"^-?\d+(\.\d+)?,-?\d+(\.\d+)?$"),VALUE(REGEXEXTRACT(SUBSTITUTE(TRIM(F506)," ",""),"^-?\d+(\.\d+)?"))&gt;=-90,VALUE(REGEXEXTRACT(SUBSTITUTE(TRIM(F506)," ",""),"^-?\d+(\.\d+)?"))&lt;=90,VALUE(REGEXEXTRACT(SUBSTITUTE(TRIM(F506)," ",""),"-?\d+(\.\d+)?$"))&gt;=-180,VALUE(REGEXEXTRACT(SUBSTITUTE(TRIM(F506)," ",""),"-?\d+(\.\d+)?$"))&lt;=180),"OK","REVISAR"),"REVISAR"),"")</f>
        <v/>
      </c>
      <c r="O506">
        <f>IF(A506&lt;&gt;"","https://direcciones507.github.io/direcciones507/panel.html?codigo="&amp;A506&amp;"&amp;nombre="&amp;ENCODEURL(B506)&amp;"&amp;telefono="&amp;SUBSTITUTE(C506,"-","")&amp;"&amp;referencia="&amp;ENCODEURL(E506)&amp;"&amp;lat="&amp;IZQUIERDA(SUBSTITUTE(F506," ",""),ENCONTRAR(",",SUBSTITUTE(F506," ",""))-1)&amp;"&amp;lng="&amp;DERECHA(SUBSTITUTE(F506," ",""),LARGO(SUBSTITUTE(F506," ",""))-ENCONTRAR(",",SUBSTITUTE(F506," ",""))),"")</f>
        <v/>
      </c>
    </row>
    <row r="507" ht="15.75" customHeight="1" s="10">
      <c r="A507" s="8">
        <f>CONCAT("AD507-",TEXT(ROW()-2,"0000"))</f>
        <v/>
      </c>
      <c r="C507" s="8" t="n"/>
      <c r="F507" s="8" t="n"/>
      <c r="G507" s="8">
        <f>IF(F507&lt;&gt;"",HYPERLINK("https://www.google.com/maps/search/?api=1&amp;query="&amp;SUBSTITUTE(F507," ",""),"🗺 Google Maps"),"")</f>
        <v/>
      </c>
      <c r="H507" s="8">
        <f>IF(F507&lt;&gt;"",HYPERLINK("https://waze.com/ul?ll="&amp;SUBSTITUTE(F507," ","")&amp;"&amp;navigate=yes","🚗 Waze"),"")</f>
        <v/>
      </c>
      <c r="I507" s="8">
        <f>IF(F507&lt;&gt;"",HYPERLINK("https://m.uber.com/ul/?action=setPickup&amp;pickup=my_location&amp;dropoff[latitude]="&amp;LEFT(SUBSTITUTE(F507," ",""),FIND(",",SUBSTITUTE(F507," ",""))-1)&amp;"&amp;dropoff[longitude]="&amp;MID(SUBSTITUTE(F507," ",""),FIND(",",SUBSTITUTE(F507," ",""))+1,99),"🚕 Uber"),"")</f>
        <v/>
      </c>
      <c r="J507" s="8">
        <f>IF(F507&lt;&gt;"","https://api.qrserver.com/v1/create-qr-code/?size=200x200&amp;data="&amp;ENCODEURL("https://www.google.com/maps/search/?api=1&amp;query="&amp;SUBSTITUTE(F507," ","")),"")</f>
        <v/>
      </c>
      <c r="K507" s="8">
        <f>IF(C507&lt;&gt;"",HYPERLINK("https://wa.me/507"&amp;REGEXREPLACE(C507,"[^0-9]","")&amp;"?text="&amp;ENCODEURL("Ya llegue. Codigo: "&amp;A507&amp;". Ubicacion: "&amp;"https://www.google.com/maps/search/?api=1&amp;query="&amp;SUBSTITUTE(F507," ","")),"📲 Avisar al cliente"),"")</f>
        <v/>
      </c>
      <c r="L507" s="8">
        <f>IF(C507&lt;&gt;"","https://api.qrserver.com/v1/create-qr-code/?size=200x200&amp;data="&amp;ENCODEURL("https://wa.me/507"&amp;REGEXREPLACE(C507,"[^0-9]","")&amp;"?text="&amp;ENCODEURL("Ya llegue. Codigo: "&amp;A507&amp;". Ubicacion: "&amp;"https://www.google.com/maps/search/?api=1&amp;query="&amp;SUBSTITUTE(F507," ",""))),"")</f>
        <v/>
      </c>
      <c r="M507" s="8">
        <f>IF(B507&lt;&gt;"",TODAY(),"")</f>
        <v/>
      </c>
      <c r="N507" s="8">
        <f>IF(F507&lt;&gt;"",IFERROR(IF(AND(REGEXMATCH(SUBSTITUTE(TRIM(F507)," ",""),"^-?\d+(\.\d+)?,-?\d+(\.\d+)?$"),VALUE(REGEXEXTRACT(SUBSTITUTE(TRIM(F507)," ",""),"^-?\d+(\.\d+)?"))&gt;=-90,VALUE(REGEXEXTRACT(SUBSTITUTE(TRIM(F507)," ",""),"^-?\d+(\.\d+)?"))&lt;=90,VALUE(REGEXEXTRACT(SUBSTITUTE(TRIM(F507)," ",""),"-?\d+(\.\d+)?$"))&gt;=-180,VALUE(REGEXEXTRACT(SUBSTITUTE(TRIM(F507)," ",""),"-?\d+(\.\d+)?$"))&lt;=180),"OK","REVISAR"),"REVISAR"),"")</f>
        <v/>
      </c>
      <c r="O507">
        <f>IF(A507&lt;&gt;"","https://direcciones507.github.io/direcciones507/panel.html?codigo="&amp;A507&amp;"&amp;nombre="&amp;ENCODEURL(B507)&amp;"&amp;telefono="&amp;SUBSTITUTE(C507,"-","")&amp;"&amp;referencia="&amp;ENCODEURL(E507)&amp;"&amp;lat="&amp;IZQUIERDA(SUBSTITUTE(F507," ",""),ENCONTRAR(",",SUBSTITUTE(F507," ",""))-1)&amp;"&amp;lng="&amp;DERECHA(SUBSTITUTE(F507," ",""),LARGO(SUBSTITUTE(F507," ",""))-ENCONTRAR(",",SUBSTITUTE(F507," ",""))),"")</f>
        <v/>
      </c>
    </row>
    <row r="508" ht="15.75" customHeight="1" s="10">
      <c r="A508" s="8">
        <f>CONCAT("AD507-",TEXT(ROW()-2,"0000"))</f>
        <v/>
      </c>
      <c r="C508" s="8" t="n"/>
      <c r="F508" s="8" t="n"/>
      <c r="G508" s="8">
        <f>IF(F508&lt;&gt;"",HYPERLINK("https://www.google.com/maps/search/?api=1&amp;query="&amp;SUBSTITUTE(F508," ",""),"🗺 Google Maps"),"")</f>
        <v/>
      </c>
      <c r="H508" s="8">
        <f>IF(F508&lt;&gt;"",HYPERLINK("https://waze.com/ul?ll="&amp;SUBSTITUTE(F508," ","")&amp;"&amp;navigate=yes","🚗 Waze"),"")</f>
        <v/>
      </c>
      <c r="I508" s="8">
        <f>IF(F508&lt;&gt;"",HYPERLINK("https://m.uber.com/ul/?action=setPickup&amp;pickup=my_location&amp;dropoff[latitude]="&amp;LEFT(SUBSTITUTE(F508," ",""),FIND(",",SUBSTITUTE(F508," ",""))-1)&amp;"&amp;dropoff[longitude]="&amp;MID(SUBSTITUTE(F508," ",""),FIND(",",SUBSTITUTE(F508," ",""))+1,99),"🚕 Uber"),"")</f>
        <v/>
      </c>
      <c r="J508" s="8">
        <f>IF(F508&lt;&gt;"","https://api.qrserver.com/v1/create-qr-code/?size=200x200&amp;data="&amp;ENCODEURL("https://www.google.com/maps/search/?api=1&amp;query="&amp;SUBSTITUTE(F508," ","")),"")</f>
        <v/>
      </c>
      <c r="K508" s="8">
        <f>IF(C508&lt;&gt;"",HYPERLINK("https://wa.me/507"&amp;REGEXREPLACE(C508,"[^0-9]","")&amp;"?text="&amp;ENCODEURL("Ya llegue. Codigo: "&amp;A508&amp;". Ubicacion: "&amp;"https://www.google.com/maps/search/?api=1&amp;query="&amp;SUBSTITUTE(F508," ","")),"📲 Avisar al cliente"),"")</f>
        <v/>
      </c>
      <c r="L508" s="8">
        <f>IF(C508&lt;&gt;"","https://api.qrserver.com/v1/create-qr-code/?size=200x200&amp;data="&amp;ENCODEURL("https://wa.me/507"&amp;REGEXREPLACE(C508,"[^0-9]","")&amp;"?text="&amp;ENCODEURL("Ya llegue. Codigo: "&amp;A508&amp;". Ubicacion: "&amp;"https://www.google.com/maps/search/?api=1&amp;query="&amp;SUBSTITUTE(F508," ",""))),"")</f>
        <v/>
      </c>
      <c r="M508" s="8">
        <f>IF(B508&lt;&gt;"",TODAY(),"")</f>
        <v/>
      </c>
      <c r="N508" s="8">
        <f>IF(F508&lt;&gt;"",IFERROR(IF(AND(REGEXMATCH(SUBSTITUTE(TRIM(F508)," ",""),"^-?\d+(\.\d+)?,-?\d+(\.\d+)?$"),VALUE(REGEXEXTRACT(SUBSTITUTE(TRIM(F508)," ",""),"^-?\d+(\.\d+)?"))&gt;=-90,VALUE(REGEXEXTRACT(SUBSTITUTE(TRIM(F508)," ",""),"^-?\d+(\.\d+)?"))&lt;=90,VALUE(REGEXEXTRACT(SUBSTITUTE(TRIM(F508)," ",""),"-?\d+(\.\d+)?$"))&gt;=-180,VALUE(REGEXEXTRACT(SUBSTITUTE(TRIM(F508)," ",""),"-?\d+(\.\d+)?$"))&lt;=180),"OK","REVISAR"),"REVISAR"),"")</f>
        <v/>
      </c>
      <c r="O508">
        <f>IF(A508&lt;&gt;"","https://direcciones507.github.io/direcciones507/panel.html?codigo="&amp;A508&amp;"&amp;nombre="&amp;ENCODEURL(B508)&amp;"&amp;telefono="&amp;SUBSTITUTE(C508,"-","")&amp;"&amp;referencia="&amp;ENCODEURL(E508)&amp;"&amp;lat="&amp;IZQUIERDA(SUBSTITUTE(F508," ",""),ENCONTRAR(",",SUBSTITUTE(F508," ",""))-1)&amp;"&amp;lng="&amp;DERECHA(SUBSTITUTE(F508," ",""),LARGO(SUBSTITUTE(F508," ",""))-ENCONTRAR(",",SUBSTITUTE(F508," ",""))),"")</f>
        <v/>
      </c>
    </row>
    <row r="509" ht="15.75" customHeight="1" s="10">
      <c r="A509" s="8">
        <f>CONCAT("AD507-",TEXT(ROW()-2,"0000"))</f>
        <v/>
      </c>
      <c r="C509" s="8" t="n"/>
      <c r="F509" s="8" t="n"/>
      <c r="G509" s="8">
        <f>IF(F509&lt;&gt;"",HYPERLINK("https://www.google.com/maps/search/?api=1&amp;query="&amp;SUBSTITUTE(F509," ",""),"🗺 Google Maps"),"")</f>
        <v/>
      </c>
      <c r="H509" s="8">
        <f>IF(F509&lt;&gt;"",HYPERLINK("https://waze.com/ul?ll="&amp;SUBSTITUTE(F509," ","")&amp;"&amp;navigate=yes","🚗 Waze"),"")</f>
        <v/>
      </c>
      <c r="I509" s="8">
        <f>IF(F509&lt;&gt;"",HYPERLINK("https://m.uber.com/ul/?action=setPickup&amp;pickup=my_location&amp;dropoff[latitude]="&amp;LEFT(SUBSTITUTE(F509," ",""),FIND(",",SUBSTITUTE(F509," ",""))-1)&amp;"&amp;dropoff[longitude]="&amp;MID(SUBSTITUTE(F509," ",""),FIND(",",SUBSTITUTE(F509," ",""))+1,99),"🚕 Uber"),"")</f>
        <v/>
      </c>
      <c r="J509" s="8">
        <f>IF(F509&lt;&gt;"","https://api.qrserver.com/v1/create-qr-code/?size=200x200&amp;data="&amp;ENCODEURL("https://www.google.com/maps/search/?api=1&amp;query="&amp;SUBSTITUTE(F509," ","")),"")</f>
        <v/>
      </c>
      <c r="K509" s="8">
        <f>IF(C509&lt;&gt;"",HYPERLINK("https://wa.me/507"&amp;REGEXREPLACE(C509,"[^0-9]","")&amp;"?text="&amp;ENCODEURL("Ya llegue. Codigo: "&amp;A509&amp;". Ubicacion: "&amp;"https://www.google.com/maps/search/?api=1&amp;query="&amp;SUBSTITUTE(F509," ","")),"📲 Avisar al cliente"),"")</f>
        <v/>
      </c>
      <c r="L509" s="8">
        <f>IF(C509&lt;&gt;"","https://api.qrserver.com/v1/create-qr-code/?size=200x200&amp;data="&amp;ENCODEURL("https://wa.me/507"&amp;REGEXREPLACE(C509,"[^0-9]","")&amp;"?text="&amp;ENCODEURL("Ya llegue. Codigo: "&amp;A509&amp;". Ubicacion: "&amp;"https://www.google.com/maps/search/?api=1&amp;query="&amp;SUBSTITUTE(F509," ",""))),"")</f>
        <v/>
      </c>
      <c r="M509" s="8">
        <f>IF(B509&lt;&gt;"",TODAY(),"")</f>
        <v/>
      </c>
      <c r="N509" s="8">
        <f>IF(F509&lt;&gt;"",IFERROR(IF(AND(REGEXMATCH(SUBSTITUTE(TRIM(F509)," ",""),"^-?\d+(\.\d+)?,-?\d+(\.\d+)?$"),VALUE(REGEXEXTRACT(SUBSTITUTE(TRIM(F509)," ",""),"^-?\d+(\.\d+)?"))&gt;=-90,VALUE(REGEXEXTRACT(SUBSTITUTE(TRIM(F509)," ",""),"^-?\d+(\.\d+)?"))&lt;=90,VALUE(REGEXEXTRACT(SUBSTITUTE(TRIM(F509)," ",""),"-?\d+(\.\d+)?$"))&gt;=-180,VALUE(REGEXEXTRACT(SUBSTITUTE(TRIM(F509)," ",""),"-?\d+(\.\d+)?$"))&lt;=180),"OK","REVISAR"),"REVISAR"),"")</f>
        <v/>
      </c>
      <c r="O509">
        <f>IF(A509&lt;&gt;"","https://direcciones507.github.io/direcciones507/panel.html?codigo="&amp;A509&amp;"&amp;nombre="&amp;ENCODEURL(B509)&amp;"&amp;telefono="&amp;SUBSTITUTE(C509,"-","")&amp;"&amp;referencia="&amp;ENCODEURL(E509)&amp;"&amp;lat="&amp;IZQUIERDA(SUBSTITUTE(F509," ",""),ENCONTRAR(",",SUBSTITUTE(F509," ",""))-1)&amp;"&amp;lng="&amp;DERECHA(SUBSTITUTE(F509," ",""),LARGO(SUBSTITUTE(F509," ",""))-ENCONTRAR(",",SUBSTITUTE(F509," ",""))),"")</f>
        <v/>
      </c>
    </row>
    <row r="510" ht="15.75" customHeight="1" s="10">
      <c r="A510" s="8">
        <f>CONCAT("AD507-",TEXT(ROW()-2,"0000"))</f>
        <v/>
      </c>
      <c r="C510" s="8" t="n"/>
      <c r="F510" s="8" t="n"/>
      <c r="G510" s="8">
        <f>IF(F510&lt;&gt;"",HYPERLINK("https://www.google.com/maps/search/?api=1&amp;query="&amp;SUBSTITUTE(F510," ",""),"🗺 Google Maps"),"")</f>
        <v/>
      </c>
      <c r="H510" s="8">
        <f>IF(F510&lt;&gt;"",HYPERLINK("https://waze.com/ul?ll="&amp;SUBSTITUTE(F510," ","")&amp;"&amp;navigate=yes","🚗 Waze"),"")</f>
        <v/>
      </c>
      <c r="I510" s="8">
        <f>IF(F510&lt;&gt;"",HYPERLINK("https://m.uber.com/ul/?action=setPickup&amp;pickup=my_location&amp;dropoff[latitude]="&amp;LEFT(SUBSTITUTE(F510," ",""),FIND(",",SUBSTITUTE(F510," ",""))-1)&amp;"&amp;dropoff[longitude]="&amp;MID(SUBSTITUTE(F510," ",""),FIND(",",SUBSTITUTE(F510," ",""))+1,99),"🚕 Uber"),"")</f>
        <v/>
      </c>
      <c r="J510" s="8">
        <f>IF(F510&lt;&gt;"","https://api.qrserver.com/v1/create-qr-code/?size=200x200&amp;data="&amp;ENCODEURL("https://www.google.com/maps/search/?api=1&amp;query="&amp;SUBSTITUTE(F510," ","")),"")</f>
        <v/>
      </c>
      <c r="K510" s="8">
        <f>IF(C510&lt;&gt;"",HYPERLINK("https://wa.me/507"&amp;REGEXREPLACE(C510,"[^0-9]","")&amp;"?text="&amp;ENCODEURL("Ya llegue. Codigo: "&amp;A510&amp;". Ubicacion: "&amp;"https://www.google.com/maps/search/?api=1&amp;query="&amp;SUBSTITUTE(F510," ","")),"📲 Avisar al cliente"),"")</f>
        <v/>
      </c>
      <c r="L510" s="8">
        <f>IF(C510&lt;&gt;"","https://api.qrserver.com/v1/create-qr-code/?size=200x200&amp;data="&amp;ENCODEURL("https://wa.me/507"&amp;REGEXREPLACE(C510,"[^0-9]","")&amp;"?text="&amp;ENCODEURL("Ya llegue. Codigo: "&amp;A510&amp;". Ubicacion: "&amp;"https://www.google.com/maps/search/?api=1&amp;query="&amp;SUBSTITUTE(F510," ",""))),"")</f>
        <v/>
      </c>
      <c r="M510" s="8">
        <f>IF(B510&lt;&gt;"",TODAY(),"")</f>
        <v/>
      </c>
      <c r="N510" s="8">
        <f>IF(F510&lt;&gt;"",IFERROR(IF(AND(REGEXMATCH(SUBSTITUTE(TRIM(F510)," ",""),"^-?\d+(\.\d+)?,-?\d+(\.\d+)?$"),VALUE(REGEXEXTRACT(SUBSTITUTE(TRIM(F510)," ",""),"^-?\d+(\.\d+)?"))&gt;=-90,VALUE(REGEXEXTRACT(SUBSTITUTE(TRIM(F510)," ",""),"^-?\d+(\.\d+)?"))&lt;=90,VALUE(REGEXEXTRACT(SUBSTITUTE(TRIM(F510)," ",""),"-?\d+(\.\d+)?$"))&gt;=-180,VALUE(REGEXEXTRACT(SUBSTITUTE(TRIM(F510)," ",""),"-?\d+(\.\d+)?$"))&lt;=180),"OK","REVISAR"),"REVISAR"),"")</f>
        <v/>
      </c>
      <c r="O510">
        <f>IF(A510&lt;&gt;"","https://direcciones507.github.io/direcciones507/panel.html?codigo="&amp;A510&amp;"&amp;nombre="&amp;ENCODEURL(B510)&amp;"&amp;telefono="&amp;SUBSTITUTE(C510,"-","")&amp;"&amp;referencia="&amp;ENCODEURL(E510)&amp;"&amp;lat="&amp;IZQUIERDA(SUBSTITUTE(F510," ",""),ENCONTRAR(",",SUBSTITUTE(F510," ",""))-1)&amp;"&amp;lng="&amp;DERECHA(SUBSTITUTE(F510," ",""),LARGO(SUBSTITUTE(F510," ",""))-ENCONTRAR(",",SUBSTITUTE(F510," ",""))),"")</f>
        <v/>
      </c>
    </row>
    <row r="511" ht="15.75" customHeight="1" s="10">
      <c r="A511" s="8">
        <f>CONCAT("AD507-",TEXT(ROW()-2,"0000"))</f>
        <v/>
      </c>
      <c r="C511" s="8" t="n"/>
      <c r="F511" s="8" t="n"/>
      <c r="G511" s="8">
        <f>IF(F511&lt;&gt;"",HYPERLINK("https://www.google.com/maps/search/?api=1&amp;query="&amp;SUBSTITUTE(F511," ",""),"🗺 Google Maps"),"")</f>
        <v/>
      </c>
      <c r="H511" s="8">
        <f>IF(F511&lt;&gt;"",HYPERLINK("https://waze.com/ul?ll="&amp;SUBSTITUTE(F511," ","")&amp;"&amp;navigate=yes","🚗 Waze"),"")</f>
        <v/>
      </c>
      <c r="I511" s="8">
        <f>IF(F511&lt;&gt;"",HYPERLINK("https://m.uber.com/ul/?action=setPickup&amp;pickup=my_location&amp;dropoff[latitude]="&amp;LEFT(SUBSTITUTE(F511," ",""),FIND(",",SUBSTITUTE(F511," ",""))-1)&amp;"&amp;dropoff[longitude]="&amp;MID(SUBSTITUTE(F511," ",""),FIND(",",SUBSTITUTE(F511," ",""))+1,99),"🚕 Uber"),"")</f>
        <v/>
      </c>
      <c r="J511" s="8">
        <f>IF(F511&lt;&gt;"","https://api.qrserver.com/v1/create-qr-code/?size=200x200&amp;data="&amp;ENCODEURL("https://www.google.com/maps/search/?api=1&amp;query="&amp;SUBSTITUTE(F511," ","")),"")</f>
        <v/>
      </c>
      <c r="K511" s="8">
        <f>IF(C511&lt;&gt;"",HYPERLINK("https://wa.me/507"&amp;REGEXREPLACE(C511,"[^0-9]","")&amp;"?text="&amp;ENCODEURL("Ya llegue. Codigo: "&amp;A511&amp;". Ubicacion: "&amp;"https://www.google.com/maps/search/?api=1&amp;query="&amp;SUBSTITUTE(F511," ","")),"📲 Avisar al cliente"),"")</f>
        <v/>
      </c>
      <c r="L511" s="8">
        <f>IF(C511&lt;&gt;"","https://api.qrserver.com/v1/create-qr-code/?size=200x200&amp;data="&amp;ENCODEURL("https://wa.me/507"&amp;REGEXREPLACE(C511,"[^0-9]","")&amp;"?text="&amp;ENCODEURL("Ya llegue. Codigo: "&amp;A511&amp;". Ubicacion: "&amp;"https://www.google.com/maps/search/?api=1&amp;query="&amp;SUBSTITUTE(F511," ",""))),"")</f>
        <v/>
      </c>
      <c r="M511" s="8">
        <f>IF(B511&lt;&gt;"",TODAY(),"")</f>
        <v/>
      </c>
      <c r="N511" s="8">
        <f>IF(F511&lt;&gt;"",IFERROR(IF(AND(REGEXMATCH(SUBSTITUTE(TRIM(F511)," ",""),"^-?\d+(\.\d+)?,-?\d+(\.\d+)?$"),VALUE(REGEXEXTRACT(SUBSTITUTE(TRIM(F511)," ",""),"^-?\d+(\.\d+)?"))&gt;=-90,VALUE(REGEXEXTRACT(SUBSTITUTE(TRIM(F511)," ",""),"^-?\d+(\.\d+)?"))&lt;=90,VALUE(REGEXEXTRACT(SUBSTITUTE(TRIM(F511)," ",""),"-?\d+(\.\d+)?$"))&gt;=-180,VALUE(REGEXEXTRACT(SUBSTITUTE(TRIM(F511)," ",""),"-?\d+(\.\d+)?$"))&lt;=180),"OK","REVISAR"),"REVISAR"),"")</f>
        <v/>
      </c>
      <c r="O511">
        <f>IF(A511&lt;&gt;"","https://direcciones507.github.io/direcciones507/panel.html?codigo="&amp;A511&amp;"&amp;nombre="&amp;ENCODEURL(B511)&amp;"&amp;telefono="&amp;SUBSTITUTE(C511,"-","")&amp;"&amp;referencia="&amp;ENCODEURL(E511)&amp;"&amp;lat="&amp;IZQUIERDA(SUBSTITUTE(F511," ",""),ENCONTRAR(",",SUBSTITUTE(F511," ",""))-1)&amp;"&amp;lng="&amp;DERECHA(SUBSTITUTE(F511," ",""),LARGO(SUBSTITUTE(F511," ",""))-ENCONTRAR(",",SUBSTITUTE(F511," ",""))),"")</f>
        <v/>
      </c>
    </row>
    <row r="512" ht="15.75" customHeight="1" s="10">
      <c r="A512" s="8">
        <f>CONCAT("AD507-",TEXT(ROW()-2,"0000"))</f>
        <v/>
      </c>
      <c r="C512" s="8" t="n"/>
      <c r="F512" s="8" t="n"/>
      <c r="G512" s="8">
        <f>IF(F512&lt;&gt;"",HYPERLINK("https://www.google.com/maps/search/?api=1&amp;query="&amp;SUBSTITUTE(F512," ",""),"🗺 Google Maps"),"")</f>
        <v/>
      </c>
      <c r="H512" s="8">
        <f>IF(F512&lt;&gt;"",HYPERLINK("https://waze.com/ul?ll="&amp;SUBSTITUTE(F512," ","")&amp;"&amp;navigate=yes","🚗 Waze"),"")</f>
        <v/>
      </c>
      <c r="I512" s="8">
        <f>IF(F512&lt;&gt;"",HYPERLINK("https://m.uber.com/ul/?action=setPickup&amp;pickup=my_location&amp;dropoff[latitude]="&amp;LEFT(SUBSTITUTE(F512," ",""),FIND(",",SUBSTITUTE(F512," ",""))-1)&amp;"&amp;dropoff[longitude]="&amp;MID(SUBSTITUTE(F512," ",""),FIND(",",SUBSTITUTE(F512," ",""))+1,99),"🚕 Uber"),"")</f>
        <v/>
      </c>
      <c r="J512" s="8">
        <f>IF(F512&lt;&gt;"","https://api.qrserver.com/v1/create-qr-code/?size=200x200&amp;data="&amp;ENCODEURL("https://www.google.com/maps/search/?api=1&amp;query="&amp;SUBSTITUTE(F512," ","")),"")</f>
        <v/>
      </c>
      <c r="K512" s="8">
        <f>IF(C512&lt;&gt;"",HYPERLINK("https://wa.me/507"&amp;REGEXREPLACE(C512,"[^0-9]","")&amp;"?text="&amp;ENCODEURL("Ya llegue. Codigo: "&amp;A512&amp;". Ubicacion: "&amp;"https://www.google.com/maps/search/?api=1&amp;query="&amp;SUBSTITUTE(F512," ","")),"📲 Avisar al cliente"),"")</f>
        <v/>
      </c>
      <c r="L512" s="8">
        <f>IF(C512&lt;&gt;"","https://api.qrserver.com/v1/create-qr-code/?size=200x200&amp;data="&amp;ENCODEURL("https://wa.me/507"&amp;REGEXREPLACE(C512,"[^0-9]","")&amp;"?text="&amp;ENCODEURL("Ya llegue. Codigo: "&amp;A512&amp;". Ubicacion: "&amp;"https://www.google.com/maps/search/?api=1&amp;query="&amp;SUBSTITUTE(F512," ",""))),"")</f>
        <v/>
      </c>
      <c r="M512" s="8">
        <f>IF(B512&lt;&gt;"",TODAY(),"")</f>
        <v/>
      </c>
      <c r="N512" s="8">
        <f>IF(F512&lt;&gt;"",IFERROR(IF(AND(REGEXMATCH(SUBSTITUTE(TRIM(F512)," ",""),"^-?\d+(\.\d+)?,-?\d+(\.\d+)?$"),VALUE(REGEXEXTRACT(SUBSTITUTE(TRIM(F512)," ",""),"^-?\d+(\.\d+)?"))&gt;=-90,VALUE(REGEXEXTRACT(SUBSTITUTE(TRIM(F512)," ",""),"^-?\d+(\.\d+)?"))&lt;=90,VALUE(REGEXEXTRACT(SUBSTITUTE(TRIM(F512)," ",""),"-?\d+(\.\d+)?$"))&gt;=-180,VALUE(REGEXEXTRACT(SUBSTITUTE(TRIM(F512)," ",""),"-?\d+(\.\d+)?$"))&lt;=180),"OK","REVISAR"),"REVISAR"),"")</f>
        <v/>
      </c>
      <c r="O512">
        <f>IF(A512&lt;&gt;"","https://direcciones507.github.io/direcciones507/panel.html?codigo="&amp;A512&amp;"&amp;nombre="&amp;ENCODEURL(B512)&amp;"&amp;telefono="&amp;SUBSTITUTE(C512,"-","")&amp;"&amp;referencia="&amp;ENCODEURL(E512)&amp;"&amp;lat="&amp;IZQUIERDA(SUBSTITUTE(F512," ",""),ENCONTRAR(",",SUBSTITUTE(F512," ",""))-1)&amp;"&amp;lng="&amp;DERECHA(SUBSTITUTE(F512," ",""),LARGO(SUBSTITUTE(F512," ",""))-ENCONTRAR(",",SUBSTITUTE(F512," ",""))),"")</f>
        <v/>
      </c>
    </row>
    <row r="513" ht="15.75" customHeight="1" s="10">
      <c r="A513" s="8">
        <f>CONCAT("AD507-",TEXT(ROW()-2,"0000"))</f>
        <v/>
      </c>
      <c r="C513" s="8" t="n"/>
      <c r="F513" s="8" t="n"/>
      <c r="G513" s="8">
        <f>IF(F513&lt;&gt;"",HYPERLINK("https://www.google.com/maps/search/?api=1&amp;query="&amp;SUBSTITUTE(F513," ",""),"🗺 Google Maps"),"")</f>
        <v/>
      </c>
      <c r="H513" s="8">
        <f>IF(F513&lt;&gt;"",HYPERLINK("https://waze.com/ul?ll="&amp;SUBSTITUTE(F513," ","")&amp;"&amp;navigate=yes","🚗 Waze"),"")</f>
        <v/>
      </c>
      <c r="I513" s="8">
        <f>IF(F513&lt;&gt;"",HYPERLINK("https://m.uber.com/ul/?action=setPickup&amp;pickup=my_location&amp;dropoff[latitude]="&amp;LEFT(SUBSTITUTE(F513," ",""),FIND(",",SUBSTITUTE(F513," ",""))-1)&amp;"&amp;dropoff[longitude]="&amp;MID(SUBSTITUTE(F513," ",""),FIND(",",SUBSTITUTE(F513," ",""))+1,99),"🚕 Uber"),"")</f>
        <v/>
      </c>
      <c r="J513" s="8">
        <f>IF(F513&lt;&gt;"","https://api.qrserver.com/v1/create-qr-code/?size=200x200&amp;data="&amp;ENCODEURL("https://www.google.com/maps/search/?api=1&amp;query="&amp;SUBSTITUTE(F513," ","")),"")</f>
        <v/>
      </c>
      <c r="K513" s="8">
        <f>IF(C513&lt;&gt;"",HYPERLINK("https://wa.me/507"&amp;REGEXREPLACE(C513,"[^0-9]","")&amp;"?text="&amp;ENCODEURL("Ya llegue. Codigo: "&amp;A513&amp;". Ubicacion: "&amp;"https://www.google.com/maps/search/?api=1&amp;query="&amp;SUBSTITUTE(F513," ","")),"📲 Avisar al cliente"),"")</f>
        <v/>
      </c>
      <c r="L513" s="8">
        <f>IF(C513&lt;&gt;"","https://api.qrserver.com/v1/create-qr-code/?size=200x200&amp;data="&amp;ENCODEURL("https://wa.me/507"&amp;REGEXREPLACE(C513,"[^0-9]","")&amp;"?text="&amp;ENCODEURL("Ya llegue. Codigo: "&amp;A513&amp;". Ubicacion: "&amp;"https://www.google.com/maps/search/?api=1&amp;query="&amp;SUBSTITUTE(F513," ",""))),"")</f>
        <v/>
      </c>
      <c r="M513" s="8">
        <f>IF(B513&lt;&gt;"",TODAY(),"")</f>
        <v/>
      </c>
      <c r="N513" s="8">
        <f>IF(F513&lt;&gt;"",IFERROR(IF(AND(REGEXMATCH(SUBSTITUTE(TRIM(F513)," ",""),"^-?\d+(\.\d+)?,-?\d+(\.\d+)?$"),VALUE(REGEXEXTRACT(SUBSTITUTE(TRIM(F513)," ",""),"^-?\d+(\.\d+)?"))&gt;=-90,VALUE(REGEXEXTRACT(SUBSTITUTE(TRIM(F513)," ",""),"^-?\d+(\.\d+)?"))&lt;=90,VALUE(REGEXEXTRACT(SUBSTITUTE(TRIM(F513)," ",""),"-?\d+(\.\d+)?$"))&gt;=-180,VALUE(REGEXEXTRACT(SUBSTITUTE(TRIM(F513)," ",""),"-?\d+(\.\d+)?$"))&lt;=180),"OK","REVISAR"),"REVISAR"),"")</f>
        <v/>
      </c>
      <c r="O513">
        <f>IF(A513&lt;&gt;"","https://direcciones507.github.io/direcciones507/panel.html?codigo="&amp;A513&amp;"&amp;nombre="&amp;ENCODEURL(B513)&amp;"&amp;telefono="&amp;SUBSTITUTE(C513,"-","")&amp;"&amp;referencia="&amp;ENCODEURL(E513)&amp;"&amp;lat="&amp;IZQUIERDA(SUBSTITUTE(F513," ",""),ENCONTRAR(",",SUBSTITUTE(F513," ",""))-1)&amp;"&amp;lng="&amp;DERECHA(SUBSTITUTE(F513," ",""),LARGO(SUBSTITUTE(F513," ",""))-ENCONTRAR(",",SUBSTITUTE(F513," ",""))),"")</f>
        <v/>
      </c>
    </row>
    <row r="514" ht="15.75" customHeight="1" s="10">
      <c r="A514" s="8">
        <f>CONCAT("AD507-",TEXT(ROW()-2,"0000"))</f>
        <v/>
      </c>
      <c r="C514" s="8" t="n"/>
      <c r="F514" s="8" t="n"/>
      <c r="G514" s="8">
        <f>IF(F514&lt;&gt;"",HYPERLINK("https://www.google.com/maps/search/?api=1&amp;query="&amp;SUBSTITUTE(F514," ",""),"🗺 Google Maps"),"")</f>
        <v/>
      </c>
      <c r="H514" s="8">
        <f>IF(F514&lt;&gt;"",HYPERLINK("https://waze.com/ul?ll="&amp;SUBSTITUTE(F514," ","")&amp;"&amp;navigate=yes","🚗 Waze"),"")</f>
        <v/>
      </c>
      <c r="I514" s="8">
        <f>IF(F514&lt;&gt;"",HYPERLINK("https://m.uber.com/ul/?action=setPickup&amp;pickup=my_location&amp;dropoff[latitude]="&amp;LEFT(SUBSTITUTE(F514," ",""),FIND(",",SUBSTITUTE(F514," ",""))-1)&amp;"&amp;dropoff[longitude]="&amp;MID(SUBSTITUTE(F514," ",""),FIND(",",SUBSTITUTE(F514," ",""))+1,99),"🚕 Uber"),"")</f>
        <v/>
      </c>
      <c r="J514" s="8">
        <f>IF(F514&lt;&gt;"","https://api.qrserver.com/v1/create-qr-code/?size=200x200&amp;data="&amp;ENCODEURL("https://www.google.com/maps/search/?api=1&amp;query="&amp;SUBSTITUTE(F514," ","")),"")</f>
        <v/>
      </c>
      <c r="K514" s="8">
        <f>IF(C514&lt;&gt;"",HYPERLINK("https://wa.me/507"&amp;REGEXREPLACE(C514,"[^0-9]","")&amp;"?text="&amp;ENCODEURL("Ya llegue. Codigo: "&amp;A514&amp;". Ubicacion: "&amp;"https://www.google.com/maps/search/?api=1&amp;query="&amp;SUBSTITUTE(F514," ","")),"📲 Avisar al cliente"),"")</f>
        <v/>
      </c>
      <c r="L514" s="8">
        <f>IF(C514&lt;&gt;"","https://api.qrserver.com/v1/create-qr-code/?size=200x200&amp;data="&amp;ENCODEURL("https://wa.me/507"&amp;REGEXREPLACE(C514,"[^0-9]","")&amp;"?text="&amp;ENCODEURL("Ya llegue. Codigo: "&amp;A514&amp;". Ubicacion: "&amp;"https://www.google.com/maps/search/?api=1&amp;query="&amp;SUBSTITUTE(F514," ",""))),"")</f>
        <v/>
      </c>
      <c r="M514" s="8">
        <f>IF(B514&lt;&gt;"",TODAY(),"")</f>
        <v/>
      </c>
      <c r="N514" s="8">
        <f>IF(F514&lt;&gt;"",IFERROR(IF(AND(REGEXMATCH(SUBSTITUTE(TRIM(F514)," ",""),"^-?\d+(\.\d+)?,-?\d+(\.\d+)?$"),VALUE(REGEXEXTRACT(SUBSTITUTE(TRIM(F514)," ",""),"^-?\d+(\.\d+)?"))&gt;=-90,VALUE(REGEXEXTRACT(SUBSTITUTE(TRIM(F514)," ",""),"^-?\d+(\.\d+)?"))&lt;=90,VALUE(REGEXEXTRACT(SUBSTITUTE(TRIM(F514)," ",""),"-?\d+(\.\d+)?$"))&gt;=-180,VALUE(REGEXEXTRACT(SUBSTITUTE(TRIM(F514)," ",""),"-?\d+(\.\d+)?$"))&lt;=180),"OK","REVISAR"),"REVISAR"),"")</f>
        <v/>
      </c>
      <c r="O514">
        <f>IF(A514&lt;&gt;"","https://direcciones507.github.io/direcciones507/panel.html?codigo="&amp;A514&amp;"&amp;nombre="&amp;ENCODEURL(B514)&amp;"&amp;telefono="&amp;SUBSTITUTE(C514,"-","")&amp;"&amp;referencia="&amp;ENCODEURL(E514)&amp;"&amp;lat="&amp;IZQUIERDA(SUBSTITUTE(F514," ",""),ENCONTRAR(",",SUBSTITUTE(F514," ",""))-1)&amp;"&amp;lng="&amp;DERECHA(SUBSTITUTE(F514," ",""),LARGO(SUBSTITUTE(F514," ",""))-ENCONTRAR(",",SUBSTITUTE(F514," ",""))),"")</f>
        <v/>
      </c>
    </row>
    <row r="515" ht="15.75" customHeight="1" s="10">
      <c r="A515" s="8">
        <f>CONCAT("AD507-",TEXT(ROW()-2,"0000"))</f>
        <v/>
      </c>
      <c r="C515" s="8" t="n"/>
      <c r="F515" s="8" t="n"/>
      <c r="G515" s="8">
        <f>IF(F515&lt;&gt;"",HYPERLINK("https://www.google.com/maps/search/?api=1&amp;query="&amp;SUBSTITUTE(F515," ",""),"🗺 Google Maps"),"")</f>
        <v/>
      </c>
      <c r="H515" s="8">
        <f>IF(F515&lt;&gt;"",HYPERLINK("https://waze.com/ul?ll="&amp;SUBSTITUTE(F515," ","")&amp;"&amp;navigate=yes","🚗 Waze"),"")</f>
        <v/>
      </c>
      <c r="I515" s="8">
        <f>IF(F515&lt;&gt;"",HYPERLINK("https://m.uber.com/ul/?action=setPickup&amp;pickup=my_location&amp;dropoff[latitude]="&amp;LEFT(SUBSTITUTE(F515," ",""),FIND(",",SUBSTITUTE(F515," ",""))-1)&amp;"&amp;dropoff[longitude]="&amp;MID(SUBSTITUTE(F515," ",""),FIND(",",SUBSTITUTE(F515," ",""))+1,99),"🚕 Uber"),"")</f>
        <v/>
      </c>
      <c r="J515" s="8">
        <f>IF(F515&lt;&gt;"","https://api.qrserver.com/v1/create-qr-code/?size=200x200&amp;data="&amp;ENCODEURL("https://www.google.com/maps/search/?api=1&amp;query="&amp;SUBSTITUTE(F515," ","")),"")</f>
        <v/>
      </c>
      <c r="K515" s="8">
        <f>IF(C515&lt;&gt;"",HYPERLINK("https://wa.me/507"&amp;REGEXREPLACE(C515,"[^0-9]","")&amp;"?text="&amp;ENCODEURL("Ya llegue. Codigo: "&amp;A515&amp;". Ubicacion: "&amp;"https://www.google.com/maps/search/?api=1&amp;query="&amp;SUBSTITUTE(F515," ","")),"📲 Avisar al cliente"),"")</f>
        <v/>
      </c>
      <c r="L515" s="8">
        <f>IF(C515&lt;&gt;"","https://api.qrserver.com/v1/create-qr-code/?size=200x200&amp;data="&amp;ENCODEURL("https://wa.me/507"&amp;REGEXREPLACE(C515,"[^0-9]","")&amp;"?text="&amp;ENCODEURL("Ya llegue. Codigo: "&amp;A515&amp;". Ubicacion: "&amp;"https://www.google.com/maps/search/?api=1&amp;query="&amp;SUBSTITUTE(F515," ",""))),"")</f>
        <v/>
      </c>
      <c r="M515" s="8">
        <f>IF(B515&lt;&gt;"",TODAY(),"")</f>
        <v/>
      </c>
      <c r="N515" s="8">
        <f>IF(F515&lt;&gt;"",IFERROR(IF(AND(REGEXMATCH(SUBSTITUTE(TRIM(F515)," ",""),"^-?\d+(\.\d+)?,-?\d+(\.\d+)?$"),VALUE(REGEXEXTRACT(SUBSTITUTE(TRIM(F515)," ",""),"^-?\d+(\.\d+)?"))&gt;=-90,VALUE(REGEXEXTRACT(SUBSTITUTE(TRIM(F515)," ",""),"^-?\d+(\.\d+)?"))&lt;=90,VALUE(REGEXEXTRACT(SUBSTITUTE(TRIM(F515)," ",""),"-?\d+(\.\d+)?$"))&gt;=-180,VALUE(REGEXEXTRACT(SUBSTITUTE(TRIM(F515)," ",""),"-?\d+(\.\d+)?$"))&lt;=180),"OK","REVISAR"),"REVISAR"),"")</f>
        <v/>
      </c>
      <c r="O515">
        <f>IF(A515&lt;&gt;"","https://direcciones507.github.io/direcciones507/panel.html?codigo="&amp;A515&amp;"&amp;nombre="&amp;ENCODEURL(B515)&amp;"&amp;telefono="&amp;SUBSTITUTE(C515,"-","")&amp;"&amp;referencia="&amp;ENCODEURL(E515)&amp;"&amp;lat="&amp;IZQUIERDA(SUBSTITUTE(F515," ",""),ENCONTRAR(",",SUBSTITUTE(F515," ",""))-1)&amp;"&amp;lng="&amp;DERECHA(SUBSTITUTE(F515," ",""),LARGO(SUBSTITUTE(F515," ",""))-ENCONTRAR(",",SUBSTITUTE(F515," ",""))),"")</f>
        <v/>
      </c>
    </row>
    <row r="516" ht="15.75" customHeight="1" s="10">
      <c r="A516" s="8">
        <f>CONCAT("AD507-",TEXT(ROW()-2,"0000"))</f>
        <v/>
      </c>
      <c r="C516" s="8" t="n"/>
      <c r="F516" s="8" t="n"/>
      <c r="G516" s="8">
        <f>IF(F516&lt;&gt;"",HYPERLINK("https://www.google.com/maps/search/?api=1&amp;query="&amp;SUBSTITUTE(F516," ",""),"🗺 Google Maps"),"")</f>
        <v/>
      </c>
      <c r="H516" s="8">
        <f>IF(F516&lt;&gt;"",HYPERLINK("https://waze.com/ul?ll="&amp;SUBSTITUTE(F516," ","")&amp;"&amp;navigate=yes","🚗 Waze"),"")</f>
        <v/>
      </c>
      <c r="I516" s="8">
        <f>IF(F516&lt;&gt;"",HYPERLINK("https://m.uber.com/ul/?action=setPickup&amp;pickup=my_location&amp;dropoff[latitude]="&amp;LEFT(SUBSTITUTE(F516," ",""),FIND(",",SUBSTITUTE(F516," ",""))-1)&amp;"&amp;dropoff[longitude]="&amp;MID(SUBSTITUTE(F516," ",""),FIND(",",SUBSTITUTE(F516," ",""))+1,99),"🚕 Uber"),"")</f>
        <v/>
      </c>
      <c r="J516" s="8">
        <f>IF(F516&lt;&gt;"","https://api.qrserver.com/v1/create-qr-code/?size=200x200&amp;data="&amp;ENCODEURL("https://www.google.com/maps/search/?api=1&amp;query="&amp;SUBSTITUTE(F516," ","")),"")</f>
        <v/>
      </c>
      <c r="K516" s="8">
        <f>IF(C516&lt;&gt;"",HYPERLINK("https://wa.me/507"&amp;REGEXREPLACE(C516,"[^0-9]","")&amp;"?text="&amp;ENCODEURL("Ya llegue. Codigo: "&amp;A516&amp;". Ubicacion: "&amp;"https://www.google.com/maps/search/?api=1&amp;query="&amp;SUBSTITUTE(F516," ","")),"📲 Avisar al cliente"),"")</f>
        <v/>
      </c>
      <c r="L516" s="8">
        <f>IF(C516&lt;&gt;"","https://api.qrserver.com/v1/create-qr-code/?size=200x200&amp;data="&amp;ENCODEURL("https://wa.me/507"&amp;REGEXREPLACE(C516,"[^0-9]","")&amp;"?text="&amp;ENCODEURL("Ya llegue. Codigo: "&amp;A516&amp;". Ubicacion: "&amp;"https://www.google.com/maps/search/?api=1&amp;query="&amp;SUBSTITUTE(F516," ",""))),"")</f>
        <v/>
      </c>
      <c r="M516" s="8">
        <f>IF(B516&lt;&gt;"",TODAY(),"")</f>
        <v/>
      </c>
      <c r="N516" s="8">
        <f>IF(F516&lt;&gt;"",IFERROR(IF(AND(REGEXMATCH(SUBSTITUTE(TRIM(F516)," ",""),"^-?\d+(\.\d+)?,-?\d+(\.\d+)?$"),VALUE(REGEXEXTRACT(SUBSTITUTE(TRIM(F516)," ",""),"^-?\d+(\.\d+)?"))&gt;=-90,VALUE(REGEXEXTRACT(SUBSTITUTE(TRIM(F516)," ",""),"^-?\d+(\.\d+)?"))&lt;=90,VALUE(REGEXEXTRACT(SUBSTITUTE(TRIM(F516)," ",""),"-?\d+(\.\d+)?$"))&gt;=-180,VALUE(REGEXEXTRACT(SUBSTITUTE(TRIM(F516)," ",""),"-?\d+(\.\d+)?$"))&lt;=180),"OK","REVISAR"),"REVISAR"),"")</f>
        <v/>
      </c>
      <c r="O516">
        <f>IF(A516&lt;&gt;"","https://direcciones507.github.io/direcciones507/panel.html?codigo="&amp;A516&amp;"&amp;nombre="&amp;ENCODEURL(B516)&amp;"&amp;telefono="&amp;SUBSTITUTE(C516,"-","")&amp;"&amp;referencia="&amp;ENCODEURL(E516)&amp;"&amp;lat="&amp;IZQUIERDA(SUBSTITUTE(F516," ",""),ENCONTRAR(",",SUBSTITUTE(F516," ",""))-1)&amp;"&amp;lng="&amp;DERECHA(SUBSTITUTE(F516," ",""),LARGO(SUBSTITUTE(F516," ",""))-ENCONTRAR(",",SUBSTITUTE(F516," ",""))),"")</f>
        <v/>
      </c>
    </row>
    <row r="517" ht="15.75" customHeight="1" s="10">
      <c r="A517" s="8">
        <f>CONCAT("AD507-",TEXT(ROW()-2,"0000"))</f>
        <v/>
      </c>
      <c r="C517" s="8" t="n"/>
      <c r="F517" s="8" t="n"/>
      <c r="G517" s="8">
        <f>IF(F517&lt;&gt;"",HYPERLINK("https://www.google.com/maps/search/?api=1&amp;query="&amp;SUBSTITUTE(F517," ",""),"🗺 Google Maps"),"")</f>
        <v/>
      </c>
      <c r="H517" s="8">
        <f>IF(F517&lt;&gt;"",HYPERLINK("https://waze.com/ul?ll="&amp;SUBSTITUTE(F517," ","")&amp;"&amp;navigate=yes","🚗 Waze"),"")</f>
        <v/>
      </c>
      <c r="I517" s="8">
        <f>IF(F517&lt;&gt;"",HYPERLINK("https://m.uber.com/ul/?action=setPickup&amp;pickup=my_location&amp;dropoff[latitude]="&amp;LEFT(SUBSTITUTE(F517," ",""),FIND(",",SUBSTITUTE(F517," ",""))-1)&amp;"&amp;dropoff[longitude]="&amp;MID(SUBSTITUTE(F517," ",""),FIND(",",SUBSTITUTE(F517," ",""))+1,99),"🚕 Uber"),"")</f>
        <v/>
      </c>
      <c r="J517" s="8">
        <f>IF(F517&lt;&gt;"","https://api.qrserver.com/v1/create-qr-code/?size=200x200&amp;data="&amp;ENCODEURL("https://www.google.com/maps/search/?api=1&amp;query="&amp;SUBSTITUTE(F517," ","")),"")</f>
        <v/>
      </c>
      <c r="K517" s="8">
        <f>IF(C517&lt;&gt;"",HYPERLINK("https://wa.me/507"&amp;REGEXREPLACE(C517,"[^0-9]","")&amp;"?text="&amp;ENCODEURL("Ya llegue. Codigo: "&amp;A517&amp;". Ubicacion: "&amp;"https://www.google.com/maps/search/?api=1&amp;query="&amp;SUBSTITUTE(F517," ","")),"📲 Avisar al cliente"),"")</f>
        <v/>
      </c>
      <c r="L517" s="8">
        <f>IF(C517&lt;&gt;"","https://api.qrserver.com/v1/create-qr-code/?size=200x200&amp;data="&amp;ENCODEURL("https://wa.me/507"&amp;REGEXREPLACE(C517,"[^0-9]","")&amp;"?text="&amp;ENCODEURL("Ya llegue. Codigo: "&amp;A517&amp;". Ubicacion: "&amp;"https://www.google.com/maps/search/?api=1&amp;query="&amp;SUBSTITUTE(F517," ",""))),"")</f>
        <v/>
      </c>
      <c r="M517" s="8">
        <f>IF(B517&lt;&gt;"",TODAY(),"")</f>
        <v/>
      </c>
      <c r="N517" s="8">
        <f>IF(F517&lt;&gt;"",IFERROR(IF(AND(REGEXMATCH(SUBSTITUTE(TRIM(F517)," ",""),"^-?\d+(\.\d+)?,-?\d+(\.\d+)?$"),VALUE(REGEXEXTRACT(SUBSTITUTE(TRIM(F517)," ",""),"^-?\d+(\.\d+)?"))&gt;=-90,VALUE(REGEXEXTRACT(SUBSTITUTE(TRIM(F517)," ",""),"^-?\d+(\.\d+)?"))&lt;=90,VALUE(REGEXEXTRACT(SUBSTITUTE(TRIM(F517)," ",""),"-?\d+(\.\d+)?$"))&gt;=-180,VALUE(REGEXEXTRACT(SUBSTITUTE(TRIM(F517)," ",""),"-?\d+(\.\d+)?$"))&lt;=180),"OK","REVISAR"),"REVISAR"),"")</f>
        <v/>
      </c>
      <c r="O517">
        <f>IF(A517&lt;&gt;"","https://direcciones507.github.io/direcciones507/panel.html?codigo="&amp;A517&amp;"&amp;nombre="&amp;ENCODEURL(B517)&amp;"&amp;telefono="&amp;SUBSTITUTE(C517,"-","")&amp;"&amp;referencia="&amp;ENCODEURL(E517)&amp;"&amp;lat="&amp;IZQUIERDA(SUBSTITUTE(F517," ",""),ENCONTRAR(",",SUBSTITUTE(F517," ",""))-1)&amp;"&amp;lng="&amp;DERECHA(SUBSTITUTE(F517," ",""),LARGO(SUBSTITUTE(F517," ",""))-ENCONTRAR(",",SUBSTITUTE(F517," ",""))),"")</f>
        <v/>
      </c>
    </row>
    <row r="518" ht="15.75" customHeight="1" s="10">
      <c r="A518" s="8">
        <f>CONCAT("AD507-",TEXT(ROW()-2,"0000"))</f>
        <v/>
      </c>
      <c r="C518" s="8" t="n"/>
      <c r="F518" s="8" t="n"/>
      <c r="G518" s="8">
        <f>IF(F518&lt;&gt;"",HYPERLINK("https://www.google.com/maps/search/?api=1&amp;query="&amp;SUBSTITUTE(F518," ",""),"🗺 Google Maps"),"")</f>
        <v/>
      </c>
      <c r="H518" s="8">
        <f>IF(F518&lt;&gt;"",HYPERLINK("https://waze.com/ul?ll="&amp;SUBSTITUTE(F518," ","")&amp;"&amp;navigate=yes","🚗 Waze"),"")</f>
        <v/>
      </c>
      <c r="I518" s="8">
        <f>IF(F518&lt;&gt;"",HYPERLINK("https://m.uber.com/ul/?action=setPickup&amp;pickup=my_location&amp;dropoff[latitude]="&amp;LEFT(SUBSTITUTE(F518," ",""),FIND(",",SUBSTITUTE(F518," ",""))-1)&amp;"&amp;dropoff[longitude]="&amp;MID(SUBSTITUTE(F518," ",""),FIND(",",SUBSTITUTE(F518," ",""))+1,99),"🚕 Uber"),"")</f>
        <v/>
      </c>
      <c r="J518" s="8">
        <f>IF(F518&lt;&gt;"","https://api.qrserver.com/v1/create-qr-code/?size=200x200&amp;data="&amp;ENCODEURL("https://www.google.com/maps/search/?api=1&amp;query="&amp;SUBSTITUTE(F518," ","")),"")</f>
        <v/>
      </c>
      <c r="K518" s="8">
        <f>IF(C518&lt;&gt;"",HYPERLINK("https://wa.me/507"&amp;REGEXREPLACE(C518,"[^0-9]","")&amp;"?text="&amp;ENCODEURL("Ya llegue. Codigo: "&amp;A518&amp;". Ubicacion: "&amp;"https://www.google.com/maps/search/?api=1&amp;query="&amp;SUBSTITUTE(F518," ","")),"📲 Avisar al cliente"),"")</f>
        <v/>
      </c>
      <c r="L518" s="8">
        <f>IF(C518&lt;&gt;"","https://api.qrserver.com/v1/create-qr-code/?size=200x200&amp;data="&amp;ENCODEURL("https://wa.me/507"&amp;REGEXREPLACE(C518,"[^0-9]","")&amp;"?text="&amp;ENCODEURL("Ya llegue. Codigo: "&amp;A518&amp;". Ubicacion: "&amp;"https://www.google.com/maps/search/?api=1&amp;query="&amp;SUBSTITUTE(F518," ",""))),"")</f>
        <v/>
      </c>
      <c r="M518" s="8">
        <f>IF(B518&lt;&gt;"",TODAY(),"")</f>
        <v/>
      </c>
      <c r="N518" s="8">
        <f>IF(F518&lt;&gt;"",IFERROR(IF(AND(REGEXMATCH(SUBSTITUTE(TRIM(F518)," ",""),"^-?\d+(\.\d+)?,-?\d+(\.\d+)?$"),VALUE(REGEXEXTRACT(SUBSTITUTE(TRIM(F518)," ",""),"^-?\d+(\.\d+)?"))&gt;=-90,VALUE(REGEXEXTRACT(SUBSTITUTE(TRIM(F518)," ",""),"^-?\d+(\.\d+)?"))&lt;=90,VALUE(REGEXEXTRACT(SUBSTITUTE(TRIM(F518)," ",""),"-?\d+(\.\d+)?$"))&gt;=-180,VALUE(REGEXEXTRACT(SUBSTITUTE(TRIM(F518)," ",""),"-?\d+(\.\d+)?$"))&lt;=180),"OK","REVISAR"),"REVISAR"),"")</f>
        <v/>
      </c>
      <c r="O518">
        <f>IF(A518&lt;&gt;"","https://direcciones507.github.io/direcciones507/panel.html?codigo="&amp;A518&amp;"&amp;nombre="&amp;ENCODEURL(B518)&amp;"&amp;telefono="&amp;SUBSTITUTE(C518,"-","")&amp;"&amp;referencia="&amp;ENCODEURL(E518)&amp;"&amp;lat="&amp;IZQUIERDA(SUBSTITUTE(F518," ",""),ENCONTRAR(",",SUBSTITUTE(F518," ",""))-1)&amp;"&amp;lng="&amp;DERECHA(SUBSTITUTE(F518," ",""),LARGO(SUBSTITUTE(F518," ",""))-ENCONTRAR(",",SUBSTITUTE(F518," ",""))),"")</f>
        <v/>
      </c>
    </row>
    <row r="519" ht="15.75" customHeight="1" s="10">
      <c r="A519" s="8">
        <f>CONCAT("AD507-",TEXT(ROW()-2,"0000"))</f>
        <v/>
      </c>
      <c r="C519" s="8" t="n"/>
      <c r="F519" s="8" t="n"/>
      <c r="G519" s="8">
        <f>IF(F519&lt;&gt;"",HYPERLINK("https://www.google.com/maps/search/?api=1&amp;query="&amp;SUBSTITUTE(F519," ",""),"🗺 Google Maps"),"")</f>
        <v/>
      </c>
      <c r="H519" s="8">
        <f>IF(F519&lt;&gt;"",HYPERLINK("https://waze.com/ul?ll="&amp;SUBSTITUTE(F519," ","")&amp;"&amp;navigate=yes","🚗 Waze"),"")</f>
        <v/>
      </c>
      <c r="I519" s="8">
        <f>IF(F519&lt;&gt;"",HYPERLINK("https://m.uber.com/ul/?action=setPickup&amp;pickup=my_location&amp;dropoff[latitude]="&amp;LEFT(SUBSTITUTE(F519," ",""),FIND(",",SUBSTITUTE(F519," ",""))-1)&amp;"&amp;dropoff[longitude]="&amp;MID(SUBSTITUTE(F519," ",""),FIND(",",SUBSTITUTE(F519," ",""))+1,99),"🚕 Uber"),"")</f>
        <v/>
      </c>
      <c r="J519" s="8">
        <f>IF(F519&lt;&gt;"","https://api.qrserver.com/v1/create-qr-code/?size=200x200&amp;data="&amp;ENCODEURL("https://www.google.com/maps/search/?api=1&amp;query="&amp;SUBSTITUTE(F519," ","")),"")</f>
        <v/>
      </c>
      <c r="K519" s="8">
        <f>IF(C519&lt;&gt;"",HYPERLINK("https://wa.me/507"&amp;REGEXREPLACE(C519,"[^0-9]","")&amp;"?text="&amp;ENCODEURL("Ya llegue. Codigo: "&amp;A519&amp;". Ubicacion: "&amp;"https://www.google.com/maps/search/?api=1&amp;query="&amp;SUBSTITUTE(F519," ","")),"📲 Avisar al cliente"),"")</f>
        <v/>
      </c>
      <c r="L519" s="8">
        <f>IF(C519&lt;&gt;"","https://api.qrserver.com/v1/create-qr-code/?size=200x200&amp;data="&amp;ENCODEURL("https://wa.me/507"&amp;REGEXREPLACE(C519,"[^0-9]","")&amp;"?text="&amp;ENCODEURL("Ya llegue. Codigo: "&amp;A519&amp;". Ubicacion: "&amp;"https://www.google.com/maps/search/?api=1&amp;query="&amp;SUBSTITUTE(F519," ",""))),"")</f>
        <v/>
      </c>
      <c r="M519" s="8">
        <f>IF(B519&lt;&gt;"",TODAY(),"")</f>
        <v/>
      </c>
      <c r="N519" s="8">
        <f>IF(F519&lt;&gt;"",IFERROR(IF(AND(REGEXMATCH(SUBSTITUTE(TRIM(F519)," ",""),"^-?\d+(\.\d+)?,-?\d+(\.\d+)?$"),VALUE(REGEXEXTRACT(SUBSTITUTE(TRIM(F519)," ",""),"^-?\d+(\.\d+)?"))&gt;=-90,VALUE(REGEXEXTRACT(SUBSTITUTE(TRIM(F519)," ",""),"^-?\d+(\.\d+)?"))&lt;=90,VALUE(REGEXEXTRACT(SUBSTITUTE(TRIM(F519)," ",""),"-?\d+(\.\d+)?$"))&gt;=-180,VALUE(REGEXEXTRACT(SUBSTITUTE(TRIM(F519)," ",""),"-?\d+(\.\d+)?$"))&lt;=180),"OK","REVISAR"),"REVISAR"),"")</f>
        <v/>
      </c>
      <c r="O519">
        <f>IF(A519&lt;&gt;"","https://direcciones507.github.io/direcciones507/panel.html?codigo="&amp;A519&amp;"&amp;nombre="&amp;ENCODEURL(B519)&amp;"&amp;telefono="&amp;SUBSTITUTE(C519,"-","")&amp;"&amp;referencia="&amp;ENCODEURL(E519)&amp;"&amp;lat="&amp;IZQUIERDA(SUBSTITUTE(F519," ",""),ENCONTRAR(",",SUBSTITUTE(F519," ",""))-1)&amp;"&amp;lng="&amp;DERECHA(SUBSTITUTE(F519," ",""),LARGO(SUBSTITUTE(F519," ",""))-ENCONTRAR(",",SUBSTITUTE(F519," ",""))),"")</f>
        <v/>
      </c>
    </row>
    <row r="520" ht="15.75" customHeight="1" s="10">
      <c r="A520" s="8">
        <f>CONCAT("AD507-",TEXT(ROW()-2,"0000"))</f>
        <v/>
      </c>
      <c r="C520" s="8" t="n"/>
      <c r="F520" s="8" t="n"/>
      <c r="G520" s="8">
        <f>IF(F520&lt;&gt;"",HYPERLINK("https://www.google.com/maps/search/?api=1&amp;query="&amp;SUBSTITUTE(F520," ",""),"🗺 Google Maps"),"")</f>
        <v/>
      </c>
      <c r="H520" s="8">
        <f>IF(F520&lt;&gt;"",HYPERLINK("https://waze.com/ul?ll="&amp;SUBSTITUTE(F520," ","")&amp;"&amp;navigate=yes","🚗 Waze"),"")</f>
        <v/>
      </c>
      <c r="I520" s="8">
        <f>IF(F520&lt;&gt;"",HYPERLINK("https://m.uber.com/ul/?action=setPickup&amp;pickup=my_location&amp;dropoff[latitude]="&amp;LEFT(SUBSTITUTE(F520," ",""),FIND(",",SUBSTITUTE(F520," ",""))-1)&amp;"&amp;dropoff[longitude]="&amp;MID(SUBSTITUTE(F520," ",""),FIND(",",SUBSTITUTE(F520," ",""))+1,99),"🚕 Uber"),"")</f>
        <v/>
      </c>
      <c r="J520" s="8">
        <f>IF(F520&lt;&gt;"","https://api.qrserver.com/v1/create-qr-code/?size=200x200&amp;data="&amp;ENCODEURL("https://www.google.com/maps/search/?api=1&amp;query="&amp;SUBSTITUTE(F520," ","")),"")</f>
        <v/>
      </c>
      <c r="K520" s="8">
        <f>IF(C520&lt;&gt;"",HYPERLINK("https://wa.me/507"&amp;REGEXREPLACE(C520,"[^0-9]","")&amp;"?text="&amp;ENCODEURL("Ya llegue. Codigo: "&amp;A520&amp;". Ubicacion: "&amp;"https://www.google.com/maps/search/?api=1&amp;query="&amp;SUBSTITUTE(F520," ","")),"📲 Avisar al cliente"),"")</f>
        <v/>
      </c>
      <c r="L520" s="8">
        <f>IF(C520&lt;&gt;"","https://api.qrserver.com/v1/create-qr-code/?size=200x200&amp;data="&amp;ENCODEURL("https://wa.me/507"&amp;REGEXREPLACE(C520,"[^0-9]","")&amp;"?text="&amp;ENCODEURL("Ya llegue. Codigo: "&amp;A520&amp;". Ubicacion: "&amp;"https://www.google.com/maps/search/?api=1&amp;query="&amp;SUBSTITUTE(F520," ",""))),"")</f>
        <v/>
      </c>
      <c r="M520" s="8">
        <f>IF(B520&lt;&gt;"",TODAY(),"")</f>
        <v/>
      </c>
      <c r="N520" s="8">
        <f>IF(F520&lt;&gt;"",IFERROR(IF(AND(REGEXMATCH(SUBSTITUTE(TRIM(F520)," ",""),"^-?\d+(\.\d+)?,-?\d+(\.\d+)?$"),VALUE(REGEXEXTRACT(SUBSTITUTE(TRIM(F520)," ",""),"^-?\d+(\.\d+)?"))&gt;=-90,VALUE(REGEXEXTRACT(SUBSTITUTE(TRIM(F520)," ",""),"^-?\d+(\.\d+)?"))&lt;=90,VALUE(REGEXEXTRACT(SUBSTITUTE(TRIM(F520)," ",""),"-?\d+(\.\d+)?$"))&gt;=-180,VALUE(REGEXEXTRACT(SUBSTITUTE(TRIM(F520)," ",""),"-?\d+(\.\d+)?$"))&lt;=180),"OK","REVISAR"),"REVISAR"),"")</f>
        <v/>
      </c>
      <c r="O520">
        <f>IF(A520&lt;&gt;"","https://direcciones507.github.io/direcciones507/panel.html?codigo="&amp;A520&amp;"&amp;nombre="&amp;ENCODEURL(B520)&amp;"&amp;telefono="&amp;SUBSTITUTE(C520,"-","")&amp;"&amp;referencia="&amp;ENCODEURL(E520)&amp;"&amp;lat="&amp;IZQUIERDA(SUBSTITUTE(F520," ",""),ENCONTRAR(",",SUBSTITUTE(F520," ",""))-1)&amp;"&amp;lng="&amp;DERECHA(SUBSTITUTE(F520," ",""),LARGO(SUBSTITUTE(F520," ",""))-ENCONTRAR(",",SUBSTITUTE(F520," ",""))),"")</f>
        <v/>
      </c>
    </row>
    <row r="521" ht="15.75" customHeight="1" s="10">
      <c r="A521" s="8">
        <f>CONCAT("AD507-",TEXT(ROW()-2,"0000"))</f>
        <v/>
      </c>
      <c r="C521" s="8" t="n"/>
      <c r="F521" s="8" t="n"/>
      <c r="G521" s="8">
        <f>IF(F521&lt;&gt;"",HYPERLINK("https://www.google.com/maps/search/?api=1&amp;query="&amp;SUBSTITUTE(F521," ",""),"🗺 Google Maps"),"")</f>
        <v/>
      </c>
      <c r="H521" s="8">
        <f>IF(F521&lt;&gt;"",HYPERLINK("https://waze.com/ul?ll="&amp;SUBSTITUTE(F521," ","")&amp;"&amp;navigate=yes","🚗 Waze"),"")</f>
        <v/>
      </c>
      <c r="I521" s="8">
        <f>IF(F521&lt;&gt;"",HYPERLINK("https://m.uber.com/ul/?action=setPickup&amp;pickup=my_location&amp;dropoff[latitude]="&amp;LEFT(SUBSTITUTE(F521," ",""),FIND(",",SUBSTITUTE(F521," ",""))-1)&amp;"&amp;dropoff[longitude]="&amp;MID(SUBSTITUTE(F521," ",""),FIND(",",SUBSTITUTE(F521," ",""))+1,99),"🚕 Uber"),"")</f>
        <v/>
      </c>
      <c r="J521" s="8">
        <f>IF(F521&lt;&gt;"","https://api.qrserver.com/v1/create-qr-code/?size=200x200&amp;data="&amp;ENCODEURL("https://www.google.com/maps/search/?api=1&amp;query="&amp;SUBSTITUTE(F521," ","")),"")</f>
        <v/>
      </c>
      <c r="K521" s="8">
        <f>IF(C521&lt;&gt;"",HYPERLINK("https://wa.me/507"&amp;REGEXREPLACE(C521,"[^0-9]","")&amp;"?text="&amp;ENCODEURL("Ya llegue. Codigo: "&amp;A521&amp;". Ubicacion: "&amp;"https://www.google.com/maps/search/?api=1&amp;query="&amp;SUBSTITUTE(F521," ","")),"📲 Avisar al cliente"),"")</f>
        <v/>
      </c>
      <c r="L521" s="8">
        <f>IF(C521&lt;&gt;"","https://api.qrserver.com/v1/create-qr-code/?size=200x200&amp;data="&amp;ENCODEURL("https://wa.me/507"&amp;REGEXREPLACE(C521,"[^0-9]","")&amp;"?text="&amp;ENCODEURL("Ya llegue. Codigo: "&amp;A521&amp;". Ubicacion: "&amp;"https://www.google.com/maps/search/?api=1&amp;query="&amp;SUBSTITUTE(F521," ",""))),"")</f>
        <v/>
      </c>
      <c r="M521" s="8">
        <f>IF(B521&lt;&gt;"",TODAY(),"")</f>
        <v/>
      </c>
      <c r="N521" s="8">
        <f>IF(F521&lt;&gt;"",IFERROR(IF(AND(REGEXMATCH(SUBSTITUTE(TRIM(F521)," ",""),"^-?\d+(\.\d+)?,-?\d+(\.\d+)?$"),VALUE(REGEXEXTRACT(SUBSTITUTE(TRIM(F521)," ",""),"^-?\d+(\.\d+)?"))&gt;=-90,VALUE(REGEXEXTRACT(SUBSTITUTE(TRIM(F521)," ",""),"^-?\d+(\.\d+)?"))&lt;=90,VALUE(REGEXEXTRACT(SUBSTITUTE(TRIM(F521)," ",""),"-?\d+(\.\d+)?$"))&gt;=-180,VALUE(REGEXEXTRACT(SUBSTITUTE(TRIM(F521)," ",""),"-?\d+(\.\d+)?$"))&lt;=180),"OK","REVISAR"),"REVISAR"),"")</f>
        <v/>
      </c>
      <c r="O521">
        <f>IF(A521&lt;&gt;"","https://direcciones507.github.io/direcciones507/panel.html?codigo="&amp;A521&amp;"&amp;nombre="&amp;ENCODEURL(B521)&amp;"&amp;telefono="&amp;SUBSTITUTE(C521,"-","")&amp;"&amp;referencia="&amp;ENCODEURL(E521)&amp;"&amp;lat="&amp;IZQUIERDA(SUBSTITUTE(F521," ",""),ENCONTRAR(",",SUBSTITUTE(F521," ",""))-1)&amp;"&amp;lng="&amp;DERECHA(SUBSTITUTE(F521," ",""),LARGO(SUBSTITUTE(F521," ",""))-ENCONTRAR(",",SUBSTITUTE(F521," ",""))),"")</f>
        <v/>
      </c>
    </row>
    <row r="522" ht="15.75" customHeight="1" s="10">
      <c r="A522" s="8">
        <f>CONCAT("AD507-",TEXT(ROW()-2,"0000"))</f>
        <v/>
      </c>
      <c r="C522" s="8" t="n"/>
      <c r="F522" s="8" t="n"/>
      <c r="G522" s="8">
        <f>IF(F522&lt;&gt;"",HYPERLINK("https://www.google.com/maps/search/?api=1&amp;query="&amp;SUBSTITUTE(F522," ",""),"🗺 Google Maps"),"")</f>
        <v/>
      </c>
      <c r="H522" s="8">
        <f>IF(F522&lt;&gt;"",HYPERLINK("https://waze.com/ul?ll="&amp;SUBSTITUTE(F522," ","")&amp;"&amp;navigate=yes","🚗 Waze"),"")</f>
        <v/>
      </c>
      <c r="I522" s="8">
        <f>IF(F522&lt;&gt;"",HYPERLINK("https://m.uber.com/ul/?action=setPickup&amp;pickup=my_location&amp;dropoff[latitude]="&amp;LEFT(SUBSTITUTE(F522," ",""),FIND(",",SUBSTITUTE(F522," ",""))-1)&amp;"&amp;dropoff[longitude]="&amp;MID(SUBSTITUTE(F522," ",""),FIND(",",SUBSTITUTE(F522," ",""))+1,99),"🚕 Uber"),"")</f>
        <v/>
      </c>
      <c r="J522" s="8">
        <f>IF(F522&lt;&gt;"","https://api.qrserver.com/v1/create-qr-code/?size=200x200&amp;data="&amp;ENCODEURL("https://www.google.com/maps/search/?api=1&amp;query="&amp;SUBSTITUTE(F522," ","")),"")</f>
        <v/>
      </c>
      <c r="K522" s="8">
        <f>IF(C522&lt;&gt;"",HYPERLINK("https://wa.me/507"&amp;REGEXREPLACE(C522,"[^0-9]","")&amp;"?text="&amp;ENCODEURL("Ya llegue. Codigo: "&amp;A522&amp;". Ubicacion: "&amp;"https://www.google.com/maps/search/?api=1&amp;query="&amp;SUBSTITUTE(F522," ","")),"📲 Avisar al cliente"),"")</f>
        <v/>
      </c>
      <c r="L522" s="8">
        <f>IF(C522&lt;&gt;"","https://api.qrserver.com/v1/create-qr-code/?size=200x200&amp;data="&amp;ENCODEURL("https://wa.me/507"&amp;REGEXREPLACE(C522,"[^0-9]","")&amp;"?text="&amp;ENCODEURL("Ya llegue. Codigo: "&amp;A522&amp;". Ubicacion: "&amp;"https://www.google.com/maps/search/?api=1&amp;query="&amp;SUBSTITUTE(F522," ",""))),"")</f>
        <v/>
      </c>
      <c r="M522" s="8">
        <f>IF(B522&lt;&gt;"",TODAY(),"")</f>
        <v/>
      </c>
      <c r="N522" s="8">
        <f>IF(F522&lt;&gt;"",IFERROR(IF(AND(REGEXMATCH(SUBSTITUTE(TRIM(F522)," ",""),"^-?\d+(\.\d+)?,-?\d+(\.\d+)?$"),VALUE(REGEXEXTRACT(SUBSTITUTE(TRIM(F522)," ",""),"^-?\d+(\.\d+)?"))&gt;=-90,VALUE(REGEXEXTRACT(SUBSTITUTE(TRIM(F522)," ",""),"^-?\d+(\.\d+)?"))&lt;=90,VALUE(REGEXEXTRACT(SUBSTITUTE(TRIM(F522)," ",""),"-?\d+(\.\d+)?$"))&gt;=-180,VALUE(REGEXEXTRACT(SUBSTITUTE(TRIM(F522)," ",""),"-?\d+(\.\d+)?$"))&lt;=180),"OK","REVISAR"),"REVISAR"),"")</f>
        <v/>
      </c>
      <c r="O522">
        <f>IF(A522&lt;&gt;"","https://direcciones507.github.io/direcciones507/panel.html?codigo="&amp;A522&amp;"&amp;nombre="&amp;ENCODEURL(B522)&amp;"&amp;telefono="&amp;SUBSTITUTE(C522,"-","")&amp;"&amp;referencia="&amp;ENCODEURL(E522)&amp;"&amp;lat="&amp;IZQUIERDA(SUBSTITUTE(F522," ",""),ENCONTRAR(",",SUBSTITUTE(F522," ",""))-1)&amp;"&amp;lng="&amp;DERECHA(SUBSTITUTE(F522," ",""),LARGO(SUBSTITUTE(F522," ",""))-ENCONTRAR(",",SUBSTITUTE(F522," ",""))),"")</f>
        <v/>
      </c>
    </row>
    <row r="523" ht="15.75" customHeight="1" s="10">
      <c r="A523" s="8">
        <f>CONCAT("AD507-",TEXT(ROW()-2,"0000"))</f>
        <v/>
      </c>
      <c r="C523" s="8" t="n"/>
      <c r="F523" s="8" t="n"/>
      <c r="G523" s="8">
        <f>IF(F523&lt;&gt;"",HYPERLINK("https://www.google.com/maps/search/?api=1&amp;query="&amp;SUBSTITUTE(F523," ",""),"🗺 Google Maps"),"")</f>
        <v/>
      </c>
      <c r="H523" s="8">
        <f>IF(F523&lt;&gt;"",HYPERLINK("https://waze.com/ul?ll="&amp;SUBSTITUTE(F523," ","")&amp;"&amp;navigate=yes","🚗 Waze"),"")</f>
        <v/>
      </c>
      <c r="I523" s="8">
        <f>IF(F523&lt;&gt;"",HYPERLINK("https://m.uber.com/ul/?action=setPickup&amp;pickup=my_location&amp;dropoff[latitude]="&amp;LEFT(SUBSTITUTE(F523," ",""),FIND(",",SUBSTITUTE(F523," ",""))-1)&amp;"&amp;dropoff[longitude]="&amp;MID(SUBSTITUTE(F523," ",""),FIND(",",SUBSTITUTE(F523," ",""))+1,99),"🚕 Uber"),"")</f>
        <v/>
      </c>
      <c r="J523" s="8">
        <f>IF(F523&lt;&gt;"","https://api.qrserver.com/v1/create-qr-code/?size=200x200&amp;data="&amp;ENCODEURL("https://www.google.com/maps/search/?api=1&amp;query="&amp;SUBSTITUTE(F523," ","")),"")</f>
        <v/>
      </c>
      <c r="K523" s="8">
        <f>IF(C523&lt;&gt;"",HYPERLINK("https://wa.me/507"&amp;REGEXREPLACE(C523,"[^0-9]","")&amp;"?text="&amp;ENCODEURL("Ya llegue. Codigo: "&amp;A523&amp;". Ubicacion: "&amp;"https://www.google.com/maps/search/?api=1&amp;query="&amp;SUBSTITUTE(F523," ","")),"📲 Avisar al cliente"),"")</f>
        <v/>
      </c>
      <c r="L523" s="8">
        <f>IF(C523&lt;&gt;"","https://api.qrserver.com/v1/create-qr-code/?size=200x200&amp;data="&amp;ENCODEURL("https://wa.me/507"&amp;REGEXREPLACE(C523,"[^0-9]","")&amp;"?text="&amp;ENCODEURL("Ya llegue. Codigo: "&amp;A523&amp;". Ubicacion: "&amp;"https://www.google.com/maps/search/?api=1&amp;query="&amp;SUBSTITUTE(F523," ",""))),"")</f>
        <v/>
      </c>
      <c r="M523" s="8">
        <f>IF(B523&lt;&gt;"",TODAY(),"")</f>
        <v/>
      </c>
      <c r="N523" s="8">
        <f>IF(F523&lt;&gt;"",IFERROR(IF(AND(REGEXMATCH(SUBSTITUTE(TRIM(F523)," ",""),"^-?\d+(\.\d+)?,-?\d+(\.\d+)?$"),VALUE(REGEXEXTRACT(SUBSTITUTE(TRIM(F523)," ",""),"^-?\d+(\.\d+)?"))&gt;=-90,VALUE(REGEXEXTRACT(SUBSTITUTE(TRIM(F523)," ",""),"^-?\d+(\.\d+)?"))&lt;=90,VALUE(REGEXEXTRACT(SUBSTITUTE(TRIM(F523)," ",""),"-?\d+(\.\d+)?$"))&gt;=-180,VALUE(REGEXEXTRACT(SUBSTITUTE(TRIM(F523)," ",""),"-?\d+(\.\d+)?$"))&lt;=180),"OK","REVISAR"),"REVISAR"),"")</f>
        <v/>
      </c>
      <c r="O523">
        <f>IF(A523&lt;&gt;"","https://direcciones507.github.io/direcciones507/panel.html?codigo="&amp;A523&amp;"&amp;nombre="&amp;ENCODEURL(B523)&amp;"&amp;telefono="&amp;SUBSTITUTE(C523,"-","")&amp;"&amp;referencia="&amp;ENCODEURL(E523)&amp;"&amp;lat="&amp;IZQUIERDA(SUBSTITUTE(F523," ",""),ENCONTRAR(",",SUBSTITUTE(F523," ",""))-1)&amp;"&amp;lng="&amp;DERECHA(SUBSTITUTE(F523," ",""),LARGO(SUBSTITUTE(F523," ",""))-ENCONTRAR(",",SUBSTITUTE(F523," ",""))),"")</f>
        <v/>
      </c>
    </row>
    <row r="524" ht="15.75" customHeight="1" s="10">
      <c r="A524" s="8">
        <f>CONCAT("AD507-",TEXT(ROW()-2,"0000"))</f>
        <v/>
      </c>
      <c r="C524" s="8" t="n"/>
      <c r="F524" s="8" t="n"/>
      <c r="G524" s="8">
        <f>IF(F524&lt;&gt;"",HYPERLINK("https://www.google.com/maps/search/?api=1&amp;query="&amp;SUBSTITUTE(F524," ",""),"🗺 Google Maps"),"")</f>
        <v/>
      </c>
      <c r="H524" s="8">
        <f>IF(F524&lt;&gt;"",HYPERLINK("https://waze.com/ul?ll="&amp;SUBSTITUTE(F524," ","")&amp;"&amp;navigate=yes","🚗 Waze"),"")</f>
        <v/>
      </c>
      <c r="I524" s="8">
        <f>IF(F524&lt;&gt;"",HYPERLINK("https://m.uber.com/ul/?action=setPickup&amp;pickup=my_location&amp;dropoff[latitude]="&amp;LEFT(SUBSTITUTE(F524," ",""),FIND(",",SUBSTITUTE(F524," ",""))-1)&amp;"&amp;dropoff[longitude]="&amp;MID(SUBSTITUTE(F524," ",""),FIND(",",SUBSTITUTE(F524," ",""))+1,99),"🚕 Uber"),"")</f>
        <v/>
      </c>
      <c r="J524" s="8">
        <f>IF(F524&lt;&gt;"","https://api.qrserver.com/v1/create-qr-code/?size=200x200&amp;data="&amp;ENCODEURL("https://www.google.com/maps/search/?api=1&amp;query="&amp;SUBSTITUTE(F524," ","")),"")</f>
        <v/>
      </c>
      <c r="K524" s="8">
        <f>IF(C524&lt;&gt;"",HYPERLINK("https://wa.me/507"&amp;REGEXREPLACE(C524,"[^0-9]","")&amp;"?text="&amp;ENCODEURL("Ya llegue. Codigo: "&amp;A524&amp;". Ubicacion: "&amp;"https://www.google.com/maps/search/?api=1&amp;query="&amp;SUBSTITUTE(F524," ","")),"📲 Avisar al cliente"),"")</f>
        <v/>
      </c>
      <c r="L524" s="8">
        <f>IF(C524&lt;&gt;"","https://api.qrserver.com/v1/create-qr-code/?size=200x200&amp;data="&amp;ENCODEURL("https://wa.me/507"&amp;REGEXREPLACE(C524,"[^0-9]","")&amp;"?text="&amp;ENCODEURL("Ya llegue. Codigo: "&amp;A524&amp;". Ubicacion: "&amp;"https://www.google.com/maps/search/?api=1&amp;query="&amp;SUBSTITUTE(F524," ",""))),"")</f>
        <v/>
      </c>
      <c r="M524" s="8">
        <f>IF(B524&lt;&gt;"",TODAY(),"")</f>
        <v/>
      </c>
      <c r="N524" s="8">
        <f>IF(F524&lt;&gt;"",IFERROR(IF(AND(REGEXMATCH(SUBSTITUTE(TRIM(F524)," ",""),"^-?\d+(\.\d+)?,-?\d+(\.\d+)?$"),VALUE(REGEXEXTRACT(SUBSTITUTE(TRIM(F524)," ",""),"^-?\d+(\.\d+)?"))&gt;=-90,VALUE(REGEXEXTRACT(SUBSTITUTE(TRIM(F524)," ",""),"^-?\d+(\.\d+)?"))&lt;=90,VALUE(REGEXEXTRACT(SUBSTITUTE(TRIM(F524)," ",""),"-?\d+(\.\d+)?$"))&gt;=-180,VALUE(REGEXEXTRACT(SUBSTITUTE(TRIM(F524)," ",""),"-?\d+(\.\d+)?$"))&lt;=180),"OK","REVISAR"),"REVISAR"),"")</f>
        <v/>
      </c>
      <c r="O524">
        <f>IF(A524&lt;&gt;"","https://direcciones507.github.io/direcciones507/panel.html?codigo="&amp;A524&amp;"&amp;nombre="&amp;ENCODEURL(B524)&amp;"&amp;telefono="&amp;SUBSTITUTE(C524,"-","")&amp;"&amp;referencia="&amp;ENCODEURL(E524)&amp;"&amp;lat="&amp;IZQUIERDA(SUBSTITUTE(F524," ",""),ENCONTRAR(",",SUBSTITUTE(F524," ",""))-1)&amp;"&amp;lng="&amp;DERECHA(SUBSTITUTE(F524," ",""),LARGO(SUBSTITUTE(F524," ",""))-ENCONTRAR(",",SUBSTITUTE(F524," ",""))),"")</f>
        <v/>
      </c>
    </row>
    <row r="525" ht="15.75" customHeight="1" s="10">
      <c r="A525" s="8">
        <f>CONCAT("AD507-",TEXT(ROW()-2,"0000"))</f>
        <v/>
      </c>
      <c r="C525" s="8" t="n"/>
      <c r="F525" s="8" t="n"/>
      <c r="G525" s="8">
        <f>IF(F525&lt;&gt;"",HYPERLINK("https://www.google.com/maps/search/?api=1&amp;query="&amp;SUBSTITUTE(F525," ",""),"🗺 Google Maps"),"")</f>
        <v/>
      </c>
      <c r="H525" s="8">
        <f>IF(F525&lt;&gt;"",HYPERLINK("https://waze.com/ul?ll="&amp;SUBSTITUTE(F525," ","")&amp;"&amp;navigate=yes","🚗 Waze"),"")</f>
        <v/>
      </c>
      <c r="I525" s="8">
        <f>IF(F525&lt;&gt;"",HYPERLINK("https://m.uber.com/ul/?action=setPickup&amp;pickup=my_location&amp;dropoff[latitude]="&amp;LEFT(SUBSTITUTE(F525," ",""),FIND(",",SUBSTITUTE(F525," ",""))-1)&amp;"&amp;dropoff[longitude]="&amp;MID(SUBSTITUTE(F525," ",""),FIND(",",SUBSTITUTE(F525," ",""))+1,99),"🚕 Uber"),"")</f>
        <v/>
      </c>
      <c r="J525" s="8">
        <f>IF(F525&lt;&gt;"","https://api.qrserver.com/v1/create-qr-code/?size=200x200&amp;data="&amp;ENCODEURL("https://www.google.com/maps/search/?api=1&amp;query="&amp;SUBSTITUTE(F525," ","")),"")</f>
        <v/>
      </c>
      <c r="K525" s="8">
        <f>IF(C525&lt;&gt;"",HYPERLINK("https://wa.me/507"&amp;REGEXREPLACE(C525,"[^0-9]","")&amp;"?text="&amp;ENCODEURL("Ya llegue. Codigo: "&amp;A525&amp;". Ubicacion: "&amp;"https://www.google.com/maps/search/?api=1&amp;query="&amp;SUBSTITUTE(F525," ","")),"📲 Avisar al cliente"),"")</f>
        <v/>
      </c>
      <c r="L525" s="8">
        <f>IF(C525&lt;&gt;"","https://api.qrserver.com/v1/create-qr-code/?size=200x200&amp;data="&amp;ENCODEURL("https://wa.me/507"&amp;REGEXREPLACE(C525,"[^0-9]","")&amp;"?text="&amp;ENCODEURL("Ya llegue. Codigo: "&amp;A525&amp;". Ubicacion: "&amp;"https://www.google.com/maps/search/?api=1&amp;query="&amp;SUBSTITUTE(F525," ",""))),"")</f>
        <v/>
      </c>
      <c r="M525" s="8">
        <f>IF(B525&lt;&gt;"",TODAY(),"")</f>
        <v/>
      </c>
      <c r="N525" s="8">
        <f>IF(F525&lt;&gt;"",IFERROR(IF(AND(REGEXMATCH(SUBSTITUTE(TRIM(F525)," ",""),"^-?\d+(\.\d+)?,-?\d+(\.\d+)?$"),VALUE(REGEXEXTRACT(SUBSTITUTE(TRIM(F525)," ",""),"^-?\d+(\.\d+)?"))&gt;=-90,VALUE(REGEXEXTRACT(SUBSTITUTE(TRIM(F525)," ",""),"^-?\d+(\.\d+)?"))&lt;=90,VALUE(REGEXEXTRACT(SUBSTITUTE(TRIM(F525)," ",""),"-?\d+(\.\d+)?$"))&gt;=-180,VALUE(REGEXEXTRACT(SUBSTITUTE(TRIM(F525)," ",""),"-?\d+(\.\d+)?$"))&lt;=180),"OK","REVISAR"),"REVISAR"),"")</f>
        <v/>
      </c>
      <c r="O525">
        <f>IF(A525&lt;&gt;"","https://direcciones507.github.io/direcciones507/panel.html?codigo="&amp;A525&amp;"&amp;nombre="&amp;ENCODEURL(B525)&amp;"&amp;telefono="&amp;SUBSTITUTE(C525,"-","")&amp;"&amp;referencia="&amp;ENCODEURL(E525)&amp;"&amp;lat="&amp;IZQUIERDA(SUBSTITUTE(F525," ",""),ENCONTRAR(",",SUBSTITUTE(F525," ",""))-1)&amp;"&amp;lng="&amp;DERECHA(SUBSTITUTE(F525," ",""),LARGO(SUBSTITUTE(F525," ",""))-ENCONTRAR(",",SUBSTITUTE(F525," ",""))),"")</f>
        <v/>
      </c>
    </row>
    <row r="526" ht="15.75" customHeight="1" s="10">
      <c r="A526" s="8">
        <f>CONCAT("AD507-",TEXT(ROW()-2,"0000"))</f>
        <v/>
      </c>
      <c r="C526" s="8" t="n"/>
      <c r="F526" s="8" t="n"/>
      <c r="G526" s="8">
        <f>IF(F526&lt;&gt;"",HYPERLINK("https://www.google.com/maps/search/?api=1&amp;query="&amp;SUBSTITUTE(F526," ",""),"🗺 Google Maps"),"")</f>
        <v/>
      </c>
      <c r="H526" s="8">
        <f>IF(F526&lt;&gt;"",HYPERLINK("https://waze.com/ul?ll="&amp;SUBSTITUTE(F526," ","")&amp;"&amp;navigate=yes","🚗 Waze"),"")</f>
        <v/>
      </c>
      <c r="I526" s="8">
        <f>IF(F526&lt;&gt;"",HYPERLINK("https://m.uber.com/ul/?action=setPickup&amp;pickup=my_location&amp;dropoff[latitude]="&amp;LEFT(SUBSTITUTE(F526," ",""),FIND(",",SUBSTITUTE(F526," ",""))-1)&amp;"&amp;dropoff[longitude]="&amp;MID(SUBSTITUTE(F526," ",""),FIND(",",SUBSTITUTE(F526," ",""))+1,99),"🚕 Uber"),"")</f>
        <v/>
      </c>
      <c r="J526" s="8">
        <f>IF(F526&lt;&gt;"","https://api.qrserver.com/v1/create-qr-code/?size=200x200&amp;data="&amp;ENCODEURL("https://www.google.com/maps/search/?api=1&amp;query="&amp;SUBSTITUTE(F526," ","")),"")</f>
        <v/>
      </c>
      <c r="K526" s="8">
        <f>IF(C526&lt;&gt;"",HYPERLINK("https://wa.me/507"&amp;REGEXREPLACE(C526,"[^0-9]","")&amp;"?text="&amp;ENCODEURL("Ya llegue. Codigo: "&amp;A526&amp;". Ubicacion: "&amp;"https://www.google.com/maps/search/?api=1&amp;query="&amp;SUBSTITUTE(F526," ","")),"📲 Avisar al cliente"),"")</f>
        <v/>
      </c>
      <c r="L526" s="8">
        <f>IF(C526&lt;&gt;"","https://api.qrserver.com/v1/create-qr-code/?size=200x200&amp;data="&amp;ENCODEURL("https://wa.me/507"&amp;REGEXREPLACE(C526,"[^0-9]","")&amp;"?text="&amp;ENCODEURL("Ya llegue. Codigo: "&amp;A526&amp;". Ubicacion: "&amp;"https://www.google.com/maps/search/?api=1&amp;query="&amp;SUBSTITUTE(F526," ",""))),"")</f>
        <v/>
      </c>
      <c r="M526" s="8">
        <f>IF(B526&lt;&gt;"",TODAY(),"")</f>
        <v/>
      </c>
      <c r="N526" s="8">
        <f>IF(F526&lt;&gt;"",IFERROR(IF(AND(REGEXMATCH(SUBSTITUTE(TRIM(F526)," ",""),"^-?\d+(\.\d+)?,-?\d+(\.\d+)?$"),VALUE(REGEXEXTRACT(SUBSTITUTE(TRIM(F526)," ",""),"^-?\d+(\.\d+)?"))&gt;=-90,VALUE(REGEXEXTRACT(SUBSTITUTE(TRIM(F526)," ",""),"^-?\d+(\.\d+)?"))&lt;=90,VALUE(REGEXEXTRACT(SUBSTITUTE(TRIM(F526)," ",""),"-?\d+(\.\d+)?$"))&gt;=-180,VALUE(REGEXEXTRACT(SUBSTITUTE(TRIM(F526)," ",""),"-?\d+(\.\d+)?$"))&lt;=180),"OK","REVISAR"),"REVISAR"),"")</f>
        <v/>
      </c>
      <c r="O526">
        <f>IF(A526&lt;&gt;"","https://direcciones507.github.io/direcciones507/panel.html?codigo="&amp;A526&amp;"&amp;nombre="&amp;ENCODEURL(B526)&amp;"&amp;telefono="&amp;SUBSTITUTE(C526,"-","")&amp;"&amp;referencia="&amp;ENCODEURL(E526)&amp;"&amp;lat="&amp;IZQUIERDA(SUBSTITUTE(F526," ",""),ENCONTRAR(",",SUBSTITUTE(F526," ",""))-1)&amp;"&amp;lng="&amp;DERECHA(SUBSTITUTE(F526," ",""),LARGO(SUBSTITUTE(F526," ",""))-ENCONTRAR(",",SUBSTITUTE(F526," ",""))),"")</f>
        <v/>
      </c>
    </row>
    <row r="527" ht="15.75" customHeight="1" s="10">
      <c r="A527" s="8">
        <f>CONCAT("AD507-",TEXT(ROW()-2,"0000"))</f>
        <v/>
      </c>
      <c r="C527" s="8" t="n"/>
      <c r="F527" s="8" t="n"/>
      <c r="G527" s="8">
        <f>IF(F527&lt;&gt;"",HYPERLINK("https://www.google.com/maps/search/?api=1&amp;query="&amp;SUBSTITUTE(F527," ",""),"🗺 Google Maps"),"")</f>
        <v/>
      </c>
      <c r="H527" s="8">
        <f>IF(F527&lt;&gt;"",HYPERLINK("https://waze.com/ul?ll="&amp;SUBSTITUTE(F527," ","")&amp;"&amp;navigate=yes","🚗 Waze"),"")</f>
        <v/>
      </c>
      <c r="I527" s="8">
        <f>IF(F527&lt;&gt;"",HYPERLINK("https://m.uber.com/ul/?action=setPickup&amp;pickup=my_location&amp;dropoff[latitude]="&amp;LEFT(SUBSTITUTE(F527," ",""),FIND(",",SUBSTITUTE(F527," ",""))-1)&amp;"&amp;dropoff[longitude]="&amp;MID(SUBSTITUTE(F527," ",""),FIND(",",SUBSTITUTE(F527," ",""))+1,99),"🚕 Uber"),"")</f>
        <v/>
      </c>
      <c r="J527" s="8">
        <f>IF(F527&lt;&gt;"","https://api.qrserver.com/v1/create-qr-code/?size=200x200&amp;data="&amp;ENCODEURL("https://www.google.com/maps/search/?api=1&amp;query="&amp;SUBSTITUTE(F527," ","")),"")</f>
        <v/>
      </c>
      <c r="K527" s="8">
        <f>IF(C527&lt;&gt;"",HYPERLINK("https://wa.me/507"&amp;REGEXREPLACE(C527,"[^0-9]","")&amp;"?text="&amp;ENCODEURL("Ya llegue. Codigo: "&amp;A527&amp;". Ubicacion: "&amp;"https://www.google.com/maps/search/?api=1&amp;query="&amp;SUBSTITUTE(F527," ","")),"📲 Avisar al cliente"),"")</f>
        <v/>
      </c>
      <c r="L527" s="8">
        <f>IF(C527&lt;&gt;"","https://api.qrserver.com/v1/create-qr-code/?size=200x200&amp;data="&amp;ENCODEURL("https://wa.me/507"&amp;REGEXREPLACE(C527,"[^0-9]","")&amp;"?text="&amp;ENCODEURL("Ya llegue. Codigo: "&amp;A527&amp;". Ubicacion: "&amp;"https://www.google.com/maps/search/?api=1&amp;query="&amp;SUBSTITUTE(F527," ",""))),"")</f>
        <v/>
      </c>
      <c r="M527" s="8">
        <f>IF(B527&lt;&gt;"",TODAY(),"")</f>
        <v/>
      </c>
      <c r="N527" s="8">
        <f>IF(F527&lt;&gt;"",IFERROR(IF(AND(REGEXMATCH(SUBSTITUTE(TRIM(F527)," ",""),"^-?\d+(\.\d+)?,-?\d+(\.\d+)?$"),VALUE(REGEXEXTRACT(SUBSTITUTE(TRIM(F527)," ",""),"^-?\d+(\.\d+)?"))&gt;=-90,VALUE(REGEXEXTRACT(SUBSTITUTE(TRIM(F527)," ",""),"^-?\d+(\.\d+)?"))&lt;=90,VALUE(REGEXEXTRACT(SUBSTITUTE(TRIM(F527)," ",""),"-?\d+(\.\d+)?$"))&gt;=-180,VALUE(REGEXEXTRACT(SUBSTITUTE(TRIM(F527)," ",""),"-?\d+(\.\d+)?$"))&lt;=180),"OK","REVISAR"),"REVISAR"),"")</f>
        <v/>
      </c>
      <c r="O527">
        <f>IF(A527&lt;&gt;"","https://direcciones507.github.io/direcciones507/panel.html?codigo="&amp;A527&amp;"&amp;nombre="&amp;ENCODEURL(B527)&amp;"&amp;telefono="&amp;SUBSTITUTE(C527,"-","")&amp;"&amp;referencia="&amp;ENCODEURL(E527)&amp;"&amp;lat="&amp;IZQUIERDA(SUBSTITUTE(F527," ",""),ENCONTRAR(",",SUBSTITUTE(F527," ",""))-1)&amp;"&amp;lng="&amp;DERECHA(SUBSTITUTE(F527," ",""),LARGO(SUBSTITUTE(F527," ",""))-ENCONTRAR(",",SUBSTITUTE(F527," ",""))),"")</f>
        <v/>
      </c>
    </row>
    <row r="528" ht="15.75" customHeight="1" s="10">
      <c r="A528" s="8">
        <f>CONCAT("AD507-",TEXT(ROW()-2,"0000"))</f>
        <v/>
      </c>
      <c r="C528" s="8" t="n"/>
      <c r="F528" s="8" t="n"/>
      <c r="G528" s="8">
        <f>IF(F528&lt;&gt;"",HYPERLINK("https://www.google.com/maps/search/?api=1&amp;query="&amp;SUBSTITUTE(F528," ",""),"🗺 Google Maps"),"")</f>
        <v/>
      </c>
      <c r="H528" s="8">
        <f>IF(F528&lt;&gt;"",HYPERLINK("https://waze.com/ul?ll="&amp;SUBSTITUTE(F528," ","")&amp;"&amp;navigate=yes","🚗 Waze"),"")</f>
        <v/>
      </c>
      <c r="I528" s="8">
        <f>IF(F528&lt;&gt;"",HYPERLINK("https://m.uber.com/ul/?action=setPickup&amp;pickup=my_location&amp;dropoff[latitude]="&amp;LEFT(SUBSTITUTE(F528," ",""),FIND(",",SUBSTITUTE(F528," ",""))-1)&amp;"&amp;dropoff[longitude]="&amp;MID(SUBSTITUTE(F528," ",""),FIND(",",SUBSTITUTE(F528," ",""))+1,99),"🚕 Uber"),"")</f>
        <v/>
      </c>
      <c r="J528" s="8">
        <f>IF(F528&lt;&gt;"","https://api.qrserver.com/v1/create-qr-code/?size=200x200&amp;data="&amp;ENCODEURL("https://www.google.com/maps/search/?api=1&amp;query="&amp;SUBSTITUTE(F528," ","")),"")</f>
        <v/>
      </c>
      <c r="K528" s="8">
        <f>IF(C528&lt;&gt;"",HYPERLINK("https://wa.me/507"&amp;REGEXREPLACE(C528,"[^0-9]","")&amp;"?text="&amp;ENCODEURL("Ya llegue. Codigo: "&amp;A528&amp;". Ubicacion: "&amp;"https://www.google.com/maps/search/?api=1&amp;query="&amp;SUBSTITUTE(F528," ","")),"📲 Avisar al cliente"),"")</f>
        <v/>
      </c>
      <c r="L528" s="8">
        <f>IF(C528&lt;&gt;"","https://api.qrserver.com/v1/create-qr-code/?size=200x200&amp;data="&amp;ENCODEURL("https://wa.me/507"&amp;REGEXREPLACE(C528,"[^0-9]","")&amp;"?text="&amp;ENCODEURL("Ya llegue. Codigo: "&amp;A528&amp;". Ubicacion: "&amp;"https://www.google.com/maps/search/?api=1&amp;query="&amp;SUBSTITUTE(F528," ",""))),"")</f>
        <v/>
      </c>
      <c r="M528" s="8">
        <f>IF(B528&lt;&gt;"",TODAY(),"")</f>
        <v/>
      </c>
      <c r="N528" s="8">
        <f>IF(F528&lt;&gt;"",IFERROR(IF(AND(REGEXMATCH(SUBSTITUTE(TRIM(F528)," ",""),"^-?\d+(\.\d+)?,-?\d+(\.\d+)?$"),VALUE(REGEXEXTRACT(SUBSTITUTE(TRIM(F528)," ",""),"^-?\d+(\.\d+)?"))&gt;=-90,VALUE(REGEXEXTRACT(SUBSTITUTE(TRIM(F528)," ",""),"^-?\d+(\.\d+)?"))&lt;=90,VALUE(REGEXEXTRACT(SUBSTITUTE(TRIM(F528)," ",""),"-?\d+(\.\d+)?$"))&gt;=-180,VALUE(REGEXEXTRACT(SUBSTITUTE(TRIM(F528)," ",""),"-?\d+(\.\d+)?$"))&lt;=180),"OK","REVISAR"),"REVISAR"),"")</f>
        <v/>
      </c>
      <c r="O528">
        <f>IF(A528&lt;&gt;"","https://direcciones507.github.io/direcciones507/panel.html?codigo="&amp;A528&amp;"&amp;nombre="&amp;ENCODEURL(B528)&amp;"&amp;telefono="&amp;SUBSTITUTE(C528,"-","")&amp;"&amp;referencia="&amp;ENCODEURL(E528)&amp;"&amp;lat="&amp;IZQUIERDA(SUBSTITUTE(F528," ",""),ENCONTRAR(",",SUBSTITUTE(F528," ",""))-1)&amp;"&amp;lng="&amp;DERECHA(SUBSTITUTE(F528," ",""),LARGO(SUBSTITUTE(F528," ",""))-ENCONTRAR(",",SUBSTITUTE(F528," ",""))),"")</f>
        <v/>
      </c>
    </row>
    <row r="529" ht="15.75" customHeight="1" s="10">
      <c r="A529" s="8">
        <f>CONCAT("AD507-",TEXT(ROW()-2,"0000"))</f>
        <v/>
      </c>
      <c r="C529" s="8" t="n"/>
      <c r="F529" s="8" t="n"/>
      <c r="G529" s="8">
        <f>IF(F529&lt;&gt;"",HYPERLINK("https://www.google.com/maps/search/?api=1&amp;query="&amp;SUBSTITUTE(F529," ",""),"🗺 Google Maps"),"")</f>
        <v/>
      </c>
      <c r="H529" s="8">
        <f>IF(F529&lt;&gt;"",HYPERLINK("https://waze.com/ul?ll="&amp;SUBSTITUTE(F529," ","")&amp;"&amp;navigate=yes","🚗 Waze"),"")</f>
        <v/>
      </c>
      <c r="I529" s="8">
        <f>IF(F529&lt;&gt;"",HYPERLINK("https://m.uber.com/ul/?action=setPickup&amp;pickup=my_location&amp;dropoff[latitude]="&amp;LEFT(SUBSTITUTE(F529," ",""),FIND(",",SUBSTITUTE(F529," ",""))-1)&amp;"&amp;dropoff[longitude]="&amp;MID(SUBSTITUTE(F529," ",""),FIND(",",SUBSTITUTE(F529," ",""))+1,99),"🚕 Uber"),"")</f>
        <v/>
      </c>
      <c r="J529" s="8">
        <f>IF(F529&lt;&gt;"","https://api.qrserver.com/v1/create-qr-code/?size=200x200&amp;data="&amp;ENCODEURL("https://www.google.com/maps/search/?api=1&amp;query="&amp;SUBSTITUTE(F529," ","")),"")</f>
        <v/>
      </c>
      <c r="K529" s="8">
        <f>IF(C529&lt;&gt;"",HYPERLINK("https://wa.me/507"&amp;REGEXREPLACE(C529,"[^0-9]","")&amp;"?text="&amp;ENCODEURL("Ya llegue. Codigo: "&amp;A529&amp;". Ubicacion: "&amp;"https://www.google.com/maps/search/?api=1&amp;query="&amp;SUBSTITUTE(F529," ","")),"📲 Avisar al cliente"),"")</f>
        <v/>
      </c>
      <c r="L529" s="8">
        <f>IF(C529&lt;&gt;"","https://api.qrserver.com/v1/create-qr-code/?size=200x200&amp;data="&amp;ENCODEURL("https://wa.me/507"&amp;REGEXREPLACE(C529,"[^0-9]","")&amp;"?text="&amp;ENCODEURL("Ya llegue. Codigo: "&amp;A529&amp;". Ubicacion: "&amp;"https://www.google.com/maps/search/?api=1&amp;query="&amp;SUBSTITUTE(F529," ",""))),"")</f>
        <v/>
      </c>
      <c r="M529" s="8">
        <f>IF(B529&lt;&gt;"",TODAY(),"")</f>
        <v/>
      </c>
      <c r="N529" s="8">
        <f>IF(F529&lt;&gt;"",IFERROR(IF(AND(REGEXMATCH(SUBSTITUTE(TRIM(F529)," ",""),"^-?\d+(\.\d+)?,-?\d+(\.\d+)?$"),VALUE(REGEXEXTRACT(SUBSTITUTE(TRIM(F529)," ",""),"^-?\d+(\.\d+)?"))&gt;=-90,VALUE(REGEXEXTRACT(SUBSTITUTE(TRIM(F529)," ",""),"^-?\d+(\.\d+)?"))&lt;=90,VALUE(REGEXEXTRACT(SUBSTITUTE(TRIM(F529)," ",""),"-?\d+(\.\d+)?$"))&gt;=-180,VALUE(REGEXEXTRACT(SUBSTITUTE(TRIM(F529)," ",""),"-?\d+(\.\d+)?$"))&lt;=180),"OK","REVISAR"),"REVISAR"),"")</f>
        <v/>
      </c>
      <c r="O529">
        <f>IF(A529&lt;&gt;"","https://direcciones507.github.io/direcciones507/panel.html?codigo="&amp;A529&amp;"&amp;nombre="&amp;ENCODEURL(B529)&amp;"&amp;telefono="&amp;SUBSTITUTE(C529,"-","")&amp;"&amp;referencia="&amp;ENCODEURL(E529)&amp;"&amp;lat="&amp;IZQUIERDA(SUBSTITUTE(F529," ",""),ENCONTRAR(",",SUBSTITUTE(F529," ",""))-1)&amp;"&amp;lng="&amp;DERECHA(SUBSTITUTE(F529," ",""),LARGO(SUBSTITUTE(F529," ",""))-ENCONTRAR(",",SUBSTITUTE(F529," ",""))),"")</f>
        <v/>
      </c>
    </row>
    <row r="530" ht="15.75" customHeight="1" s="10">
      <c r="A530" s="8">
        <f>CONCAT("AD507-",TEXT(ROW()-2,"0000"))</f>
        <v/>
      </c>
      <c r="C530" s="8" t="n"/>
      <c r="F530" s="8" t="n"/>
      <c r="G530" s="8">
        <f>IF(F530&lt;&gt;"",HYPERLINK("https://www.google.com/maps/search/?api=1&amp;query="&amp;SUBSTITUTE(F530," ",""),"🗺 Google Maps"),"")</f>
        <v/>
      </c>
      <c r="H530" s="8">
        <f>IF(F530&lt;&gt;"",HYPERLINK("https://waze.com/ul?ll="&amp;SUBSTITUTE(F530," ","")&amp;"&amp;navigate=yes","🚗 Waze"),"")</f>
        <v/>
      </c>
      <c r="I530" s="8">
        <f>IF(F530&lt;&gt;"",HYPERLINK("https://m.uber.com/ul/?action=setPickup&amp;pickup=my_location&amp;dropoff[latitude]="&amp;LEFT(SUBSTITUTE(F530," ",""),FIND(",",SUBSTITUTE(F530," ",""))-1)&amp;"&amp;dropoff[longitude]="&amp;MID(SUBSTITUTE(F530," ",""),FIND(",",SUBSTITUTE(F530," ",""))+1,99),"🚕 Uber"),"")</f>
        <v/>
      </c>
      <c r="J530" s="8">
        <f>IF(F530&lt;&gt;"","https://api.qrserver.com/v1/create-qr-code/?size=200x200&amp;data="&amp;ENCODEURL("https://www.google.com/maps/search/?api=1&amp;query="&amp;SUBSTITUTE(F530," ","")),"")</f>
        <v/>
      </c>
      <c r="K530" s="8">
        <f>IF(C530&lt;&gt;"",HYPERLINK("https://wa.me/507"&amp;REGEXREPLACE(C530,"[^0-9]","")&amp;"?text="&amp;ENCODEURL("Ya llegue. Codigo: "&amp;A530&amp;". Ubicacion: "&amp;"https://www.google.com/maps/search/?api=1&amp;query="&amp;SUBSTITUTE(F530," ","")),"📲 Avisar al cliente"),"")</f>
        <v/>
      </c>
      <c r="L530" s="8">
        <f>IF(C530&lt;&gt;"","https://api.qrserver.com/v1/create-qr-code/?size=200x200&amp;data="&amp;ENCODEURL("https://wa.me/507"&amp;REGEXREPLACE(C530,"[^0-9]","")&amp;"?text="&amp;ENCODEURL("Ya llegue. Codigo: "&amp;A530&amp;". Ubicacion: "&amp;"https://www.google.com/maps/search/?api=1&amp;query="&amp;SUBSTITUTE(F530," ",""))),"")</f>
        <v/>
      </c>
      <c r="M530" s="8">
        <f>IF(B530&lt;&gt;"",TODAY(),"")</f>
        <v/>
      </c>
      <c r="N530" s="8">
        <f>IF(F530&lt;&gt;"",IFERROR(IF(AND(REGEXMATCH(SUBSTITUTE(TRIM(F530)," ",""),"^-?\d+(\.\d+)?,-?\d+(\.\d+)?$"),VALUE(REGEXEXTRACT(SUBSTITUTE(TRIM(F530)," ",""),"^-?\d+(\.\d+)?"))&gt;=-90,VALUE(REGEXEXTRACT(SUBSTITUTE(TRIM(F530)," ",""),"^-?\d+(\.\d+)?"))&lt;=90,VALUE(REGEXEXTRACT(SUBSTITUTE(TRIM(F530)," ",""),"-?\d+(\.\d+)?$"))&gt;=-180,VALUE(REGEXEXTRACT(SUBSTITUTE(TRIM(F530)," ",""),"-?\d+(\.\d+)?$"))&lt;=180),"OK","REVISAR"),"REVISAR"),"")</f>
        <v/>
      </c>
      <c r="O530">
        <f>IF(A530&lt;&gt;"","https://direcciones507.github.io/direcciones507/panel.html?codigo="&amp;A530&amp;"&amp;nombre="&amp;ENCODEURL(B530)&amp;"&amp;telefono="&amp;SUBSTITUTE(C530,"-","")&amp;"&amp;referencia="&amp;ENCODEURL(E530)&amp;"&amp;lat="&amp;IZQUIERDA(SUBSTITUTE(F530," ",""),ENCONTRAR(",",SUBSTITUTE(F530," ",""))-1)&amp;"&amp;lng="&amp;DERECHA(SUBSTITUTE(F530," ",""),LARGO(SUBSTITUTE(F530," ",""))-ENCONTRAR(",",SUBSTITUTE(F530," ",""))),"")</f>
        <v/>
      </c>
    </row>
    <row r="531" ht="15.75" customHeight="1" s="10">
      <c r="A531" s="8">
        <f>CONCAT("AD507-",TEXT(ROW()-2,"0000"))</f>
        <v/>
      </c>
      <c r="C531" s="8" t="n"/>
      <c r="F531" s="8" t="n"/>
      <c r="G531" s="8">
        <f>IF(F531&lt;&gt;"",HYPERLINK("https://www.google.com/maps/search/?api=1&amp;query="&amp;SUBSTITUTE(F531," ",""),"🗺 Google Maps"),"")</f>
        <v/>
      </c>
      <c r="H531" s="8">
        <f>IF(F531&lt;&gt;"",HYPERLINK("https://waze.com/ul?ll="&amp;SUBSTITUTE(F531," ","")&amp;"&amp;navigate=yes","🚗 Waze"),"")</f>
        <v/>
      </c>
      <c r="I531" s="8">
        <f>IF(F531&lt;&gt;"",HYPERLINK("https://m.uber.com/ul/?action=setPickup&amp;pickup=my_location&amp;dropoff[latitude]="&amp;LEFT(SUBSTITUTE(F531," ",""),FIND(",",SUBSTITUTE(F531," ",""))-1)&amp;"&amp;dropoff[longitude]="&amp;MID(SUBSTITUTE(F531," ",""),FIND(",",SUBSTITUTE(F531," ",""))+1,99),"🚕 Uber"),"")</f>
        <v/>
      </c>
      <c r="J531" s="8">
        <f>IF(F531&lt;&gt;"","https://api.qrserver.com/v1/create-qr-code/?size=200x200&amp;data="&amp;ENCODEURL("https://www.google.com/maps/search/?api=1&amp;query="&amp;SUBSTITUTE(F531," ","")),"")</f>
        <v/>
      </c>
      <c r="K531" s="8">
        <f>IF(C531&lt;&gt;"",HYPERLINK("https://wa.me/507"&amp;REGEXREPLACE(C531,"[^0-9]","")&amp;"?text="&amp;ENCODEURL("Ya llegue. Codigo: "&amp;A531&amp;". Ubicacion: "&amp;"https://www.google.com/maps/search/?api=1&amp;query="&amp;SUBSTITUTE(F531," ","")),"📲 Avisar al cliente"),"")</f>
        <v/>
      </c>
      <c r="L531" s="8">
        <f>IF(C531&lt;&gt;"","https://api.qrserver.com/v1/create-qr-code/?size=200x200&amp;data="&amp;ENCODEURL("https://wa.me/507"&amp;REGEXREPLACE(C531,"[^0-9]","")&amp;"?text="&amp;ENCODEURL("Ya llegue. Codigo: "&amp;A531&amp;". Ubicacion: "&amp;"https://www.google.com/maps/search/?api=1&amp;query="&amp;SUBSTITUTE(F531," ",""))),"")</f>
        <v/>
      </c>
      <c r="M531" s="8">
        <f>IF(B531&lt;&gt;"",TODAY(),"")</f>
        <v/>
      </c>
      <c r="N531" s="8">
        <f>IF(F531&lt;&gt;"",IFERROR(IF(AND(REGEXMATCH(SUBSTITUTE(TRIM(F531)," ",""),"^-?\d+(\.\d+)?,-?\d+(\.\d+)?$"),VALUE(REGEXEXTRACT(SUBSTITUTE(TRIM(F531)," ",""),"^-?\d+(\.\d+)?"))&gt;=-90,VALUE(REGEXEXTRACT(SUBSTITUTE(TRIM(F531)," ",""),"^-?\d+(\.\d+)?"))&lt;=90,VALUE(REGEXEXTRACT(SUBSTITUTE(TRIM(F531)," ",""),"-?\d+(\.\d+)?$"))&gt;=-180,VALUE(REGEXEXTRACT(SUBSTITUTE(TRIM(F531)," ",""),"-?\d+(\.\d+)?$"))&lt;=180),"OK","REVISAR"),"REVISAR"),"")</f>
        <v/>
      </c>
      <c r="O531">
        <f>IF(A531&lt;&gt;"","https://direcciones507.github.io/direcciones507/panel.html?codigo="&amp;A531&amp;"&amp;nombre="&amp;ENCODEURL(B531)&amp;"&amp;telefono="&amp;SUBSTITUTE(C531,"-","")&amp;"&amp;referencia="&amp;ENCODEURL(E531)&amp;"&amp;lat="&amp;IZQUIERDA(SUBSTITUTE(F531," ",""),ENCONTRAR(",",SUBSTITUTE(F531," ",""))-1)&amp;"&amp;lng="&amp;DERECHA(SUBSTITUTE(F531," ",""),LARGO(SUBSTITUTE(F531," ",""))-ENCONTRAR(",",SUBSTITUTE(F531," ",""))),"")</f>
        <v/>
      </c>
    </row>
    <row r="532" ht="15.75" customHeight="1" s="10">
      <c r="A532" s="8">
        <f>CONCAT("AD507-",TEXT(ROW()-2,"0000"))</f>
        <v/>
      </c>
      <c r="C532" s="8" t="n"/>
      <c r="F532" s="8" t="n"/>
      <c r="G532" s="8">
        <f>IF(F532&lt;&gt;"",HYPERLINK("https://www.google.com/maps/search/?api=1&amp;query="&amp;SUBSTITUTE(F532," ",""),"🗺 Google Maps"),"")</f>
        <v/>
      </c>
      <c r="H532" s="8">
        <f>IF(F532&lt;&gt;"",HYPERLINK("https://waze.com/ul?ll="&amp;SUBSTITUTE(F532," ","")&amp;"&amp;navigate=yes","🚗 Waze"),"")</f>
        <v/>
      </c>
      <c r="I532" s="8">
        <f>IF(F532&lt;&gt;"",HYPERLINK("https://m.uber.com/ul/?action=setPickup&amp;pickup=my_location&amp;dropoff[latitude]="&amp;LEFT(SUBSTITUTE(F532," ",""),FIND(",",SUBSTITUTE(F532," ",""))-1)&amp;"&amp;dropoff[longitude]="&amp;MID(SUBSTITUTE(F532," ",""),FIND(",",SUBSTITUTE(F532," ",""))+1,99),"🚕 Uber"),"")</f>
        <v/>
      </c>
      <c r="J532" s="8">
        <f>IF(F532&lt;&gt;"","https://api.qrserver.com/v1/create-qr-code/?size=200x200&amp;data="&amp;ENCODEURL("https://www.google.com/maps/search/?api=1&amp;query="&amp;SUBSTITUTE(F532," ","")),"")</f>
        <v/>
      </c>
      <c r="K532" s="8">
        <f>IF(C532&lt;&gt;"",HYPERLINK("https://wa.me/507"&amp;REGEXREPLACE(C532,"[^0-9]","")&amp;"?text="&amp;ENCODEURL("Ya llegue. Codigo: "&amp;A532&amp;". Ubicacion: "&amp;"https://www.google.com/maps/search/?api=1&amp;query="&amp;SUBSTITUTE(F532," ","")),"📲 Avisar al cliente"),"")</f>
        <v/>
      </c>
      <c r="L532" s="8">
        <f>IF(C532&lt;&gt;"","https://api.qrserver.com/v1/create-qr-code/?size=200x200&amp;data="&amp;ENCODEURL("https://wa.me/507"&amp;REGEXREPLACE(C532,"[^0-9]","")&amp;"?text="&amp;ENCODEURL("Ya llegue. Codigo: "&amp;A532&amp;". Ubicacion: "&amp;"https://www.google.com/maps/search/?api=1&amp;query="&amp;SUBSTITUTE(F532," ",""))),"")</f>
        <v/>
      </c>
      <c r="M532" s="8">
        <f>IF(B532&lt;&gt;"",TODAY(),"")</f>
        <v/>
      </c>
      <c r="N532" s="8">
        <f>IF(F532&lt;&gt;"",IFERROR(IF(AND(REGEXMATCH(SUBSTITUTE(TRIM(F532)," ",""),"^-?\d+(\.\d+)?,-?\d+(\.\d+)?$"),VALUE(REGEXEXTRACT(SUBSTITUTE(TRIM(F532)," ",""),"^-?\d+(\.\d+)?"))&gt;=-90,VALUE(REGEXEXTRACT(SUBSTITUTE(TRIM(F532)," ",""),"^-?\d+(\.\d+)?"))&lt;=90,VALUE(REGEXEXTRACT(SUBSTITUTE(TRIM(F532)," ",""),"-?\d+(\.\d+)?$"))&gt;=-180,VALUE(REGEXEXTRACT(SUBSTITUTE(TRIM(F532)," ",""),"-?\d+(\.\d+)?$"))&lt;=180),"OK","REVISAR"),"REVISAR"),"")</f>
        <v/>
      </c>
      <c r="O532">
        <f>IF(A532&lt;&gt;"","https://direcciones507.github.io/direcciones507/panel.html?codigo="&amp;A532&amp;"&amp;nombre="&amp;ENCODEURL(B532)&amp;"&amp;telefono="&amp;SUBSTITUTE(C532,"-","")&amp;"&amp;referencia="&amp;ENCODEURL(E532)&amp;"&amp;lat="&amp;IZQUIERDA(SUBSTITUTE(F532," ",""),ENCONTRAR(",",SUBSTITUTE(F532," ",""))-1)&amp;"&amp;lng="&amp;DERECHA(SUBSTITUTE(F532," ",""),LARGO(SUBSTITUTE(F532," ",""))-ENCONTRAR(",",SUBSTITUTE(F532," ",""))),"")</f>
        <v/>
      </c>
    </row>
    <row r="533" ht="15.75" customHeight="1" s="10">
      <c r="A533" s="8">
        <f>CONCAT("AD507-",TEXT(ROW()-2,"0000"))</f>
        <v/>
      </c>
      <c r="C533" s="8" t="n"/>
      <c r="F533" s="8" t="n"/>
      <c r="G533" s="8">
        <f>IF(F533&lt;&gt;"",HYPERLINK("https://www.google.com/maps/search/?api=1&amp;query="&amp;SUBSTITUTE(F533," ",""),"🗺 Google Maps"),"")</f>
        <v/>
      </c>
      <c r="H533" s="8">
        <f>IF(F533&lt;&gt;"",HYPERLINK("https://waze.com/ul?ll="&amp;SUBSTITUTE(F533," ","")&amp;"&amp;navigate=yes","🚗 Waze"),"")</f>
        <v/>
      </c>
      <c r="I533" s="8">
        <f>IF(F533&lt;&gt;"",HYPERLINK("https://m.uber.com/ul/?action=setPickup&amp;pickup=my_location&amp;dropoff[latitude]="&amp;LEFT(SUBSTITUTE(F533," ",""),FIND(",",SUBSTITUTE(F533," ",""))-1)&amp;"&amp;dropoff[longitude]="&amp;MID(SUBSTITUTE(F533," ",""),FIND(",",SUBSTITUTE(F533," ",""))+1,99),"🚕 Uber"),"")</f>
        <v/>
      </c>
      <c r="J533" s="8">
        <f>IF(F533&lt;&gt;"","https://api.qrserver.com/v1/create-qr-code/?size=200x200&amp;data="&amp;ENCODEURL("https://www.google.com/maps/search/?api=1&amp;query="&amp;SUBSTITUTE(F533," ","")),"")</f>
        <v/>
      </c>
      <c r="K533" s="8">
        <f>IF(C533&lt;&gt;"",HYPERLINK("https://wa.me/507"&amp;REGEXREPLACE(C533,"[^0-9]","")&amp;"?text="&amp;ENCODEURL("Ya llegue. Codigo: "&amp;A533&amp;". Ubicacion: "&amp;"https://www.google.com/maps/search/?api=1&amp;query="&amp;SUBSTITUTE(F533," ","")),"📲 Avisar al cliente"),"")</f>
        <v/>
      </c>
      <c r="L533" s="8">
        <f>IF(C533&lt;&gt;"","https://api.qrserver.com/v1/create-qr-code/?size=200x200&amp;data="&amp;ENCODEURL("https://wa.me/507"&amp;REGEXREPLACE(C533,"[^0-9]","")&amp;"?text="&amp;ENCODEURL("Ya llegue. Codigo: "&amp;A533&amp;". Ubicacion: "&amp;"https://www.google.com/maps/search/?api=1&amp;query="&amp;SUBSTITUTE(F533," ",""))),"")</f>
        <v/>
      </c>
      <c r="M533" s="8">
        <f>IF(B533&lt;&gt;"",TODAY(),"")</f>
        <v/>
      </c>
      <c r="N533" s="8">
        <f>IF(F533&lt;&gt;"",IFERROR(IF(AND(REGEXMATCH(SUBSTITUTE(TRIM(F533)," ",""),"^-?\d+(\.\d+)?,-?\d+(\.\d+)?$"),VALUE(REGEXEXTRACT(SUBSTITUTE(TRIM(F533)," ",""),"^-?\d+(\.\d+)?"))&gt;=-90,VALUE(REGEXEXTRACT(SUBSTITUTE(TRIM(F533)," ",""),"^-?\d+(\.\d+)?"))&lt;=90,VALUE(REGEXEXTRACT(SUBSTITUTE(TRIM(F533)," ",""),"-?\d+(\.\d+)?$"))&gt;=-180,VALUE(REGEXEXTRACT(SUBSTITUTE(TRIM(F533)," ",""),"-?\d+(\.\d+)?$"))&lt;=180),"OK","REVISAR"),"REVISAR"),"")</f>
        <v/>
      </c>
      <c r="O533">
        <f>IF(A533&lt;&gt;"","https://direcciones507.github.io/direcciones507/panel.html?codigo="&amp;A533&amp;"&amp;nombre="&amp;ENCODEURL(B533)&amp;"&amp;telefono="&amp;SUBSTITUTE(C533,"-","")&amp;"&amp;referencia="&amp;ENCODEURL(E533)&amp;"&amp;lat="&amp;IZQUIERDA(SUBSTITUTE(F533," ",""),ENCONTRAR(",",SUBSTITUTE(F533," ",""))-1)&amp;"&amp;lng="&amp;DERECHA(SUBSTITUTE(F533," ",""),LARGO(SUBSTITUTE(F533," ",""))-ENCONTRAR(",",SUBSTITUTE(F533," ",""))),"")</f>
        <v/>
      </c>
    </row>
    <row r="534" ht="15.75" customHeight="1" s="10">
      <c r="A534" s="8">
        <f>CONCAT("AD507-",TEXT(ROW()-2,"0000"))</f>
        <v/>
      </c>
      <c r="C534" s="8" t="n"/>
      <c r="F534" s="8" t="n"/>
      <c r="G534" s="8">
        <f>IF(F534&lt;&gt;"",HYPERLINK("https://www.google.com/maps/search/?api=1&amp;query="&amp;SUBSTITUTE(F534," ",""),"🗺 Google Maps"),"")</f>
        <v/>
      </c>
      <c r="H534" s="8">
        <f>IF(F534&lt;&gt;"",HYPERLINK("https://waze.com/ul?ll="&amp;SUBSTITUTE(F534," ","")&amp;"&amp;navigate=yes","🚗 Waze"),"")</f>
        <v/>
      </c>
      <c r="I534" s="8">
        <f>IF(F534&lt;&gt;"",HYPERLINK("https://m.uber.com/ul/?action=setPickup&amp;pickup=my_location&amp;dropoff[latitude]="&amp;LEFT(SUBSTITUTE(F534," ",""),FIND(",",SUBSTITUTE(F534," ",""))-1)&amp;"&amp;dropoff[longitude]="&amp;MID(SUBSTITUTE(F534," ",""),FIND(",",SUBSTITUTE(F534," ",""))+1,99),"🚕 Uber"),"")</f>
        <v/>
      </c>
      <c r="J534" s="8">
        <f>IF(F534&lt;&gt;"","https://api.qrserver.com/v1/create-qr-code/?size=200x200&amp;data="&amp;ENCODEURL("https://www.google.com/maps/search/?api=1&amp;query="&amp;SUBSTITUTE(F534," ","")),"")</f>
        <v/>
      </c>
      <c r="K534" s="8">
        <f>IF(C534&lt;&gt;"",HYPERLINK("https://wa.me/507"&amp;REGEXREPLACE(C534,"[^0-9]","")&amp;"?text="&amp;ENCODEURL("Ya llegue. Codigo: "&amp;A534&amp;". Ubicacion: "&amp;"https://www.google.com/maps/search/?api=1&amp;query="&amp;SUBSTITUTE(F534," ","")),"📲 Avisar al cliente"),"")</f>
        <v/>
      </c>
      <c r="L534" s="8">
        <f>IF(C534&lt;&gt;"","https://api.qrserver.com/v1/create-qr-code/?size=200x200&amp;data="&amp;ENCODEURL("https://wa.me/507"&amp;REGEXREPLACE(C534,"[^0-9]","")&amp;"?text="&amp;ENCODEURL("Ya llegue. Codigo: "&amp;A534&amp;". Ubicacion: "&amp;"https://www.google.com/maps/search/?api=1&amp;query="&amp;SUBSTITUTE(F534," ",""))),"")</f>
        <v/>
      </c>
      <c r="M534" s="8">
        <f>IF(B534&lt;&gt;"",TODAY(),"")</f>
        <v/>
      </c>
      <c r="N534" s="8">
        <f>IF(F534&lt;&gt;"",IFERROR(IF(AND(REGEXMATCH(SUBSTITUTE(TRIM(F534)," ",""),"^-?\d+(\.\d+)?,-?\d+(\.\d+)?$"),VALUE(REGEXEXTRACT(SUBSTITUTE(TRIM(F534)," ",""),"^-?\d+(\.\d+)?"))&gt;=-90,VALUE(REGEXEXTRACT(SUBSTITUTE(TRIM(F534)," ",""),"^-?\d+(\.\d+)?"))&lt;=90,VALUE(REGEXEXTRACT(SUBSTITUTE(TRIM(F534)," ",""),"-?\d+(\.\d+)?$"))&gt;=-180,VALUE(REGEXEXTRACT(SUBSTITUTE(TRIM(F534)," ",""),"-?\d+(\.\d+)?$"))&lt;=180),"OK","REVISAR"),"REVISAR"),"")</f>
        <v/>
      </c>
      <c r="O534">
        <f>IF(A534&lt;&gt;"","https://direcciones507.github.io/direcciones507/panel.html?codigo="&amp;A534&amp;"&amp;nombre="&amp;ENCODEURL(B534)&amp;"&amp;telefono="&amp;SUBSTITUTE(C534,"-","")&amp;"&amp;referencia="&amp;ENCODEURL(E534)&amp;"&amp;lat="&amp;IZQUIERDA(SUBSTITUTE(F534," ",""),ENCONTRAR(",",SUBSTITUTE(F534," ",""))-1)&amp;"&amp;lng="&amp;DERECHA(SUBSTITUTE(F534," ",""),LARGO(SUBSTITUTE(F534," ",""))-ENCONTRAR(",",SUBSTITUTE(F534," ",""))),"")</f>
        <v/>
      </c>
    </row>
    <row r="535" ht="15.75" customHeight="1" s="10">
      <c r="A535" s="8">
        <f>CONCAT("AD507-",TEXT(ROW()-2,"0000"))</f>
        <v/>
      </c>
      <c r="C535" s="8" t="n"/>
      <c r="F535" s="8" t="n"/>
      <c r="G535" s="8">
        <f>IF(F535&lt;&gt;"",HYPERLINK("https://www.google.com/maps/search/?api=1&amp;query="&amp;SUBSTITUTE(F535," ",""),"🗺 Google Maps"),"")</f>
        <v/>
      </c>
      <c r="H535" s="8">
        <f>IF(F535&lt;&gt;"",HYPERLINK("https://waze.com/ul?ll="&amp;SUBSTITUTE(F535," ","")&amp;"&amp;navigate=yes","🚗 Waze"),"")</f>
        <v/>
      </c>
      <c r="I535" s="8">
        <f>IF(F535&lt;&gt;"",HYPERLINK("https://m.uber.com/ul/?action=setPickup&amp;pickup=my_location&amp;dropoff[latitude]="&amp;LEFT(SUBSTITUTE(F535," ",""),FIND(",",SUBSTITUTE(F535," ",""))-1)&amp;"&amp;dropoff[longitude]="&amp;MID(SUBSTITUTE(F535," ",""),FIND(",",SUBSTITUTE(F535," ",""))+1,99),"🚕 Uber"),"")</f>
        <v/>
      </c>
      <c r="J535" s="8">
        <f>IF(F535&lt;&gt;"","https://api.qrserver.com/v1/create-qr-code/?size=200x200&amp;data="&amp;ENCODEURL("https://www.google.com/maps/search/?api=1&amp;query="&amp;SUBSTITUTE(F535," ","")),"")</f>
        <v/>
      </c>
      <c r="K535" s="8">
        <f>IF(C535&lt;&gt;"",HYPERLINK("https://wa.me/507"&amp;REGEXREPLACE(C535,"[^0-9]","")&amp;"?text="&amp;ENCODEURL("Ya llegue. Codigo: "&amp;A535&amp;". Ubicacion: "&amp;"https://www.google.com/maps/search/?api=1&amp;query="&amp;SUBSTITUTE(F535," ","")),"📲 Avisar al cliente"),"")</f>
        <v/>
      </c>
      <c r="L535" s="8">
        <f>IF(C535&lt;&gt;"","https://api.qrserver.com/v1/create-qr-code/?size=200x200&amp;data="&amp;ENCODEURL("https://wa.me/507"&amp;REGEXREPLACE(C535,"[^0-9]","")&amp;"?text="&amp;ENCODEURL("Ya llegue. Codigo: "&amp;A535&amp;". Ubicacion: "&amp;"https://www.google.com/maps/search/?api=1&amp;query="&amp;SUBSTITUTE(F535," ",""))),"")</f>
        <v/>
      </c>
      <c r="M535" s="8">
        <f>IF(B535&lt;&gt;"",TODAY(),"")</f>
        <v/>
      </c>
      <c r="N535" s="8">
        <f>IF(F535&lt;&gt;"",IFERROR(IF(AND(REGEXMATCH(SUBSTITUTE(TRIM(F535)," ",""),"^-?\d+(\.\d+)?,-?\d+(\.\d+)?$"),VALUE(REGEXEXTRACT(SUBSTITUTE(TRIM(F535)," ",""),"^-?\d+(\.\d+)?"))&gt;=-90,VALUE(REGEXEXTRACT(SUBSTITUTE(TRIM(F535)," ",""),"^-?\d+(\.\d+)?"))&lt;=90,VALUE(REGEXEXTRACT(SUBSTITUTE(TRIM(F535)," ",""),"-?\d+(\.\d+)?$"))&gt;=-180,VALUE(REGEXEXTRACT(SUBSTITUTE(TRIM(F535)," ",""),"-?\d+(\.\d+)?$"))&lt;=180),"OK","REVISAR"),"REVISAR"),"")</f>
        <v/>
      </c>
      <c r="O535">
        <f>IF(A535&lt;&gt;"","https://direcciones507.github.io/direcciones507/panel.html?codigo="&amp;A535&amp;"&amp;nombre="&amp;ENCODEURL(B535)&amp;"&amp;telefono="&amp;SUBSTITUTE(C535,"-","")&amp;"&amp;referencia="&amp;ENCODEURL(E535)&amp;"&amp;lat="&amp;IZQUIERDA(SUBSTITUTE(F535," ",""),ENCONTRAR(",",SUBSTITUTE(F535," ",""))-1)&amp;"&amp;lng="&amp;DERECHA(SUBSTITUTE(F535," ",""),LARGO(SUBSTITUTE(F535," ",""))-ENCONTRAR(",",SUBSTITUTE(F535," ",""))),"")</f>
        <v/>
      </c>
    </row>
    <row r="536" ht="15.75" customHeight="1" s="10">
      <c r="A536" s="8">
        <f>CONCAT("AD507-",TEXT(ROW()-2,"0000"))</f>
        <v/>
      </c>
      <c r="C536" s="8" t="n"/>
      <c r="F536" s="8" t="n"/>
      <c r="G536" s="8">
        <f>IF(F536&lt;&gt;"",HYPERLINK("https://www.google.com/maps/search/?api=1&amp;query="&amp;SUBSTITUTE(F536," ",""),"🗺 Google Maps"),"")</f>
        <v/>
      </c>
      <c r="H536" s="8">
        <f>IF(F536&lt;&gt;"",HYPERLINK("https://waze.com/ul?ll="&amp;SUBSTITUTE(F536," ","")&amp;"&amp;navigate=yes","🚗 Waze"),"")</f>
        <v/>
      </c>
      <c r="I536" s="8">
        <f>IF(F536&lt;&gt;"",HYPERLINK("https://m.uber.com/ul/?action=setPickup&amp;pickup=my_location&amp;dropoff[latitude]="&amp;LEFT(SUBSTITUTE(F536," ",""),FIND(",",SUBSTITUTE(F536," ",""))-1)&amp;"&amp;dropoff[longitude]="&amp;MID(SUBSTITUTE(F536," ",""),FIND(",",SUBSTITUTE(F536," ",""))+1,99),"🚕 Uber"),"")</f>
        <v/>
      </c>
      <c r="J536" s="8">
        <f>IF(F536&lt;&gt;"","https://api.qrserver.com/v1/create-qr-code/?size=200x200&amp;data="&amp;ENCODEURL("https://www.google.com/maps/search/?api=1&amp;query="&amp;SUBSTITUTE(F536," ","")),"")</f>
        <v/>
      </c>
      <c r="K536" s="8">
        <f>IF(C536&lt;&gt;"",HYPERLINK("https://wa.me/507"&amp;REGEXREPLACE(C536,"[^0-9]","")&amp;"?text="&amp;ENCODEURL("Ya llegue. Codigo: "&amp;A536&amp;". Ubicacion: "&amp;"https://www.google.com/maps/search/?api=1&amp;query="&amp;SUBSTITUTE(F536," ","")),"📲 Avisar al cliente"),"")</f>
        <v/>
      </c>
      <c r="L536" s="8">
        <f>IF(C536&lt;&gt;"","https://api.qrserver.com/v1/create-qr-code/?size=200x200&amp;data="&amp;ENCODEURL("https://wa.me/507"&amp;REGEXREPLACE(C536,"[^0-9]","")&amp;"?text="&amp;ENCODEURL("Ya llegue. Codigo: "&amp;A536&amp;". Ubicacion: "&amp;"https://www.google.com/maps/search/?api=1&amp;query="&amp;SUBSTITUTE(F536," ",""))),"")</f>
        <v/>
      </c>
      <c r="M536" s="8">
        <f>IF(B536&lt;&gt;"",TODAY(),"")</f>
        <v/>
      </c>
      <c r="N536" s="8">
        <f>IF(F536&lt;&gt;"",IFERROR(IF(AND(REGEXMATCH(SUBSTITUTE(TRIM(F536)," ",""),"^-?\d+(\.\d+)?,-?\d+(\.\d+)?$"),VALUE(REGEXEXTRACT(SUBSTITUTE(TRIM(F536)," ",""),"^-?\d+(\.\d+)?"))&gt;=-90,VALUE(REGEXEXTRACT(SUBSTITUTE(TRIM(F536)," ",""),"^-?\d+(\.\d+)?"))&lt;=90,VALUE(REGEXEXTRACT(SUBSTITUTE(TRIM(F536)," ",""),"-?\d+(\.\d+)?$"))&gt;=-180,VALUE(REGEXEXTRACT(SUBSTITUTE(TRIM(F536)," ",""),"-?\d+(\.\d+)?$"))&lt;=180),"OK","REVISAR"),"REVISAR"),"")</f>
        <v/>
      </c>
      <c r="O536">
        <f>IF(A536&lt;&gt;"","https://direcciones507.github.io/direcciones507/panel.html?codigo="&amp;A536&amp;"&amp;nombre="&amp;ENCODEURL(B536)&amp;"&amp;telefono="&amp;SUBSTITUTE(C536,"-","")&amp;"&amp;referencia="&amp;ENCODEURL(E536)&amp;"&amp;lat="&amp;IZQUIERDA(SUBSTITUTE(F536," ",""),ENCONTRAR(",",SUBSTITUTE(F536," ",""))-1)&amp;"&amp;lng="&amp;DERECHA(SUBSTITUTE(F536," ",""),LARGO(SUBSTITUTE(F536," ",""))-ENCONTRAR(",",SUBSTITUTE(F536," ",""))),"")</f>
        <v/>
      </c>
    </row>
    <row r="537" ht="15.75" customHeight="1" s="10">
      <c r="A537" s="8">
        <f>CONCAT("AD507-",TEXT(ROW()-2,"0000"))</f>
        <v/>
      </c>
      <c r="C537" s="8" t="n"/>
      <c r="F537" s="8" t="n"/>
      <c r="G537" s="8">
        <f>IF(F537&lt;&gt;"",HYPERLINK("https://www.google.com/maps/search/?api=1&amp;query="&amp;SUBSTITUTE(F537," ",""),"🗺 Google Maps"),"")</f>
        <v/>
      </c>
      <c r="H537" s="8">
        <f>IF(F537&lt;&gt;"",HYPERLINK("https://waze.com/ul?ll="&amp;SUBSTITUTE(F537," ","")&amp;"&amp;navigate=yes","🚗 Waze"),"")</f>
        <v/>
      </c>
      <c r="I537" s="8">
        <f>IF(F537&lt;&gt;"",HYPERLINK("https://m.uber.com/ul/?action=setPickup&amp;pickup=my_location&amp;dropoff[latitude]="&amp;LEFT(SUBSTITUTE(F537," ",""),FIND(",",SUBSTITUTE(F537," ",""))-1)&amp;"&amp;dropoff[longitude]="&amp;MID(SUBSTITUTE(F537," ",""),FIND(",",SUBSTITUTE(F537," ",""))+1,99),"🚕 Uber"),"")</f>
        <v/>
      </c>
      <c r="J537" s="8">
        <f>IF(F537&lt;&gt;"","https://api.qrserver.com/v1/create-qr-code/?size=200x200&amp;data="&amp;ENCODEURL("https://www.google.com/maps/search/?api=1&amp;query="&amp;SUBSTITUTE(F537," ","")),"")</f>
        <v/>
      </c>
      <c r="K537" s="8">
        <f>IF(C537&lt;&gt;"",HYPERLINK("https://wa.me/507"&amp;REGEXREPLACE(C537,"[^0-9]","")&amp;"?text="&amp;ENCODEURL("Ya llegue. Codigo: "&amp;A537&amp;". Ubicacion: "&amp;"https://www.google.com/maps/search/?api=1&amp;query="&amp;SUBSTITUTE(F537," ","")),"📲 Avisar al cliente"),"")</f>
        <v/>
      </c>
      <c r="L537" s="8">
        <f>IF(C537&lt;&gt;"","https://api.qrserver.com/v1/create-qr-code/?size=200x200&amp;data="&amp;ENCODEURL("https://wa.me/507"&amp;REGEXREPLACE(C537,"[^0-9]","")&amp;"?text="&amp;ENCODEURL("Ya llegue. Codigo: "&amp;A537&amp;". Ubicacion: "&amp;"https://www.google.com/maps/search/?api=1&amp;query="&amp;SUBSTITUTE(F537," ",""))),"")</f>
        <v/>
      </c>
      <c r="M537" s="8">
        <f>IF(B537&lt;&gt;"",TODAY(),"")</f>
        <v/>
      </c>
      <c r="N537" s="8">
        <f>IF(F537&lt;&gt;"",IFERROR(IF(AND(REGEXMATCH(SUBSTITUTE(TRIM(F537)," ",""),"^-?\d+(\.\d+)?,-?\d+(\.\d+)?$"),VALUE(REGEXEXTRACT(SUBSTITUTE(TRIM(F537)," ",""),"^-?\d+(\.\d+)?"))&gt;=-90,VALUE(REGEXEXTRACT(SUBSTITUTE(TRIM(F537)," ",""),"^-?\d+(\.\d+)?"))&lt;=90,VALUE(REGEXEXTRACT(SUBSTITUTE(TRIM(F537)," ",""),"-?\d+(\.\d+)?$"))&gt;=-180,VALUE(REGEXEXTRACT(SUBSTITUTE(TRIM(F537)," ",""),"-?\d+(\.\d+)?$"))&lt;=180),"OK","REVISAR"),"REVISAR"),"")</f>
        <v/>
      </c>
      <c r="O537">
        <f>IF(A537&lt;&gt;"","https://direcciones507.github.io/direcciones507/panel.html?codigo="&amp;A537&amp;"&amp;nombre="&amp;ENCODEURL(B537)&amp;"&amp;telefono="&amp;SUBSTITUTE(C537,"-","")&amp;"&amp;referencia="&amp;ENCODEURL(E537)&amp;"&amp;lat="&amp;IZQUIERDA(SUBSTITUTE(F537," ",""),ENCONTRAR(",",SUBSTITUTE(F537," ",""))-1)&amp;"&amp;lng="&amp;DERECHA(SUBSTITUTE(F537," ",""),LARGO(SUBSTITUTE(F537," ",""))-ENCONTRAR(",",SUBSTITUTE(F537," ",""))),"")</f>
        <v/>
      </c>
    </row>
    <row r="538" ht="15.75" customHeight="1" s="10">
      <c r="A538" s="8">
        <f>CONCAT("AD507-",TEXT(ROW()-2,"0000"))</f>
        <v/>
      </c>
      <c r="C538" s="8" t="n"/>
      <c r="F538" s="8" t="n"/>
      <c r="G538" s="8">
        <f>IF(F538&lt;&gt;"",HYPERLINK("https://www.google.com/maps/search/?api=1&amp;query="&amp;SUBSTITUTE(F538," ",""),"🗺 Google Maps"),"")</f>
        <v/>
      </c>
      <c r="H538" s="8">
        <f>IF(F538&lt;&gt;"",HYPERLINK("https://waze.com/ul?ll="&amp;SUBSTITUTE(F538," ","")&amp;"&amp;navigate=yes","🚗 Waze"),"")</f>
        <v/>
      </c>
      <c r="I538" s="8">
        <f>IF(F538&lt;&gt;"",HYPERLINK("https://m.uber.com/ul/?action=setPickup&amp;pickup=my_location&amp;dropoff[latitude]="&amp;LEFT(SUBSTITUTE(F538," ",""),FIND(",",SUBSTITUTE(F538," ",""))-1)&amp;"&amp;dropoff[longitude]="&amp;MID(SUBSTITUTE(F538," ",""),FIND(",",SUBSTITUTE(F538," ",""))+1,99),"🚕 Uber"),"")</f>
        <v/>
      </c>
      <c r="J538" s="8">
        <f>IF(F538&lt;&gt;"","https://api.qrserver.com/v1/create-qr-code/?size=200x200&amp;data="&amp;ENCODEURL("https://www.google.com/maps/search/?api=1&amp;query="&amp;SUBSTITUTE(F538," ","")),"")</f>
        <v/>
      </c>
      <c r="K538" s="8">
        <f>IF(C538&lt;&gt;"",HYPERLINK("https://wa.me/507"&amp;REGEXREPLACE(C538,"[^0-9]","")&amp;"?text="&amp;ENCODEURL("Ya llegue. Codigo: "&amp;A538&amp;". Ubicacion: "&amp;"https://www.google.com/maps/search/?api=1&amp;query="&amp;SUBSTITUTE(F538," ","")),"📲 Avisar al cliente"),"")</f>
        <v/>
      </c>
      <c r="L538" s="8">
        <f>IF(C538&lt;&gt;"","https://api.qrserver.com/v1/create-qr-code/?size=200x200&amp;data="&amp;ENCODEURL("https://wa.me/507"&amp;REGEXREPLACE(C538,"[^0-9]","")&amp;"?text="&amp;ENCODEURL("Ya llegue. Codigo: "&amp;A538&amp;". Ubicacion: "&amp;"https://www.google.com/maps/search/?api=1&amp;query="&amp;SUBSTITUTE(F538," ",""))),"")</f>
        <v/>
      </c>
      <c r="M538" s="8">
        <f>IF(B538&lt;&gt;"",TODAY(),"")</f>
        <v/>
      </c>
      <c r="N538" s="8">
        <f>IF(F538&lt;&gt;"",IFERROR(IF(AND(REGEXMATCH(SUBSTITUTE(TRIM(F538)," ",""),"^-?\d+(\.\d+)?,-?\d+(\.\d+)?$"),VALUE(REGEXEXTRACT(SUBSTITUTE(TRIM(F538)," ",""),"^-?\d+(\.\d+)?"))&gt;=-90,VALUE(REGEXEXTRACT(SUBSTITUTE(TRIM(F538)," ",""),"^-?\d+(\.\d+)?"))&lt;=90,VALUE(REGEXEXTRACT(SUBSTITUTE(TRIM(F538)," ",""),"-?\d+(\.\d+)?$"))&gt;=-180,VALUE(REGEXEXTRACT(SUBSTITUTE(TRIM(F538)," ",""),"-?\d+(\.\d+)?$"))&lt;=180),"OK","REVISAR"),"REVISAR"),"")</f>
        <v/>
      </c>
      <c r="O538">
        <f>IF(A538&lt;&gt;"","https://direcciones507.github.io/direcciones507/panel.html?codigo="&amp;A538&amp;"&amp;nombre="&amp;ENCODEURL(B538)&amp;"&amp;telefono="&amp;SUBSTITUTE(C538,"-","")&amp;"&amp;referencia="&amp;ENCODEURL(E538)&amp;"&amp;lat="&amp;IZQUIERDA(SUBSTITUTE(F538," ",""),ENCONTRAR(",",SUBSTITUTE(F538," ",""))-1)&amp;"&amp;lng="&amp;DERECHA(SUBSTITUTE(F538," ",""),LARGO(SUBSTITUTE(F538," ",""))-ENCONTRAR(",",SUBSTITUTE(F538," ",""))),"")</f>
        <v/>
      </c>
    </row>
    <row r="539" ht="15.75" customHeight="1" s="10">
      <c r="A539" s="8">
        <f>CONCAT("AD507-",TEXT(ROW()-2,"0000"))</f>
        <v/>
      </c>
      <c r="C539" s="8" t="n"/>
      <c r="F539" s="8" t="n"/>
      <c r="G539" s="8">
        <f>IF(F539&lt;&gt;"",HYPERLINK("https://www.google.com/maps/search/?api=1&amp;query="&amp;SUBSTITUTE(F539," ",""),"🗺 Google Maps"),"")</f>
        <v/>
      </c>
      <c r="H539" s="8">
        <f>IF(F539&lt;&gt;"",HYPERLINK("https://waze.com/ul?ll="&amp;SUBSTITUTE(F539," ","")&amp;"&amp;navigate=yes","🚗 Waze"),"")</f>
        <v/>
      </c>
      <c r="I539" s="8">
        <f>IF(F539&lt;&gt;"",HYPERLINK("https://m.uber.com/ul/?action=setPickup&amp;pickup=my_location&amp;dropoff[latitude]="&amp;LEFT(SUBSTITUTE(F539," ",""),FIND(",",SUBSTITUTE(F539," ",""))-1)&amp;"&amp;dropoff[longitude]="&amp;MID(SUBSTITUTE(F539," ",""),FIND(",",SUBSTITUTE(F539," ",""))+1,99),"🚕 Uber"),"")</f>
        <v/>
      </c>
      <c r="J539" s="8">
        <f>IF(F539&lt;&gt;"","https://api.qrserver.com/v1/create-qr-code/?size=200x200&amp;data="&amp;ENCODEURL("https://www.google.com/maps/search/?api=1&amp;query="&amp;SUBSTITUTE(F539," ","")),"")</f>
        <v/>
      </c>
      <c r="K539" s="8">
        <f>IF(C539&lt;&gt;"",HYPERLINK("https://wa.me/507"&amp;REGEXREPLACE(C539,"[^0-9]","")&amp;"?text="&amp;ENCODEURL("Ya llegue. Codigo: "&amp;A539&amp;". Ubicacion: "&amp;"https://www.google.com/maps/search/?api=1&amp;query="&amp;SUBSTITUTE(F539," ","")),"📲 Avisar al cliente"),"")</f>
        <v/>
      </c>
      <c r="L539" s="8">
        <f>IF(C539&lt;&gt;"","https://api.qrserver.com/v1/create-qr-code/?size=200x200&amp;data="&amp;ENCODEURL("https://wa.me/507"&amp;REGEXREPLACE(C539,"[^0-9]","")&amp;"?text="&amp;ENCODEURL("Ya llegue. Codigo: "&amp;A539&amp;". Ubicacion: "&amp;"https://www.google.com/maps/search/?api=1&amp;query="&amp;SUBSTITUTE(F539," ",""))),"")</f>
        <v/>
      </c>
      <c r="M539" s="8">
        <f>IF(B539&lt;&gt;"",TODAY(),"")</f>
        <v/>
      </c>
      <c r="N539" s="8">
        <f>IF(F539&lt;&gt;"",IFERROR(IF(AND(REGEXMATCH(SUBSTITUTE(TRIM(F539)," ",""),"^-?\d+(\.\d+)?,-?\d+(\.\d+)?$"),VALUE(REGEXEXTRACT(SUBSTITUTE(TRIM(F539)," ",""),"^-?\d+(\.\d+)?"))&gt;=-90,VALUE(REGEXEXTRACT(SUBSTITUTE(TRIM(F539)," ",""),"^-?\d+(\.\d+)?"))&lt;=90,VALUE(REGEXEXTRACT(SUBSTITUTE(TRIM(F539)," ",""),"-?\d+(\.\d+)?$"))&gt;=-180,VALUE(REGEXEXTRACT(SUBSTITUTE(TRIM(F539)," ",""),"-?\d+(\.\d+)?$"))&lt;=180),"OK","REVISAR"),"REVISAR"),"")</f>
        <v/>
      </c>
      <c r="O539">
        <f>IF(A539&lt;&gt;"","https://direcciones507.github.io/direcciones507/panel.html?codigo="&amp;A539&amp;"&amp;nombre="&amp;ENCODEURL(B539)&amp;"&amp;telefono="&amp;SUBSTITUTE(C539,"-","")&amp;"&amp;referencia="&amp;ENCODEURL(E539)&amp;"&amp;lat="&amp;IZQUIERDA(SUBSTITUTE(F539," ",""),ENCONTRAR(",",SUBSTITUTE(F539," ",""))-1)&amp;"&amp;lng="&amp;DERECHA(SUBSTITUTE(F539," ",""),LARGO(SUBSTITUTE(F539," ",""))-ENCONTRAR(",",SUBSTITUTE(F539," ",""))),"")</f>
        <v/>
      </c>
    </row>
    <row r="540" ht="15.75" customHeight="1" s="10">
      <c r="A540" s="8">
        <f>CONCAT("AD507-",TEXT(ROW()-2,"0000"))</f>
        <v/>
      </c>
      <c r="C540" s="8" t="n"/>
      <c r="F540" s="8" t="n"/>
      <c r="G540" s="8">
        <f>IF(F540&lt;&gt;"",HYPERLINK("https://www.google.com/maps/search/?api=1&amp;query="&amp;SUBSTITUTE(F540," ",""),"🗺 Google Maps"),"")</f>
        <v/>
      </c>
      <c r="H540" s="8">
        <f>IF(F540&lt;&gt;"",HYPERLINK("https://waze.com/ul?ll="&amp;SUBSTITUTE(F540," ","")&amp;"&amp;navigate=yes","🚗 Waze"),"")</f>
        <v/>
      </c>
      <c r="I540" s="8">
        <f>IF(F540&lt;&gt;"",HYPERLINK("https://m.uber.com/ul/?action=setPickup&amp;pickup=my_location&amp;dropoff[latitude]="&amp;LEFT(SUBSTITUTE(F540," ",""),FIND(",",SUBSTITUTE(F540," ",""))-1)&amp;"&amp;dropoff[longitude]="&amp;MID(SUBSTITUTE(F540," ",""),FIND(",",SUBSTITUTE(F540," ",""))+1,99),"🚕 Uber"),"")</f>
        <v/>
      </c>
      <c r="J540" s="8">
        <f>IF(F540&lt;&gt;"","https://api.qrserver.com/v1/create-qr-code/?size=200x200&amp;data="&amp;ENCODEURL("https://www.google.com/maps/search/?api=1&amp;query="&amp;SUBSTITUTE(F540," ","")),"")</f>
        <v/>
      </c>
      <c r="K540" s="8">
        <f>IF(C540&lt;&gt;"",HYPERLINK("https://wa.me/507"&amp;REGEXREPLACE(C540,"[^0-9]","")&amp;"?text="&amp;ENCODEURL("Ya llegue. Codigo: "&amp;A540&amp;". Ubicacion: "&amp;"https://www.google.com/maps/search/?api=1&amp;query="&amp;SUBSTITUTE(F540," ","")),"📲 Avisar al cliente"),"")</f>
        <v/>
      </c>
      <c r="L540" s="8">
        <f>IF(C540&lt;&gt;"","https://api.qrserver.com/v1/create-qr-code/?size=200x200&amp;data="&amp;ENCODEURL("https://wa.me/507"&amp;REGEXREPLACE(C540,"[^0-9]","")&amp;"?text="&amp;ENCODEURL("Ya llegue. Codigo: "&amp;A540&amp;". Ubicacion: "&amp;"https://www.google.com/maps/search/?api=1&amp;query="&amp;SUBSTITUTE(F540," ",""))),"")</f>
        <v/>
      </c>
      <c r="M540" s="8">
        <f>IF(B540&lt;&gt;"",TODAY(),"")</f>
        <v/>
      </c>
      <c r="N540" s="8">
        <f>IF(F540&lt;&gt;"",IFERROR(IF(AND(REGEXMATCH(SUBSTITUTE(TRIM(F540)," ",""),"^-?\d+(\.\d+)?,-?\d+(\.\d+)?$"),VALUE(REGEXEXTRACT(SUBSTITUTE(TRIM(F540)," ",""),"^-?\d+(\.\d+)?"))&gt;=-90,VALUE(REGEXEXTRACT(SUBSTITUTE(TRIM(F540)," ",""),"^-?\d+(\.\d+)?"))&lt;=90,VALUE(REGEXEXTRACT(SUBSTITUTE(TRIM(F540)," ",""),"-?\d+(\.\d+)?$"))&gt;=-180,VALUE(REGEXEXTRACT(SUBSTITUTE(TRIM(F540)," ",""),"-?\d+(\.\d+)?$"))&lt;=180),"OK","REVISAR"),"REVISAR"),"")</f>
        <v/>
      </c>
      <c r="O540">
        <f>IF(A540&lt;&gt;"","https://direcciones507.github.io/direcciones507/panel.html?codigo="&amp;A540&amp;"&amp;nombre="&amp;ENCODEURL(B540)&amp;"&amp;telefono="&amp;SUBSTITUTE(C540,"-","")&amp;"&amp;referencia="&amp;ENCODEURL(E540)&amp;"&amp;lat="&amp;IZQUIERDA(SUBSTITUTE(F540," ",""),ENCONTRAR(",",SUBSTITUTE(F540," ",""))-1)&amp;"&amp;lng="&amp;DERECHA(SUBSTITUTE(F540," ",""),LARGO(SUBSTITUTE(F540," ",""))-ENCONTRAR(",",SUBSTITUTE(F540," ",""))),"")</f>
        <v/>
      </c>
    </row>
    <row r="541" ht="15.75" customHeight="1" s="10">
      <c r="A541" s="8">
        <f>CONCAT("AD507-",TEXT(ROW()-2,"0000"))</f>
        <v/>
      </c>
      <c r="C541" s="8" t="n"/>
      <c r="F541" s="8" t="n"/>
      <c r="G541" s="8">
        <f>IF(F541&lt;&gt;"",HYPERLINK("https://www.google.com/maps/search/?api=1&amp;query="&amp;SUBSTITUTE(F541," ",""),"🗺 Google Maps"),"")</f>
        <v/>
      </c>
      <c r="H541" s="8">
        <f>IF(F541&lt;&gt;"",HYPERLINK("https://waze.com/ul?ll="&amp;SUBSTITUTE(F541," ","")&amp;"&amp;navigate=yes","🚗 Waze"),"")</f>
        <v/>
      </c>
      <c r="I541" s="8">
        <f>IF(F541&lt;&gt;"",HYPERLINK("https://m.uber.com/ul/?action=setPickup&amp;pickup=my_location&amp;dropoff[latitude]="&amp;LEFT(SUBSTITUTE(F541," ",""),FIND(",",SUBSTITUTE(F541," ",""))-1)&amp;"&amp;dropoff[longitude]="&amp;MID(SUBSTITUTE(F541," ",""),FIND(",",SUBSTITUTE(F541," ",""))+1,99),"🚕 Uber"),"")</f>
        <v/>
      </c>
      <c r="J541" s="8">
        <f>IF(F541&lt;&gt;"","https://api.qrserver.com/v1/create-qr-code/?size=200x200&amp;data="&amp;ENCODEURL("https://www.google.com/maps/search/?api=1&amp;query="&amp;SUBSTITUTE(F541," ","")),"")</f>
        <v/>
      </c>
      <c r="K541" s="8">
        <f>IF(C541&lt;&gt;"",HYPERLINK("https://wa.me/507"&amp;REGEXREPLACE(C541,"[^0-9]","")&amp;"?text="&amp;ENCODEURL("Ya llegue. Codigo: "&amp;A541&amp;". Ubicacion: "&amp;"https://www.google.com/maps/search/?api=1&amp;query="&amp;SUBSTITUTE(F541," ","")),"📲 Avisar al cliente"),"")</f>
        <v/>
      </c>
      <c r="L541" s="8">
        <f>IF(C541&lt;&gt;"","https://api.qrserver.com/v1/create-qr-code/?size=200x200&amp;data="&amp;ENCODEURL("https://wa.me/507"&amp;REGEXREPLACE(C541,"[^0-9]","")&amp;"?text="&amp;ENCODEURL("Ya llegue. Codigo: "&amp;A541&amp;". Ubicacion: "&amp;"https://www.google.com/maps/search/?api=1&amp;query="&amp;SUBSTITUTE(F541," ",""))),"")</f>
        <v/>
      </c>
      <c r="M541" s="8">
        <f>IF(B541&lt;&gt;"",TODAY(),"")</f>
        <v/>
      </c>
      <c r="N541" s="8">
        <f>IF(F541&lt;&gt;"",IFERROR(IF(AND(REGEXMATCH(SUBSTITUTE(TRIM(F541)," ",""),"^-?\d+(\.\d+)?,-?\d+(\.\d+)?$"),VALUE(REGEXEXTRACT(SUBSTITUTE(TRIM(F541)," ",""),"^-?\d+(\.\d+)?"))&gt;=-90,VALUE(REGEXEXTRACT(SUBSTITUTE(TRIM(F541)," ",""),"^-?\d+(\.\d+)?"))&lt;=90,VALUE(REGEXEXTRACT(SUBSTITUTE(TRIM(F541)," ",""),"-?\d+(\.\d+)?$"))&gt;=-180,VALUE(REGEXEXTRACT(SUBSTITUTE(TRIM(F541)," ",""),"-?\d+(\.\d+)?$"))&lt;=180),"OK","REVISAR"),"REVISAR"),"")</f>
        <v/>
      </c>
      <c r="O541">
        <f>IF(A541&lt;&gt;"","https://direcciones507.github.io/direcciones507/panel.html?codigo="&amp;A541&amp;"&amp;nombre="&amp;ENCODEURL(B541)&amp;"&amp;telefono="&amp;SUBSTITUTE(C541,"-","")&amp;"&amp;referencia="&amp;ENCODEURL(E541)&amp;"&amp;lat="&amp;IZQUIERDA(SUBSTITUTE(F541," ",""),ENCONTRAR(",",SUBSTITUTE(F541," ",""))-1)&amp;"&amp;lng="&amp;DERECHA(SUBSTITUTE(F541," ",""),LARGO(SUBSTITUTE(F541," ",""))-ENCONTRAR(",",SUBSTITUTE(F541," ",""))),"")</f>
        <v/>
      </c>
    </row>
    <row r="542" ht="15.75" customHeight="1" s="10">
      <c r="A542" s="8">
        <f>CONCAT("AD507-",TEXT(ROW()-2,"0000"))</f>
        <v/>
      </c>
      <c r="C542" s="8" t="n"/>
      <c r="F542" s="8" t="n"/>
      <c r="G542" s="8">
        <f>IF(F542&lt;&gt;"",HYPERLINK("https://www.google.com/maps/search/?api=1&amp;query="&amp;SUBSTITUTE(F542," ",""),"🗺 Google Maps"),"")</f>
        <v/>
      </c>
      <c r="H542" s="8">
        <f>IF(F542&lt;&gt;"",HYPERLINK("https://waze.com/ul?ll="&amp;SUBSTITUTE(F542," ","")&amp;"&amp;navigate=yes","🚗 Waze"),"")</f>
        <v/>
      </c>
      <c r="I542" s="8">
        <f>IF(F542&lt;&gt;"",HYPERLINK("https://m.uber.com/ul/?action=setPickup&amp;pickup=my_location&amp;dropoff[latitude]="&amp;LEFT(SUBSTITUTE(F542," ",""),FIND(",",SUBSTITUTE(F542," ",""))-1)&amp;"&amp;dropoff[longitude]="&amp;MID(SUBSTITUTE(F542," ",""),FIND(",",SUBSTITUTE(F542," ",""))+1,99),"🚕 Uber"),"")</f>
        <v/>
      </c>
      <c r="J542" s="8">
        <f>IF(F542&lt;&gt;"","https://api.qrserver.com/v1/create-qr-code/?size=200x200&amp;data="&amp;ENCODEURL("https://www.google.com/maps/search/?api=1&amp;query="&amp;SUBSTITUTE(F542," ","")),"")</f>
        <v/>
      </c>
      <c r="K542" s="8">
        <f>IF(C542&lt;&gt;"",HYPERLINK("https://wa.me/507"&amp;REGEXREPLACE(C542,"[^0-9]","")&amp;"?text="&amp;ENCODEURL("Ya llegue. Codigo: "&amp;A542&amp;". Ubicacion: "&amp;"https://www.google.com/maps/search/?api=1&amp;query="&amp;SUBSTITUTE(F542," ","")),"📲 Avisar al cliente"),"")</f>
        <v/>
      </c>
      <c r="L542" s="8">
        <f>IF(C542&lt;&gt;"","https://api.qrserver.com/v1/create-qr-code/?size=200x200&amp;data="&amp;ENCODEURL("https://wa.me/507"&amp;REGEXREPLACE(C542,"[^0-9]","")&amp;"?text="&amp;ENCODEURL("Ya llegue. Codigo: "&amp;A542&amp;". Ubicacion: "&amp;"https://www.google.com/maps/search/?api=1&amp;query="&amp;SUBSTITUTE(F542," ",""))),"")</f>
        <v/>
      </c>
      <c r="M542" s="8">
        <f>IF(B542&lt;&gt;"",TODAY(),"")</f>
        <v/>
      </c>
      <c r="N542" s="8">
        <f>IF(F542&lt;&gt;"",IFERROR(IF(AND(REGEXMATCH(SUBSTITUTE(TRIM(F542)," ",""),"^-?\d+(\.\d+)?,-?\d+(\.\d+)?$"),VALUE(REGEXEXTRACT(SUBSTITUTE(TRIM(F542)," ",""),"^-?\d+(\.\d+)?"))&gt;=-90,VALUE(REGEXEXTRACT(SUBSTITUTE(TRIM(F542)," ",""),"^-?\d+(\.\d+)?"))&lt;=90,VALUE(REGEXEXTRACT(SUBSTITUTE(TRIM(F542)," ",""),"-?\d+(\.\d+)?$"))&gt;=-180,VALUE(REGEXEXTRACT(SUBSTITUTE(TRIM(F542)," ",""),"-?\d+(\.\d+)?$"))&lt;=180),"OK","REVISAR"),"REVISAR"),"")</f>
        <v/>
      </c>
      <c r="O542">
        <f>IF(A542&lt;&gt;"","https://direcciones507.github.io/direcciones507/panel.html?codigo="&amp;A542&amp;"&amp;nombre="&amp;ENCODEURL(B542)&amp;"&amp;telefono="&amp;SUBSTITUTE(C542,"-","")&amp;"&amp;referencia="&amp;ENCODEURL(E542)&amp;"&amp;lat="&amp;IZQUIERDA(SUBSTITUTE(F542," ",""),ENCONTRAR(",",SUBSTITUTE(F542," ",""))-1)&amp;"&amp;lng="&amp;DERECHA(SUBSTITUTE(F542," ",""),LARGO(SUBSTITUTE(F542," ",""))-ENCONTRAR(",",SUBSTITUTE(F542," ",""))),"")</f>
        <v/>
      </c>
    </row>
    <row r="543" ht="15.75" customHeight="1" s="10">
      <c r="A543" s="8">
        <f>CONCAT("AD507-",TEXT(ROW()-2,"0000"))</f>
        <v/>
      </c>
      <c r="C543" s="8" t="n"/>
      <c r="F543" s="8" t="n"/>
      <c r="G543" s="8">
        <f>IF(F543&lt;&gt;"",HYPERLINK("https://www.google.com/maps/search/?api=1&amp;query="&amp;SUBSTITUTE(F543," ",""),"🗺 Google Maps"),"")</f>
        <v/>
      </c>
      <c r="H543" s="8">
        <f>IF(F543&lt;&gt;"",HYPERLINK("https://waze.com/ul?ll="&amp;SUBSTITUTE(F543," ","")&amp;"&amp;navigate=yes","🚗 Waze"),"")</f>
        <v/>
      </c>
      <c r="I543" s="8">
        <f>IF(F543&lt;&gt;"",HYPERLINK("https://m.uber.com/ul/?action=setPickup&amp;pickup=my_location&amp;dropoff[latitude]="&amp;LEFT(SUBSTITUTE(F543," ",""),FIND(",",SUBSTITUTE(F543," ",""))-1)&amp;"&amp;dropoff[longitude]="&amp;MID(SUBSTITUTE(F543," ",""),FIND(",",SUBSTITUTE(F543," ",""))+1,99),"🚕 Uber"),"")</f>
        <v/>
      </c>
      <c r="J543" s="8">
        <f>IF(F543&lt;&gt;"","https://api.qrserver.com/v1/create-qr-code/?size=200x200&amp;data="&amp;ENCODEURL("https://www.google.com/maps/search/?api=1&amp;query="&amp;SUBSTITUTE(F543," ","")),"")</f>
        <v/>
      </c>
      <c r="K543" s="8">
        <f>IF(C543&lt;&gt;"",HYPERLINK("https://wa.me/507"&amp;REGEXREPLACE(C543,"[^0-9]","")&amp;"?text="&amp;ENCODEURL("Ya llegue. Codigo: "&amp;A543&amp;". Ubicacion: "&amp;"https://www.google.com/maps/search/?api=1&amp;query="&amp;SUBSTITUTE(F543," ","")),"📲 Avisar al cliente"),"")</f>
        <v/>
      </c>
      <c r="L543" s="8">
        <f>IF(C543&lt;&gt;"","https://api.qrserver.com/v1/create-qr-code/?size=200x200&amp;data="&amp;ENCODEURL("https://wa.me/507"&amp;REGEXREPLACE(C543,"[^0-9]","")&amp;"?text="&amp;ENCODEURL("Ya llegue. Codigo: "&amp;A543&amp;". Ubicacion: "&amp;"https://www.google.com/maps/search/?api=1&amp;query="&amp;SUBSTITUTE(F543," ",""))),"")</f>
        <v/>
      </c>
      <c r="M543" s="8">
        <f>IF(B543&lt;&gt;"",TODAY(),"")</f>
        <v/>
      </c>
      <c r="N543" s="8">
        <f>IF(F543&lt;&gt;"",IFERROR(IF(AND(REGEXMATCH(SUBSTITUTE(TRIM(F543)," ",""),"^-?\d+(\.\d+)?,-?\d+(\.\d+)?$"),VALUE(REGEXEXTRACT(SUBSTITUTE(TRIM(F543)," ",""),"^-?\d+(\.\d+)?"))&gt;=-90,VALUE(REGEXEXTRACT(SUBSTITUTE(TRIM(F543)," ",""),"^-?\d+(\.\d+)?"))&lt;=90,VALUE(REGEXEXTRACT(SUBSTITUTE(TRIM(F543)," ",""),"-?\d+(\.\d+)?$"))&gt;=-180,VALUE(REGEXEXTRACT(SUBSTITUTE(TRIM(F543)," ",""),"-?\d+(\.\d+)?$"))&lt;=180),"OK","REVISAR"),"REVISAR"),"")</f>
        <v/>
      </c>
      <c r="O543">
        <f>IF(A543&lt;&gt;"","https://direcciones507.github.io/direcciones507/panel.html?codigo="&amp;A543&amp;"&amp;nombre="&amp;ENCODEURL(B543)&amp;"&amp;telefono="&amp;SUBSTITUTE(C543,"-","")&amp;"&amp;referencia="&amp;ENCODEURL(E543)&amp;"&amp;lat="&amp;IZQUIERDA(SUBSTITUTE(F543," ",""),ENCONTRAR(",",SUBSTITUTE(F543," ",""))-1)&amp;"&amp;lng="&amp;DERECHA(SUBSTITUTE(F543," ",""),LARGO(SUBSTITUTE(F543," ",""))-ENCONTRAR(",",SUBSTITUTE(F543," ",""))),"")</f>
        <v/>
      </c>
    </row>
    <row r="544" ht="15.75" customHeight="1" s="10">
      <c r="A544" s="8">
        <f>CONCAT("AD507-",TEXT(ROW()-2,"0000"))</f>
        <v/>
      </c>
      <c r="C544" s="8" t="n"/>
      <c r="F544" s="8" t="n"/>
      <c r="G544" s="8">
        <f>IF(F544&lt;&gt;"",HYPERLINK("https://www.google.com/maps/search/?api=1&amp;query="&amp;SUBSTITUTE(F544," ",""),"🗺 Google Maps"),"")</f>
        <v/>
      </c>
      <c r="H544" s="8">
        <f>IF(F544&lt;&gt;"",HYPERLINK("https://waze.com/ul?ll="&amp;SUBSTITUTE(F544," ","")&amp;"&amp;navigate=yes","🚗 Waze"),"")</f>
        <v/>
      </c>
      <c r="I544" s="8">
        <f>IF(F544&lt;&gt;"",HYPERLINK("https://m.uber.com/ul/?action=setPickup&amp;pickup=my_location&amp;dropoff[latitude]="&amp;LEFT(SUBSTITUTE(F544," ",""),FIND(",",SUBSTITUTE(F544," ",""))-1)&amp;"&amp;dropoff[longitude]="&amp;MID(SUBSTITUTE(F544," ",""),FIND(",",SUBSTITUTE(F544," ",""))+1,99),"🚕 Uber"),"")</f>
        <v/>
      </c>
      <c r="J544" s="8">
        <f>IF(F544&lt;&gt;"","https://api.qrserver.com/v1/create-qr-code/?size=200x200&amp;data="&amp;ENCODEURL("https://www.google.com/maps/search/?api=1&amp;query="&amp;SUBSTITUTE(F544," ","")),"")</f>
        <v/>
      </c>
      <c r="K544" s="8">
        <f>IF(C544&lt;&gt;"",HYPERLINK("https://wa.me/507"&amp;REGEXREPLACE(C544,"[^0-9]","")&amp;"?text="&amp;ENCODEURL("Ya llegue. Codigo: "&amp;A544&amp;". Ubicacion: "&amp;"https://www.google.com/maps/search/?api=1&amp;query="&amp;SUBSTITUTE(F544," ","")),"📲 Avisar al cliente"),"")</f>
        <v/>
      </c>
      <c r="L544" s="8">
        <f>IF(C544&lt;&gt;"","https://api.qrserver.com/v1/create-qr-code/?size=200x200&amp;data="&amp;ENCODEURL("https://wa.me/507"&amp;REGEXREPLACE(C544,"[^0-9]","")&amp;"?text="&amp;ENCODEURL("Ya llegue. Codigo: "&amp;A544&amp;". Ubicacion: "&amp;"https://www.google.com/maps/search/?api=1&amp;query="&amp;SUBSTITUTE(F544," ",""))),"")</f>
        <v/>
      </c>
      <c r="M544" s="8">
        <f>IF(B544&lt;&gt;"",TODAY(),"")</f>
        <v/>
      </c>
      <c r="N544" s="8">
        <f>IF(F544&lt;&gt;"",IFERROR(IF(AND(REGEXMATCH(SUBSTITUTE(TRIM(F544)," ",""),"^-?\d+(\.\d+)?,-?\d+(\.\d+)?$"),VALUE(REGEXEXTRACT(SUBSTITUTE(TRIM(F544)," ",""),"^-?\d+(\.\d+)?"))&gt;=-90,VALUE(REGEXEXTRACT(SUBSTITUTE(TRIM(F544)," ",""),"^-?\d+(\.\d+)?"))&lt;=90,VALUE(REGEXEXTRACT(SUBSTITUTE(TRIM(F544)," ",""),"-?\d+(\.\d+)?$"))&gt;=-180,VALUE(REGEXEXTRACT(SUBSTITUTE(TRIM(F544)," ",""),"-?\d+(\.\d+)?$"))&lt;=180),"OK","REVISAR"),"REVISAR"),"")</f>
        <v/>
      </c>
      <c r="O544">
        <f>IF(A544&lt;&gt;"","https://direcciones507.github.io/direcciones507/panel.html?codigo="&amp;A544&amp;"&amp;nombre="&amp;ENCODEURL(B544)&amp;"&amp;telefono="&amp;SUBSTITUTE(C544,"-","")&amp;"&amp;referencia="&amp;ENCODEURL(E544)&amp;"&amp;lat="&amp;IZQUIERDA(SUBSTITUTE(F544," ",""),ENCONTRAR(",",SUBSTITUTE(F544," ",""))-1)&amp;"&amp;lng="&amp;DERECHA(SUBSTITUTE(F544," ",""),LARGO(SUBSTITUTE(F544," ",""))-ENCONTRAR(",",SUBSTITUTE(F544," ",""))),"")</f>
        <v/>
      </c>
    </row>
    <row r="545" ht="15.75" customHeight="1" s="10">
      <c r="A545" s="8">
        <f>CONCAT("AD507-",TEXT(ROW()-2,"0000"))</f>
        <v/>
      </c>
      <c r="C545" s="8" t="n"/>
      <c r="F545" s="8" t="n"/>
      <c r="G545" s="8">
        <f>IF(F545&lt;&gt;"",HYPERLINK("https://www.google.com/maps/search/?api=1&amp;query="&amp;SUBSTITUTE(F545," ",""),"🗺 Google Maps"),"")</f>
        <v/>
      </c>
      <c r="H545" s="8">
        <f>IF(F545&lt;&gt;"",HYPERLINK("https://waze.com/ul?ll="&amp;SUBSTITUTE(F545," ","")&amp;"&amp;navigate=yes","🚗 Waze"),"")</f>
        <v/>
      </c>
      <c r="I545" s="8">
        <f>IF(F545&lt;&gt;"",HYPERLINK("https://m.uber.com/ul/?action=setPickup&amp;pickup=my_location&amp;dropoff[latitude]="&amp;LEFT(SUBSTITUTE(F545," ",""),FIND(",",SUBSTITUTE(F545," ",""))-1)&amp;"&amp;dropoff[longitude]="&amp;MID(SUBSTITUTE(F545," ",""),FIND(",",SUBSTITUTE(F545," ",""))+1,99),"🚕 Uber"),"")</f>
        <v/>
      </c>
      <c r="J545" s="8">
        <f>IF(F545&lt;&gt;"","https://api.qrserver.com/v1/create-qr-code/?size=200x200&amp;data="&amp;ENCODEURL("https://www.google.com/maps/search/?api=1&amp;query="&amp;SUBSTITUTE(F545," ","")),"")</f>
        <v/>
      </c>
      <c r="K545" s="8">
        <f>IF(C545&lt;&gt;"",HYPERLINK("https://wa.me/507"&amp;REGEXREPLACE(C545,"[^0-9]","")&amp;"?text="&amp;ENCODEURL("Ya llegue. Codigo: "&amp;A545&amp;". Ubicacion: "&amp;"https://www.google.com/maps/search/?api=1&amp;query="&amp;SUBSTITUTE(F545," ","")),"📲 Avisar al cliente"),"")</f>
        <v/>
      </c>
      <c r="L545" s="8">
        <f>IF(C545&lt;&gt;"","https://api.qrserver.com/v1/create-qr-code/?size=200x200&amp;data="&amp;ENCODEURL("https://wa.me/507"&amp;REGEXREPLACE(C545,"[^0-9]","")&amp;"?text="&amp;ENCODEURL("Ya llegue. Codigo: "&amp;A545&amp;". Ubicacion: "&amp;"https://www.google.com/maps/search/?api=1&amp;query="&amp;SUBSTITUTE(F545," ",""))),"")</f>
        <v/>
      </c>
      <c r="M545" s="8">
        <f>IF(B545&lt;&gt;"",TODAY(),"")</f>
        <v/>
      </c>
      <c r="N545" s="8">
        <f>IF(F545&lt;&gt;"",IFERROR(IF(AND(REGEXMATCH(SUBSTITUTE(TRIM(F545)," ",""),"^-?\d+(\.\d+)?,-?\d+(\.\d+)?$"),VALUE(REGEXEXTRACT(SUBSTITUTE(TRIM(F545)," ",""),"^-?\d+(\.\d+)?"))&gt;=-90,VALUE(REGEXEXTRACT(SUBSTITUTE(TRIM(F545)," ",""),"^-?\d+(\.\d+)?"))&lt;=90,VALUE(REGEXEXTRACT(SUBSTITUTE(TRIM(F545)," ",""),"-?\d+(\.\d+)?$"))&gt;=-180,VALUE(REGEXEXTRACT(SUBSTITUTE(TRIM(F545)," ",""),"-?\d+(\.\d+)?$"))&lt;=180),"OK","REVISAR"),"REVISAR"),"")</f>
        <v/>
      </c>
      <c r="O545">
        <f>IF(A545&lt;&gt;"","https://direcciones507.github.io/direcciones507/panel.html?codigo="&amp;A545&amp;"&amp;nombre="&amp;ENCODEURL(B545)&amp;"&amp;telefono="&amp;SUBSTITUTE(C545,"-","")&amp;"&amp;referencia="&amp;ENCODEURL(E545)&amp;"&amp;lat="&amp;IZQUIERDA(SUBSTITUTE(F545," ",""),ENCONTRAR(",",SUBSTITUTE(F545," ",""))-1)&amp;"&amp;lng="&amp;DERECHA(SUBSTITUTE(F545," ",""),LARGO(SUBSTITUTE(F545," ",""))-ENCONTRAR(",",SUBSTITUTE(F545," ",""))),"")</f>
        <v/>
      </c>
    </row>
    <row r="546" ht="15.75" customHeight="1" s="10">
      <c r="A546" s="8">
        <f>CONCAT("AD507-",TEXT(ROW()-2,"0000"))</f>
        <v/>
      </c>
      <c r="C546" s="8" t="n"/>
      <c r="F546" s="8" t="n"/>
      <c r="G546" s="8">
        <f>IF(F546&lt;&gt;"",HYPERLINK("https://www.google.com/maps/search/?api=1&amp;query="&amp;SUBSTITUTE(F546," ",""),"🗺 Google Maps"),"")</f>
        <v/>
      </c>
      <c r="H546" s="8">
        <f>IF(F546&lt;&gt;"",HYPERLINK("https://waze.com/ul?ll="&amp;SUBSTITUTE(F546," ","")&amp;"&amp;navigate=yes","🚗 Waze"),"")</f>
        <v/>
      </c>
      <c r="I546" s="8">
        <f>IF(F546&lt;&gt;"",HYPERLINK("https://m.uber.com/ul/?action=setPickup&amp;pickup=my_location&amp;dropoff[latitude]="&amp;LEFT(SUBSTITUTE(F546," ",""),FIND(",",SUBSTITUTE(F546," ",""))-1)&amp;"&amp;dropoff[longitude]="&amp;MID(SUBSTITUTE(F546," ",""),FIND(",",SUBSTITUTE(F546," ",""))+1,99),"🚕 Uber"),"")</f>
        <v/>
      </c>
      <c r="J546" s="8">
        <f>IF(F546&lt;&gt;"","https://api.qrserver.com/v1/create-qr-code/?size=200x200&amp;data="&amp;ENCODEURL("https://www.google.com/maps/search/?api=1&amp;query="&amp;SUBSTITUTE(F546," ","")),"")</f>
        <v/>
      </c>
      <c r="K546" s="8">
        <f>IF(C546&lt;&gt;"",HYPERLINK("https://wa.me/507"&amp;REGEXREPLACE(C546,"[^0-9]","")&amp;"?text="&amp;ENCODEURL("Ya llegue. Codigo: "&amp;A546&amp;". Ubicacion: "&amp;"https://www.google.com/maps/search/?api=1&amp;query="&amp;SUBSTITUTE(F546," ","")),"📲 Avisar al cliente"),"")</f>
        <v/>
      </c>
      <c r="L546" s="8">
        <f>IF(C546&lt;&gt;"","https://api.qrserver.com/v1/create-qr-code/?size=200x200&amp;data="&amp;ENCODEURL("https://wa.me/507"&amp;REGEXREPLACE(C546,"[^0-9]","")&amp;"?text="&amp;ENCODEURL("Ya llegue. Codigo: "&amp;A546&amp;". Ubicacion: "&amp;"https://www.google.com/maps/search/?api=1&amp;query="&amp;SUBSTITUTE(F546," ",""))),"")</f>
        <v/>
      </c>
      <c r="M546" s="8">
        <f>IF(B546&lt;&gt;"",TODAY(),"")</f>
        <v/>
      </c>
      <c r="N546" s="8">
        <f>IF(F546&lt;&gt;"",IFERROR(IF(AND(REGEXMATCH(SUBSTITUTE(TRIM(F546)," ",""),"^-?\d+(\.\d+)?,-?\d+(\.\d+)?$"),VALUE(REGEXEXTRACT(SUBSTITUTE(TRIM(F546)," ",""),"^-?\d+(\.\d+)?"))&gt;=-90,VALUE(REGEXEXTRACT(SUBSTITUTE(TRIM(F546)," ",""),"^-?\d+(\.\d+)?"))&lt;=90,VALUE(REGEXEXTRACT(SUBSTITUTE(TRIM(F546)," ",""),"-?\d+(\.\d+)?$"))&gt;=-180,VALUE(REGEXEXTRACT(SUBSTITUTE(TRIM(F546)," ",""),"-?\d+(\.\d+)?$"))&lt;=180),"OK","REVISAR"),"REVISAR"),"")</f>
        <v/>
      </c>
      <c r="O546">
        <f>IF(A546&lt;&gt;"","https://direcciones507.github.io/direcciones507/panel.html?codigo="&amp;A546&amp;"&amp;nombre="&amp;ENCODEURL(B546)&amp;"&amp;telefono="&amp;SUBSTITUTE(C546,"-","")&amp;"&amp;referencia="&amp;ENCODEURL(E546)&amp;"&amp;lat="&amp;IZQUIERDA(SUBSTITUTE(F546," ",""),ENCONTRAR(",",SUBSTITUTE(F546," ",""))-1)&amp;"&amp;lng="&amp;DERECHA(SUBSTITUTE(F546," ",""),LARGO(SUBSTITUTE(F546," ",""))-ENCONTRAR(",",SUBSTITUTE(F546," ",""))),"")</f>
        <v/>
      </c>
    </row>
    <row r="547" ht="15.75" customHeight="1" s="10">
      <c r="A547" s="8">
        <f>CONCAT("AD507-",TEXT(ROW()-2,"0000"))</f>
        <v/>
      </c>
      <c r="C547" s="8" t="n"/>
      <c r="F547" s="8" t="n"/>
      <c r="G547" s="8">
        <f>IF(F547&lt;&gt;"",HYPERLINK("https://www.google.com/maps/search/?api=1&amp;query="&amp;SUBSTITUTE(F547," ",""),"🗺 Google Maps"),"")</f>
        <v/>
      </c>
      <c r="H547" s="8">
        <f>IF(F547&lt;&gt;"",HYPERLINK("https://waze.com/ul?ll="&amp;SUBSTITUTE(F547," ","")&amp;"&amp;navigate=yes","🚗 Waze"),"")</f>
        <v/>
      </c>
      <c r="I547" s="8">
        <f>IF(F547&lt;&gt;"",HYPERLINK("https://m.uber.com/ul/?action=setPickup&amp;pickup=my_location&amp;dropoff[latitude]="&amp;LEFT(SUBSTITUTE(F547," ",""),FIND(",",SUBSTITUTE(F547," ",""))-1)&amp;"&amp;dropoff[longitude]="&amp;MID(SUBSTITUTE(F547," ",""),FIND(",",SUBSTITUTE(F547," ",""))+1,99),"🚕 Uber"),"")</f>
        <v/>
      </c>
      <c r="J547" s="8">
        <f>IF(F547&lt;&gt;"","https://api.qrserver.com/v1/create-qr-code/?size=200x200&amp;data="&amp;ENCODEURL("https://www.google.com/maps/search/?api=1&amp;query="&amp;SUBSTITUTE(F547," ","")),"")</f>
        <v/>
      </c>
      <c r="K547" s="8">
        <f>IF(C547&lt;&gt;"",HYPERLINK("https://wa.me/507"&amp;REGEXREPLACE(C547,"[^0-9]","")&amp;"?text="&amp;ENCODEURL("Ya llegue. Codigo: "&amp;A547&amp;". Ubicacion: "&amp;"https://www.google.com/maps/search/?api=1&amp;query="&amp;SUBSTITUTE(F547," ","")),"📲 Avisar al cliente"),"")</f>
        <v/>
      </c>
      <c r="L547" s="8">
        <f>IF(C547&lt;&gt;"","https://api.qrserver.com/v1/create-qr-code/?size=200x200&amp;data="&amp;ENCODEURL("https://wa.me/507"&amp;REGEXREPLACE(C547,"[^0-9]","")&amp;"?text="&amp;ENCODEURL("Ya llegue. Codigo: "&amp;A547&amp;". Ubicacion: "&amp;"https://www.google.com/maps/search/?api=1&amp;query="&amp;SUBSTITUTE(F547," ",""))),"")</f>
        <v/>
      </c>
      <c r="M547" s="8">
        <f>IF(B547&lt;&gt;"",TODAY(),"")</f>
        <v/>
      </c>
      <c r="N547" s="8">
        <f>IF(F547&lt;&gt;"",IFERROR(IF(AND(REGEXMATCH(SUBSTITUTE(TRIM(F547)," ",""),"^-?\d+(\.\d+)?,-?\d+(\.\d+)?$"),VALUE(REGEXEXTRACT(SUBSTITUTE(TRIM(F547)," ",""),"^-?\d+(\.\d+)?"))&gt;=-90,VALUE(REGEXEXTRACT(SUBSTITUTE(TRIM(F547)," ",""),"^-?\d+(\.\d+)?"))&lt;=90,VALUE(REGEXEXTRACT(SUBSTITUTE(TRIM(F547)," ",""),"-?\d+(\.\d+)?$"))&gt;=-180,VALUE(REGEXEXTRACT(SUBSTITUTE(TRIM(F547)," ",""),"-?\d+(\.\d+)?$"))&lt;=180),"OK","REVISAR"),"REVISAR"),"")</f>
        <v/>
      </c>
      <c r="O547">
        <f>IF(A547&lt;&gt;"","https://direcciones507.github.io/direcciones507/panel.html?codigo="&amp;A547&amp;"&amp;nombre="&amp;ENCODEURL(B547)&amp;"&amp;telefono="&amp;SUBSTITUTE(C547,"-","")&amp;"&amp;referencia="&amp;ENCODEURL(E547)&amp;"&amp;lat="&amp;IZQUIERDA(SUBSTITUTE(F547," ",""),ENCONTRAR(",",SUBSTITUTE(F547," ",""))-1)&amp;"&amp;lng="&amp;DERECHA(SUBSTITUTE(F547," ",""),LARGO(SUBSTITUTE(F547," ",""))-ENCONTRAR(",",SUBSTITUTE(F547," ",""))),"")</f>
        <v/>
      </c>
    </row>
    <row r="548" ht="15.75" customHeight="1" s="10">
      <c r="A548" s="8">
        <f>CONCAT("AD507-",TEXT(ROW()-2,"0000"))</f>
        <v/>
      </c>
      <c r="C548" s="8" t="n"/>
      <c r="F548" s="8" t="n"/>
      <c r="G548" s="8">
        <f>IF(F548&lt;&gt;"",HYPERLINK("https://www.google.com/maps/search/?api=1&amp;query="&amp;SUBSTITUTE(F548," ",""),"🗺 Google Maps"),"")</f>
        <v/>
      </c>
      <c r="H548" s="8">
        <f>IF(F548&lt;&gt;"",HYPERLINK("https://waze.com/ul?ll="&amp;SUBSTITUTE(F548," ","")&amp;"&amp;navigate=yes","🚗 Waze"),"")</f>
        <v/>
      </c>
      <c r="I548" s="8">
        <f>IF(F548&lt;&gt;"",HYPERLINK("https://m.uber.com/ul/?action=setPickup&amp;pickup=my_location&amp;dropoff[latitude]="&amp;LEFT(SUBSTITUTE(F548," ",""),FIND(",",SUBSTITUTE(F548," ",""))-1)&amp;"&amp;dropoff[longitude]="&amp;MID(SUBSTITUTE(F548," ",""),FIND(",",SUBSTITUTE(F548," ",""))+1,99),"🚕 Uber"),"")</f>
        <v/>
      </c>
      <c r="J548" s="8">
        <f>IF(F548&lt;&gt;"","https://api.qrserver.com/v1/create-qr-code/?size=200x200&amp;data="&amp;ENCODEURL("https://www.google.com/maps/search/?api=1&amp;query="&amp;SUBSTITUTE(F548," ","")),"")</f>
        <v/>
      </c>
      <c r="K548" s="8">
        <f>IF(C548&lt;&gt;"",HYPERLINK("https://wa.me/507"&amp;REGEXREPLACE(C548,"[^0-9]","")&amp;"?text="&amp;ENCODEURL("Ya llegue. Codigo: "&amp;A548&amp;". Ubicacion: "&amp;"https://www.google.com/maps/search/?api=1&amp;query="&amp;SUBSTITUTE(F548," ","")),"📲 Avisar al cliente"),"")</f>
        <v/>
      </c>
      <c r="L548" s="8">
        <f>IF(C548&lt;&gt;"","https://api.qrserver.com/v1/create-qr-code/?size=200x200&amp;data="&amp;ENCODEURL("https://wa.me/507"&amp;REGEXREPLACE(C548,"[^0-9]","")&amp;"?text="&amp;ENCODEURL("Ya llegue. Codigo: "&amp;A548&amp;". Ubicacion: "&amp;"https://www.google.com/maps/search/?api=1&amp;query="&amp;SUBSTITUTE(F548," ",""))),"")</f>
        <v/>
      </c>
      <c r="M548" s="8">
        <f>IF(B548&lt;&gt;"",TODAY(),"")</f>
        <v/>
      </c>
      <c r="N548" s="8">
        <f>IF(F548&lt;&gt;"",IFERROR(IF(AND(REGEXMATCH(SUBSTITUTE(TRIM(F548)," ",""),"^-?\d+(\.\d+)?,-?\d+(\.\d+)?$"),VALUE(REGEXEXTRACT(SUBSTITUTE(TRIM(F548)," ",""),"^-?\d+(\.\d+)?"))&gt;=-90,VALUE(REGEXEXTRACT(SUBSTITUTE(TRIM(F548)," ",""),"^-?\d+(\.\d+)?"))&lt;=90,VALUE(REGEXEXTRACT(SUBSTITUTE(TRIM(F548)," ",""),"-?\d+(\.\d+)?$"))&gt;=-180,VALUE(REGEXEXTRACT(SUBSTITUTE(TRIM(F548)," ",""),"-?\d+(\.\d+)?$"))&lt;=180),"OK","REVISAR"),"REVISAR"),"")</f>
        <v/>
      </c>
      <c r="O548">
        <f>IF(A548&lt;&gt;"","https://direcciones507.github.io/direcciones507/panel.html?codigo="&amp;A548&amp;"&amp;nombre="&amp;ENCODEURL(B548)&amp;"&amp;telefono="&amp;SUBSTITUTE(C548,"-","")&amp;"&amp;referencia="&amp;ENCODEURL(E548)&amp;"&amp;lat="&amp;IZQUIERDA(SUBSTITUTE(F548," ",""),ENCONTRAR(",",SUBSTITUTE(F548," ",""))-1)&amp;"&amp;lng="&amp;DERECHA(SUBSTITUTE(F548," ",""),LARGO(SUBSTITUTE(F548," ",""))-ENCONTRAR(",",SUBSTITUTE(F548," ",""))),"")</f>
        <v/>
      </c>
    </row>
    <row r="549" ht="15.75" customHeight="1" s="10">
      <c r="A549" s="8">
        <f>CONCAT("AD507-",TEXT(ROW()-2,"0000"))</f>
        <v/>
      </c>
      <c r="C549" s="8" t="n"/>
      <c r="F549" s="8" t="n"/>
      <c r="G549" s="8">
        <f>IF(F549&lt;&gt;"",HYPERLINK("https://www.google.com/maps/search/?api=1&amp;query="&amp;SUBSTITUTE(F549," ",""),"🗺 Google Maps"),"")</f>
        <v/>
      </c>
      <c r="H549" s="8">
        <f>IF(F549&lt;&gt;"",HYPERLINK("https://waze.com/ul?ll="&amp;SUBSTITUTE(F549," ","")&amp;"&amp;navigate=yes","🚗 Waze"),"")</f>
        <v/>
      </c>
      <c r="I549" s="8">
        <f>IF(F549&lt;&gt;"",HYPERLINK("https://m.uber.com/ul/?action=setPickup&amp;pickup=my_location&amp;dropoff[latitude]="&amp;LEFT(SUBSTITUTE(F549," ",""),FIND(",",SUBSTITUTE(F549," ",""))-1)&amp;"&amp;dropoff[longitude]="&amp;MID(SUBSTITUTE(F549," ",""),FIND(",",SUBSTITUTE(F549," ",""))+1,99),"🚕 Uber"),"")</f>
        <v/>
      </c>
      <c r="J549" s="8">
        <f>IF(F549&lt;&gt;"","https://api.qrserver.com/v1/create-qr-code/?size=200x200&amp;data="&amp;ENCODEURL("https://www.google.com/maps/search/?api=1&amp;query="&amp;SUBSTITUTE(F549," ","")),"")</f>
        <v/>
      </c>
      <c r="K549" s="8">
        <f>IF(C549&lt;&gt;"",HYPERLINK("https://wa.me/507"&amp;REGEXREPLACE(C549,"[^0-9]","")&amp;"?text="&amp;ENCODEURL("Ya llegue. Codigo: "&amp;A549&amp;". Ubicacion: "&amp;"https://www.google.com/maps/search/?api=1&amp;query="&amp;SUBSTITUTE(F549," ","")),"📲 Avisar al cliente"),"")</f>
        <v/>
      </c>
      <c r="L549" s="8">
        <f>IF(C549&lt;&gt;"","https://api.qrserver.com/v1/create-qr-code/?size=200x200&amp;data="&amp;ENCODEURL("https://wa.me/507"&amp;REGEXREPLACE(C549,"[^0-9]","")&amp;"?text="&amp;ENCODEURL("Ya llegue. Codigo: "&amp;A549&amp;". Ubicacion: "&amp;"https://www.google.com/maps/search/?api=1&amp;query="&amp;SUBSTITUTE(F549," ",""))),"")</f>
        <v/>
      </c>
      <c r="M549" s="8">
        <f>IF(B549&lt;&gt;"",TODAY(),"")</f>
        <v/>
      </c>
      <c r="N549" s="8">
        <f>IF(F549&lt;&gt;"",IFERROR(IF(AND(REGEXMATCH(SUBSTITUTE(TRIM(F549)," ",""),"^-?\d+(\.\d+)?,-?\d+(\.\d+)?$"),VALUE(REGEXEXTRACT(SUBSTITUTE(TRIM(F549)," ",""),"^-?\d+(\.\d+)?"))&gt;=-90,VALUE(REGEXEXTRACT(SUBSTITUTE(TRIM(F549)," ",""),"^-?\d+(\.\d+)?"))&lt;=90,VALUE(REGEXEXTRACT(SUBSTITUTE(TRIM(F549)," ",""),"-?\d+(\.\d+)?$"))&gt;=-180,VALUE(REGEXEXTRACT(SUBSTITUTE(TRIM(F549)," ",""),"-?\d+(\.\d+)?$"))&lt;=180),"OK","REVISAR"),"REVISAR"),"")</f>
        <v/>
      </c>
      <c r="O549">
        <f>IF(A549&lt;&gt;"","https://direcciones507.github.io/direcciones507/panel.html?codigo="&amp;A549&amp;"&amp;nombre="&amp;ENCODEURL(B549)&amp;"&amp;telefono="&amp;SUBSTITUTE(C549,"-","")&amp;"&amp;referencia="&amp;ENCODEURL(E549)&amp;"&amp;lat="&amp;IZQUIERDA(SUBSTITUTE(F549," ",""),ENCONTRAR(",",SUBSTITUTE(F549," ",""))-1)&amp;"&amp;lng="&amp;DERECHA(SUBSTITUTE(F549," ",""),LARGO(SUBSTITUTE(F549," ",""))-ENCONTRAR(",",SUBSTITUTE(F549," ",""))),"")</f>
        <v/>
      </c>
    </row>
    <row r="550" ht="15.75" customHeight="1" s="10">
      <c r="A550" s="8">
        <f>CONCAT("AD507-",TEXT(ROW()-2,"0000"))</f>
        <v/>
      </c>
      <c r="C550" s="8" t="n"/>
      <c r="F550" s="8" t="n"/>
      <c r="G550" s="8">
        <f>IF(F550&lt;&gt;"",HYPERLINK("https://www.google.com/maps/search/?api=1&amp;query="&amp;SUBSTITUTE(F550," ",""),"🗺 Google Maps"),"")</f>
        <v/>
      </c>
      <c r="H550" s="8">
        <f>IF(F550&lt;&gt;"",HYPERLINK("https://waze.com/ul?ll="&amp;SUBSTITUTE(F550," ","")&amp;"&amp;navigate=yes","🚗 Waze"),"")</f>
        <v/>
      </c>
      <c r="I550" s="8">
        <f>IF(F550&lt;&gt;"",HYPERLINK("https://m.uber.com/ul/?action=setPickup&amp;pickup=my_location&amp;dropoff[latitude]="&amp;LEFT(SUBSTITUTE(F550," ",""),FIND(",",SUBSTITUTE(F550," ",""))-1)&amp;"&amp;dropoff[longitude]="&amp;MID(SUBSTITUTE(F550," ",""),FIND(",",SUBSTITUTE(F550," ",""))+1,99),"🚕 Uber"),"")</f>
        <v/>
      </c>
      <c r="J550" s="8">
        <f>IF(F550&lt;&gt;"","https://api.qrserver.com/v1/create-qr-code/?size=200x200&amp;data="&amp;ENCODEURL("https://www.google.com/maps/search/?api=1&amp;query="&amp;SUBSTITUTE(F550," ","")),"")</f>
        <v/>
      </c>
      <c r="K550" s="8">
        <f>IF(C550&lt;&gt;"",HYPERLINK("https://wa.me/507"&amp;REGEXREPLACE(C550,"[^0-9]","")&amp;"?text="&amp;ENCODEURL("Ya llegue. Codigo: "&amp;A550&amp;". Ubicacion: "&amp;"https://www.google.com/maps/search/?api=1&amp;query="&amp;SUBSTITUTE(F550," ","")),"📲 Avisar al cliente"),"")</f>
        <v/>
      </c>
      <c r="L550" s="8">
        <f>IF(C550&lt;&gt;"","https://api.qrserver.com/v1/create-qr-code/?size=200x200&amp;data="&amp;ENCODEURL("https://wa.me/507"&amp;REGEXREPLACE(C550,"[^0-9]","")&amp;"?text="&amp;ENCODEURL("Ya llegue. Codigo: "&amp;A550&amp;". Ubicacion: "&amp;"https://www.google.com/maps/search/?api=1&amp;query="&amp;SUBSTITUTE(F550," ",""))),"")</f>
        <v/>
      </c>
      <c r="M550" s="8">
        <f>IF(B550&lt;&gt;"",TODAY(),"")</f>
        <v/>
      </c>
      <c r="N550" s="8">
        <f>IF(F550&lt;&gt;"",IFERROR(IF(AND(REGEXMATCH(SUBSTITUTE(TRIM(F550)," ",""),"^-?\d+(\.\d+)?,-?\d+(\.\d+)?$"),VALUE(REGEXEXTRACT(SUBSTITUTE(TRIM(F550)," ",""),"^-?\d+(\.\d+)?"))&gt;=-90,VALUE(REGEXEXTRACT(SUBSTITUTE(TRIM(F550)," ",""),"^-?\d+(\.\d+)?"))&lt;=90,VALUE(REGEXEXTRACT(SUBSTITUTE(TRIM(F550)," ",""),"-?\d+(\.\d+)?$"))&gt;=-180,VALUE(REGEXEXTRACT(SUBSTITUTE(TRIM(F550)," ",""),"-?\d+(\.\d+)?$"))&lt;=180),"OK","REVISAR"),"REVISAR"),"")</f>
        <v/>
      </c>
      <c r="O550">
        <f>IF(A550&lt;&gt;"","https://direcciones507.github.io/direcciones507/panel.html?codigo="&amp;A550&amp;"&amp;nombre="&amp;ENCODEURL(B550)&amp;"&amp;telefono="&amp;SUBSTITUTE(C550,"-","")&amp;"&amp;referencia="&amp;ENCODEURL(E550)&amp;"&amp;lat="&amp;IZQUIERDA(SUBSTITUTE(F550," ",""),ENCONTRAR(",",SUBSTITUTE(F550," ",""))-1)&amp;"&amp;lng="&amp;DERECHA(SUBSTITUTE(F550," ",""),LARGO(SUBSTITUTE(F550," ",""))-ENCONTRAR(",",SUBSTITUTE(F550," ",""))),"")</f>
        <v/>
      </c>
    </row>
    <row r="551" ht="15.75" customHeight="1" s="10">
      <c r="A551" s="8">
        <f>CONCAT("AD507-",TEXT(ROW()-2,"0000"))</f>
        <v/>
      </c>
      <c r="C551" s="8" t="n"/>
      <c r="F551" s="8" t="n"/>
      <c r="G551" s="8">
        <f>IF(F551&lt;&gt;"",HYPERLINK("https://www.google.com/maps/search/?api=1&amp;query="&amp;SUBSTITUTE(F551," ",""),"🗺 Google Maps"),"")</f>
        <v/>
      </c>
      <c r="H551" s="8">
        <f>IF(F551&lt;&gt;"",HYPERLINK("https://waze.com/ul?ll="&amp;SUBSTITUTE(F551," ","")&amp;"&amp;navigate=yes","🚗 Waze"),"")</f>
        <v/>
      </c>
      <c r="I551" s="8">
        <f>IF(F551&lt;&gt;"",HYPERLINK("https://m.uber.com/ul/?action=setPickup&amp;pickup=my_location&amp;dropoff[latitude]="&amp;LEFT(SUBSTITUTE(F551," ",""),FIND(",",SUBSTITUTE(F551," ",""))-1)&amp;"&amp;dropoff[longitude]="&amp;MID(SUBSTITUTE(F551," ",""),FIND(",",SUBSTITUTE(F551," ",""))+1,99),"🚕 Uber"),"")</f>
        <v/>
      </c>
      <c r="J551" s="8">
        <f>IF(F551&lt;&gt;"","https://api.qrserver.com/v1/create-qr-code/?size=200x200&amp;data="&amp;ENCODEURL("https://www.google.com/maps/search/?api=1&amp;query="&amp;SUBSTITUTE(F551," ","")),"")</f>
        <v/>
      </c>
      <c r="K551" s="8">
        <f>IF(C551&lt;&gt;"",HYPERLINK("https://wa.me/507"&amp;REGEXREPLACE(C551,"[^0-9]","")&amp;"?text="&amp;ENCODEURL("Ya llegue. Codigo: "&amp;A551&amp;". Ubicacion: "&amp;"https://www.google.com/maps/search/?api=1&amp;query="&amp;SUBSTITUTE(F551," ","")),"📲 Avisar al cliente"),"")</f>
        <v/>
      </c>
      <c r="L551" s="8">
        <f>IF(C551&lt;&gt;"","https://api.qrserver.com/v1/create-qr-code/?size=200x200&amp;data="&amp;ENCODEURL("https://wa.me/507"&amp;REGEXREPLACE(C551,"[^0-9]","")&amp;"?text="&amp;ENCODEURL("Ya llegue. Codigo: "&amp;A551&amp;". Ubicacion: "&amp;"https://www.google.com/maps/search/?api=1&amp;query="&amp;SUBSTITUTE(F551," ",""))),"")</f>
        <v/>
      </c>
      <c r="M551" s="8">
        <f>IF(B551&lt;&gt;"",TODAY(),"")</f>
        <v/>
      </c>
      <c r="N551" s="8">
        <f>IF(F551&lt;&gt;"",IFERROR(IF(AND(REGEXMATCH(SUBSTITUTE(TRIM(F551)," ",""),"^-?\d+(\.\d+)?,-?\d+(\.\d+)?$"),VALUE(REGEXEXTRACT(SUBSTITUTE(TRIM(F551)," ",""),"^-?\d+(\.\d+)?"))&gt;=-90,VALUE(REGEXEXTRACT(SUBSTITUTE(TRIM(F551)," ",""),"^-?\d+(\.\d+)?"))&lt;=90,VALUE(REGEXEXTRACT(SUBSTITUTE(TRIM(F551)," ",""),"-?\d+(\.\d+)?$"))&gt;=-180,VALUE(REGEXEXTRACT(SUBSTITUTE(TRIM(F551)," ",""),"-?\d+(\.\d+)?$"))&lt;=180),"OK","REVISAR"),"REVISAR"),"")</f>
        <v/>
      </c>
      <c r="O551">
        <f>IF(A551&lt;&gt;"","https://direcciones507.github.io/direcciones507/panel.html?codigo="&amp;A551&amp;"&amp;nombre="&amp;ENCODEURL(B551)&amp;"&amp;telefono="&amp;SUBSTITUTE(C551,"-","")&amp;"&amp;referencia="&amp;ENCODEURL(E551)&amp;"&amp;lat="&amp;IZQUIERDA(SUBSTITUTE(F551," ",""),ENCONTRAR(",",SUBSTITUTE(F551," ",""))-1)&amp;"&amp;lng="&amp;DERECHA(SUBSTITUTE(F551," ",""),LARGO(SUBSTITUTE(F551," ",""))-ENCONTRAR(",",SUBSTITUTE(F551," ",""))),"")</f>
        <v/>
      </c>
    </row>
    <row r="552" ht="15.75" customHeight="1" s="10">
      <c r="A552" s="8">
        <f>CONCAT("AD507-",TEXT(ROW()-2,"0000"))</f>
        <v/>
      </c>
      <c r="C552" s="8" t="n"/>
      <c r="F552" s="8" t="n"/>
      <c r="G552" s="8">
        <f>IF(F552&lt;&gt;"",HYPERLINK("https://www.google.com/maps/search/?api=1&amp;query="&amp;SUBSTITUTE(F552," ",""),"🗺 Google Maps"),"")</f>
        <v/>
      </c>
      <c r="H552" s="8">
        <f>IF(F552&lt;&gt;"",HYPERLINK("https://waze.com/ul?ll="&amp;SUBSTITUTE(F552," ","")&amp;"&amp;navigate=yes","🚗 Waze"),"")</f>
        <v/>
      </c>
      <c r="I552" s="8">
        <f>IF(F552&lt;&gt;"",HYPERLINK("https://m.uber.com/ul/?action=setPickup&amp;pickup=my_location&amp;dropoff[latitude]="&amp;LEFT(SUBSTITUTE(F552," ",""),FIND(",",SUBSTITUTE(F552," ",""))-1)&amp;"&amp;dropoff[longitude]="&amp;MID(SUBSTITUTE(F552," ",""),FIND(",",SUBSTITUTE(F552," ",""))+1,99),"🚕 Uber"),"")</f>
        <v/>
      </c>
      <c r="J552" s="8">
        <f>IF(F552&lt;&gt;"","https://api.qrserver.com/v1/create-qr-code/?size=200x200&amp;data="&amp;ENCODEURL("https://www.google.com/maps/search/?api=1&amp;query="&amp;SUBSTITUTE(F552," ","")),"")</f>
        <v/>
      </c>
      <c r="K552" s="8">
        <f>IF(C552&lt;&gt;"",HYPERLINK("https://wa.me/507"&amp;REGEXREPLACE(C552,"[^0-9]","")&amp;"?text="&amp;ENCODEURL("Ya llegue. Codigo: "&amp;A552&amp;". Ubicacion: "&amp;"https://www.google.com/maps/search/?api=1&amp;query="&amp;SUBSTITUTE(F552," ","")),"📲 Avisar al cliente"),"")</f>
        <v/>
      </c>
      <c r="L552" s="8">
        <f>IF(C552&lt;&gt;"","https://api.qrserver.com/v1/create-qr-code/?size=200x200&amp;data="&amp;ENCODEURL("https://wa.me/507"&amp;REGEXREPLACE(C552,"[^0-9]","")&amp;"?text="&amp;ENCODEURL("Ya llegue. Codigo: "&amp;A552&amp;". Ubicacion: "&amp;"https://www.google.com/maps/search/?api=1&amp;query="&amp;SUBSTITUTE(F552," ",""))),"")</f>
        <v/>
      </c>
      <c r="M552" s="8">
        <f>IF(B552&lt;&gt;"",TODAY(),"")</f>
        <v/>
      </c>
      <c r="N552" s="8">
        <f>IF(F552&lt;&gt;"",IFERROR(IF(AND(REGEXMATCH(SUBSTITUTE(TRIM(F552)," ",""),"^-?\d+(\.\d+)?,-?\d+(\.\d+)?$"),VALUE(REGEXEXTRACT(SUBSTITUTE(TRIM(F552)," ",""),"^-?\d+(\.\d+)?"))&gt;=-90,VALUE(REGEXEXTRACT(SUBSTITUTE(TRIM(F552)," ",""),"^-?\d+(\.\d+)?"))&lt;=90,VALUE(REGEXEXTRACT(SUBSTITUTE(TRIM(F552)," ",""),"-?\d+(\.\d+)?$"))&gt;=-180,VALUE(REGEXEXTRACT(SUBSTITUTE(TRIM(F552)," ",""),"-?\d+(\.\d+)?$"))&lt;=180),"OK","REVISAR"),"REVISAR"),"")</f>
        <v/>
      </c>
      <c r="O552">
        <f>IF(A552&lt;&gt;"","https://direcciones507.github.io/direcciones507/panel.html?codigo="&amp;A552&amp;"&amp;nombre="&amp;ENCODEURL(B552)&amp;"&amp;telefono="&amp;SUBSTITUTE(C552,"-","")&amp;"&amp;referencia="&amp;ENCODEURL(E552)&amp;"&amp;lat="&amp;IZQUIERDA(SUBSTITUTE(F552," ",""),ENCONTRAR(",",SUBSTITUTE(F552," ",""))-1)&amp;"&amp;lng="&amp;DERECHA(SUBSTITUTE(F552," ",""),LARGO(SUBSTITUTE(F552," ",""))-ENCONTRAR(",",SUBSTITUTE(F552," ",""))),"")</f>
        <v/>
      </c>
    </row>
    <row r="553" ht="15.75" customHeight="1" s="10">
      <c r="A553" s="8">
        <f>CONCAT("AD507-",TEXT(ROW()-2,"0000"))</f>
        <v/>
      </c>
      <c r="C553" s="8" t="n"/>
      <c r="F553" s="8" t="n"/>
      <c r="G553" s="8">
        <f>IF(F553&lt;&gt;"",HYPERLINK("https://www.google.com/maps/search/?api=1&amp;query="&amp;SUBSTITUTE(F553," ",""),"🗺 Google Maps"),"")</f>
        <v/>
      </c>
      <c r="H553" s="8">
        <f>IF(F553&lt;&gt;"",HYPERLINK("https://waze.com/ul?ll="&amp;SUBSTITUTE(F553," ","")&amp;"&amp;navigate=yes","🚗 Waze"),"")</f>
        <v/>
      </c>
      <c r="I553" s="8">
        <f>IF(F553&lt;&gt;"",HYPERLINK("https://m.uber.com/ul/?action=setPickup&amp;pickup=my_location&amp;dropoff[latitude]="&amp;LEFT(SUBSTITUTE(F553," ",""),FIND(",",SUBSTITUTE(F553," ",""))-1)&amp;"&amp;dropoff[longitude]="&amp;MID(SUBSTITUTE(F553," ",""),FIND(",",SUBSTITUTE(F553," ",""))+1,99),"🚕 Uber"),"")</f>
        <v/>
      </c>
      <c r="J553" s="8">
        <f>IF(F553&lt;&gt;"","https://api.qrserver.com/v1/create-qr-code/?size=200x200&amp;data="&amp;ENCODEURL("https://www.google.com/maps/search/?api=1&amp;query="&amp;SUBSTITUTE(F553," ","")),"")</f>
        <v/>
      </c>
      <c r="K553" s="8">
        <f>IF(C553&lt;&gt;"",HYPERLINK("https://wa.me/507"&amp;REGEXREPLACE(C553,"[^0-9]","")&amp;"?text="&amp;ENCODEURL("Ya llegue. Codigo: "&amp;A553&amp;". Ubicacion: "&amp;"https://www.google.com/maps/search/?api=1&amp;query="&amp;SUBSTITUTE(F553," ","")),"📲 Avisar al cliente"),"")</f>
        <v/>
      </c>
      <c r="L553" s="8">
        <f>IF(C553&lt;&gt;"","https://api.qrserver.com/v1/create-qr-code/?size=200x200&amp;data="&amp;ENCODEURL("https://wa.me/507"&amp;REGEXREPLACE(C553,"[^0-9]","")&amp;"?text="&amp;ENCODEURL("Ya llegue. Codigo: "&amp;A553&amp;". Ubicacion: "&amp;"https://www.google.com/maps/search/?api=1&amp;query="&amp;SUBSTITUTE(F553," ",""))),"")</f>
        <v/>
      </c>
      <c r="M553" s="8">
        <f>IF(B553&lt;&gt;"",TODAY(),"")</f>
        <v/>
      </c>
      <c r="N553" s="8">
        <f>IF(F553&lt;&gt;"",IFERROR(IF(AND(REGEXMATCH(SUBSTITUTE(TRIM(F553)," ",""),"^-?\d+(\.\d+)?,-?\d+(\.\d+)?$"),VALUE(REGEXEXTRACT(SUBSTITUTE(TRIM(F553)," ",""),"^-?\d+(\.\d+)?"))&gt;=-90,VALUE(REGEXEXTRACT(SUBSTITUTE(TRIM(F553)," ",""),"^-?\d+(\.\d+)?"))&lt;=90,VALUE(REGEXEXTRACT(SUBSTITUTE(TRIM(F553)," ",""),"-?\d+(\.\d+)?$"))&gt;=-180,VALUE(REGEXEXTRACT(SUBSTITUTE(TRIM(F553)," ",""),"-?\d+(\.\d+)?$"))&lt;=180),"OK","REVISAR"),"REVISAR"),"")</f>
        <v/>
      </c>
      <c r="O553">
        <f>IF(A553&lt;&gt;"","https://direcciones507.github.io/direcciones507/panel.html?codigo="&amp;A553&amp;"&amp;nombre="&amp;ENCODEURL(B553)&amp;"&amp;telefono="&amp;SUBSTITUTE(C553,"-","")&amp;"&amp;referencia="&amp;ENCODEURL(E553)&amp;"&amp;lat="&amp;IZQUIERDA(SUBSTITUTE(F553," ",""),ENCONTRAR(",",SUBSTITUTE(F553," ",""))-1)&amp;"&amp;lng="&amp;DERECHA(SUBSTITUTE(F553," ",""),LARGO(SUBSTITUTE(F553," ",""))-ENCONTRAR(",",SUBSTITUTE(F553," ",""))),"")</f>
        <v/>
      </c>
    </row>
    <row r="554" ht="15.75" customHeight="1" s="10">
      <c r="A554" s="8">
        <f>CONCAT("AD507-",TEXT(ROW()-2,"0000"))</f>
        <v/>
      </c>
      <c r="C554" s="8" t="n"/>
      <c r="F554" s="8" t="n"/>
      <c r="G554" s="8">
        <f>IF(F554&lt;&gt;"",HYPERLINK("https://www.google.com/maps/search/?api=1&amp;query="&amp;SUBSTITUTE(F554," ",""),"🗺 Google Maps"),"")</f>
        <v/>
      </c>
      <c r="H554" s="8">
        <f>IF(F554&lt;&gt;"",HYPERLINK("https://waze.com/ul?ll="&amp;SUBSTITUTE(F554," ","")&amp;"&amp;navigate=yes","🚗 Waze"),"")</f>
        <v/>
      </c>
      <c r="I554" s="8">
        <f>IF(F554&lt;&gt;"",HYPERLINK("https://m.uber.com/ul/?action=setPickup&amp;pickup=my_location&amp;dropoff[latitude]="&amp;LEFT(SUBSTITUTE(F554," ",""),FIND(",",SUBSTITUTE(F554," ",""))-1)&amp;"&amp;dropoff[longitude]="&amp;MID(SUBSTITUTE(F554," ",""),FIND(",",SUBSTITUTE(F554," ",""))+1,99),"🚕 Uber"),"")</f>
        <v/>
      </c>
      <c r="J554" s="8">
        <f>IF(F554&lt;&gt;"","https://api.qrserver.com/v1/create-qr-code/?size=200x200&amp;data="&amp;ENCODEURL("https://www.google.com/maps/search/?api=1&amp;query="&amp;SUBSTITUTE(F554," ","")),"")</f>
        <v/>
      </c>
      <c r="K554" s="8">
        <f>IF(C554&lt;&gt;"",HYPERLINK("https://wa.me/507"&amp;REGEXREPLACE(C554,"[^0-9]","")&amp;"?text="&amp;ENCODEURL("Ya llegue. Codigo: "&amp;A554&amp;". Ubicacion: "&amp;"https://www.google.com/maps/search/?api=1&amp;query="&amp;SUBSTITUTE(F554," ","")),"📲 Avisar al cliente"),"")</f>
        <v/>
      </c>
      <c r="L554" s="8">
        <f>IF(C554&lt;&gt;"","https://api.qrserver.com/v1/create-qr-code/?size=200x200&amp;data="&amp;ENCODEURL("https://wa.me/507"&amp;REGEXREPLACE(C554,"[^0-9]","")&amp;"?text="&amp;ENCODEURL("Ya llegue. Codigo: "&amp;A554&amp;". Ubicacion: "&amp;"https://www.google.com/maps/search/?api=1&amp;query="&amp;SUBSTITUTE(F554," ",""))),"")</f>
        <v/>
      </c>
      <c r="M554" s="8">
        <f>IF(B554&lt;&gt;"",TODAY(),"")</f>
        <v/>
      </c>
      <c r="N554" s="8">
        <f>IF(F554&lt;&gt;"",IFERROR(IF(AND(REGEXMATCH(SUBSTITUTE(TRIM(F554)," ",""),"^-?\d+(\.\d+)?,-?\d+(\.\d+)?$"),VALUE(REGEXEXTRACT(SUBSTITUTE(TRIM(F554)," ",""),"^-?\d+(\.\d+)?"))&gt;=-90,VALUE(REGEXEXTRACT(SUBSTITUTE(TRIM(F554)," ",""),"^-?\d+(\.\d+)?"))&lt;=90,VALUE(REGEXEXTRACT(SUBSTITUTE(TRIM(F554)," ",""),"-?\d+(\.\d+)?$"))&gt;=-180,VALUE(REGEXEXTRACT(SUBSTITUTE(TRIM(F554)," ",""),"-?\d+(\.\d+)?$"))&lt;=180),"OK","REVISAR"),"REVISAR"),"")</f>
        <v/>
      </c>
      <c r="O554">
        <f>IF(A554&lt;&gt;"","https://direcciones507.github.io/direcciones507/panel.html?codigo="&amp;A554&amp;"&amp;nombre="&amp;ENCODEURL(B554)&amp;"&amp;telefono="&amp;SUBSTITUTE(C554,"-","")&amp;"&amp;referencia="&amp;ENCODEURL(E554)&amp;"&amp;lat="&amp;IZQUIERDA(SUBSTITUTE(F554," ",""),ENCONTRAR(",",SUBSTITUTE(F554," ",""))-1)&amp;"&amp;lng="&amp;DERECHA(SUBSTITUTE(F554," ",""),LARGO(SUBSTITUTE(F554," ",""))-ENCONTRAR(",",SUBSTITUTE(F554," ",""))),"")</f>
        <v/>
      </c>
    </row>
    <row r="555" ht="15.75" customHeight="1" s="10">
      <c r="A555" s="8">
        <f>CONCAT("AD507-",TEXT(ROW()-2,"0000"))</f>
        <v/>
      </c>
      <c r="C555" s="8" t="n"/>
      <c r="F555" s="8" t="n"/>
      <c r="G555" s="8">
        <f>IF(F555&lt;&gt;"",HYPERLINK("https://www.google.com/maps/search/?api=1&amp;query="&amp;SUBSTITUTE(F555," ",""),"🗺 Google Maps"),"")</f>
        <v/>
      </c>
      <c r="H555" s="8">
        <f>IF(F555&lt;&gt;"",HYPERLINK("https://waze.com/ul?ll="&amp;SUBSTITUTE(F555," ","")&amp;"&amp;navigate=yes","🚗 Waze"),"")</f>
        <v/>
      </c>
      <c r="I555" s="8">
        <f>IF(F555&lt;&gt;"",HYPERLINK("https://m.uber.com/ul/?action=setPickup&amp;pickup=my_location&amp;dropoff[latitude]="&amp;LEFT(SUBSTITUTE(F555," ",""),FIND(",",SUBSTITUTE(F555," ",""))-1)&amp;"&amp;dropoff[longitude]="&amp;MID(SUBSTITUTE(F555," ",""),FIND(",",SUBSTITUTE(F555," ",""))+1,99),"🚕 Uber"),"")</f>
        <v/>
      </c>
      <c r="J555" s="8">
        <f>IF(F555&lt;&gt;"","https://api.qrserver.com/v1/create-qr-code/?size=200x200&amp;data="&amp;ENCODEURL("https://www.google.com/maps/search/?api=1&amp;query="&amp;SUBSTITUTE(F555," ","")),"")</f>
        <v/>
      </c>
      <c r="K555" s="8">
        <f>IF(C555&lt;&gt;"",HYPERLINK("https://wa.me/507"&amp;REGEXREPLACE(C555,"[^0-9]","")&amp;"?text="&amp;ENCODEURL("Ya llegue. Codigo: "&amp;A555&amp;". Ubicacion: "&amp;"https://www.google.com/maps/search/?api=1&amp;query="&amp;SUBSTITUTE(F555," ","")),"📲 Avisar al cliente"),"")</f>
        <v/>
      </c>
      <c r="L555" s="8">
        <f>IF(C555&lt;&gt;"","https://api.qrserver.com/v1/create-qr-code/?size=200x200&amp;data="&amp;ENCODEURL("https://wa.me/507"&amp;REGEXREPLACE(C555,"[^0-9]","")&amp;"?text="&amp;ENCODEURL("Ya llegue. Codigo: "&amp;A555&amp;". Ubicacion: "&amp;"https://www.google.com/maps/search/?api=1&amp;query="&amp;SUBSTITUTE(F555," ",""))),"")</f>
        <v/>
      </c>
      <c r="M555" s="8">
        <f>IF(B555&lt;&gt;"",TODAY(),"")</f>
        <v/>
      </c>
      <c r="N555" s="8">
        <f>IF(F555&lt;&gt;"",IFERROR(IF(AND(REGEXMATCH(SUBSTITUTE(TRIM(F555)," ",""),"^-?\d+(\.\d+)?,-?\d+(\.\d+)?$"),VALUE(REGEXEXTRACT(SUBSTITUTE(TRIM(F555)," ",""),"^-?\d+(\.\d+)?"))&gt;=-90,VALUE(REGEXEXTRACT(SUBSTITUTE(TRIM(F555)," ",""),"^-?\d+(\.\d+)?"))&lt;=90,VALUE(REGEXEXTRACT(SUBSTITUTE(TRIM(F555)," ",""),"-?\d+(\.\d+)?$"))&gt;=-180,VALUE(REGEXEXTRACT(SUBSTITUTE(TRIM(F555)," ",""),"-?\d+(\.\d+)?$"))&lt;=180),"OK","REVISAR"),"REVISAR"),"")</f>
        <v/>
      </c>
      <c r="O555">
        <f>IF(A555&lt;&gt;"","https://direcciones507.github.io/direcciones507/panel.html?codigo="&amp;A555&amp;"&amp;nombre="&amp;ENCODEURL(B555)&amp;"&amp;telefono="&amp;SUBSTITUTE(C555,"-","")&amp;"&amp;referencia="&amp;ENCODEURL(E555)&amp;"&amp;lat="&amp;IZQUIERDA(SUBSTITUTE(F555," ",""),ENCONTRAR(",",SUBSTITUTE(F555," ",""))-1)&amp;"&amp;lng="&amp;DERECHA(SUBSTITUTE(F555," ",""),LARGO(SUBSTITUTE(F555," ",""))-ENCONTRAR(",",SUBSTITUTE(F555," ",""))),"")</f>
        <v/>
      </c>
    </row>
    <row r="556" ht="15.75" customHeight="1" s="10">
      <c r="A556" s="8">
        <f>CONCAT("AD507-",TEXT(ROW()-2,"0000"))</f>
        <v/>
      </c>
      <c r="C556" s="8" t="n"/>
      <c r="F556" s="8" t="n"/>
      <c r="G556" s="8">
        <f>IF(F556&lt;&gt;"",HYPERLINK("https://www.google.com/maps/search/?api=1&amp;query="&amp;SUBSTITUTE(F556," ",""),"🗺 Google Maps"),"")</f>
        <v/>
      </c>
      <c r="H556" s="8">
        <f>IF(F556&lt;&gt;"",HYPERLINK("https://waze.com/ul?ll="&amp;SUBSTITUTE(F556," ","")&amp;"&amp;navigate=yes","🚗 Waze"),"")</f>
        <v/>
      </c>
      <c r="I556" s="8">
        <f>IF(F556&lt;&gt;"",HYPERLINK("https://m.uber.com/ul/?action=setPickup&amp;pickup=my_location&amp;dropoff[latitude]="&amp;LEFT(SUBSTITUTE(F556," ",""),FIND(",",SUBSTITUTE(F556," ",""))-1)&amp;"&amp;dropoff[longitude]="&amp;MID(SUBSTITUTE(F556," ",""),FIND(",",SUBSTITUTE(F556," ",""))+1,99),"🚕 Uber"),"")</f>
        <v/>
      </c>
      <c r="J556" s="8">
        <f>IF(F556&lt;&gt;"","https://api.qrserver.com/v1/create-qr-code/?size=200x200&amp;data="&amp;ENCODEURL("https://www.google.com/maps/search/?api=1&amp;query="&amp;SUBSTITUTE(F556," ","")),"")</f>
        <v/>
      </c>
      <c r="K556" s="8">
        <f>IF(C556&lt;&gt;"",HYPERLINK("https://wa.me/507"&amp;REGEXREPLACE(C556,"[^0-9]","")&amp;"?text="&amp;ENCODEURL("Ya llegue. Codigo: "&amp;A556&amp;". Ubicacion: "&amp;"https://www.google.com/maps/search/?api=1&amp;query="&amp;SUBSTITUTE(F556," ","")),"📲 Avisar al cliente"),"")</f>
        <v/>
      </c>
      <c r="L556" s="8">
        <f>IF(C556&lt;&gt;"","https://api.qrserver.com/v1/create-qr-code/?size=200x200&amp;data="&amp;ENCODEURL("https://wa.me/507"&amp;REGEXREPLACE(C556,"[^0-9]","")&amp;"?text="&amp;ENCODEURL("Ya llegue. Codigo: "&amp;A556&amp;". Ubicacion: "&amp;"https://www.google.com/maps/search/?api=1&amp;query="&amp;SUBSTITUTE(F556," ",""))),"")</f>
        <v/>
      </c>
      <c r="M556" s="8">
        <f>IF(B556&lt;&gt;"",TODAY(),"")</f>
        <v/>
      </c>
      <c r="N556" s="8">
        <f>IF(F556&lt;&gt;"",IFERROR(IF(AND(REGEXMATCH(SUBSTITUTE(TRIM(F556)," ",""),"^-?\d+(\.\d+)?,-?\d+(\.\d+)?$"),VALUE(REGEXEXTRACT(SUBSTITUTE(TRIM(F556)," ",""),"^-?\d+(\.\d+)?"))&gt;=-90,VALUE(REGEXEXTRACT(SUBSTITUTE(TRIM(F556)," ",""),"^-?\d+(\.\d+)?"))&lt;=90,VALUE(REGEXEXTRACT(SUBSTITUTE(TRIM(F556)," ",""),"-?\d+(\.\d+)?$"))&gt;=-180,VALUE(REGEXEXTRACT(SUBSTITUTE(TRIM(F556)," ",""),"-?\d+(\.\d+)?$"))&lt;=180),"OK","REVISAR"),"REVISAR"),"")</f>
        <v/>
      </c>
      <c r="O556">
        <f>IF(A556&lt;&gt;"","https://direcciones507.github.io/direcciones507/panel.html?codigo="&amp;A556&amp;"&amp;nombre="&amp;ENCODEURL(B556)&amp;"&amp;telefono="&amp;SUBSTITUTE(C556,"-","")&amp;"&amp;referencia="&amp;ENCODEURL(E556)&amp;"&amp;lat="&amp;IZQUIERDA(SUBSTITUTE(F556," ",""),ENCONTRAR(",",SUBSTITUTE(F556," ",""))-1)&amp;"&amp;lng="&amp;DERECHA(SUBSTITUTE(F556," ",""),LARGO(SUBSTITUTE(F556," ",""))-ENCONTRAR(",",SUBSTITUTE(F556," ",""))),"")</f>
        <v/>
      </c>
    </row>
    <row r="557" ht="15.75" customHeight="1" s="10">
      <c r="A557" s="8">
        <f>CONCAT("AD507-",TEXT(ROW()-2,"0000"))</f>
        <v/>
      </c>
      <c r="C557" s="8" t="n"/>
      <c r="F557" s="8" t="n"/>
      <c r="G557" s="8">
        <f>IF(F557&lt;&gt;"",HYPERLINK("https://www.google.com/maps/search/?api=1&amp;query="&amp;SUBSTITUTE(F557," ",""),"🗺 Google Maps"),"")</f>
        <v/>
      </c>
      <c r="H557" s="8">
        <f>IF(F557&lt;&gt;"",HYPERLINK("https://waze.com/ul?ll="&amp;SUBSTITUTE(F557," ","")&amp;"&amp;navigate=yes","🚗 Waze"),"")</f>
        <v/>
      </c>
      <c r="I557" s="8">
        <f>IF(F557&lt;&gt;"",HYPERLINK("https://m.uber.com/ul/?action=setPickup&amp;pickup=my_location&amp;dropoff[latitude]="&amp;LEFT(SUBSTITUTE(F557," ",""),FIND(",",SUBSTITUTE(F557," ",""))-1)&amp;"&amp;dropoff[longitude]="&amp;MID(SUBSTITUTE(F557," ",""),FIND(",",SUBSTITUTE(F557," ",""))+1,99),"🚕 Uber"),"")</f>
        <v/>
      </c>
      <c r="J557" s="8">
        <f>IF(F557&lt;&gt;"","https://api.qrserver.com/v1/create-qr-code/?size=200x200&amp;data="&amp;ENCODEURL("https://www.google.com/maps/search/?api=1&amp;query="&amp;SUBSTITUTE(F557," ","")),"")</f>
        <v/>
      </c>
      <c r="K557" s="8">
        <f>IF(C557&lt;&gt;"",HYPERLINK("https://wa.me/507"&amp;REGEXREPLACE(C557,"[^0-9]","")&amp;"?text="&amp;ENCODEURL("Ya llegue. Codigo: "&amp;A557&amp;". Ubicacion: "&amp;"https://www.google.com/maps/search/?api=1&amp;query="&amp;SUBSTITUTE(F557," ","")),"📲 Avisar al cliente"),"")</f>
        <v/>
      </c>
      <c r="L557" s="8">
        <f>IF(C557&lt;&gt;"","https://api.qrserver.com/v1/create-qr-code/?size=200x200&amp;data="&amp;ENCODEURL("https://wa.me/507"&amp;REGEXREPLACE(C557,"[^0-9]","")&amp;"?text="&amp;ENCODEURL("Ya llegue. Codigo: "&amp;A557&amp;". Ubicacion: "&amp;"https://www.google.com/maps/search/?api=1&amp;query="&amp;SUBSTITUTE(F557," ",""))),"")</f>
        <v/>
      </c>
      <c r="M557" s="8">
        <f>IF(B557&lt;&gt;"",TODAY(),"")</f>
        <v/>
      </c>
      <c r="N557" s="8">
        <f>IF(F557&lt;&gt;"",IFERROR(IF(AND(REGEXMATCH(SUBSTITUTE(TRIM(F557)," ",""),"^-?\d+(\.\d+)?,-?\d+(\.\d+)?$"),VALUE(REGEXEXTRACT(SUBSTITUTE(TRIM(F557)," ",""),"^-?\d+(\.\d+)?"))&gt;=-90,VALUE(REGEXEXTRACT(SUBSTITUTE(TRIM(F557)," ",""),"^-?\d+(\.\d+)?"))&lt;=90,VALUE(REGEXEXTRACT(SUBSTITUTE(TRIM(F557)," ",""),"-?\d+(\.\d+)?$"))&gt;=-180,VALUE(REGEXEXTRACT(SUBSTITUTE(TRIM(F557)," ",""),"-?\d+(\.\d+)?$"))&lt;=180),"OK","REVISAR"),"REVISAR"),"")</f>
        <v/>
      </c>
      <c r="O557">
        <f>IF(A557&lt;&gt;"","https://direcciones507.github.io/direcciones507/panel.html?codigo="&amp;A557&amp;"&amp;nombre="&amp;ENCODEURL(B557)&amp;"&amp;telefono="&amp;SUBSTITUTE(C557,"-","")&amp;"&amp;referencia="&amp;ENCODEURL(E557)&amp;"&amp;lat="&amp;IZQUIERDA(SUBSTITUTE(F557," ",""),ENCONTRAR(",",SUBSTITUTE(F557," ",""))-1)&amp;"&amp;lng="&amp;DERECHA(SUBSTITUTE(F557," ",""),LARGO(SUBSTITUTE(F557," ",""))-ENCONTRAR(",",SUBSTITUTE(F557," ",""))),"")</f>
        <v/>
      </c>
    </row>
    <row r="558" ht="15.75" customHeight="1" s="10">
      <c r="A558" s="8">
        <f>CONCAT("AD507-",TEXT(ROW()-2,"0000"))</f>
        <v/>
      </c>
      <c r="C558" s="8" t="n"/>
      <c r="F558" s="8" t="n"/>
      <c r="G558" s="8">
        <f>IF(F558&lt;&gt;"",HYPERLINK("https://www.google.com/maps/search/?api=1&amp;query="&amp;SUBSTITUTE(F558," ",""),"🗺 Google Maps"),"")</f>
        <v/>
      </c>
      <c r="H558" s="8">
        <f>IF(F558&lt;&gt;"",HYPERLINK("https://waze.com/ul?ll="&amp;SUBSTITUTE(F558," ","")&amp;"&amp;navigate=yes","🚗 Waze"),"")</f>
        <v/>
      </c>
      <c r="I558" s="8">
        <f>IF(F558&lt;&gt;"",HYPERLINK("https://m.uber.com/ul/?action=setPickup&amp;pickup=my_location&amp;dropoff[latitude]="&amp;LEFT(SUBSTITUTE(F558," ",""),FIND(",",SUBSTITUTE(F558," ",""))-1)&amp;"&amp;dropoff[longitude]="&amp;MID(SUBSTITUTE(F558," ",""),FIND(",",SUBSTITUTE(F558," ",""))+1,99),"🚕 Uber"),"")</f>
        <v/>
      </c>
      <c r="J558" s="8">
        <f>IF(F558&lt;&gt;"","https://api.qrserver.com/v1/create-qr-code/?size=200x200&amp;data="&amp;ENCODEURL("https://www.google.com/maps/search/?api=1&amp;query="&amp;SUBSTITUTE(F558," ","")),"")</f>
        <v/>
      </c>
      <c r="K558" s="8">
        <f>IF(C558&lt;&gt;"",HYPERLINK("https://wa.me/507"&amp;REGEXREPLACE(C558,"[^0-9]","")&amp;"?text="&amp;ENCODEURL("Ya llegue. Codigo: "&amp;A558&amp;". Ubicacion: "&amp;"https://www.google.com/maps/search/?api=1&amp;query="&amp;SUBSTITUTE(F558," ","")),"📲 Avisar al cliente"),"")</f>
        <v/>
      </c>
      <c r="L558" s="8">
        <f>IF(C558&lt;&gt;"","https://api.qrserver.com/v1/create-qr-code/?size=200x200&amp;data="&amp;ENCODEURL("https://wa.me/507"&amp;REGEXREPLACE(C558,"[^0-9]","")&amp;"?text="&amp;ENCODEURL("Ya llegue. Codigo: "&amp;A558&amp;". Ubicacion: "&amp;"https://www.google.com/maps/search/?api=1&amp;query="&amp;SUBSTITUTE(F558," ",""))),"")</f>
        <v/>
      </c>
      <c r="M558" s="8">
        <f>IF(B558&lt;&gt;"",TODAY(),"")</f>
        <v/>
      </c>
      <c r="N558" s="8">
        <f>IF(F558&lt;&gt;"",IFERROR(IF(AND(REGEXMATCH(SUBSTITUTE(TRIM(F558)," ",""),"^-?\d+(\.\d+)?,-?\d+(\.\d+)?$"),VALUE(REGEXEXTRACT(SUBSTITUTE(TRIM(F558)," ",""),"^-?\d+(\.\d+)?"))&gt;=-90,VALUE(REGEXEXTRACT(SUBSTITUTE(TRIM(F558)," ",""),"^-?\d+(\.\d+)?"))&lt;=90,VALUE(REGEXEXTRACT(SUBSTITUTE(TRIM(F558)," ",""),"-?\d+(\.\d+)?$"))&gt;=-180,VALUE(REGEXEXTRACT(SUBSTITUTE(TRIM(F558)," ",""),"-?\d+(\.\d+)?$"))&lt;=180),"OK","REVISAR"),"REVISAR"),"")</f>
        <v/>
      </c>
      <c r="O558">
        <f>IF(A558&lt;&gt;"","https://direcciones507.github.io/direcciones507/panel.html?codigo="&amp;A558&amp;"&amp;nombre="&amp;ENCODEURL(B558)&amp;"&amp;telefono="&amp;SUBSTITUTE(C558,"-","")&amp;"&amp;referencia="&amp;ENCODEURL(E558)&amp;"&amp;lat="&amp;IZQUIERDA(SUBSTITUTE(F558," ",""),ENCONTRAR(",",SUBSTITUTE(F558," ",""))-1)&amp;"&amp;lng="&amp;DERECHA(SUBSTITUTE(F558," ",""),LARGO(SUBSTITUTE(F558," ",""))-ENCONTRAR(",",SUBSTITUTE(F558," ",""))),"")</f>
        <v/>
      </c>
    </row>
    <row r="559" ht="15.75" customHeight="1" s="10">
      <c r="A559" s="8">
        <f>CONCAT("AD507-",TEXT(ROW()-2,"0000"))</f>
        <v/>
      </c>
      <c r="C559" s="8" t="n"/>
      <c r="F559" s="8" t="n"/>
      <c r="G559" s="8">
        <f>IF(F559&lt;&gt;"",HYPERLINK("https://www.google.com/maps/search/?api=1&amp;query="&amp;SUBSTITUTE(F559," ",""),"🗺 Google Maps"),"")</f>
        <v/>
      </c>
      <c r="H559" s="8">
        <f>IF(F559&lt;&gt;"",HYPERLINK("https://waze.com/ul?ll="&amp;SUBSTITUTE(F559," ","")&amp;"&amp;navigate=yes","🚗 Waze"),"")</f>
        <v/>
      </c>
      <c r="I559" s="8">
        <f>IF(F559&lt;&gt;"",HYPERLINK("https://m.uber.com/ul/?action=setPickup&amp;pickup=my_location&amp;dropoff[latitude]="&amp;LEFT(SUBSTITUTE(F559," ",""),FIND(",",SUBSTITUTE(F559," ",""))-1)&amp;"&amp;dropoff[longitude]="&amp;MID(SUBSTITUTE(F559," ",""),FIND(",",SUBSTITUTE(F559," ",""))+1,99),"🚕 Uber"),"")</f>
        <v/>
      </c>
      <c r="J559" s="8">
        <f>IF(F559&lt;&gt;"","https://api.qrserver.com/v1/create-qr-code/?size=200x200&amp;data="&amp;ENCODEURL("https://www.google.com/maps/search/?api=1&amp;query="&amp;SUBSTITUTE(F559," ","")),"")</f>
        <v/>
      </c>
      <c r="K559" s="8">
        <f>IF(C559&lt;&gt;"",HYPERLINK("https://wa.me/507"&amp;REGEXREPLACE(C559,"[^0-9]","")&amp;"?text="&amp;ENCODEURL("Ya llegue. Codigo: "&amp;A559&amp;". Ubicacion: "&amp;"https://www.google.com/maps/search/?api=1&amp;query="&amp;SUBSTITUTE(F559," ","")),"📲 Avisar al cliente"),"")</f>
        <v/>
      </c>
      <c r="L559" s="8">
        <f>IF(C559&lt;&gt;"","https://api.qrserver.com/v1/create-qr-code/?size=200x200&amp;data="&amp;ENCODEURL("https://wa.me/507"&amp;REGEXREPLACE(C559,"[^0-9]","")&amp;"?text="&amp;ENCODEURL("Ya llegue. Codigo: "&amp;A559&amp;". Ubicacion: "&amp;"https://www.google.com/maps/search/?api=1&amp;query="&amp;SUBSTITUTE(F559," ",""))),"")</f>
        <v/>
      </c>
      <c r="M559" s="8">
        <f>IF(B559&lt;&gt;"",TODAY(),"")</f>
        <v/>
      </c>
      <c r="N559" s="8">
        <f>IF(F559&lt;&gt;"",IFERROR(IF(AND(REGEXMATCH(SUBSTITUTE(TRIM(F559)," ",""),"^-?\d+(\.\d+)?,-?\d+(\.\d+)?$"),VALUE(REGEXEXTRACT(SUBSTITUTE(TRIM(F559)," ",""),"^-?\d+(\.\d+)?"))&gt;=-90,VALUE(REGEXEXTRACT(SUBSTITUTE(TRIM(F559)," ",""),"^-?\d+(\.\d+)?"))&lt;=90,VALUE(REGEXEXTRACT(SUBSTITUTE(TRIM(F559)," ",""),"-?\d+(\.\d+)?$"))&gt;=-180,VALUE(REGEXEXTRACT(SUBSTITUTE(TRIM(F559)," ",""),"-?\d+(\.\d+)?$"))&lt;=180),"OK","REVISAR"),"REVISAR"),"")</f>
        <v/>
      </c>
      <c r="O559">
        <f>IF(A559&lt;&gt;"","https://direcciones507.github.io/direcciones507/panel.html?codigo="&amp;A559&amp;"&amp;nombre="&amp;ENCODEURL(B559)&amp;"&amp;telefono="&amp;SUBSTITUTE(C559,"-","")&amp;"&amp;referencia="&amp;ENCODEURL(E559)&amp;"&amp;lat="&amp;IZQUIERDA(SUBSTITUTE(F559," ",""),ENCONTRAR(",",SUBSTITUTE(F559," ",""))-1)&amp;"&amp;lng="&amp;DERECHA(SUBSTITUTE(F559," ",""),LARGO(SUBSTITUTE(F559," ",""))-ENCONTRAR(",",SUBSTITUTE(F559," ",""))),"")</f>
        <v/>
      </c>
    </row>
    <row r="560" ht="15.75" customHeight="1" s="10">
      <c r="A560" s="8">
        <f>CONCAT("AD507-",TEXT(ROW()-2,"0000"))</f>
        <v/>
      </c>
      <c r="C560" s="8" t="n"/>
      <c r="F560" s="8" t="n"/>
      <c r="G560" s="8">
        <f>IF(F560&lt;&gt;"",HYPERLINK("https://www.google.com/maps/search/?api=1&amp;query="&amp;SUBSTITUTE(F560," ",""),"🗺 Google Maps"),"")</f>
        <v/>
      </c>
      <c r="H560" s="8">
        <f>IF(F560&lt;&gt;"",HYPERLINK("https://waze.com/ul?ll="&amp;SUBSTITUTE(F560," ","")&amp;"&amp;navigate=yes","🚗 Waze"),"")</f>
        <v/>
      </c>
      <c r="I560" s="8">
        <f>IF(F560&lt;&gt;"",HYPERLINK("https://m.uber.com/ul/?action=setPickup&amp;pickup=my_location&amp;dropoff[latitude]="&amp;LEFT(SUBSTITUTE(F560," ",""),FIND(",",SUBSTITUTE(F560," ",""))-1)&amp;"&amp;dropoff[longitude]="&amp;MID(SUBSTITUTE(F560," ",""),FIND(",",SUBSTITUTE(F560," ",""))+1,99),"🚕 Uber"),"")</f>
        <v/>
      </c>
      <c r="J560" s="8">
        <f>IF(F560&lt;&gt;"","https://api.qrserver.com/v1/create-qr-code/?size=200x200&amp;data="&amp;ENCODEURL("https://www.google.com/maps/search/?api=1&amp;query="&amp;SUBSTITUTE(F560," ","")),"")</f>
        <v/>
      </c>
      <c r="K560" s="8">
        <f>IF(C560&lt;&gt;"",HYPERLINK("https://wa.me/507"&amp;REGEXREPLACE(C560,"[^0-9]","")&amp;"?text="&amp;ENCODEURL("Ya llegue. Codigo: "&amp;A560&amp;". Ubicacion: "&amp;"https://www.google.com/maps/search/?api=1&amp;query="&amp;SUBSTITUTE(F560," ","")),"📲 Avisar al cliente"),"")</f>
        <v/>
      </c>
      <c r="L560" s="8">
        <f>IF(C560&lt;&gt;"","https://api.qrserver.com/v1/create-qr-code/?size=200x200&amp;data="&amp;ENCODEURL("https://wa.me/507"&amp;REGEXREPLACE(C560,"[^0-9]","")&amp;"?text="&amp;ENCODEURL("Ya llegue. Codigo: "&amp;A560&amp;". Ubicacion: "&amp;"https://www.google.com/maps/search/?api=1&amp;query="&amp;SUBSTITUTE(F560," ",""))),"")</f>
        <v/>
      </c>
      <c r="M560" s="8">
        <f>IF(B560&lt;&gt;"",TODAY(),"")</f>
        <v/>
      </c>
      <c r="N560" s="8">
        <f>IF(F560&lt;&gt;"",IFERROR(IF(AND(REGEXMATCH(SUBSTITUTE(TRIM(F560)," ",""),"^-?\d+(\.\d+)?,-?\d+(\.\d+)?$"),VALUE(REGEXEXTRACT(SUBSTITUTE(TRIM(F560)," ",""),"^-?\d+(\.\d+)?"))&gt;=-90,VALUE(REGEXEXTRACT(SUBSTITUTE(TRIM(F560)," ",""),"^-?\d+(\.\d+)?"))&lt;=90,VALUE(REGEXEXTRACT(SUBSTITUTE(TRIM(F560)," ",""),"-?\d+(\.\d+)?$"))&gt;=-180,VALUE(REGEXEXTRACT(SUBSTITUTE(TRIM(F560)," ",""),"-?\d+(\.\d+)?$"))&lt;=180),"OK","REVISAR"),"REVISAR"),"")</f>
        <v/>
      </c>
      <c r="O560">
        <f>IF(A560&lt;&gt;"","https://direcciones507.github.io/direcciones507/panel.html?codigo="&amp;A560&amp;"&amp;nombre="&amp;ENCODEURL(B560)&amp;"&amp;telefono="&amp;SUBSTITUTE(C560,"-","")&amp;"&amp;referencia="&amp;ENCODEURL(E560)&amp;"&amp;lat="&amp;IZQUIERDA(SUBSTITUTE(F560," ",""),ENCONTRAR(",",SUBSTITUTE(F560," ",""))-1)&amp;"&amp;lng="&amp;DERECHA(SUBSTITUTE(F560," ",""),LARGO(SUBSTITUTE(F560," ",""))-ENCONTRAR(",",SUBSTITUTE(F560," ",""))),"")</f>
        <v/>
      </c>
    </row>
    <row r="561" ht="15.75" customHeight="1" s="10">
      <c r="A561" s="8">
        <f>CONCAT("AD507-",TEXT(ROW()-2,"0000"))</f>
        <v/>
      </c>
      <c r="C561" s="8" t="n"/>
      <c r="F561" s="8" t="n"/>
      <c r="G561" s="8">
        <f>IF(F561&lt;&gt;"",HYPERLINK("https://www.google.com/maps/search/?api=1&amp;query="&amp;SUBSTITUTE(F561," ",""),"🗺 Google Maps"),"")</f>
        <v/>
      </c>
      <c r="H561" s="8">
        <f>IF(F561&lt;&gt;"",HYPERLINK("https://waze.com/ul?ll="&amp;SUBSTITUTE(F561," ","")&amp;"&amp;navigate=yes","🚗 Waze"),"")</f>
        <v/>
      </c>
      <c r="I561" s="8">
        <f>IF(F561&lt;&gt;"",HYPERLINK("https://m.uber.com/ul/?action=setPickup&amp;pickup=my_location&amp;dropoff[latitude]="&amp;LEFT(SUBSTITUTE(F561," ",""),FIND(",",SUBSTITUTE(F561," ",""))-1)&amp;"&amp;dropoff[longitude]="&amp;MID(SUBSTITUTE(F561," ",""),FIND(",",SUBSTITUTE(F561," ",""))+1,99),"🚕 Uber"),"")</f>
        <v/>
      </c>
      <c r="J561" s="8">
        <f>IF(F561&lt;&gt;"","https://api.qrserver.com/v1/create-qr-code/?size=200x200&amp;data="&amp;ENCODEURL("https://www.google.com/maps/search/?api=1&amp;query="&amp;SUBSTITUTE(F561," ","")),"")</f>
        <v/>
      </c>
      <c r="K561" s="8">
        <f>IF(C561&lt;&gt;"",HYPERLINK("https://wa.me/507"&amp;REGEXREPLACE(C561,"[^0-9]","")&amp;"?text="&amp;ENCODEURL("Ya llegue. Codigo: "&amp;A561&amp;". Ubicacion: "&amp;"https://www.google.com/maps/search/?api=1&amp;query="&amp;SUBSTITUTE(F561," ","")),"📲 Avisar al cliente"),"")</f>
        <v/>
      </c>
      <c r="L561" s="8">
        <f>IF(C561&lt;&gt;"","https://api.qrserver.com/v1/create-qr-code/?size=200x200&amp;data="&amp;ENCODEURL("https://wa.me/507"&amp;REGEXREPLACE(C561,"[^0-9]","")&amp;"?text="&amp;ENCODEURL("Ya llegue. Codigo: "&amp;A561&amp;". Ubicacion: "&amp;"https://www.google.com/maps/search/?api=1&amp;query="&amp;SUBSTITUTE(F561," ",""))),"")</f>
        <v/>
      </c>
      <c r="M561" s="8">
        <f>IF(B561&lt;&gt;"",TODAY(),"")</f>
        <v/>
      </c>
      <c r="N561" s="8">
        <f>IF(F561&lt;&gt;"",IFERROR(IF(AND(REGEXMATCH(SUBSTITUTE(TRIM(F561)," ",""),"^-?\d+(\.\d+)?,-?\d+(\.\d+)?$"),VALUE(REGEXEXTRACT(SUBSTITUTE(TRIM(F561)," ",""),"^-?\d+(\.\d+)?"))&gt;=-90,VALUE(REGEXEXTRACT(SUBSTITUTE(TRIM(F561)," ",""),"^-?\d+(\.\d+)?"))&lt;=90,VALUE(REGEXEXTRACT(SUBSTITUTE(TRIM(F561)," ",""),"-?\d+(\.\d+)?$"))&gt;=-180,VALUE(REGEXEXTRACT(SUBSTITUTE(TRIM(F561)," ",""),"-?\d+(\.\d+)?$"))&lt;=180),"OK","REVISAR"),"REVISAR"),"")</f>
        <v/>
      </c>
      <c r="O561">
        <f>IF(A561&lt;&gt;"","https://direcciones507.github.io/direcciones507/panel.html?codigo="&amp;A561&amp;"&amp;nombre="&amp;ENCODEURL(B561)&amp;"&amp;telefono="&amp;SUBSTITUTE(C561,"-","")&amp;"&amp;referencia="&amp;ENCODEURL(E561)&amp;"&amp;lat="&amp;IZQUIERDA(SUBSTITUTE(F561," ",""),ENCONTRAR(",",SUBSTITUTE(F561," ",""))-1)&amp;"&amp;lng="&amp;DERECHA(SUBSTITUTE(F561," ",""),LARGO(SUBSTITUTE(F561," ",""))-ENCONTRAR(",",SUBSTITUTE(F561," ",""))),"")</f>
        <v/>
      </c>
    </row>
    <row r="562" ht="15.75" customHeight="1" s="10">
      <c r="A562" s="8">
        <f>CONCAT("AD507-",TEXT(ROW()-2,"0000"))</f>
        <v/>
      </c>
      <c r="C562" s="8" t="n"/>
      <c r="F562" s="8" t="n"/>
      <c r="G562" s="8">
        <f>IF(F562&lt;&gt;"",HYPERLINK("https://www.google.com/maps/search/?api=1&amp;query="&amp;SUBSTITUTE(F562," ",""),"🗺 Google Maps"),"")</f>
        <v/>
      </c>
      <c r="H562" s="8">
        <f>IF(F562&lt;&gt;"",HYPERLINK("https://waze.com/ul?ll="&amp;SUBSTITUTE(F562," ","")&amp;"&amp;navigate=yes","🚗 Waze"),"")</f>
        <v/>
      </c>
      <c r="I562" s="8">
        <f>IF(F562&lt;&gt;"",HYPERLINK("https://m.uber.com/ul/?action=setPickup&amp;pickup=my_location&amp;dropoff[latitude]="&amp;LEFT(SUBSTITUTE(F562," ",""),FIND(",",SUBSTITUTE(F562," ",""))-1)&amp;"&amp;dropoff[longitude]="&amp;MID(SUBSTITUTE(F562," ",""),FIND(",",SUBSTITUTE(F562," ",""))+1,99),"🚕 Uber"),"")</f>
        <v/>
      </c>
      <c r="J562" s="8">
        <f>IF(F562&lt;&gt;"","https://api.qrserver.com/v1/create-qr-code/?size=200x200&amp;data="&amp;ENCODEURL("https://www.google.com/maps/search/?api=1&amp;query="&amp;SUBSTITUTE(F562," ","")),"")</f>
        <v/>
      </c>
      <c r="K562" s="8">
        <f>IF(C562&lt;&gt;"",HYPERLINK("https://wa.me/507"&amp;REGEXREPLACE(C562,"[^0-9]","")&amp;"?text="&amp;ENCODEURL("Ya llegue. Codigo: "&amp;A562&amp;". Ubicacion: "&amp;"https://www.google.com/maps/search/?api=1&amp;query="&amp;SUBSTITUTE(F562," ","")),"📲 Avisar al cliente"),"")</f>
        <v/>
      </c>
      <c r="L562" s="8">
        <f>IF(C562&lt;&gt;"","https://api.qrserver.com/v1/create-qr-code/?size=200x200&amp;data="&amp;ENCODEURL("https://wa.me/507"&amp;REGEXREPLACE(C562,"[^0-9]","")&amp;"?text="&amp;ENCODEURL("Ya llegue. Codigo: "&amp;A562&amp;". Ubicacion: "&amp;"https://www.google.com/maps/search/?api=1&amp;query="&amp;SUBSTITUTE(F562," ",""))),"")</f>
        <v/>
      </c>
      <c r="M562" s="8">
        <f>IF(B562&lt;&gt;"",TODAY(),"")</f>
        <v/>
      </c>
      <c r="N562" s="8">
        <f>IF(F562&lt;&gt;"",IFERROR(IF(AND(REGEXMATCH(SUBSTITUTE(TRIM(F562)," ",""),"^-?\d+(\.\d+)?,-?\d+(\.\d+)?$"),VALUE(REGEXEXTRACT(SUBSTITUTE(TRIM(F562)," ",""),"^-?\d+(\.\d+)?"))&gt;=-90,VALUE(REGEXEXTRACT(SUBSTITUTE(TRIM(F562)," ",""),"^-?\d+(\.\d+)?"))&lt;=90,VALUE(REGEXEXTRACT(SUBSTITUTE(TRIM(F562)," ",""),"-?\d+(\.\d+)?$"))&gt;=-180,VALUE(REGEXEXTRACT(SUBSTITUTE(TRIM(F562)," ",""),"-?\d+(\.\d+)?$"))&lt;=180),"OK","REVISAR"),"REVISAR"),"")</f>
        <v/>
      </c>
      <c r="O562">
        <f>IF(A562&lt;&gt;"","https://direcciones507.github.io/direcciones507/panel.html?codigo="&amp;A562&amp;"&amp;nombre="&amp;ENCODEURL(B562)&amp;"&amp;telefono="&amp;SUBSTITUTE(C562,"-","")&amp;"&amp;referencia="&amp;ENCODEURL(E562)&amp;"&amp;lat="&amp;IZQUIERDA(SUBSTITUTE(F562," ",""),ENCONTRAR(",",SUBSTITUTE(F562," ",""))-1)&amp;"&amp;lng="&amp;DERECHA(SUBSTITUTE(F562," ",""),LARGO(SUBSTITUTE(F562," ",""))-ENCONTRAR(",",SUBSTITUTE(F562," ",""))),"")</f>
        <v/>
      </c>
    </row>
    <row r="563" ht="15.75" customHeight="1" s="10">
      <c r="A563" s="8">
        <f>CONCAT("AD507-",TEXT(ROW()-2,"0000"))</f>
        <v/>
      </c>
      <c r="C563" s="8" t="n"/>
      <c r="F563" s="8" t="n"/>
      <c r="G563" s="8">
        <f>IF(F563&lt;&gt;"",HYPERLINK("https://www.google.com/maps/search/?api=1&amp;query="&amp;SUBSTITUTE(F563," ",""),"🗺 Google Maps"),"")</f>
        <v/>
      </c>
      <c r="H563" s="8">
        <f>IF(F563&lt;&gt;"",HYPERLINK("https://waze.com/ul?ll="&amp;SUBSTITUTE(F563," ","")&amp;"&amp;navigate=yes","🚗 Waze"),"")</f>
        <v/>
      </c>
      <c r="I563" s="8">
        <f>IF(F563&lt;&gt;"",HYPERLINK("https://m.uber.com/ul/?action=setPickup&amp;pickup=my_location&amp;dropoff[latitude]="&amp;LEFT(SUBSTITUTE(F563," ",""),FIND(",",SUBSTITUTE(F563," ",""))-1)&amp;"&amp;dropoff[longitude]="&amp;MID(SUBSTITUTE(F563," ",""),FIND(",",SUBSTITUTE(F563," ",""))+1,99),"🚕 Uber"),"")</f>
        <v/>
      </c>
      <c r="J563" s="8">
        <f>IF(F563&lt;&gt;"","https://api.qrserver.com/v1/create-qr-code/?size=200x200&amp;data="&amp;ENCODEURL("https://www.google.com/maps/search/?api=1&amp;query="&amp;SUBSTITUTE(F563," ","")),"")</f>
        <v/>
      </c>
      <c r="K563" s="8">
        <f>IF(C563&lt;&gt;"",HYPERLINK("https://wa.me/507"&amp;REGEXREPLACE(C563,"[^0-9]","")&amp;"?text="&amp;ENCODEURL("Ya llegue. Codigo: "&amp;A563&amp;". Ubicacion: "&amp;"https://www.google.com/maps/search/?api=1&amp;query="&amp;SUBSTITUTE(F563," ","")),"📲 Avisar al cliente"),"")</f>
        <v/>
      </c>
      <c r="L563" s="8">
        <f>IF(C563&lt;&gt;"","https://api.qrserver.com/v1/create-qr-code/?size=200x200&amp;data="&amp;ENCODEURL("https://wa.me/507"&amp;REGEXREPLACE(C563,"[^0-9]","")&amp;"?text="&amp;ENCODEURL("Ya llegue. Codigo: "&amp;A563&amp;". Ubicacion: "&amp;"https://www.google.com/maps/search/?api=1&amp;query="&amp;SUBSTITUTE(F563," ",""))),"")</f>
        <v/>
      </c>
      <c r="M563" s="8">
        <f>IF(B563&lt;&gt;"",TODAY(),"")</f>
        <v/>
      </c>
      <c r="N563" s="8">
        <f>IF(F563&lt;&gt;"",IFERROR(IF(AND(REGEXMATCH(SUBSTITUTE(TRIM(F563)," ",""),"^-?\d+(\.\d+)?,-?\d+(\.\d+)?$"),VALUE(REGEXEXTRACT(SUBSTITUTE(TRIM(F563)," ",""),"^-?\d+(\.\d+)?"))&gt;=-90,VALUE(REGEXEXTRACT(SUBSTITUTE(TRIM(F563)," ",""),"^-?\d+(\.\d+)?"))&lt;=90,VALUE(REGEXEXTRACT(SUBSTITUTE(TRIM(F563)," ",""),"-?\d+(\.\d+)?$"))&gt;=-180,VALUE(REGEXEXTRACT(SUBSTITUTE(TRIM(F563)," ",""),"-?\d+(\.\d+)?$"))&lt;=180),"OK","REVISAR"),"REVISAR"),"")</f>
        <v/>
      </c>
      <c r="O563">
        <f>IF(A563&lt;&gt;"","https://direcciones507.github.io/direcciones507/panel.html?codigo="&amp;A563&amp;"&amp;nombre="&amp;ENCODEURL(B563)&amp;"&amp;telefono="&amp;SUBSTITUTE(C563,"-","")&amp;"&amp;referencia="&amp;ENCODEURL(E563)&amp;"&amp;lat="&amp;IZQUIERDA(SUBSTITUTE(F563," ",""),ENCONTRAR(",",SUBSTITUTE(F563," ",""))-1)&amp;"&amp;lng="&amp;DERECHA(SUBSTITUTE(F563," ",""),LARGO(SUBSTITUTE(F563," ",""))-ENCONTRAR(",",SUBSTITUTE(F563," ",""))),"")</f>
        <v/>
      </c>
    </row>
    <row r="564" ht="15.75" customHeight="1" s="10">
      <c r="A564" s="8">
        <f>CONCAT("AD507-",TEXT(ROW()-2,"0000"))</f>
        <v/>
      </c>
      <c r="C564" s="8" t="n"/>
      <c r="F564" s="8" t="n"/>
      <c r="G564" s="8">
        <f>IF(F564&lt;&gt;"",HYPERLINK("https://www.google.com/maps/search/?api=1&amp;query="&amp;SUBSTITUTE(F564," ",""),"🗺 Google Maps"),"")</f>
        <v/>
      </c>
      <c r="H564" s="8">
        <f>IF(F564&lt;&gt;"",HYPERLINK("https://waze.com/ul?ll="&amp;SUBSTITUTE(F564," ","")&amp;"&amp;navigate=yes","🚗 Waze"),"")</f>
        <v/>
      </c>
      <c r="I564" s="8">
        <f>IF(F564&lt;&gt;"",HYPERLINK("https://m.uber.com/ul/?action=setPickup&amp;pickup=my_location&amp;dropoff[latitude]="&amp;LEFT(SUBSTITUTE(F564," ",""),FIND(",",SUBSTITUTE(F564," ",""))-1)&amp;"&amp;dropoff[longitude]="&amp;MID(SUBSTITUTE(F564," ",""),FIND(",",SUBSTITUTE(F564," ",""))+1,99),"🚕 Uber"),"")</f>
        <v/>
      </c>
      <c r="J564" s="8">
        <f>IF(F564&lt;&gt;"","https://api.qrserver.com/v1/create-qr-code/?size=200x200&amp;data="&amp;ENCODEURL("https://www.google.com/maps/search/?api=1&amp;query="&amp;SUBSTITUTE(F564," ","")),"")</f>
        <v/>
      </c>
      <c r="K564" s="8">
        <f>IF(C564&lt;&gt;"",HYPERLINK("https://wa.me/507"&amp;REGEXREPLACE(C564,"[^0-9]","")&amp;"?text="&amp;ENCODEURL("Ya llegue. Codigo: "&amp;A564&amp;". Ubicacion: "&amp;"https://www.google.com/maps/search/?api=1&amp;query="&amp;SUBSTITUTE(F564," ","")),"📲 Avisar al cliente"),"")</f>
        <v/>
      </c>
      <c r="L564" s="8">
        <f>IF(C564&lt;&gt;"","https://api.qrserver.com/v1/create-qr-code/?size=200x200&amp;data="&amp;ENCODEURL("https://wa.me/507"&amp;REGEXREPLACE(C564,"[^0-9]","")&amp;"?text="&amp;ENCODEURL("Ya llegue. Codigo: "&amp;A564&amp;". Ubicacion: "&amp;"https://www.google.com/maps/search/?api=1&amp;query="&amp;SUBSTITUTE(F564," ",""))),"")</f>
        <v/>
      </c>
      <c r="M564" s="8">
        <f>IF(B564&lt;&gt;"",TODAY(),"")</f>
        <v/>
      </c>
      <c r="N564" s="8">
        <f>IF(F564&lt;&gt;"",IFERROR(IF(AND(REGEXMATCH(SUBSTITUTE(TRIM(F564)," ",""),"^-?\d+(\.\d+)?,-?\d+(\.\d+)?$"),VALUE(REGEXEXTRACT(SUBSTITUTE(TRIM(F564)," ",""),"^-?\d+(\.\d+)?"))&gt;=-90,VALUE(REGEXEXTRACT(SUBSTITUTE(TRIM(F564)," ",""),"^-?\d+(\.\d+)?"))&lt;=90,VALUE(REGEXEXTRACT(SUBSTITUTE(TRIM(F564)," ",""),"-?\d+(\.\d+)?$"))&gt;=-180,VALUE(REGEXEXTRACT(SUBSTITUTE(TRIM(F564)," ",""),"-?\d+(\.\d+)?$"))&lt;=180),"OK","REVISAR"),"REVISAR"),"")</f>
        <v/>
      </c>
      <c r="O564">
        <f>IF(A564&lt;&gt;"","https://direcciones507.github.io/direcciones507/panel.html?codigo="&amp;A564&amp;"&amp;nombre="&amp;ENCODEURL(B564)&amp;"&amp;telefono="&amp;SUBSTITUTE(C564,"-","")&amp;"&amp;referencia="&amp;ENCODEURL(E564)&amp;"&amp;lat="&amp;IZQUIERDA(SUBSTITUTE(F564," ",""),ENCONTRAR(",",SUBSTITUTE(F564," ",""))-1)&amp;"&amp;lng="&amp;DERECHA(SUBSTITUTE(F564," ",""),LARGO(SUBSTITUTE(F564," ",""))-ENCONTRAR(",",SUBSTITUTE(F564," ",""))),"")</f>
        <v/>
      </c>
    </row>
    <row r="565" ht="15.75" customHeight="1" s="10">
      <c r="A565" s="8">
        <f>CONCAT("AD507-",TEXT(ROW()-2,"0000"))</f>
        <v/>
      </c>
      <c r="C565" s="8" t="n"/>
      <c r="F565" s="8" t="n"/>
      <c r="G565" s="8">
        <f>IF(F565&lt;&gt;"",HYPERLINK("https://www.google.com/maps/search/?api=1&amp;query="&amp;SUBSTITUTE(F565," ",""),"🗺 Google Maps"),"")</f>
        <v/>
      </c>
      <c r="H565" s="8">
        <f>IF(F565&lt;&gt;"",HYPERLINK("https://waze.com/ul?ll="&amp;SUBSTITUTE(F565," ","")&amp;"&amp;navigate=yes","🚗 Waze"),"")</f>
        <v/>
      </c>
      <c r="I565" s="8">
        <f>IF(F565&lt;&gt;"",HYPERLINK("https://m.uber.com/ul/?action=setPickup&amp;pickup=my_location&amp;dropoff[latitude]="&amp;LEFT(SUBSTITUTE(F565," ",""),FIND(",",SUBSTITUTE(F565," ",""))-1)&amp;"&amp;dropoff[longitude]="&amp;MID(SUBSTITUTE(F565," ",""),FIND(",",SUBSTITUTE(F565," ",""))+1,99),"🚕 Uber"),"")</f>
        <v/>
      </c>
      <c r="J565" s="8">
        <f>IF(F565&lt;&gt;"","https://api.qrserver.com/v1/create-qr-code/?size=200x200&amp;data="&amp;ENCODEURL("https://www.google.com/maps/search/?api=1&amp;query="&amp;SUBSTITUTE(F565," ","")),"")</f>
        <v/>
      </c>
      <c r="K565" s="8">
        <f>IF(C565&lt;&gt;"",HYPERLINK("https://wa.me/507"&amp;REGEXREPLACE(C565,"[^0-9]","")&amp;"?text="&amp;ENCODEURL("Ya llegue. Codigo: "&amp;A565&amp;". Ubicacion: "&amp;"https://www.google.com/maps/search/?api=1&amp;query="&amp;SUBSTITUTE(F565," ","")),"📲 Avisar al cliente"),"")</f>
        <v/>
      </c>
      <c r="L565" s="8">
        <f>IF(C565&lt;&gt;"","https://api.qrserver.com/v1/create-qr-code/?size=200x200&amp;data="&amp;ENCODEURL("https://wa.me/507"&amp;REGEXREPLACE(C565,"[^0-9]","")&amp;"?text="&amp;ENCODEURL("Ya llegue. Codigo: "&amp;A565&amp;". Ubicacion: "&amp;"https://www.google.com/maps/search/?api=1&amp;query="&amp;SUBSTITUTE(F565," ",""))),"")</f>
        <v/>
      </c>
      <c r="M565" s="8">
        <f>IF(B565&lt;&gt;"",TODAY(),"")</f>
        <v/>
      </c>
      <c r="N565" s="8">
        <f>IF(F565&lt;&gt;"",IFERROR(IF(AND(REGEXMATCH(SUBSTITUTE(TRIM(F565)," ",""),"^-?\d+(\.\d+)?,-?\d+(\.\d+)?$"),VALUE(REGEXEXTRACT(SUBSTITUTE(TRIM(F565)," ",""),"^-?\d+(\.\d+)?"))&gt;=-90,VALUE(REGEXEXTRACT(SUBSTITUTE(TRIM(F565)," ",""),"^-?\d+(\.\d+)?"))&lt;=90,VALUE(REGEXEXTRACT(SUBSTITUTE(TRIM(F565)," ",""),"-?\d+(\.\d+)?$"))&gt;=-180,VALUE(REGEXEXTRACT(SUBSTITUTE(TRIM(F565)," ",""),"-?\d+(\.\d+)?$"))&lt;=180),"OK","REVISAR"),"REVISAR"),"")</f>
        <v/>
      </c>
      <c r="O565">
        <f>IF(A565&lt;&gt;"","https://direcciones507.github.io/direcciones507/panel.html?codigo="&amp;A565&amp;"&amp;nombre="&amp;ENCODEURL(B565)&amp;"&amp;telefono="&amp;SUBSTITUTE(C565,"-","")&amp;"&amp;referencia="&amp;ENCODEURL(E565)&amp;"&amp;lat="&amp;IZQUIERDA(SUBSTITUTE(F565," ",""),ENCONTRAR(",",SUBSTITUTE(F565," ",""))-1)&amp;"&amp;lng="&amp;DERECHA(SUBSTITUTE(F565," ",""),LARGO(SUBSTITUTE(F565," ",""))-ENCONTRAR(",",SUBSTITUTE(F565," ",""))),"")</f>
        <v/>
      </c>
    </row>
    <row r="566" ht="15.75" customHeight="1" s="10">
      <c r="A566" s="8">
        <f>CONCAT("AD507-",TEXT(ROW()-2,"0000"))</f>
        <v/>
      </c>
      <c r="C566" s="8" t="n"/>
      <c r="F566" s="8" t="n"/>
      <c r="G566" s="8">
        <f>IF(F566&lt;&gt;"",HYPERLINK("https://www.google.com/maps/search/?api=1&amp;query="&amp;SUBSTITUTE(F566," ",""),"🗺 Google Maps"),"")</f>
        <v/>
      </c>
      <c r="H566" s="8">
        <f>IF(F566&lt;&gt;"",HYPERLINK("https://waze.com/ul?ll="&amp;SUBSTITUTE(F566," ","")&amp;"&amp;navigate=yes","🚗 Waze"),"")</f>
        <v/>
      </c>
      <c r="I566" s="8">
        <f>IF(F566&lt;&gt;"",HYPERLINK("https://m.uber.com/ul/?action=setPickup&amp;pickup=my_location&amp;dropoff[latitude]="&amp;LEFT(SUBSTITUTE(F566," ",""),FIND(",",SUBSTITUTE(F566," ",""))-1)&amp;"&amp;dropoff[longitude]="&amp;MID(SUBSTITUTE(F566," ",""),FIND(",",SUBSTITUTE(F566," ",""))+1,99),"🚕 Uber"),"")</f>
        <v/>
      </c>
      <c r="J566" s="8">
        <f>IF(F566&lt;&gt;"","https://api.qrserver.com/v1/create-qr-code/?size=200x200&amp;data="&amp;ENCODEURL("https://www.google.com/maps/search/?api=1&amp;query="&amp;SUBSTITUTE(F566," ","")),"")</f>
        <v/>
      </c>
      <c r="K566" s="8">
        <f>IF(C566&lt;&gt;"",HYPERLINK("https://wa.me/507"&amp;REGEXREPLACE(C566,"[^0-9]","")&amp;"?text="&amp;ENCODEURL("Ya llegue. Codigo: "&amp;A566&amp;". Ubicacion: "&amp;"https://www.google.com/maps/search/?api=1&amp;query="&amp;SUBSTITUTE(F566," ","")),"📲 Avisar al cliente"),"")</f>
        <v/>
      </c>
      <c r="L566" s="8">
        <f>IF(C566&lt;&gt;"","https://api.qrserver.com/v1/create-qr-code/?size=200x200&amp;data="&amp;ENCODEURL("https://wa.me/507"&amp;REGEXREPLACE(C566,"[^0-9]","")&amp;"?text="&amp;ENCODEURL("Ya llegue. Codigo: "&amp;A566&amp;". Ubicacion: "&amp;"https://www.google.com/maps/search/?api=1&amp;query="&amp;SUBSTITUTE(F566," ",""))),"")</f>
        <v/>
      </c>
      <c r="M566" s="8">
        <f>IF(B566&lt;&gt;"",TODAY(),"")</f>
        <v/>
      </c>
      <c r="N566" s="8">
        <f>IF(F566&lt;&gt;"",IFERROR(IF(AND(REGEXMATCH(SUBSTITUTE(TRIM(F566)," ",""),"^-?\d+(\.\d+)?,-?\d+(\.\d+)?$"),VALUE(REGEXEXTRACT(SUBSTITUTE(TRIM(F566)," ",""),"^-?\d+(\.\d+)?"))&gt;=-90,VALUE(REGEXEXTRACT(SUBSTITUTE(TRIM(F566)," ",""),"^-?\d+(\.\d+)?"))&lt;=90,VALUE(REGEXEXTRACT(SUBSTITUTE(TRIM(F566)," ",""),"-?\d+(\.\d+)?$"))&gt;=-180,VALUE(REGEXEXTRACT(SUBSTITUTE(TRIM(F566)," ",""),"-?\d+(\.\d+)?$"))&lt;=180),"OK","REVISAR"),"REVISAR"),"")</f>
        <v/>
      </c>
      <c r="O566">
        <f>IF(A566&lt;&gt;"","https://direcciones507.github.io/direcciones507/panel.html?codigo="&amp;A566&amp;"&amp;nombre="&amp;ENCODEURL(B566)&amp;"&amp;telefono="&amp;SUBSTITUTE(C566,"-","")&amp;"&amp;referencia="&amp;ENCODEURL(E566)&amp;"&amp;lat="&amp;IZQUIERDA(SUBSTITUTE(F566," ",""),ENCONTRAR(",",SUBSTITUTE(F566," ",""))-1)&amp;"&amp;lng="&amp;DERECHA(SUBSTITUTE(F566," ",""),LARGO(SUBSTITUTE(F566," ",""))-ENCONTRAR(",",SUBSTITUTE(F566," ",""))),"")</f>
        <v/>
      </c>
    </row>
    <row r="567" ht="15.75" customHeight="1" s="10">
      <c r="A567" s="8">
        <f>CONCAT("AD507-",TEXT(ROW()-2,"0000"))</f>
        <v/>
      </c>
      <c r="C567" s="8" t="n"/>
      <c r="F567" s="8" t="n"/>
      <c r="G567" s="8">
        <f>IF(F567&lt;&gt;"",HYPERLINK("https://www.google.com/maps/search/?api=1&amp;query="&amp;SUBSTITUTE(F567," ",""),"🗺 Google Maps"),"")</f>
        <v/>
      </c>
      <c r="H567" s="8">
        <f>IF(F567&lt;&gt;"",HYPERLINK("https://waze.com/ul?ll="&amp;SUBSTITUTE(F567," ","")&amp;"&amp;navigate=yes","🚗 Waze"),"")</f>
        <v/>
      </c>
      <c r="I567" s="8">
        <f>IF(F567&lt;&gt;"",HYPERLINK("https://m.uber.com/ul/?action=setPickup&amp;pickup=my_location&amp;dropoff[latitude]="&amp;LEFT(SUBSTITUTE(F567," ",""),FIND(",",SUBSTITUTE(F567," ",""))-1)&amp;"&amp;dropoff[longitude]="&amp;MID(SUBSTITUTE(F567," ",""),FIND(",",SUBSTITUTE(F567," ",""))+1,99),"🚕 Uber"),"")</f>
        <v/>
      </c>
      <c r="J567" s="8">
        <f>IF(F567&lt;&gt;"","https://api.qrserver.com/v1/create-qr-code/?size=200x200&amp;data="&amp;ENCODEURL("https://www.google.com/maps/search/?api=1&amp;query="&amp;SUBSTITUTE(F567," ","")),"")</f>
        <v/>
      </c>
      <c r="K567" s="8">
        <f>IF(C567&lt;&gt;"",HYPERLINK("https://wa.me/507"&amp;REGEXREPLACE(C567,"[^0-9]","")&amp;"?text="&amp;ENCODEURL("Ya llegue. Codigo: "&amp;A567&amp;". Ubicacion: "&amp;"https://www.google.com/maps/search/?api=1&amp;query="&amp;SUBSTITUTE(F567," ","")),"📲 Avisar al cliente"),"")</f>
        <v/>
      </c>
      <c r="L567" s="8">
        <f>IF(C567&lt;&gt;"","https://api.qrserver.com/v1/create-qr-code/?size=200x200&amp;data="&amp;ENCODEURL("https://wa.me/507"&amp;REGEXREPLACE(C567,"[^0-9]","")&amp;"?text="&amp;ENCODEURL("Ya llegue. Codigo: "&amp;A567&amp;". Ubicacion: "&amp;"https://www.google.com/maps/search/?api=1&amp;query="&amp;SUBSTITUTE(F567," ",""))),"")</f>
        <v/>
      </c>
      <c r="M567" s="8">
        <f>IF(B567&lt;&gt;"",TODAY(),"")</f>
        <v/>
      </c>
      <c r="N567" s="8">
        <f>IF(F567&lt;&gt;"",IFERROR(IF(AND(REGEXMATCH(SUBSTITUTE(TRIM(F567)," ",""),"^-?\d+(\.\d+)?,-?\d+(\.\d+)?$"),VALUE(REGEXEXTRACT(SUBSTITUTE(TRIM(F567)," ",""),"^-?\d+(\.\d+)?"))&gt;=-90,VALUE(REGEXEXTRACT(SUBSTITUTE(TRIM(F567)," ",""),"^-?\d+(\.\d+)?"))&lt;=90,VALUE(REGEXEXTRACT(SUBSTITUTE(TRIM(F567)," ",""),"-?\d+(\.\d+)?$"))&gt;=-180,VALUE(REGEXEXTRACT(SUBSTITUTE(TRIM(F567)," ",""),"-?\d+(\.\d+)?$"))&lt;=180),"OK","REVISAR"),"REVISAR"),"")</f>
        <v/>
      </c>
      <c r="O567">
        <f>IF(A567&lt;&gt;"","https://direcciones507.github.io/direcciones507/panel.html?codigo="&amp;A567&amp;"&amp;nombre="&amp;ENCODEURL(B567)&amp;"&amp;telefono="&amp;SUBSTITUTE(C567,"-","")&amp;"&amp;referencia="&amp;ENCODEURL(E567)&amp;"&amp;lat="&amp;IZQUIERDA(SUBSTITUTE(F567," ",""),ENCONTRAR(",",SUBSTITUTE(F567," ",""))-1)&amp;"&amp;lng="&amp;DERECHA(SUBSTITUTE(F567," ",""),LARGO(SUBSTITUTE(F567," ",""))-ENCONTRAR(",",SUBSTITUTE(F567," ",""))),"")</f>
        <v/>
      </c>
    </row>
    <row r="568" ht="15.75" customHeight="1" s="10">
      <c r="A568" s="8">
        <f>CONCAT("AD507-",TEXT(ROW()-2,"0000"))</f>
        <v/>
      </c>
      <c r="C568" s="8" t="n"/>
      <c r="F568" s="8" t="n"/>
      <c r="G568" s="8">
        <f>IF(F568&lt;&gt;"",HYPERLINK("https://www.google.com/maps/search/?api=1&amp;query="&amp;SUBSTITUTE(F568," ",""),"🗺 Google Maps"),"")</f>
        <v/>
      </c>
      <c r="H568" s="8">
        <f>IF(F568&lt;&gt;"",HYPERLINK("https://waze.com/ul?ll="&amp;SUBSTITUTE(F568," ","")&amp;"&amp;navigate=yes","🚗 Waze"),"")</f>
        <v/>
      </c>
      <c r="I568" s="8">
        <f>IF(F568&lt;&gt;"",HYPERLINK("https://m.uber.com/ul/?action=setPickup&amp;pickup=my_location&amp;dropoff[latitude]="&amp;LEFT(SUBSTITUTE(F568," ",""),FIND(",",SUBSTITUTE(F568," ",""))-1)&amp;"&amp;dropoff[longitude]="&amp;MID(SUBSTITUTE(F568," ",""),FIND(",",SUBSTITUTE(F568," ",""))+1,99),"🚕 Uber"),"")</f>
        <v/>
      </c>
      <c r="J568" s="8">
        <f>IF(F568&lt;&gt;"","https://api.qrserver.com/v1/create-qr-code/?size=200x200&amp;data="&amp;ENCODEURL("https://www.google.com/maps/search/?api=1&amp;query="&amp;SUBSTITUTE(F568," ","")),"")</f>
        <v/>
      </c>
      <c r="K568" s="8">
        <f>IF(C568&lt;&gt;"",HYPERLINK("https://wa.me/507"&amp;REGEXREPLACE(C568,"[^0-9]","")&amp;"?text="&amp;ENCODEURL("Ya llegue. Codigo: "&amp;A568&amp;". Ubicacion: "&amp;"https://www.google.com/maps/search/?api=1&amp;query="&amp;SUBSTITUTE(F568," ","")),"📲 Avisar al cliente"),"")</f>
        <v/>
      </c>
      <c r="L568" s="8">
        <f>IF(C568&lt;&gt;"","https://api.qrserver.com/v1/create-qr-code/?size=200x200&amp;data="&amp;ENCODEURL("https://wa.me/507"&amp;REGEXREPLACE(C568,"[^0-9]","")&amp;"?text="&amp;ENCODEURL("Ya llegue. Codigo: "&amp;A568&amp;". Ubicacion: "&amp;"https://www.google.com/maps/search/?api=1&amp;query="&amp;SUBSTITUTE(F568," ",""))),"")</f>
        <v/>
      </c>
      <c r="M568" s="8">
        <f>IF(B568&lt;&gt;"",TODAY(),"")</f>
        <v/>
      </c>
      <c r="N568" s="8">
        <f>IF(F568&lt;&gt;"",IFERROR(IF(AND(REGEXMATCH(SUBSTITUTE(TRIM(F568)," ",""),"^-?\d+(\.\d+)?,-?\d+(\.\d+)?$"),VALUE(REGEXEXTRACT(SUBSTITUTE(TRIM(F568)," ",""),"^-?\d+(\.\d+)?"))&gt;=-90,VALUE(REGEXEXTRACT(SUBSTITUTE(TRIM(F568)," ",""),"^-?\d+(\.\d+)?"))&lt;=90,VALUE(REGEXEXTRACT(SUBSTITUTE(TRIM(F568)," ",""),"-?\d+(\.\d+)?$"))&gt;=-180,VALUE(REGEXEXTRACT(SUBSTITUTE(TRIM(F568)," ",""),"-?\d+(\.\d+)?$"))&lt;=180),"OK","REVISAR"),"REVISAR"),"")</f>
        <v/>
      </c>
      <c r="O568">
        <f>IF(A568&lt;&gt;"","https://direcciones507.github.io/direcciones507/panel.html?codigo="&amp;A568&amp;"&amp;nombre="&amp;ENCODEURL(B568)&amp;"&amp;telefono="&amp;SUBSTITUTE(C568,"-","")&amp;"&amp;referencia="&amp;ENCODEURL(E568)&amp;"&amp;lat="&amp;IZQUIERDA(SUBSTITUTE(F568," ",""),ENCONTRAR(",",SUBSTITUTE(F568," ",""))-1)&amp;"&amp;lng="&amp;DERECHA(SUBSTITUTE(F568," ",""),LARGO(SUBSTITUTE(F568," ",""))-ENCONTRAR(",",SUBSTITUTE(F568," ",""))),"")</f>
        <v/>
      </c>
    </row>
    <row r="569" ht="15.75" customHeight="1" s="10">
      <c r="A569" s="8">
        <f>CONCAT("AD507-",TEXT(ROW()-2,"0000"))</f>
        <v/>
      </c>
      <c r="C569" s="8" t="n"/>
      <c r="F569" s="8" t="n"/>
      <c r="G569" s="8">
        <f>IF(F569&lt;&gt;"",HYPERLINK("https://www.google.com/maps/search/?api=1&amp;query="&amp;SUBSTITUTE(F569," ",""),"🗺 Google Maps"),"")</f>
        <v/>
      </c>
      <c r="H569" s="8">
        <f>IF(F569&lt;&gt;"",HYPERLINK("https://waze.com/ul?ll="&amp;SUBSTITUTE(F569," ","")&amp;"&amp;navigate=yes","🚗 Waze"),"")</f>
        <v/>
      </c>
      <c r="I569" s="8">
        <f>IF(F569&lt;&gt;"",HYPERLINK("https://m.uber.com/ul/?action=setPickup&amp;pickup=my_location&amp;dropoff[latitude]="&amp;LEFT(SUBSTITUTE(F569," ",""),FIND(",",SUBSTITUTE(F569," ",""))-1)&amp;"&amp;dropoff[longitude]="&amp;MID(SUBSTITUTE(F569," ",""),FIND(",",SUBSTITUTE(F569," ",""))+1,99),"🚕 Uber"),"")</f>
        <v/>
      </c>
      <c r="J569" s="8">
        <f>IF(F569&lt;&gt;"","https://api.qrserver.com/v1/create-qr-code/?size=200x200&amp;data="&amp;ENCODEURL("https://www.google.com/maps/search/?api=1&amp;query="&amp;SUBSTITUTE(F569," ","")),"")</f>
        <v/>
      </c>
      <c r="K569" s="8">
        <f>IF(C569&lt;&gt;"",HYPERLINK("https://wa.me/507"&amp;REGEXREPLACE(C569,"[^0-9]","")&amp;"?text="&amp;ENCODEURL("Ya llegue. Codigo: "&amp;A569&amp;". Ubicacion: "&amp;"https://www.google.com/maps/search/?api=1&amp;query="&amp;SUBSTITUTE(F569," ","")),"📲 Avisar al cliente"),"")</f>
        <v/>
      </c>
      <c r="L569" s="8">
        <f>IF(C569&lt;&gt;"","https://api.qrserver.com/v1/create-qr-code/?size=200x200&amp;data="&amp;ENCODEURL("https://wa.me/507"&amp;REGEXREPLACE(C569,"[^0-9]","")&amp;"?text="&amp;ENCODEURL("Ya llegue. Codigo: "&amp;A569&amp;". Ubicacion: "&amp;"https://www.google.com/maps/search/?api=1&amp;query="&amp;SUBSTITUTE(F569," ",""))),"")</f>
        <v/>
      </c>
      <c r="M569" s="8">
        <f>IF(B569&lt;&gt;"",TODAY(),"")</f>
        <v/>
      </c>
      <c r="N569" s="8">
        <f>IF(F569&lt;&gt;"",IFERROR(IF(AND(REGEXMATCH(SUBSTITUTE(TRIM(F569)," ",""),"^-?\d+(\.\d+)?,-?\d+(\.\d+)?$"),VALUE(REGEXEXTRACT(SUBSTITUTE(TRIM(F569)," ",""),"^-?\d+(\.\d+)?"))&gt;=-90,VALUE(REGEXEXTRACT(SUBSTITUTE(TRIM(F569)," ",""),"^-?\d+(\.\d+)?"))&lt;=90,VALUE(REGEXEXTRACT(SUBSTITUTE(TRIM(F569)," ",""),"-?\d+(\.\d+)?$"))&gt;=-180,VALUE(REGEXEXTRACT(SUBSTITUTE(TRIM(F569)," ",""),"-?\d+(\.\d+)?$"))&lt;=180),"OK","REVISAR"),"REVISAR"),"")</f>
        <v/>
      </c>
      <c r="O569">
        <f>IF(A569&lt;&gt;"","https://direcciones507.github.io/direcciones507/panel.html?codigo="&amp;A569&amp;"&amp;nombre="&amp;ENCODEURL(B569)&amp;"&amp;telefono="&amp;SUBSTITUTE(C569,"-","")&amp;"&amp;referencia="&amp;ENCODEURL(E569)&amp;"&amp;lat="&amp;IZQUIERDA(SUBSTITUTE(F569," ",""),ENCONTRAR(",",SUBSTITUTE(F569," ",""))-1)&amp;"&amp;lng="&amp;DERECHA(SUBSTITUTE(F569," ",""),LARGO(SUBSTITUTE(F569," ",""))-ENCONTRAR(",",SUBSTITUTE(F569," ",""))),"")</f>
        <v/>
      </c>
    </row>
    <row r="570" ht="15.75" customHeight="1" s="10">
      <c r="A570" s="8">
        <f>CONCAT("AD507-",TEXT(ROW()-2,"0000"))</f>
        <v/>
      </c>
      <c r="C570" s="8" t="n"/>
      <c r="F570" s="8" t="n"/>
      <c r="G570" s="8">
        <f>IF(F570&lt;&gt;"",HYPERLINK("https://www.google.com/maps/search/?api=1&amp;query="&amp;SUBSTITUTE(F570," ",""),"🗺 Google Maps"),"")</f>
        <v/>
      </c>
      <c r="H570" s="8">
        <f>IF(F570&lt;&gt;"",HYPERLINK("https://waze.com/ul?ll="&amp;SUBSTITUTE(F570," ","")&amp;"&amp;navigate=yes","🚗 Waze"),"")</f>
        <v/>
      </c>
      <c r="I570" s="8">
        <f>IF(F570&lt;&gt;"",HYPERLINK("https://m.uber.com/ul/?action=setPickup&amp;pickup=my_location&amp;dropoff[latitude]="&amp;LEFT(SUBSTITUTE(F570," ",""),FIND(",",SUBSTITUTE(F570," ",""))-1)&amp;"&amp;dropoff[longitude]="&amp;MID(SUBSTITUTE(F570," ",""),FIND(",",SUBSTITUTE(F570," ",""))+1,99),"🚕 Uber"),"")</f>
        <v/>
      </c>
      <c r="J570" s="8">
        <f>IF(F570&lt;&gt;"","https://api.qrserver.com/v1/create-qr-code/?size=200x200&amp;data="&amp;ENCODEURL("https://www.google.com/maps/search/?api=1&amp;query="&amp;SUBSTITUTE(F570," ","")),"")</f>
        <v/>
      </c>
      <c r="K570" s="8">
        <f>IF(C570&lt;&gt;"",HYPERLINK("https://wa.me/507"&amp;REGEXREPLACE(C570,"[^0-9]","")&amp;"?text="&amp;ENCODEURL("Ya llegue. Codigo: "&amp;A570&amp;". Ubicacion: "&amp;"https://www.google.com/maps/search/?api=1&amp;query="&amp;SUBSTITUTE(F570," ","")),"📲 Avisar al cliente"),"")</f>
        <v/>
      </c>
      <c r="L570" s="8">
        <f>IF(C570&lt;&gt;"","https://api.qrserver.com/v1/create-qr-code/?size=200x200&amp;data="&amp;ENCODEURL("https://wa.me/507"&amp;REGEXREPLACE(C570,"[^0-9]","")&amp;"?text="&amp;ENCODEURL("Ya llegue. Codigo: "&amp;A570&amp;". Ubicacion: "&amp;"https://www.google.com/maps/search/?api=1&amp;query="&amp;SUBSTITUTE(F570," ",""))),"")</f>
        <v/>
      </c>
      <c r="M570" s="8">
        <f>IF(B570&lt;&gt;"",TODAY(),"")</f>
        <v/>
      </c>
      <c r="N570" s="8">
        <f>IF(F570&lt;&gt;"",IFERROR(IF(AND(REGEXMATCH(SUBSTITUTE(TRIM(F570)," ",""),"^-?\d+(\.\d+)?,-?\d+(\.\d+)?$"),VALUE(REGEXEXTRACT(SUBSTITUTE(TRIM(F570)," ",""),"^-?\d+(\.\d+)?"))&gt;=-90,VALUE(REGEXEXTRACT(SUBSTITUTE(TRIM(F570)," ",""),"^-?\d+(\.\d+)?"))&lt;=90,VALUE(REGEXEXTRACT(SUBSTITUTE(TRIM(F570)," ",""),"-?\d+(\.\d+)?$"))&gt;=-180,VALUE(REGEXEXTRACT(SUBSTITUTE(TRIM(F570)," ",""),"-?\d+(\.\d+)?$"))&lt;=180),"OK","REVISAR"),"REVISAR"),"")</f>
        <v/>
      </c>
      <c r="O570">
        <f>IF(A570&lt;&gt;"","https://direcciones507.github.io/direcciones507/panel.html?codigo="&amp;A570&amp;"&amp;nombre="&amp;ENCODEURL(B570)&amp;"&amp;telefono="&amp;SUBSTITUTE(C570,"-","")&amp;"&amp;referencia="&amp;ENCODEURL(E570)&amp;"&amp;lat="&amp;IZQUIERDA(SUBSTITUTE(F570," ",""),ENCONTRAR(",",SUBSTITUTE(F570," ",""))-1)&amp;"&amp;lng="&amp;DERECHA(SUBSTITUTE(F570," ",""),LARGO(SUBSTITUTE(F570," ",""))-ENCONTRAR(",",SUBSTITUTE(F570," ",""))),"")</f>
        <v/>
      </c>
    </row>
    <row r="571" ht="15.75" customHeight="1" s="10">
      <c r="A571" s="8">
        <f>CONCAT("AD507-",TEXT(ROW()-2,"0000"))</f>
        <v/>
      </c>
      <c r="C571" s="8" t="n"/>
      <c r="F571" s="8" t="n"/>
      <c r="G571" s="8">
        <f>IF(F571&lt;&gt;"",HYPERLINK("https://www.google.com/maps/search/?api=1&amp;query="&amp;SUBSTITUTE(F571," ",""),"🗺 Google Maps"),"")</f>
        <v/>
      </c>
      <c r="H571" s="8">
        <f>IF(F571&lt;&gt;"",HYPERLINK("https://waze.com/ul?ll="&amp;SUBSTITUTE(F571," ","")&amp;"&amp;navigate=yes","🚗 Waze"),"")</f>
        <v/>
      </c>
      <c r="I571" s="8">
        <f>IF(F571&lt;&gt;"",HYPERLINK("https://m.uber.com/ul/?action=setPickup&amp;pickup=my_location&amp;dropoff[latitude]="&amp;LEFT(SUBSTITUTE(F571," ",""),FIND(",",SUBSTITUTE(F571," ",""))-1)&amp;"&amp;dropoff[longitude]="&amp;MID(SUBSTITUTE(F571," ",""),FIND(",",SUBSTITUTE(F571," ",""))+1,99),"🚕 Uber"),"")</f>
        <v/>
      </c>
      <c r="J571" s="8">
        <f>IF(F571&lt;&gt;"","https://api.qrserver.com/v1/create-qr-code/?size=200x200&amp;data="&amp;ENCODEURL("https://www.google.com/maps/search/?api=1&amp;query="&amp;SUBSTITUTE(F571," ","")),"")</f>
        <v/>
      </c>
      <c r="K571" s="8">
        <f>IF(C571&lt;&gt;"",HYPERLINK("https://wa.me/507"&amp;REGEXREPLACE(C571,"[^0-9]","")&amp;"?text="&amp;ENCODEURL("Ya llegue. Codigo: "&amp;A571&amp;". Ubicacion: "&amp;"https://www.google.com/maps/search/?api=1&amp;query="&amp;SUBSTITUTE(F571," ","")),"📲 Avisar al cliente"),"")</f>
        <v/>
      </c>
      <c r="L571" s="8">
        <f>IF(C571&lt;&gt;"","https://api.qrserver.com/v1/create-qr-code/?size=200x200&amp;data="&amp;ENCODEURL("https://wa.me/507"&amp;REGEXREPLACE(C571,"[^0-9]","")&amp;"?text="&amp;ENCODEURL("Ya llegue. Codigo: "&amp;A571&amp;". Ubicacion: "&amp;"https://www.google.com/maps/search/?api=1&amp;query="&amp;SUBSTITUTE(F571," ",""))),"")</f>
        <v/>
      </c>
      <c r="M571" s="8">
        <f>IF(B571&lt;&gt;"",TODAY(),"")</f>
        <v/>
      </c>
      <c r="N571" s="8">
        <f>IF(F571&lt;&gt;"",IFERROR(IF(AND(REGEXMATCH(SUBSTITUTE(TRIM(F571)," ",""),"^-?\d+(\.\d+)?,-?\d+(\.\d+)?$"),VALUE(REGEXEXTRACT(SUBSTITUTE(TRIM(F571)," ",""),"^-?\d+(\.\d+)?"))&gt;=-90,VALUE(REGEXEXTRACT(SUBSTITUTE(TRIM(F571)," ",""),"^-?\d+(\.\d+)?"))&lt;=90,VALUE(REGEXEXTRACT(SUBSTITUTE(TRIM(F571)," ",""),"-?\d+(\.\d+)?$"))&gt;=-180,VALUE(REGEXEXTRACT(SUBSTITUTE(TRIM(F571)," ",""),"-?\d+(\.\d+)?$"))&lt;=180),"OK","REVISAR"),"REVISAR"),"")</f>
        <v/>
      </c>
      <c r="O571">
        <f>IF(A571&lt;&gt;"","https://direcciones507.github.io/direcciones507/panel.html?codigo="&amp;A571&amp;"&amp;nombre="&amp;ENCODEURL(B571)&amp;"&amp;telefono="&amp;SUBSTITUTE(C571,"-","")&amp;"&amp;referencia="&amp;ENCODEURL(E571)&amp;"&amp;lat="&amp;IZQUIERDA(SUBSTITUTE(F571," ",""),ENCONTRAR(",",SUBSTITUTE(F571," ",""))-1)&amp;"&amp;lng="&amp;DERECHA(SUBSTITUTE(F571," ",""),LARGO(SUBSTITUTE(F571," ",""))-ENCONTRAR(",",SUBSTITUTE(F571," ",""))),"")</f>
        <v/>
      </c>
    </row>
    <row r="572" ht="15.75" customHeight="1" s="10">
      <c r="A572" s="8">
        <f>CONCAT("AD507-",TEXT(ROW()-2,"0000"))</f>
        <v/>
      </c>
      <c r="C572" s="8" t="n"/>
      <c r="F572" s="8" t="n"/>
      <c r="G572" s="8">
        <f>IF(F572&lt;&gt;"",HYPERLINK("https://www.google.com/maps/search/?api=1&amp;query="&amp;SUBSTITUTE(F572," ",""),"🗺 Google Maps"),"")</f>
        <v/>
      </c>
      <c r="H572" s="8">
        <f>IF(F572&lt;&gt;"",HYPERLINK("https://waze.com/ul?ll="&amp;SUBSTITUTE(F572," ","")&amp;"&amp;navigate=yes","🚗 Waze"),"")</f>
        <v/>
      </c>
      <c r="I572" s="8">
        <f>IF(F572&lt;&gt;"",HYPERLINK("https://m.uber.com/ul/?action=setPickup&amp;pickup=my_location&amp;dropoff[latitude]="&amp;LEFT(SUBSTITUTE(F572," ",""),FIND(",",SUBSTITUTE(F572," ",""))-1)&amp;"&amp;dropoff[longitude]="&amp;MID(SUBSTITUTE(F572," ",""),FIND(",",SUBSTITUTE(F572," ",""))+1,99),"🚕 Uber"),"")</f>
        <v/>
      </c>
      <c r="J572" s="8">
        <f>IF(F572&lt;&gt;"","https://api.qrserver.com/v1/create-qr-code/?size=200x200&amp;data="&amp;ENCODEURL("https://www.google.com/maps/search/?api=1&amp;query="&amp;SUBSTITUTE(F572," ","")),"")</f>
        <v/>
      </c>
      <c r="K572" s="8">
        <f>IF(C572&lt;&gt;"",HYPERLINK("https://wa.me/507"&amp;REGEXREPLACE(C572,"[^0-9]","")&amp;"?text="&amp;ENCODEURL("Ya llegue. Codigo: "&amp;A572&amp;". Ubicacion: "&amp;"https://www.google.com/maps/search/?api=1&amp;query="&amp;SUBSTITUTE(F572," ","")),"📲 Avisar al cliente"),"")</f>
        <v/>
      </c>
      <c r="L572" s="8">
        <f>IF(C572&lt;&gt;"","https://api.qrserver.com/v1/create-qr-code/?size=200x200&amp;data="&amp;ENCODEURL("https://wa.me/507"&amp;REGEXREPLACE(C572,"[^0-9]","")&amp;"?text="&amp;ENCODEURL("Ya llegue. Codigo: "&amp;A572&amp;". Ubicacion: "&amp;"https://www.google.com/maps/search/?api=1&amp;query="&amp;SUBSTITUTE(F572," ",""))),"")</f>
        <v/>
      </c>
      <c r="M572" s="8">
        <f>IF(B572&lt;&gt;"",TODAY(),"")</f>
        <v/>
      </c>
      <c r="N572" s="8">
        <f>IF(F572&lt;&gt;"",IFERROR(IF(AND(REGEXMATCH(SUBSTITUTE(TRIM(F572)," ",""),"^-?\d+(\.\d+)?,-?\d+(\.\d+)?$"),VALUE(REGEXEXTRACT(SUBSTITUTE(TRIM(F572)," ",""),"^-?\d+(\.\d+)?"))&gt;=-90,VALUE(REGEXEXTRACT(SUBSTITUTE(TRIM(F572)," ",""),"^-?\d+(\.\d+)?"))&lt;=90,VALUE(REGEXEXTRACT(SUBSTITUTE(TRIM(F572)," ",""),"-?\d+(\.\d+)?$"))&gt;=-180,VALUE(REGEXEXTRACT(SUBSTITUTE(TRIM(F572)," ",""),"-?\d+(\.\d+)?$"))&lt;=180),"OK","REVISAR"),"REVISAR"),"")</f>
        <v/>
      </c>
      <c r="O572">
        <f>IF(A572&lt;&gt;"","https://direcciones507.github.io/direcciones507/panel.html?codigo="&amp;A572&amp;"&amp;nombre="&amp;ENCODEURL(B572)&amp;"&amp;telefono="&amp;SUBSTITUTE(C572,"-","")&amp;"&amp;referencia="&amp;ENCODEURL(E572)&amp;"&amp;lat="&amp;IZQUIERDA(SUBSTITUTE(F572," ",""),ENCONTRAR(",",SUBSTITUTE(F572," ",""))-1)&amp;"&amp;lng="&amp;DERECHA(SUBSTITUTE(F572," ",""),LARGO(SUBSTITUTE(F572," ",""))-ENCONTRAR(",",SUBSTITUTE(F572," ",""))),"")</f>
        <v/>
      </c>
    </row>
    <row r="573" ht="15.75" customHeight="1" s="10">
      <c r="A573" s="8">
        <f>CONCAT("AD507-",TEXT(ROW()-2,"0000"))</f>
        <v/>
      </c>
      <c r="C573" s="8" t="n"/>
      <c r="F573" s="8" t="n"/>
      <c r="G573" s="8">
        <f>IF(F573&lt;&gt;"",HYPERLINK("https://www.google.com/maps/search/?api=1&amp;query="&amp;SUBSTITUTE(F573," ",""),"🗺 Google Maps"),"")</f>
        <v/>
      </c>
      <c r="H573" s="8">
        <f>IF(F573&lt;&gt;"",HYPERLINK("https://waze.com/ul?ll="&amp;SUBSTITUTE(F573," ","")&amp;"&amp;navigate=yes","🚗 Waze"),"")</f>
        <v/>
      </c>
      <c r="I573" s="8">
        <f>IF(F573&lt;&gt;"",HYPERLINK("https://m.uber.com/ul/?action=setPickup&amp;pickup=my_location&amp;dropoff[latitude]="&amp;LEFT(SUBSTITUTE(F573," ",""),FIND(",",SUBSTITUTE(F573," ",""))-1)&amp;"&amp;dropoff[longitude]="&amp;MID(SUBSTITUTE(F573," ",""),FIND(",",SUBSTITUTE(F573," ",""))+1,99),"🚕 Uber"),"")</f>
        <v/>
      </c>
      <c r="J573" s="8">
        <f>IF(F573&lt;&gt;"","https://api.qrserver.com/v1/create-qr-code/?size=200x200&amp;data="&amp;ENCODEURL("https://www.google.com/maps/search/?api=1&amp;query="&amp;SUBSTITUTE(F573," ","")),"")</f>
        <v/>
      </c>
      <c r="K573" s="8">
        <f>IF(C573&lt;&gt;"",HYPERLINK("https://wa.me/507"&amp;REGEXREPLACE(C573,"[^0-9]","")&amp;"?text="&amp;ENCODEURL("Ya llegue. Codigo: "&amp;A573&amp;". Ubicacion: "&amp;"https://www.google.com/maps/search/?api=1&amp;query="&amp;SUBSTITUTE(F573," ","")),"📲 Avisar al cliente"),"")</f>
        <v/>
      </c>
      <c r="L573" s="8">
        <f>IF(C573&lt;&gt;"","https://api.qrserver.com/v1/create-qr-code/?size=200x200&amp;data="&amp;ENCODEURL("https://wa.me/507"&amp;REGEXREPLACE(C573,"[^0-9]","")&amp;"?text="&amp;ENCODEURL("Ya llegue. Codigo: "&amp;A573&amp;". Ubicacion: "&amp;"https://www.google.com/maps/search/?api=1&amp;query="&amp;SUBSTITUTE(F573," ",""))),"")</f>
        <v/>
      </c>
      <c r="M573" s="8">
        <f>IF(B573&lt;&gt;"",TODAY(),"")</f>
        <v/>
      </c>
      <c r="N573" s="8">
        <f>IF(F573&lt;&gt;"",IFERROR(IF(AND(REGEXMATCH(SUBSTITUTE(TRIM(F573)," ",""),"^-?\d+(\.\d+)?,-?\d+(\.\d+)?$"),VALUE(REGEXEXTRACT(SUBSTITUTE(TRIM(F573)," ",""),"^-?\d+(\.\d+)?"))&gt;=-90,VALUE(REGEXEXTRACT(SUBSTITUTE(TRIM(F573)," ",""),"^-?\d+(\.\d+)?"))&lt;=90,VALUE(REGEXEXTRACT(SUBSTITUTE(TRIM(F573)," ",""),"-?\d+(\.\d+)?$"))&gt;=-180,VALUE(REGEXEXTRACT(SUBSTITUTE(TRIM(F573)," ",""),"-?\d+(\.\d+)?$"))&lt;=180),"OK","REVISAR"),"REVISAR"),"")</f>
        <v/>
      </c>
      <c r="O573">
        <f>IF(A573&lt;&gt;"","https://direcciones507.github.io/direcciones507/panel.html?codigo="&amp;A573&amp;"&amp;nombre="&amp;ENCODEURL(B573)&amp;"&amp;telefono="&amp;SUBSTITUTE(C573,"-","")&amp;"&amp;referencia="&amp;ENCODEURL(E573)&amp;"&amp;lat="&amp;IZQUIERDA(SUBSTITUTE(F573," ",""),ENCONTRAR(",",SUBSTITUTE(F573," ",""))-1)&amp;"&amp;lng="&amp;DERECHA(SUBSTITUTE(F573," ",""),LARGO(SUBSTITUTE(F573," ",""))-ENCONTRAR(",",SUBSTITUTE(F573," ",""))),"")</f>
        <v/>
      </c>
    </row>
    <row r="574" ht="15.75" customHeight="1" s="10">
      <c r="A574" s="8">
        <f>CONCAT("AD507-",TEXT(ROW()-2,"0000"))</f>
        <v/>
      </c>
      <c r="C574" s="8" t="n"/>
      <c r="F574" s="8" t="n"/>
      <c r="G574" s="8">
        <f>IF(F574&lt;&gt;"",HYPERLINK("https://www.google.com/maps/search/?api=1&amp;query="&amp;SUBSTITUTE(F574," ",""),"🗺 Google Maps"),"")</f>
        <v/>
      </c>
      <c r="H574" s="8">
        <f>IF(F574&lt;&gt;"",HYPERLINK("https://waze.com/ul?ll="&amp;SUBSTITUTE(F574," ","")&amp;"&amp;navigate=yes","🚗 Waze"),"")</f>
        <v/>
      </c>
      <c r="I574" s="8">
        <f>IF(F574&lt;&gt;"",HYPERLINK("https://m.uber.com/ul/?action=setPickup&amp;pickup=my_location&amp;dropoff[latitude]="&amp;LEFT(SUBSTITUTE(F574," ",""),FIND(",",SUBSTITUTE(F574," ",""))-1)&amp;"&amp;dropoff[longitude]="&amp;MID(SUBSTITUTE(F574," ",""),FIND(",",SUBSTITUTE(F574," ",""))+1,99),"🚕 Uber"),"")</f>
        <v/>
      </c>
      <c r="J574" s="8">
        <f>IF(F574&lt;&gt;"","https://api.qrserver.com/v1/create-qr-code/?size=200x200&amp;data="&amp;ENCODEURL("https://www.google.com/maps/search/?api=1&amp;query="&amp;SUBSTITUTE(F574," ","")),"")</f>
        <v/>
      </c>
      <c r="K574" s="8">
        <f>IF(C574&lt;&gt;"",HYPERLINK("https://wa.me/507"&amp;REGEXREPLACE(C574,"[^0-9]","")&amp;"?text="&amp;ENCODEURL("Ya llegue. Codigo: "&amp;A574&amp;". Ubicacion: "&amp;"https://www.google.com/maps/search/?api=1&amp;query="&amp;SUBSTITUTE(F574," ","")),"📲 Avisar al cliente"),"")</f>
        <v/>
      </c>
      <c r="L574" s="8">
        <f>IF(C574&lt;&gt;"","https://api.qrserver.com/v1/create-qr-code/?size=200x200&amp;data="&amp;ENCODEURL("https://wa.me/507"&amp;REGEXREPLACE(C574,"[^0-9]","")&amp;"?text="&amp;ENCODEURL("Ya llegue. Codigo: "&amp;A574&amp;". Ubicacion: "&amp;"https://www.google.com/maps/search/?api=1&amp;query="&amp;SUBSTITUTE(F574," ",""))),"")</f>
        <v/>
      </c>
      <c r="M574" s="8">
        <f>IF(B574&lt;&gt;"",TODAY(),"")</f>
        <v/>
      </c>
      <c r="N574" s="8">
        <f>IF(F574&lt;&gt;"",IFERROR(IF(AND(REGEXMATCH(SUBSTITUTE(TRIM(F574)," ",""),"^-?\d+(\.\d+)?,-?\d+(\.\d+)?$"),VALUE(REGEXEXTRACT(SUBSTITUTE(TRIM(F574)," ",""),"^-?\d+(\.\d+)?"))&gt;=-90,VALUE(REGEXEXTRACT(SUBSTITUTE(TRIM(F574)," ",""),"^-?\d+(\.\d+)?"))&lt;=90,VALUE(REGEXEXTRACT(SUBSTITUTE(TRIM(F574)," ",""),"-?\d+(\.\d+)?$"))&gt;=-180,VALUE(REGEXEXTRACT(SUBSTITUTE(TRIM(F574)," ",""),"-?\d+(\.\d+)?$"))&lt;=180),"OK","REVISAR"),"REVISAR"),"")</f>
        <v/>
      </c>
      <c r="O574">
        <f>IF(A574&lt;&gt;"","https://direcciones507.github.io/direcciones507/panel.html?codigo="&amp;A574&amp;"&amp;nombre="&amp;ENCODEURL(B574)&amp;"&amp;telefono="&amp;SUBSTITUTE(C574,"-","")&amp;"&amp;referencia="&amp;ENCODEURL(E574)&amp;"&amp;lat="&amp;IZQUIERDA(SUBSTITUTE(F574," ",""),ENCONTRAR(",",SUBSTITUTE(F574," ",""))-1)&amp;"&amp;lng="&amp;DERECHA(SUBSTITUTE(F574," ",""),LARGO(SUBSTITUTE(F574," ",""))-ENCONTRAR(",",SUBSTITUTE(F574," ",""))),"")</f>
        <v/>
      </c>
    </row>
    <row r="575" ht="15.75" customHeight="1" s="10">
      <c r="A575" s="8">
        <f>CONCAT("AD507-",TEXT(ROW()-2,"0000"))</f>
        <v/>
      </c>
      <c r="C575" s="8" t="n"/>
      <c r="F575" s="8" t="n"/>
      <c r="G575" s="8">
        <f>IF(F575&lt;&gt;"",HYPERLINK("https://www.google.com/maps/search/?api=1&amp;query="&amp;SUBSTITUTE(F575," ",""),"🗺 Google Maps"),"")</f>
        <v/>
      </c>
      <c r="H575" s="8">
        <f>IF(F575&lt;&gt;"",HYPERLINK("https://waze.com/ul?ll="&amp;SUBSTITUTE(F575," ","")&amp;"&amp;navigate=yes","🚗 Waze"),"")</f>
        <v/>
      </c>
      <c r="I575" s="8">
        <f>IF(F575&lt;&gt;"",HYPERLINK("https://m.uber.com/ul/?action=setPickup&amp;pickup=my_location&amp;dropoff[latitude]="&amp;LEFT(SUBSTITUTE(F575," ",""),FIND(",",SUBSTITUTE(F575," ",""))-1)&amp;"&amp;dropoff[longitude]="&amp;MID(SUBSTITUTE(F575," ",""),FIND(",",SUBSTITUTE(F575," ",""))+1,99),"🚕 Uber"),"")</f>
        <v/>
      </c>
      <c r="J575" s="8">
        <f>IF(F575&lt;&gt;"","https://api.qrserver.com/v1/create-qr-code/?size=200x200&amp;data="&amp;ENCODEURL("https://www.google.com/maps/search/?api=1&amp;query="&amp;SUBSTITUTE(F575," ","")),"")</f>
        <v/>
      </c>
      <c r="K575" s="8">
        <f>IF(C575&lt;&gt;"",HYPERLINK("https://wa.me/507"&amp;REGEXREPLACE(C575,"[^0-9]","")&amp;"?text="&amp;ENCODEURL("Ya llegue. Codigo: "&amp;A575&amp;". Ubicacion: "&amp;"https://www.google.com/maps/search/?api=1&amp;query="&amp;SUBSTITUTE(F575," ","")),"📲 Avisar al cliente"),"")</f>
        <v/>
      </c>
      <c r="L575" s="8">
        <f>IF(C575&lt;&gt;"","https://api.qrserver.com/v1/create-qr-code/?size=200x200&amp;data="&amp;ENCODEURL("https://wa.me/507"&amp;REGEXREPLACE(C575,"[^0-9]","")&amp;"?text="&amp;ENCODEURL("Ya llegue. Codigo: "&amp;A575&amp;". Ubicacion: "&amp;"https://www.google.com/maps/search/?api=1&amp;query="&amp;SUBSTITUTE(F575," ",""))),"")</f>
        <v/>
      </c>
      <c r="M575" s="8">
        <f>IF(B575&lt;&gt;"",TODAY(),"")</f>
        <v/>
      </c>
      <c r="N575" s="8">
        <f>IF(F575&lt;&gt;"",IFERROR(IF(AND(REGEXMATCH(SUBSTITUTE(TRIM(F575)," ",""),"^-?\d+(\.\d+)?,-?\d+(\.\d+)?$"),VALUE(REGEXEXTRACT(SUBSTITUTE(TRIM(F575)," ",""),"^-?\d+(\.\d+)?"))&gt;=-90,VALUE(REGEXEXTRACT(SUBSTITUTE(TRIM(F575)," ",""),"^-?\d+(\.\d+)?"))&lt;=90,VALUE(REGEXEXTRACT(SUBSTITUTE(TRIM(F575)," ",""),"-?\d+(\.\d+)?$"))&gt;=-180,VALUE(REGEXEXTRACT(SUBSTITUTE(TRIM(F575)," ",""),"-?\d+(\.\d+)?$"))&lt;=180),"OK","REVISAR"),"REVISAR"),"")</f>
        <v/>
      </c>
      <c r="O575">
        <f>IF(A575&lt;&gt;"","https://direcciones507.github.io/direcciones507/panel.html?codigo="&amp;A575&amp;"&amp;nombre="&amp;ENCODEURL(B575)&amp;"&amp;telefono="&amp;SUBSTITUTE(C575,"-","")&amp;"&amp;referencia="&amp;ENCODEURL(E575)&amp;"&amp;lat="&amp;IZQUIERDA(SUBSTITUTE(F575," ",""),ENCONTRAR(",",SUBSTITUTE(F575," ",""))-1)&amp;"&amp;lng="&amp;DERECHA(SUBSTITUTE(F575," ",""),LARGO(SUBSTITUTE(F575," ",""))-ENCONTRAR(",",SUBSTITUTE(F575," ",""))),"")</f>
        <v/>
      </c>
    </row>
    <row r="576" ht="15.75" customHeight="1" s="10">
      <c r="A576" s="8">
        <f>CONCAT("AD507-",TEXT(ROW()-2,"0000"))</f>
        <v/>
      </c>
      <c r="C576" s="8" t="n"/>
      <c r="F576" s="8" t="n"/>
      <c r="G576" s="8">
        <f>IF(F576&lt;&gt;"",HYPERLINK("https://www.google.com/maps/search/?api=1&amp;query="&amp;SUBSTITUTE(F576," ",""),"🗺 Google Maps"),"")</f>
        <v/>
      </c>
      <c r="H576" s="8">
        <f>IF(F576&lt;&gt;"",HYPERLINK("https://waze.com/ul?ll="&amp;SUBSTITUTE(F576," ","")&amp;"&amp;navigate=yes","🚗 Waze"),"")</f>
        <v/>
      </c>
      <c r="I576" s="8">
        <f>IF(F576&lt;&gt;"",HYPERLINK("https://m.uber.com/ul/?action=setPickup&amp;pickup=my_location&amp;dropoff[latitude]="&amp;LEFT(SUBSTITUTE(F576," ",""),FIND(",",SUBSTITUTE(F576," ",""))-1)&amp;"&amp;dropoff[longitude]="&amp;MID(SUBSTITUTE(F576," ",""),FIND(",",SUBSTITUTE(F576," ",""))+1,99),"🚕 Uber"),"")</f>
        <v/>
      </c>
      <c r="J576" s="8">
        <f>IF(F576&lt;&gt;"","https://api.qrserver.com/v1/create-qr-code/?size=200x200&amp;data="&amp;ENCODEURL("https://www.google.com/maps/search/?api=1&amp;query="&amp;SUBSTITUTE(F576," ","")),"")</f>
        <v/>
      </c>
      <c r="K576" s="8">
        <f>IF(C576&lt;&gt;"",HYPERLINK("https://wa.me/507"&amp;REGEXREPLACE(C576,"[^0-9]","")&amp;"?text="&amp;ENCODEURL("Ya llegue. Codigo: "&amp;A576&amp;". Ubicacion: "&amp;"https://www.google.com/maps/search/?api=1&amp;query="&amp;SUBSTITUTE(F576," ","")),"📲 Avisar al cliente"),"")</f>
        <v/>
      </c>
      <c r="L576" s="8">
        <f>IF(C576&lt;&gt;"","https://api.qrserver.com/v1/create-qr-code/?size=200x200&amp;data="&amp;ENCODEURL("https://wa.me/507"&amp;REGEXREPLACE(C576,"[^0-9]","")&amp;"?text="&amp;ENCODEURL("Ya llegue. Codigo: "&amp;A576&amp;". Ubicacion: "&amp;"https://www.google.com/maps/search/?api=1&amp;query="&amp;SUBSTITUTE(F576," ",""))),"")</f>
        <v/>
      </c>
      <c r="M576" s="8">
        <f>IF(B576&lt;&gt;"",TODAY(),"")</f>
        <v/>
      </c>
      <c r="N576" s="8">
        <f>IF(F576&lt;&gt;"",IFERROR(IF(AND(REGEXMATCH(SUBSTITUTE(TRIM(F576)," ",""),"^-?\d+(\.\d+)?,-?\d+(\.\d+)?$"),VALUE(REGEXEXTRACT(SUBSTITUTE(TRIM(F576)," ",""),"^-?\d+(\.\d+)?"))&gt;=-90,VALUE(REGEXEXTRACT(SUBSTITUTE(TRIM(F576)," ",""),"^-?\d+(\.\d+)?"))&lt;=90,VALUE(REGEXEXTRACT(SUBSTITUTE(TRIM(F576)," ",""),"-?\d+(\.\d+)?$"))&gt;=-180,VALUE(REGEXEXTRACT(SUBSTITUTE(TRIM(F576)," ",""),"-?\d+(\.\d+)?$"))&lt;=180),"OK","REVISAR"),"REVISAR"),"")</f>
        <v/>
      </c>
      <c r="O576">
        <f>IF(A576&lt;&gt;"","https://direcciones507.github.io/direcciones507/panel.html?codigo="&amp;A576&amp;"&amp;nombre="&amp;ENCODEURL(B576)&amp;"&amp;telefono="&amp;SUBSTITUTE(C576,"-","")&amp;"&amp;referencia="&amp;ENCODEURL(E576)&amp;"&amp;lat="&amp;IZQUIERDA(SUBSTITUTE(F576," ",""),ENCONTRAR(",",SUBSTITUTE(F576," ",""))-1)&amp;"&amp;lng="&amp;DERECHA(SUBSTITUTE(F576," ",""),LARGO(SUBSTITUTE(F576," ",""))-ENCONTRAR(",",SUBSTITUTE(F576," ",""))),"")</f>
        <v/>
      </c>
    </row>
    <row r="577" ht="15.75" customHeight="1" s="10">
      <c r="A577" s="8">
        <f>CONCAT("AD507-",TEXT(ROW()-2,"0000"))</f>
        <v/>
      </c>
      <c r="C577" s="8" t="n"/>
      <c r="F577" s="8" t="n"/>
      <c r="G577" s="8">
        <f>IF(F577&lt;&gt;"",HYPERLINK("https://www.google.com/maps/search/?api=1&amp;query="&amp;SUBSTITUTE(F577," ",""),"🗺 Google Maps"),"")</f>
        <v/>
      </c>
      <c r="H577" s="8">
        <f>IF(F577&lt;&gt;"",HYPERLINK("https://waze.com/ul?ll="&amp;SUBSTITUTE(F577," ","")&amp;"&amp;navigate=yes","🚗 Waze"),"")</f>
        <v/>
      </c>
      <c r="I577" s="8">
        <f>IF(F577&lt;&gt;"",HYPERLINK("https://m.uber.com/ul/?action=setPickup&amp;pickup=my_location&amp;dropoff[latitude]="&amp;LEFT(SUBSTITUTE(F577," ",""),FIND(",",SUBSTITUTE(F577," ",""))-1)&amp;"&amp;dropoff[longitude]="&amp;MID(SUBSTITUTE(F577," ",""),FIND(",",SUBSTITUTE(F577," ",""))+1,99),"🚕 Uber"),"")</f>
        <v/>
      </c>
      <c r="J577" s="8">
        <f>IF(F577&lt;&gt;"","https://api.qrserver.com/v1/create-qr-code/?size=200x200&amp;data="&amp;ENCODEURL("https://www.google.com/maps/search/?api=1&amp;query="&amp;SUBSTITUTE(F577," ","")),"")</f>
        <v/>
      </c>
      <c r="K577" s="8">
        <f>IF(C577&lt;&gt;"",HYPERLINK("https://wa.me/507"&amp;REGEXREPLACE(C577,"[^0-9]","")&amp;"?text="&amp;ENCODEURL("Ya llegue. Codigo: "&amp;A577&amp;". Ubicacion: "&amp;"https://www.google.com/maps/search/?api=1&amp;query="&amp;SUBSTITUTE(F577," ","")),"📲 Avisar al cliente"),"")</f>
        <v/>
      </c>
      <c r="L577" s="8">
        <f>IF(C577&lt;&gt;"","https://api.qrserver.com/v1/create-qr-code/?size=200x200&amp;data="&amp;ENCODEURL("https://wa.me/507"&amp;REGEXREPLACE(C577,"[^0-9]","")&amp;"?text="&amp;ENCODEURL("Ya llegue. Codigo: "&amp;A577&amp;". Ubicacion: "&amp;"https://www.google.com/maps/search/?api=1&amp;query="&amp;SUBSTITUTE(F577," ",""))),"")</f>
        <v/>
      </c>
      <c r="M577" s="8">
        <f>IF(B577&lt;&gt;"",TODAY(),"")</f>
        <v/>
      </c>
      <c r="N577" s="8">
        <f>IF(F577&lt;&gt;"",IFERROR(IF(AND(REGEXMATCH(SUBSTITUTE(TRIM(F577)," ",""),"^-?\d+(\.\d+)?,-?\d+(\.\d+)?$"),VALUE(REGEXEXTRACT(SUBSTITUTE(TRIM(F577)," ",""),"^-?\d+(\.\d+)?"))&gt;=-90,VALUE(REGEXEXTRACT(SUBSTITUTE(TRIM(F577)," ",""),"^-?\d+(\.\d+)?"))&lt;=90,VALUE(REGEXEXTRACT(SUBSTITUTE(TRIM(F577)," ",""),"-?\d+(\.\d+)?$"))&gt;=-180,VALUE(REGEXEXTRACT(SUBSTITUTE(TRIM(F577)," ",""),"-?\d+(\.\d+)?$"))&lt;=180),"OK","REVISAR"),"REVISAR"),"")</f>
        <v/>
      </c>
      <c r="O577">
        <f>IF(A577&lt;&gt;"","https://direcciones507.github.io/direcciones507/panel.html?codigo="&amp;A577&amp;"&amp;nombre="&amp;ENCODEURL(B577)&amp;"&amp;telefono="&amp;SUBSTITUTE(C577,"-","")&amp;"&amp;referencia="&amp;ENCODEURL(E577)&amp;"&amp;lat="&amp;IZQUIERDA(SUBSTITUTE(F577," ",""),ENCONTRAR(",",SUBSTITUTE(F577," ",""))-1)&amp;"&amp;lng="&amp;DERECHA(SUBSTITUTE(F577," ",""),LARGO(SUBSTITUTE(F577," ",""))-ENCONTRAR(",",SUBSTITUTE(F577," ",""))),"")</f>
        <v/>
      </c>
    </row>
    <row r="578" ht="15.75" customHeight="1" s="10">
      <c r="A578" s="8">
        <f>CONCAT("AD507-",TEXT(ROW()-2,"0000"))</f>
        <v/>
      </c>
      <c r="C578" s="8" t="n"/>
      <c r="F578" s="8" t="n"/>
      <c r="G578" s="8">
        <f>IF(F578&lt;&gt;"",HYPERLINK("https://www.google.com/maps/search/?api=1&amp;query="&amp;SUBSTITUTE(F578," ",""),"🗺 Google Maps"),"")</f>
        <v/>
      </c>
      <c r="H578" s="8">
        <f>IF(F578&lt;&gt;"",HYPERLINK("https://waze.com/ul?ll="&amp;SUBSTITUTE(F578," ","")&amp;"&amp;navigate=yes","🚗 Waze"),"")</f>
        <v/>
      </c>
      <c r="I578" s="8">
        <f>IF(F578&lt;&gt;"",HYPERLINK("https://m.uber.com/ul/?action=setPickup&amp;pickup=my_location&amp;dropoff[latitude]="&amp;LEFT(SUBSTITUTE(F578," ",""),FIND(",",SUBSTITUTE(F578," ",""))-1)&amp;"&amp;dropoff[longitude]="&amp;MID(SUBSTITUTE(F578," ",""),FIND(",",SUBSTITUTE(F578," ",""))+1,99),"🚕 Uber"),"")</f>
        <v/>
      </c>
      <c r="J578" s="8">
        <f>IF(F578&lt;&gt;"","https://api.qrserver.com/v1/create-qr-code/?size=200x200&amp;data="&amp;ENCODEURL("https://www.google.com/maps/search/?api=1&amp;query="&amp;SUBSTITUTE(F578," ","")),"")</f>
        <v/>
      </c>
      <c r="K578" s="8">
        <f>IF(C578&lt;&gt;"",HYPERLINK("https://wa.me/507"&amp;REGEXREPLACE(C578,"[^0-9]","")&amp;"?text="&amp;ENCODEURL("Ya llegue. Codigo: "&amp;A578&amp;". Ubicacion: "&amp;"https://www.google.com/maps/search/?api=1&amp;query="&amp;SUBSTITUTE(F578," ","")),"📲 Avisar al cliente"),"")</f>
        <v/>
      </c>
      <c r="L578" s="8">
        <f>IF(C578&lt;&gt;"","https://api.qrserver.com/v1/create-qr-code/?size=200x200&amp;data="&amp;ENCODEURL("https://wa.me/507"&amp;REGEXREPLACE(C578,"[^0-9]","")&amp;"?text="&amp;ENCODEURL("Ya llegue. Codigo: "&amp;A578&amp;". Ubicacion: "&amp;"https://www.google.com/maps/search/?api=1&amp;query="&amp;SUBSTITUTE(F578," ",""))),"")</f>
        <v/>
      </c>
      <c r="M578" s="8">
        <f>IF(B578&lt;&gt;"",TODAY(),"")</f>
        <v/>
      </c>
      <c r="N578" s="8">
        <f>IF(F578&lt;&gt;"",IFERROR(IF(AND(REGEXMATCH(SUBSTITUTE(TRIM(F578)," ",""),"^-?\d+(\.\d+)?,-?\d+(\.\d+)?$"),VALUE(REGEXEXTRACT(SUBSTITUTE(TRIM(F578)," ",""),"^-?\d+(\.\d+)?"))&gt;=-90,VALUE(REGEXEXTRACT(SUBSTITUTE(TRIM(F578)," ",""),"^-?\d+(\.\d+)?"))&lt;=90,VALUE(REGEXEXTRACT(SUBSTITUTE(TRIM(F578)," ",""),"-?\d+(\.\d+)?$"))&gt;=-180,VALUE(REGEXEXTRACT(SUBSTITUTE(TRIM(F578)," ",""),"-?\d+(\.\d+)?$"))&lt;=180),"OK","REVISAR"),"REVISAR"),"")</f>
        <v/>
      </c>
      <c r="O578">
        <f>IF(A578&lt;&gt;"","https://direcciones507.github.io/direcciones507/panel.html?codigo="&amp;A578&amp;"&amp;nombre="&amp;ENCODEURL(B578)&amp;"&amp;telefono="&amp;SUBSTITUTE(C578,"-","")&amp;"&amp;referencia="&amp;ENCODEURL(E578)&amp;"&amp;lat="&amp;IZQUIERDA(SUBSTITUTE(F578," ",""),ENCONTRAR(",",SUBSTITUTE(F578," ",""))-1)&amp;"&amp;lng="&amp;DERECHA(SUBSTITUTE(F578," ",""),LARGO(SUBSTITUTE(F578," ",""))-ENCONTRAR(",",SUBSTITUTE(F578," ",""))),"")</f>
        <v/>
      </c>
    </row>
    <row r="579" ht="15.75" customHeight="1" s="10">
      <c r="A579" s="8">
        <f>CONCAT("AD507-",TEXT(ROW()-2,"0000"))</f>
        <v/>
      </c>
      <c r="C579" s="8" t="n"/>
      <c r="F579" s="8" t="n"/>
      <c r="G579" s="8">
        <f>IF(F579&lt;&gt;"",HYPERLINK("https://www.google.com/maps/search/?api=1&amp;query="&amp;SUBSTITUTE(F579," ",""),"🗺 Google Maps"),"")</f>
        <v/>
      </c>
      <c r="H579" s="8">
        <f>IF(F579&lt;&gt;"",HYPERLINK("https://waze.com/ul?ll="&amp;SUBSTITUTE(F579," ","")&amp;"&amp;navigate=yes","🚗 Waze"),"")</f>
        <v/>
      </c>
      <c r="I579" s="8">
        <f>IF(F579&lt;&gt;"",HYPERLINK("https://m.uber.com/ul/?action=setPickup&amp;pickup=my_location&amp;dropoff[latitude]="&amp;LEFT(SUBSTITUTE(F579," ",""),FIND(",",SUBSTITUTE(F579," ",""))-1)&amp;"&amp;dropoff[longitude]="&amp;MID(SUBSTITUTE(F579," ",""),FIND(",",SUBSTITUTE(F579," ",""))+1,99),"🚕 Uber"),"")</f>
        <v/>
      </c>
      <c r="J579" s="8">
        <f>IF(F579&lt;&gt;"","https://api.qrserver.com/v1/create-qr-code/?size=200x200&amp;data="&amp;ENCODEURL("https://www.google.com/maps/search/?api=1&amp;query="&amp;SUBSTITUTE(F579," ","")),"")</f>
        <v/>
      </c>
      <c r="K579" s="8">
        <f>IF(C579&lt;&gt;"",HYPERLINK("https://wa.me/507"&amp;REGEXREPLACE(C579,"[^0-9]","")&amp;"?text="&amp;ENCODEURL("Ya llegue. Codigo: "&amp;A579&amp;". Ubicacion: "&amp;"https://www.google.com/maps/search/?api=1&amp;query="&amp;SUBSTITUTE(F579," ","")),"📲 Avisar al cliente"),"")</f>
        <v/>
      </c>
      <c r="L579" s="8">
        <f>IF(C579&lt;&gt;"","https://api.qrserver.com/v1/create-qr-code/?size=200x200&amp;data="&amp;ENCODEURL("https://wa.me/507"&amp;REGEXREPLACE(C579,"[^0-9]","")&amp;"?text="&amp;ENCODEURL("Ya llegue. Codigo: "&amp;A579&amp;". Ubicacion: "&amp;"https://www.google.com/maps/search/?api=1&amp;query="&amp;SUBSTITUTE(F579," ",""))),"")</f>
        <v/>
      </c>
      <c r="M579" s="8">
        <f>IF(B579&lt;&gt;"",TODAY(),"")</f>
        <v/>
      </c>
      <c r="N579" s="8">
        <f>IF(F579&lt;&gt;"",IFERROR(IF(AND(REGEXMATCH(SUBSTITUTE(TRIM(F579)," ",""),"^-?\d+(\.\d+)?,-?\d+(\.\d+)?$"),VALUE(REGEXEXTRACT(SUBSTITUTE(TRIM(F579)," ",""),"^-?\d+(\.\d+)?"))&gt;=-90,VALUE(REGEXEXTRACT(SUBSTITUTE(TRIM(F579)," ",""),"^-?\d+(\.\d+)?"))&lt;=90,VALUE(REGEXEXTRACT(SUBSTITUTE(TRIM(F579)," ",""),"-?\d+(\.\d+)?$"))&gt;=-180,VALUE(REGEXEXTRACT(SUBSTITUTE(TRIM(F579)," ",""),"-?\d+(\.\d+)?$"))&lt;=180),"OK","REVISAR"),"REVISAR"),"")</f>
        <v/>
      </c>
      <c r="O579">
        <f>IF(A579&lt;&gt;"","https://direcciones507.github.io/direcciones507/panel.html?codigo="&amp;A579&amp;"&amp;nombre="&amp;ENCODEURL(B579)&amp;"&amp;telefono="&amp;SUBSTITUTE(C579,"-","")&amp;"&amp;referencia="&amp;ENCODEURL(E579)&amp;"&amp;lat="&amp;IZQUIERDA(SUBSTITUTE(F579," ",""),ENCONTRAR(",",SUBSTITUTE(F579," ",""))-1)&amp;"&amp;lng="&amp;DERECHA(SUBSTITUTE(F579," ",""),LARGO(SUBSTITUTE(F579," ",""))-ENCONTRAR(",",SUBSTITUTE(F579," ",""))),"")</f>
        <v/>
      </c>
    </row>
    <row r="580" ht="15.75" customHeight="1" s="10">
      <c r="A580" s="8">
        <f>CONCAT("AD507-",TEXT(ROW()-2,"0000"))</f>
        <v/>
      </c>
      <c r="C580" s="8" t="n"/>
      <c r="F580" s="8" t="n"/>
      <c r="G580" s="8">
        <f>IF(F580&lt;&gt;"",HYPERLINK("https://www.google.com/maps/search/?api=1&amp;query="&amp;SUBSTITUTE(F580," ",""),"🗺 Google Maps"),"")</f>
        <v/>
      </c>
      <c r="H580" s="8">
        <f>IF(F580&lt;&gt;"",HYPERLINK("https://waze.com/ul?ll="&amp;SUBSTITUTE(F580," ","")&amp;"&amp;navigate=yes","🚗 Waze"),"")</f>
        <v/>
      </c>
      <c r="I580" s="8">
        <f>IF(F580&lt;&gt;"",HYPERLINK("https://m.uber.com/ul/?action=setPickup&amp;pickup=my_location&amp;dropoff[latitude]="&amp;LEFT(SUBSTITUTE(F580," ",""),FIND(",",SUBSTITUTE(F580," ",""))-1)&amp;"&amp;dropoff[longitude]="&amp;MID(SUBSTITUTE(F580," ",""),FIND(",",SUBSTITUTE(F580," ",""))+1,99),"🚕 Uber"),"")</f>
        <v/>
      </c>
      <c r="J580" s="8">
        <f>IF(F580&lt;&gt;"","https://api.qrserver.com/v1/create-qr-code/?size=200x200&amp;data="&amp;ENCODEURL("https://www.google.com/maps/search/?api=1&amp;query="&amp;SUBSTITUTE(F580," ","")),"")</f>
        <v/>
      </c>
      <c r="K580" s="8">
        <f>IF(C580&lt;&gt;"",HYPERLINK("https://wa.me/507"&amp;REGEXREPLACE(C580,"[^0-9]","")&amp;"?text="&amp;ENCODEURL("Ya llegue. Codigo: "&amp;A580&amp;". Ubicacion: "&amp;"https://www.google.com/maps/search/?api=1&amp;query="&amp;SUBSTITUTE(F580," ","")),"📲 Avisar al cliente"),"")</f>
        <v/>
      </c>
      <c r="L580" s="8">
        <f>IF(C580&lt;&gt;"","https://api.qrserver.com/v1/create-qr-code/?size=200x200&amp;data="&amp;ENCODEURL("https://wa.me/507"&amp;REGEXREPLACE(C580,"[^0-9]","")&amp;"?text="&amp;ENCODEURL("Ya llegue. Codigo: "&amp;A580&amp;". Ubicacion: "&amp;"https://www.google.com/maps/search/?api=1&amp;query="&amp;SUBSTITUTE(F580," ",""))),"")</f>
        <v/>
      </c>
      <c r="M580" s="8">
        <f>IF(B580&lt;&gt;"",TODAY(),"")</f>
        <v/>
      </c>
      <c r="N580" s="8">
        <f>IF(F580&lt;&gt;"",IFERROR(IF(AND(REGEXMATCH(SUBSTITUTE(TRIM(F580)," ",""),"^-?\d+(\.\d+)?,-?\d+(\.\d+)?$"),VALUE(REGEXEXTRACT(SUBSTITUTE(TRIM(F580)," ",""),"^-?\d+(\.\d+)?"))&gt;=-90,VALUE(REGEXEXTRACT(SUBSTITUTE(TRIM(F580)," ",""),"^-?\d+(\.\d+)?"))&lt;=90,VALUE(REGEXEXTRACT(SUBSTITUTE(TRIM(F580)," ",""),"-?\d+(\.\d+)?$"))&gt;=-180,VALUE(REGEXEXTRACT(SUBSTITUTE(TRIM(F580)," ",""),"-?\d+(\.\d+)?$"))&lt;=180),"OK","REVISAR"),"REVISAR"),"")</f>
        <v/>
      </c>
      <c r="O580">
        <f>IF(A580&lt;&gt;"","https://direcciones507.github.io/direcciones507/panel.html?codigo="&amp;A580&amp;"&amp;nombre="&amp;ENCODEURL(B580)&amp;"&amp;telefono="&amp;SUBSTITUTE(C580,"-","")&amp;"&amp;referencia="&amp;ENCODEURL(E580)&amp;"&amp;lat="&amp;IZQUIERDA(SUBSTITUTE(F580," ",""),ENCONTRAR(",",SUBSTITUTE(F580," ",""))-1)&amp;"&amp;lng="&amp;DERECHA(SUBSTITUTE(F580," ",""),LARGO(SUBSTITUTE(F580," ",""))-ENCONTRAR(",",SUBSTITUTE(F580," ",""))),"")</f>
        <v/>
      </c>
    </row>
    <row r="581" ht="15.75" customHeight="1" s="10">
      <c r="A581" s="8">
        <f>CONCAT("AD507-",TEXT(ROW()-2,"0000"))</f>
        <v/>
      </c>
      <c r="C581" s="8" t="n"/>
      <c r="F581" s="8" t="n"/>
      <c r="G581" s="8">
        <f>IF(F581&lt;&gt;"",HYPERLINK("https://www.google.com/maps/search/?api=1&amp;query="&amp;SUBSTITUTE(F581," ",""),"🗺 Google Maps"),"")</f>
        <v/>
      </c>
      <c r="H581" s="8">
        <f>IF(F581&lt;&gt;"",HYPERLINK("https://waze.com/ul?ll="&amp;SUBSTITUTE(F581," ","")&amp;"&amp;navigate=yes","🚗 Waze"),"")</f>
        <v/>
      </c>
      <c r="I581" s="8">
        <f>IF(F581&lt;&gt;"",HYPERLINK("https://m.uber.com/ul/?action=setPickup&amp;pickup=my_location&amp;dropoff[latitude]="&amp;LEFT(SUBSTITUTE(F581," ",""),FIND(",",SUBSTITUTE(F581," ",""))-1)&amp;"&amp;dropoff[longitude]="&amp;MID(SUBSTITUTE(F581," ",""),FIND(",",SUBSTITUTE(F581," ",""))+1,99),"🚕 Uber"),"")</f>
        <v/>
      </c>
      <c r="J581" s="8">
        <f>IF(F581&lt;&gt;"","https://api.qrserver.com/v1/create-qr-code/?size=200x200&amp;data="&amp;ENCODEURL("https://www.google.com/maps/search/?api=1&amp;query="&amp;SUBSTITUTE(F581," ","")),"")</f>
        <v/>
      </c>
      <c r="K581" s="8">
        <f>IF(C581&lt;&gt;"",HYPERLINK("https://wa.me/507"&amp;REGEXREPLACE(C581,"[^0-9]","")&amp;"?text="&amp;ENCODEURL("Ya llegue. Codigo: "&amp;A581&amp;". Ubicacion: "&amp;"https://www.google.com/maps/search/?api=1&amp;query="&amp;SUBSTITUTE(F581," ","")),"📲 Avisar al cliente"),"")</f>
        <v/>
      </c>
      <c r="L581" s="8">
        <f>IF(C581&lt;&gt;"","https://api.qrserver.com/v1/create-qr-code/?size=200x200&amp;data="&amp;ENCODEURL("https://wa.me/507"&amp;REGEXREPLACE(C581,"[^0-9]","")&amp;"?text="&amp;ENCODEURL("Ya llegue. Codigo: "&amp;A581&amp;". Ubicacion: "&amp;"https://www.google.com/maps/search/?api=1&amp;query="&amp;SUBSTITUTE(F581," ",""))),"")</f>
        <v/>
      </c>
      <c r="M581" s="8">
        <f>IF(B581&lt;&gt;"",TODAY(),"")</f>
        <v/>
      </c>
      <c r="N581" s="8">
        <f>IF(F581&lt;&gt;"",IFERROR(IF(AND(REGEXMATCH(SUBSTITUTE(TRIM(F581)," ",""),"^-?\d+(\.\d+)?,-?\d+(\.\d+)?$"),VALUE(REGEXEXTRACT(SUBSTITUTE(TRIM(F581)," ",""),"^-?\d+(\.\d+)?"))&gt;=-90,VALUE(REGEXEXTRACT(SUBSTITUTE(TRIM(F581)," ",""),"^-?\d+(\.\d+)?"))&lt;=90,VALUE(REGEXEXTRACT(SUBSTITUTE(TRIM(F581)," ",""),"-?\d+(\.\d+)?$"))&gt;=-180,VALUE(REGEXEXTRACT(SUBSTITUTE(TRIM(F581)," ",""),"-?\d+(\.\d+)?$"))&lt;=180),"OK","REVISAR"),"REVISAR"),"")</f>
        <v/>
      </c>
      <c r="O581">
        <f>IF(A581&lt;&gt;"","https://direcciones507.github.io/direcciones507/panel.html?codigo="&amp;A581&amp;"&amp;nombre="&amp;ENCODEURL(B581)&amp;"&amp;telefono="&amp;SUBSTITUTE(C581,"-","")&amp;"&amp;referencia="&amp;ENCODEURL(E581)&amp;"&amp;lat="&amp;IZQUIERDA(SUBSTITUTE(F581," ",""),ENCONTRAR(",",SUBSTITUTE(F581," ",""))-1)&amp;"&amp;lng="&amp;DERECHA(SUBSTITUTE(F581," ",""),LARGO(SUBSTITUTE(F581," ",""))-ENCONTRAR(",",SUBSTITUTE(F581," ",""))),"")</f>
        <v/>
      </c>
    </row>
    <row r="582" ht="15.75" customHeight="1" s="10">
      <c r="A582" s="8">
        <f>CONCAT("AD507-",TEXT(ROW()-2,"0000"))</f>
        <v/>
      </c>
      <c r="C582" s="8" t="n"/>
      <c r="F582" s="8" t="n"/>
      <c r="G582" s="8">
        <f>IF(F582&lt;&gt;"",HYPERLINK("https://www.google.com/maps/search/?api=1&amp;query="&amp;SUBSTITUTE(F582," ",""),"🗺 Google Maps"),"")</f>
        <v/>
      </c>
      <c r="H582" s="8">
        <f>IF(F582&lt;&gt;"",HYPERLINK("https://waze.com/ul?ll="&amp;SUBSTITUTE(F582," ","")&amp;"&amp;navigate=yes","🚗 Waze"),"")</f>
        <v/>
      </c>
      <c r="I582" s="8">
        <f>IF(F582&lt;&gt;"",HYPERLINK("https://m.uber.com/ul/?action=setPickup&amp;pickup=my_location&amp;dropoff[latitude]="&amp;LEFT(SUBSTITUTE(F582," ",""),FIND(",",SUBSTITUTE(F582," ",""))-1)&amp;"&amp;dropoff[longitude]="&amp;MID(SUBSTITUTE(F582," ",""),FIND(",",SUBSTITUTE(F582," ",""))+1,99),"🚕 Uber"),"")</f>
        <v/>
      </c>
      <c r="J582" s="8">
        <f>IF(F582&lt;&gt;"","https://api.qrserver.com/v1/create-qr-code/?size=200x200&amp;data="&amp;ENCODEURL("https://www.google.com/maps/search/?api=1&amp;query="&amp;SUBSTITUTE(F582," ","")),"")</f>
        <v/>
      </c>
      <c r="K582" s="8">
        <f>IF(C582&lt;&gt;"",HYPERLINK("https://wa.me/507"&amp;REGEXREPLACE(C582,"[^0-9]","")&amp;"?text="&amp;ENCODEURL("Ya llegue. Codigo: "&amp;A582&amp;". Ubicacion: "&amp;"https://www.google.com/maps/search/?api=1&amp;query="&amp;SUBSTITUTE(F582," ","")),"📲 Avisar al cliente"),"")</f>
        <v/>
      </c>
      <c r="L582" s="8">
        <f>IF(C582&lt;&gt;"","https://api.qrserver.com/v1/create-qr-code/?size=200x200&amp;data="&amp;ENCODEURL("https://wa.me/507"&amp;REGEXREPLACE(C582,"[^0-9]","")&amp;"?text="&amp;ENCODEURL("Ya llegue. Codigo: "&amp;A582&amp;". Ubicacion: "&amp;"https://www.google.com/maps/search/?api=1&amp;query="&amp;SUBSTITUTE(F582," ",""))),"")</f>
        <v/>
      </c>
      <c r="M582" s="8">
        <f>IF(B582&lt;&gt;"",TODAY(),"")</f>
        <v/>
      </c>
      <c r="N582" s="8">
        <f>IF(F582&lt;&gt;"",IFERROR(IF(AND(REGEXMATCH(SUBSTITUTE(TRIM(F582)," ",""),"^-?\d+(\.\d+)?,-?\d+(\.\d+)?$"),VALUE(REGEXEXTRACT(SUBSTITUTE(TRIM(F582)," ",""),"^-?\d+(\.\d+)?"))&gt;=-90,VALUE(REGEXEXTRACT(SUBSTITUTE(TRIM(F582)," ",""),"^-?\d+(\.\d+)?"))&lt;=90,VALUE(REGEXEXTRACT(SUBSTITUTE(TRIM(F582)," ",""),"-?\d+(\.\d+)?$"))&gt;=-180,VALUE(REGEXEXTRACT(SUBSTITUTE(TRIM(F582)," ",""),"-?\d+(\.\d+)?$"))&lt;=180),"OK","REVISAR"),"REVISAR"),"")</f>
        <v/>
      </c>
      <c r="O582">
        <f>IF(A582&lt;&gt;"","https://direcciones507.github.io/direcciones507/panel.html?codigo="&amp;A582&amp;"&amp;nombre="&amp;ENCODEURL(B582)&amp;"&amp;telefono="&amp;SUBSTITUTE(C582,"-","")&amp;"&amp;referencia="&amp;ENCODEURL(E582)&amp;"&amp;lat="&amp;IZQUIERDA(SUBSTITUTE(F582," ",""),ENCONTRAR(",",SUBSTITUTE(F582," ",""))-1)&amp;"&amp;lng="&amp;DERECHA(SUBSTITUTE(F582," ",""),LARGO(SUBSTITUTE(F582," ",""))-ENCONTRAR(",",SUBSTITUTE(F582," ",""))),"")</f>
        <v/>
      </c>
    </row>
    <row r="583" ht="15.75" customHeight="1" s="10">
      <c r="A583" s="8">
        <f>CONCAT("AD507-",TEXT(ROW()-2,"0000"))</f>
        <v/>
      </c>
      <c r="C583" s="8" t="n"/>
      <c r="F583" s="8" t="n"/>
      <c r="G583" s="8">
        <f>IF(F583&lt;&gt;"",HYPERLINK("https://www.google.com/maps/search/?api=1&amp;query="&amp;SUBSTITUTE(F583," ",""),"🗺 Google Maps"),"")</f>
        <v/>
      </c>
      <c r="H583" s="8">
        <f>IF(F583&lt;&gt;"",HYPERLINK("https://waze.com/ul?ll="&amp;SUBSTITUTE(F583," ","")&amp;"&amp;navigate=yes","🚗 Waze"),"")</f>
        <v/>
      </c>
      <c r="I583" s="8">
        <f>IF(F583&lt;&gt;"",HYPERLINK("https://m.uber.com/ul/?action=setPickup&amp;pickup=my_location&amp;dropoff[latitude]="&amp;LEFT(SUBSTITUTE(F583," ",""),FIND(",",SUBSTITUTE(F583," ",""))-1)&amp;"&amp;dropoff[longitude]="&amp;MID(SUBSTITUTE(F583," ",""),FIND(",",SUBSTITUTE(F583," ",""))+1,99),"🚕 Uber"),"")</f>
        <v/>
      </c>
      <c r="J583" s="8">
        <f>IF(F583&lt;&gt;"","https://api.qrserver.com/v1/create-qr-code/?size=200x200&amp;data="&amp;ENCODEURL("https://www.google.com/maps/search/?api=1&amp;query="&amp;SUBSTITUTE(F583," ","")),"")</f>
        <v/>
      </c>
      <c r="K583" s="8">
        <f>IF(C583&lt;&gt;"",HYPERLINK("https://wa.me/507"&amp;REGEXREPLACE(C583,"[^0-9]","")&amp;"?text="&amp;ENCODEURL("Ya llegue. Codigo: "&amp;A583&amp;". Ubicacion: "&amp;"https://www.google.com/maps/search/?api=1&amp;query="&amp;SUBSTITUTE(F583," ","")),"📲 Avisar al cliente"),"")</f>
        <v/>
      </c>
      <c r="L583" s="8">
        <f>IF(C583&lt;&gt;"","https://api.qrserver.com/v1/create-qr-code/?size=200x200&amp;data="&amp;ENCODEURL("https://wa.me/507"&amp;REGEXREPLACE(C583,"[^0-9]","")&amp;"?text="&amp;ENCODEURL("Ya llegue. Codigo: "&amp;A583&amp;". Ubicacion: "&amp;"https://www.google.com/maps/search/?api=1&amp;query="&amp;SUBSTITUTE(F583," ",""))),"")</f>
        <v/>
      </c>
      <c r="M583" s="8">
        <f>IF(B583&lt;&gt;"",TODAY(),"")</f>
        <v/>
      </c>
      <c r="N583" s="8">
        <f>IF(F583&lt;&gt;"",IFERROR(IF(AND(REGEXMATCH(SUBSTITUTE(TRIM(F583)," ",""),"^-?\d+(\.\d+)?,-?\d+(\.\d+)?$"),VALUE(REGEXEXTRACT(SUBSTITUTE(TRIM(F583)," ",""),"^-?\d+(\.\d+)?"))&gt;=-90,VALUE(REGEXEXTRACT(SUBSTITUTE(TRIM(F583)," ",""),"^-?\d+(\.\d+)?"))&lt;=90,VALUE(REGEXEXTRACT(SUBSTITUTE(TRIM(F583)," ",""),"-?\d+(\.\d+)?$"))&gt;=-180,VALUE(REGEXEXTRACT(SUBSTITUTE(TRIM(F583)," ",""),"-?\d+(\.\d+)?$"))&lt;=180),"OK","REVISAR"),"REVISAR"),"")</f>
        <v/>
      </c>
      <c r="O583">
        <f>IF(A583&lt;&gt;"","https://direcciones507.github.io/direcciones507/panel.html?codigo="&amp;A583&amp;"&amp;nombre="&amp;ENCODEURL(B583)&amp;"&amp;telefono="&amp;SUBSTITUTE(C583,"-","")&amp;"&amp;referencia="&amp;ENCODEURL(E583)&amp;"&amp;lat="&amp;IZQUIERDA(SUBSTITUTE(F583," ",""),ENCONTRAR(",",SUBSTITUTE(F583," ",""))-1)&amp;"&amp;lng="&amp;DERECHA(SUBSTITUTE(F583," ",""),LARGO(SUBSTITUTE(F583," ",""))-ENCONTRAR(",",SUBSTITUTE(F583," ",""))),"")</f>
        <v/>
      </c>
    </row>
    <row r="584" ht="15.75" customHeight="1" s="10">
      <c r="A584" s="8">
        <f>CONCAT("AD507-",TEXT(ROW()-2,"0000"))</f>
        <v/>
      </c>
      <c r="C584" s="8" t="n"/>
      <c r="F584" s="8" t="n"/>
      <c r="G584" s="8">
        <f>IF(F584&lt;&gt;"",HYPERLINK("https://www.google.com/maps/search/?api=1&amp;query="&amp;SUBSTITUTE(F584," ",""),"🗺 Google Maps"),"")</f>
        <v/>
      </c>
      <c r="H584" s="8">
        <f>IF(F584&lt;&gt;"",HYPERLINK("https://waze.com/ul?ll="&amp;SUBSTITUTE(F584," ","")&amp;"&amp;navigate=yes","🚗 Waze"),"")</f>
        <v/>
      </c>
      <c r="I584" s="8">
        <f>IF(F584&lt;&gt;"",HYPERLINK("https://m.uber.com/ul/?action=setPickup&amp;pickup=my_location&amp;dropoff[latitude]="&amp;LEFT(SUBSTITUTE(F584," ",""),FIND(",",SUBSTITUTE(F584," ",""))-1)&amp;"&amp;dropoff[longitude]="&amp;MID(SUBSTITUTE(F584," ",""),FIND(",",SUBSTITUTE(F584," ",""))+1,99),"🚕 Uber"),"")</f>
        <v/>
      </c>
      <c r="J584" s="8">
        <f>IF(F584&lt;&gt;"","https://api.qrserver.com/v1/create-qr-code/?size=200x200&amp;data="&amp;ENCODEURL("https://www.google.com/maps/search/?api=1&amp;query="&amp;SUBSTITUTE(F584," ","")),"")</f>
        <v/>
      </c>
      <c r="K584" s="8">
        <f>IF(C584&lt;&gt;"",HYPERLINK("https://wa.me/507"&amp;REGEXREPLACE(C584,"[^0-9]","")&amp;"?text="&amp;ENCODEURL("Ya llegue. Codigo: "&amp;A584&amp;". Ubicacion: "&amp;"https://www.google.com/maps/search/?api=1&amp;query="&amp;SUBSTITUTE(F584," ","")),"📲 Avisar al cliente"),"")</f>
        <v/>
      </c>
      <c r="L584" s="8">
        <f>IF(C584&lt;&gt;"","https://api.qrserver.com/v1/create-qr-code/?size=200x200&amp;data="&amp;ENCODEURL("https://wa.me/507"&amp;REGEXREPLACE(C584,"[^0-9]","")&amp;"?text="&amp;ENCODEURL("Ya llegue. Codigo: "&amp;A584&amp;". Ubicacion: "&amp;"https://www.google.com/maps/search/?api=1&amp;query="&amp;SUBSTITUTE(F584," ",""))),"")</f>
        <v/>
      </c>
      <c r="M584" s="8">
        <f>IF(B584&lt;&gt;"",TODAY(),"")</f>
        <v/>
      </c>
      <c r="N584" s="8">
        <f>IF(F584&lt;&gt;"",IFERROR(IF(AND(REGEXMATCH(SUBSTITUTE(TRIM(F584)," ",""),"^-?\d+(\.\d+)?,-?\d+(\.\d+)?$"),VALUE(REGEXEXTRACT(SUBSTITUTE(TRIM(F584)," ",""),"^-?\d+(\.\d+)?"))&gt;=-90,VALUE(REGEXEXTRACT(SUBSTITUTE(TRIM(F584)," ",""),"^-?\d+(\.\d+)?"))&lt;=90,VALUE(REGEXEXTRACT(SUBSTITUTE(TRIM(F584)," ",""),"-?\d+(\.\d+)?$"))&gt;=-180,VALUE(REGEXEXTRACT(SUBSTITUTE(TRIM(F584)," ",""),"-?\d+(\.\d+)?$"))&lt;=180),"OK","REVISAR"),"REVISAR"),"")</f>
        <v/>
      </c>
      <c r="O584">
        <f>IF(A584&lt;&gt;"","https://direcciones507.github.io/direcciones507/panel.html?codigo="&amp;A584&amp;"&amp;nombre="&amp;ENCODEURL(B584)&amp;"&amp;telefono="&amp;SUBSTITUTE(C584,"-","")&amp;"&amp;referencia="&amp;ENCODEURL(E584)&amp;"&amp;lat="&amp;IZQUIERDA(SUBSTITUTE(F584," ",""),ENCONTRAR(",",SUBSTITUTE(F584," ",""))-1)&amp;"&amp;lng="&amp;DERECHA(SUBSTITUTE(F584," ",""),LARGO(SUBSTITUTE(F584," ",""))-ENCONTRAR(",",SUBSTITUTE(F584," ",""))),"")</f>
        <v/>
      </c>
    </row>
    <row r="585" ht="15.75" customHeight="1" s="10">
      <c r="A585" s="8">
        <f>CONCAT("AD507-",TEXT(ROW()-2,"0000"))</f>
        <v/>
      </c>
      <c r="C585" s="8" t="n"/>
      <c r="F585" s="8" t="n"/>
      <c r="G585" s="8">
        <f>IF(F585&lt;&gt;"",HYPERLINK("https://www.google.com/maps/search/?api=1&amp;query="&amp;SUBSTITUTE(F585," ",""),"🗺 Google Maps"),"")</f>
        <v/>
      </c>
      <c r="H585" s="8">
        <f>IF(F585&lt;&gt;"",HYPERLINK("https://waze.com/ul?ll="&amp;SUBSTITUTE(F585," ","")&amp;"&amp;navigate=yes","🚗 Waze"),"")</f>
        <v/>
      </c>
      <c r="I585" s="8">
        <f>IF(F585&lt;&gt;"",HYPERLINK("https://m.uber.com/ul/?action=setPickup&amp;pickup=my_location&amp;dropoff[latitude]="&amp;LEFT(SUBSTITUTE(F585," ",""),FIND(",",SUBSTITUTE(F585," ",""))-1)&amp;"&amp;dropoff[longitude]="&amp;MID(SUBSTITUTE(F585," ",""),FIND(",",SUBSTITUTE(F585," ",""))+1,99),"🚕 Uber"),"")</f>
        <v/>
      </c>
      <c r="J585" s="8">
        <f>IF(F585&lt;&gt;"","https://api.qrserver.com/v1/create-qr-code/?size=200x200&amp;data="&amp;ENCODEURL("https://www.google.com/maps/search/?api=1&amp;query="&amp;SUBSTITUTE(F585," ","")),"")</f>
        <v/>
      </c>
      <c r="K585" s="8">
        <f>IF(C585&lt;&gt;"",HYPERLINK("https://wa.me/507"&amp;REGEXREPLACE(C585,"[^0-9]","")&amp;"?text="&amp;ENCODEURL("Ya llegue. Codigo: "&amp;A585&amp;". Ubicacion: "&amp;"https://www.google.com/maps/search/?api=1&amp;query="&amp;SUBSTITUTE(F585," ","")),"📲 Avisar al cliente"),"")</f>
        <v/>
      </c>
      <c r="L585" s="8">
        <f>IF(C585&lt;&gt;"","https://api.qrserver.com/v1/create-qr-code/?size=200x200&amp;data="&amp;ENCODEURL("https://wa.me/507"&amp;REGEXREPLACE(C585,"[^0-9]","")&amp;"?text="&amp;ENCODEURL("Ya llegue. Codigo: "&amp;A585&amp;". Ubicacion: "&amp;"https://www.google.com/maps/search/?api=1&amp;query="&amp;SUBSTITUTE(F585," ",""))),"")</f>
        <v/>
      </c>
      <c r="M585" s="8">
        <f>IF(B585&lt;&gt;"",TODAY(),"")</f>
        <v/>
      </c>
      <c r="N585" s="8">
        <f>IF(F585&lt;&gt;"",IFERROR(IF(AND(REGEXMATCH(SUBSTITUTE(TRIM(F585)," ",""),"^-?\d+(\.\d+)?,-?\d+(\.\d+)?$"),VALUE(REGEXEXTRACT(SUBSTITUTE(TRIM(F585)," ",""),"^-?\d+(\.\d+)?"))&gt;=-90,VALUE(REGEXEXTRACT(SUBSTITUTE(TRIM(F585)," ",""),"^-?\d+(\.\d+)?"))&lt;=90,VALUE(REGEXEXTRACT(SUBSTITUTE(TRIM(F585)," ",""),"-?\d+(\.\d+)?$"))&gt;=-180,VALUE(REGEXEXTRACT(SUBSTITUTE(TRIM(F585)," ",""),"-?\d+(\.\d+)?$"))&lt;=180),"OK","REVISAR"),"REVISAR"),"")</f>
        <v/>
      </c>
      <c r="O585">
        <f>IF(A585&lt;&gt;"","https://direcciones507.github.io/direcciones507/panel.html?codigo="&amp;A585&amp;"&amp;nombre="&amp;ENCODEURL(B585)&amp;"&amp;telefono="&amp;SUBSTITUTE(C585,"-","")&amp;"&amp;referencia="&amp;ENCODEURL(E585)&amp;"&amp;lat="&amp;IZQUIERDA(SUBSTITUTE(F585," ",""),ENCONTRAR(",",SUBSTITUTE(F585," ",""))-1)&amp;"&amp;lng="&amp;DERECHA(SUBSTITUTE(F585," ",""),LARGO(SUBSTITUTE(F585," ",""))-ENCONTRAR(",",SUBSTITUTE(F585," ",""))),"")</f>
        <v/>
      </c>
    </row>
    <row r="586" ht="15.75" customHeight="1" s="10">
      <c r="A586" s="8">
        <f>CONCAT("AD507-",TEXT(ROW()-2,"0000"))</f>
        <v/>
      </c>
      <c r="C586" s="8" t="n"/>
      <c r="F586" s="8" t="n"/>
      <c r="G586" s="8">
        <f>IF(F586&lt;&gt;"",HYPERLINK("https://www.google.com/maps/search/?api=1&amp;query="&amp;SUBSTITUTE(F586," ",""),"🗺 Google Maps"),"")</f>
        <v/>
      </c>
      <c r="H586" s="8">
        <f>IF(F586&lt;&gt;"",HYPERLINK("https://waze.com/ul?ll="&amp;SUBSTITUTE(F586," ","")&amp;"&amp;navigate=yes","🚗 Waze"),"")</f>
        <v/>
      </c>
      <c r="I586" s="8">
        <f>IF(F586&lt;&gt;"",HYPERLINK("https://m.uber.com/ul/?action=setPickup&amp;pickup=my_location&amp;dropoff[latitude]="&amp;LEFT(SUBSTITUTE(F586," ",""),FIND(",",SUBSTITUTE(F586," ",""))-1)&amp;"&amp;dropoff[longitude]="&amp;MID(SUBSTITUTE(F586," ",""),FIND(",",SUBSTITUTE(F586," ",""))+1,99),"🚕 Uber"),"")</f>
        <v/>
      </c>
      <c r="J586" s="8">
        <f>IF(F586&lt;&gt;"","https://api.qrserver.com/v1/create-qr-code/?size=200x200&amp;data="&amp;ENCODEURL("https://www.google.com/maps/search/?api=1&amp;query="&amp;SUBSTITUTE(F586," ","")),"")</f>
        <v/>
      </c>
      <c r="K586" s="8">
        <f>IF(C586&lt;&gt;"",HYPERLINK("https://wa.me/507"&amp;REGEXREPLACE(C586,"[^0-9]","")&amp;"?text="&amp;ENCODEURL("Ya llegue. Codigo: "&amp;A586&amp;". Ubicacion: "&amp;"https://www.google.com/maps/search/?api=1&amp;query="&amp;SUBSTITUTE(F586," ","")),"📲 Avisar al cliente"),"")</f>
        <v/>
      </c>
      <c r="L586" s="8">
        <f>IF(C586&lt;&gt;"","https://api.qrserver.com/v1/create-qr-code/?size=200x200&amp;data="&amp;ENCODEURL("https://wa.me/507"&amp;REGEXREPLACE(C586,"[^0-9]","")&amp;"?text="&amp;ENCODEURL("Ya llegue. Codigo: "&amp;A586&amp;". Ubicacion: "&amp;"https://www.google.com/maps/search/?api=1&amp;query="&amp;SUBSTITUTE(F586," ",""))),"")</f>
        <v/>
      </c>
      <c r="M586" s="8">
        <f>IF(B586&lt;&gt;"",TODAY(),"")</f>
        <v/>
      </c>
      <c r="N586" s="8">
        <f>IF(F586&lt;&gt;"",IFERROR(IF(AND(REGEXMATCH(SUBSTITUTE(TRIM(F586)," ",""),"^-?\d+(\.\d+)?,-?\d+(\.\d+)?$"),VALUE(REGEXEXTRACT(SUBSTITUTE(TRIM(F586)," ",""),"^-?\d+(\.\d+)?"))&gt;=-90,VALUE(REGEXEXTRACT(SUBSTITUTE(TRIM(F586)," ",""),"^-?\d+(\.\d+)?"))&lt;=90,VALUE(REGEXEXTRACT(SUBSTITUTE(TRIM(F586)," ",""),"-?\d+(\.\d+)?$"))&gt;=-180,VALUE(REGEXEXTRACT(SUBSTITUTE(TRIM(F586)," ",""),"-?\d+(\.\d+)?$"))&lt;=180),"OK","REVISAR"),"REVISAR"),"")</f>
        <v/>
      </c>
      <c r="O586">
        <f>IF(A586&lt;&gt;"","https://direcciones507.github.io/direcciones507/panel.html?codigo="&amp;A586&amp;"&amp;nombre="&amp;ENCODEURL(B586)&amp;"&amp;telefono="&amp;SUBSTITUTE(C586,"-","")&amp;"&amp;referencia="&amp;ENCODEURL(E586)&amp;"&amp;lat="&amp;IZQUIERDA(SUBSTITUTE(F586," ",""),ENCONTRAR(",",SUBSTITUTE(F586," ",""))-1)&amp;"&amp;lng="&amp;DERECHA(SUBSTITUTE(F586," ",""),LARGO(SUBSTITUTE(F586," ",""))-ENCONTRAR(",",SUBSTITUTE(F586," ",""))),"")</f>
        <v/>
      </c>
    </row>
    <row r="587" ht="15.75" customHeight="1" s="10">
      <c r="A587" s="8">
        <f>CONCAT("AD507-",TEXT(ROW()-2,"0000"))</f>
        <v/>
      </c>
      <c r="C587" s="8" t="n"/>
      <c r="F587" s="8" t="n"/>
      <c r="G587" s="8">
        <f>IF(F587&lt;&gt;"",HYPERLINK("https://www.google.com/maps/search/?api=1&amp;query="&amp;SUBSTITUTE(F587," ",""),"🗺 Google Maps"),"")</f>
        <v/>
      </c>
      <c r="H587" s="8">
        <f>IF(F587&lt;&gt;"",HYPERLINK("https://waze.com/ul?ll="&amp;SUBSTITUTE(F587," ","")&amp;"&amp;navigate=yes","🚗 Waze"),"")</f>
        <v/>
      </c>
      <c r="I587" s="8">
        <f>IF(F587&lt;&gt;"",HYPERLINK("https://m.uber.com/ul/?action=setPickup&amp;pickup=my_location&amp;dropoff[latitude]="&amp;LEFT(SUBSTITUTE(F587," ",""),FIND(",",SUBSTITUTE(F587," ",""))-1)&amp;"&amp;dropoff[longitude]="&amp;MID(SUBSTITUTE(F587," ",""),FIND(",",SUBSTITUTE(F587," ",""))+1,99),"🚕 Uber"),"")</f>
        <v/>
      </c>
      <c r="J587" s="8">
        <f>IF(F587&lt;&gt;"","https://api.qrserver.com/v1/create-qr-code/?size=200x200&amp;data="&amp;ENCODEURL("https://www.google.com/maps/search/?api=1&amp;query="&amp;SUBSTITUTE(F587," ","")),"")</f>
        <v/>
      </c>
      <c r="K587" s="8">
        <f>IF(C587&lt;&gt;"",HYPERLINK("https://wa.me/507"&amp;REGEXREPLACE(C587,"[^0-9]","")&amp;"?text="&amp;ENCODEURL("Ya llegue. Codigo: "&amp;A587&amp;". Ubicacion: "&amp;"https://www.google.com/maps/search/?api=1&amp;query="&amp;SUBSTITUTE(F587," ","")),"📲 Avisar al cliente"),"")</f>
        <v/>
      </c>
      <c r="L587" s="8">
        <f>IF(C587&lt;&gt;"","https://api.qrserver.com/v1/create-qr-code/?size=200x200&amp;data="&amp;ENCODEURL("https://wa.me/507"&amp;REGEXREPLACE(C587,"[^0-9]","")&amp;"?text="&amp;ENCODEURL("Ya llegue. Codigo: "&amp;A587&amp;". Ubicacion: "&amp;"https://www.google.com/maps/search/?api=1&amp;query="&amp;SUBSTITUTE(F587," ",""))),"")</f>
        <v/>
      </c>
      <c r="M587" s="8">
        <f>IF(B587&lt;&gt;"",TODAY(),"")</f>
        <v/>
      </c>
      <c r="N587" s="8">
        <f>IF(F587&lt;&gt;"",IFERROR(IF(AND(REGEXMATCH(SUBSTITUTE(TRIM(F587)," ",""),"^-?\d+(\.\d+)?,-?\d+(\.\d+)?$"),VALUE(REGEXEXTRACT(SUBSTITUTE(TRIM(F587)," ",""),"^-?\d+(\.\d+)?"))&gt;=-90,VALUE(REGEXEXTRACT(SUBSTITUTE(TRIM(F587)," ",""),"^-?\d+(\.\d+)?"))&lt;=90,VALUE(REGEXEXTRACT(SUBSTITUTE(TRIM(F587)," ",""),"-?\d+(\.\d+)?$"))&gt;=-180,VALUE(REGEXEXTRACT(SUBSTITUTE(TRIM(F587)," ",""),"-?\d+(\.\d+)?$"))&lt;=180),"OK","REVISAR"),"REVISAR"),"")</f>
        <v/>
      </c>
      <c r="O587">
        <f>IF(A587&lt;&gt;"","https://direcciones507.github.io/direcciones507/panel.html?codigo="&amp;A587&amp;"&amp;nombre="&amp;ENCODEURL(B587)&amp;"&amp;telefono="&amp;SUBSTITUTE(C587,"-","")&amp;"&amp;referencia="&amp;ENCODEURL(E587)&amp;"&amp;lat="&amp;IZQUIERDA(SUBSTITUTE(F587," ",""),ENCONTRAR(",",SUBSTITUTE(F587," ",""))-1)&amp;"&amp;lng="&amp;DERECHA(SUBSTITUTE(F587," ",""),LARGO(SUBSTITUTE(F587," ",""))-ENCONTRAR(",",SUBSTITUTE(F587," ",""))),"")</f>
        <v/>
      </c>
    </row>
    <row r="588" ht="15.75" customHeight="1" s="10">
      <c r="A588" s="8">
        <f>CONCAT("AD507-",TEXT(ROW()-2,"0000"))</f>
        <v/>
      </c>
      <c r="C588" s="8" t="n"/>
      <c r="F588" s="8" t="n"/>
      <c r="G588" s="8">
        <f>IF(F588&lt;&gt;"",HYPERLINK("https://www.google.com/maps/search/?api=1&amp;query="&amp;SUBSTITUTE(F588," ",""),"🗺 Google Maps"),"")</f>
        <v/>
      </c>
      <c r="H588" s="8">
        <f>IF(F588&lt;&gt;"",HYPERLINK("https://waze.com/ul?ll="&amp;SUBSTITUTE(F588," ","")&amp;"&amp;navigate=yes","🚗 Waze"),"")</f>
        <v/>
      </c>
      <c r="I588" s="8">
        <f>IF(F588&lt;&gt;"",HYPERLINK("https://m.uber.com/ul/?action=setPickup&amp;pickup=my_location&amp;dropoff[latitude]="&amp;LEFT(SUBSTITUTE(F588," ",""),FIND(",",SUBSTITUTE(F588," ",""))-1)&amp;"&amp;dropoff[longitude]="&amp;MID(SUBSTITUTE(F588," ",""),FIND(",",SUBSTITUTE(F588," ",""))+1,99),"🚕 Uber"),"")</f>
        <v/>
      </c>
      <c r="J588" s="8">
        <f>IF(F588&lt;&gt;"","https://api.qrserver.com/v1/create-qr-code/?size=200x200&amp;data="&amp;ENCODEURL("https://www.google.com/maps/search/?api=1&amp;query="&amp;SUBSTITUTE(F588," ","")),"")</f>
        <v/>
      </c>
      <c r="K588" s="8">
        <f>IF(C588&lt;&gt;"",HYPERLINK("https://wa.me/507"&amp;REGEXREPLACE(C588,"[^0-9]","")&amp;"?text="&amp;ENCODEURL("Ya llegue. Codigo: "&amp;A588&amp;". Ubicacion: "&amp;"https://www.google.com/maps/search/?api=1&amp;query="&amp;SUBSTITUTE(F588," ","")),"📲 Avisar al cliente"),"")</f>
        <v/>
      </c>
      <c r="L588" s="8">
        <f>IF(C588&lt;&gt;"","https://api.qrserver.com/v1/create-qr-code/?size=200x200&amp;data="&amp;ENCODEURL("https://wa.me/507"&amp;REGEXREPLACE(C588,"[^0-9]","")&amp;"?text="&amp;ENCODEURL("Ya llegue. Codigo: "&amp;A588&amp;". Ubicacion: "&amp;"https://www.google.com/maps/search/?api=1&amp;query="&amp;SUBSTITUTE(F588," ",""))),"")</f>
        <v/>
      </c>
      <c r="M588" s="8">
        <f>IF(B588&lt;&gt;"",TODAY(),"")</f>
        <v/>
      </c>
      <c r="N588" s="8">
        <f>IF(F588&lt;&gt;"",IFERROR(IF(AND(REGEXMATCH(SUBSTITUTE(TRIM(F588)," ",""),"^-?\d+(\.\d+)?,-?\d+(\.\d+)?$"),VALUE(REGEXEXTRACT(SUBSTITUTE(TRIM(F588)," ",""),"^-?\d+(\.\d+)?"))&gt;=-90,VALUE(REGEXEXTRACT(SUBSTITUTE(TRIM(F588)," ",""),"^-?\d+(\.\d+)?"))&lt;=90,VALUE(REGEXEXTRACT(SUBSTITUTE(TRIM(F588)," ",""),"-?\d+(\.\d+)?$"))&gt;=-180,VALUE(REGEXEXTRACT(SUBSTITUTE(TRIM(F588)," ",""),"-?\d+(\.\d+)?$"))&lt;=180),"OK","REVISAR"),"REVISAR"),"")</f>
        <v/>
      </c>
      <c r="O588">
        <f>IF(A588&lt;&gt;"","https://direcciones507.github.io/direcciones507/panel.html?codigo="&amp;A588&amp;"&amp;nombre="&amp;ENCODEURL(B588)&amp;"&amp;telefono="&amp;SUBSTITUTE(C588,"-","")&amp;"&amp;referencia="&amp;ENCODEURL(E588)&amp;"&amp;lat="&amp;IZQUIERDA(SUBSTITUTE(F588," ",""),ENCONTRAR(",",SUBSTITUTE(F588," ",""))-1)&amp;"&amp;lng="&amp;DERECHA(SUBSTITUTE(F588," ",""),LARGO(SUBSTITUTE(F588," ",""))-ENCONTRAR(",",SUBSTITUTE(F588," ",""))),"")</f>
        <v/>
      </c>
    </row>
    <row r="589" ht="15.75" customHeight="1" s="10">
      <c r="A589" s="8">
        <f>CONCAT("AD507-",TEXT(ROW()-2,"0000"))</f>
        <v/>
      </c>
      <c r="C589" s="8" t="n"/>
      <c r="F589" s="8" t="n"/>
      <c r="G589" s="8">
        <f>IF(F589&lt;&gt;"",HYPERLINK("https://www.google.com/maps/search/?api=1&amp;query="&amp;SUBSTITUTE(F589," ",""),"🗺 Google Maps"),"")</f>
        <v/>
      </c>
      <c r="H589" s="8">
        <f>IF(F589&lt;&gt;"",HYPERLINK("https://waze.com/ul?ll="&amp;SUBSTITUTE(F589," ","")&amp;"&amp;navigate=yes","🚗 Waze"),"")</f>
        <v/>
      </c>
      <c r="I589" s="8">
        <f>IF(F589&lt;&gt;"",HYPERLINK("https://m.uber.com/ul/?action=setPickup&amp;pickup=my_location&amp;dropoff[latitude]="&amp;LEFT(SUBSTITUTE(F589," ",""),FIND(",",SUBSTITUTE(F589," ",""))-1)&amp;"&amp;dropoff[longitude]="&amp;MID(SUBSTITUTE(F589," ",""),FIND(",",SUBSTITUTE(F589," ",""))+1,99),"🚕 Uber"),"")</f>
        <v/>
      </c>
      <c r="J589" s="8">
        <f>IF(F589&lt;&gt;"","https://api.qrserver.com/v1/create-qr-code/?size=200x200&amp;data="&amp;ENCODEURL("https://www.google.com/maps/search/?api=1&amp;query="&amp;SUBSTITUTE(F589," ","")),"")</f>
        <v/>
      </c>
      <c r="K589" s="8">
        <f>IF(C589&lt;&gt;"",HYPERLINK("https://wa.me/507"&amp;REGEXREPLACE(C589,"[^0-9]","")&amp;"?text="&amp;ENCODEURL("Ya llegue. Codigo: "&amp;A589&amp;". Ubicacion: "&amp;"https://www.google.com/maps/search/?api=1&amp;query="&amp;SUBSTITUTE(F589," ","")),"📲 Avisar al cliente"),"")</f>
        <v/>
      </c>
      <c r="L589" s="8">
        <f>IF(C589&lt;&gt;"","https://api.qrserver.com/v1/create-qr-code/?size=200x200&amp;data="&amp;ENCODEURL("https://wa.me/507"&amp;REGEXREPLACE(C589,"[^0-9]","")&amp;"?text="&amp;ENCODEURL("Ya llegue. Codigo: "&amp;A589&amp;". Ubicacion: "&amp;"https://www.google.com/maps/search/?api=1&amp;query="&amp;SUBSTITUTE(F589," ",""))),"")</f>
        <v/>
      </c>
      <c r="M589" s="8">
        <f>IF(B589&lt;&gt;"",TODAY(),"")</f>
        <v/>
      </c>
      <c r="N589" s="8">
        <f>IF(F589&lt;&gt;"",IFERROR(IF(AND(REGEXMATCH(SUBSTITUTE(TRIM(F589)," ",""),"^-?\d+(\.\d+)?,-?\d+(\.\d+)?$"),VALUE(REGEXEXTRACT(SUBSTITUTE(TRIM(F589)," ",""),"^-?\d+(\.\d+)?"))&gt;=-90,VALUE(REGEXEXTRACT(SUBSTITUTE(TRIM(F589)," ",""),"^-?\d+(\.\d+)?"))&lt;=90,VALUE(REGEXEXTRACT(SUBSTITUTE(TRIM(F589)," ",""),"-?\d+(\.\d+)?$"))&gt;=-180,VALUE(REGEXEXTRACT(SUBSTITUTE(TRIM(F589)," ",""),"-?\d+(\.\d+)?$"))&lt;=180),"OK","REVISAR"),"REVISAR"),"")</f>
        <v/>
      </c>
      <c r="O589">
        <f>IF(A589&lt;&gt;"","https://direcciones507.github.io/direcciones507/panel.html?codigo="&amp;A589&amp;"&amp;nombre="&amp;ENCODEURL(B589)&amp;"&amp;telefono="&amp;SUBSTITUTE(C589,"-","")&amp;"&amp;referencia="&amp;ENCODEURL(E589)&amp;"&amp;lat="&amp;IZQUIERDA(SUBSTITUTE(F589," ",""),ENCONTRAR(",",SUBSTITUTE(F589," ",""))-1)&amp;"&amp;lng="&amp;DERECHA(SUBSTITUTE(F589," ",""),LARGO(SUBSTITUTE(F589," ",""))-ENCONTRAR(",",SUBSTITUTE(F589," ",""))),"")</f>
        <v/>
      </c>
    </row>
    <row r="590" ht="15.75" customHeight="1" s="10">
      <c r="A590" s="8">
        <f>CONCAT("AD507-",TEXT(ROW()-2,"0000"))</f>
        <v/>
      </c>
      <c r="C590" s="8" t="n"/>
      <c r="F590" s="8" t="n"/>
      <c r="G590" s="8">
        <f>IF(F590&lt;&gt;"",HYPERLINK("https://www.google.com/maps/search/?api=1&amp;query="&amp;SUBSTITUTE(F590," ",""),"🗺 Google Maps"),"")</f>
        <v/>
      </c>
      <c r="H590" s="8">
        <f>IF(F590&lt;&gt;"",HYPERLINK("https://waze.com/ul?ll="&amp;SUBSTITUTE(F590," ","")&amp;"&amp;navigate=yes","🚗 Waze"),"")</f>
        <v/>
      </c>
      <c r="I590" s="8">
        <f>IF(F590&lt;&gt;"",HYPERLINK("https://m.uber.com/ul/?action=setPickup&amp;pickup=my_location&amp;dropoff[latitude]="&amp;LEFT(SUBSTITUTE(F590," ",""),FIND(",",SUBSTITUTE(F590," ",""))-1)&amp;"&amp;dropoff[longitude]="&amp;MID(SUBSTITUTE(F590," ",""),FIND(",",SUBSTITUTE(F590," ",""))+1,99),"🚕 Uber"),"")</f>
        <v/>
      </c>
      <c r="J590" s="8">
        <f>IF(F590&lt;&gt;"","https://api.qrserver.com/v1/create-qr-code/?size=200x200&amp;data="&amp;ENCODEURL("https://www.google.com/maps/search/?api=1&amp;query="&amp;SUBSTITUTE(F590," ","")),"")</f>
        <v/>
      </c>
      <c r="K590" s="8">
        <f>IF(C590&lt;&gt;"",HYPERLINK("https://wa.me/507"&amp;REGEXREPLACE(C590,"[^0-9]","")&amp;"?text="&amp;ENCODEURL("Ya llegue. Codigo: "&amp;A590&amp;". Ubicacion: "&amp;"https://www.google.com/maps/search/?api=1&amp;query="&amp;SUBSTITUTE(F590," ","")),"📲 Avisar al cliente"),"")</f>
        <v/>
      </c>
      <c r="L590" s="8">
        <f>IF(C590&lt;&gt;"","https://api.qrserver.com/v1/create-qr-code/?size=200x200&amp;data="&amp;ENCODEURL("https://wa.me/507"&amp;REGEXREPLACE(C590,"[^0-9]","")&amp;"?text="&amp;ENCODEURL("Ya llegue. Codigo: "&amp;A590&amp;". Ubicacion: "&amp;"https://www.google.com/maps/search/?api=1&amp;query="&amp;SUBSTITUTE(F590," ",""))),"")</f>
        <v/>
      </c>
      <c r="M590" s="8">
        <f>IF(B590&lt;&gt;"",TODAY(),"")</f>
        <v/>
      </c>
      <c r="N590" s="8">
        <f>IF(F590&lt;&gt;"",IFERROR(IF(AND(REGEXMATCH(SUBSTITUTE(TRIM(F590)," ",""),"^-?\d+(\.\d+)?,-?\d+(\.\d+)?$"),VALUE(REGEXEXTRACT(SUBSTITUTE(TRIM(F590)," ",""),"^-?\d+(\.\d+)?"))&gt;=-90,VALUE(REGEXEXTRACT(SUBSTITUTE(TRIM(F590)," ",""),"^-?\d+(\.\d+)?"))&lt;=90,VALUE(REGEXEXTRACT(SUBSTITUTE(TRIM(F590)," ",""),"-?\d+(\.\d+)?$"))&gt;=-180,VALUE(REGEXEXTRACT(SUBSTITUTE(TRIM(F590)," ",""),"-?\d+(\.\d+)?$"))&lt;=180),"OK","REVISAR"),"REVISAR"),"")</f>
        <v/>
      </c>
      <c r="O590">
        <f>IF(A590&lt;&gt;"","https://direcciones507.github.io/direcciones507/panel.html?codigo="&amp;A590&amp;"&amp;nombre="&amp;ENCODEURL(B590)&amp;"&amp;telefono="&amp;SUBSTITUTE(C590,"-","")&amp;"&amp;referencia="&amp;ENCODEURL(E590)&amp;"&amp;lat="&amp;IZQUIERDA(SUBSTITUTE(F590," ",""),ENCONTRAR(",",SUBSTITUTE(F590," ",""))-1)&amp;"&amp;lng="&amp;DERECHA(SUBSTITUTE(F590," ",""),LARGO(SUBSTITUTE(F590," ",""))-ENCONTRAR(",",SUBSTITUTE(F590," ",""))),"")</f>
        <v/>
      </c>
    </row>
    <row r="591" ht="15.75" customHeight="1" s="10">
      <c r="A591" s="8">
        <f>CONCAT("AD507-",TEXT(ROW()-2,"0000"))</f>
        <v/>
      </c>
      <c r="C591" s="8" t="n"/>
      <c r="F591" s="8" t="n"/>
      <c r="G591" s="8">
        <f>IF(F591&lt;&gt;"",HYPERLINK("https://www.google.com/maps/search/?api=1&amp;query="&amp;SUBSTITUTE(F591," ",""),"🗺 Google Maps"),"")</f>
        <v/>
      </c>
      <c r="H591" s="8">
        <f>IF(F591&lt;&gt;"",HYPERLINK("https://waze.com/ul?ll="&amp;SUBSTITUTE(F591," ","")&amp;"&amp;navigate=yes","🚗 Waze"),"")</f>
        <v/>
      </c>
      <c r="I591" s="8">
        <f>IF(F591&lt;&gt;"",HYPERLINK("https://m.uber.com/ul/?action=setPickup&amp;pickup=my_location&amp;dropoff[latitude]="&amp;LEFT(SUBSTITUTE(F591," ",""),FIND(",",SUBSTITUTE(F591," ",""))-1)&amp;"&amp;dropoff[longitude]="&amp;MID(SUBSTITUTE(F591," ",""),FIND(",",SUBSTITUTE(F591," ",""))+1,99),"🚕 Uber"),"")</f>
        <v/>
      </c>
      <c r="J591" s="8">
        <f>IF(F591&lt;&gt;"","https://api.qrserver.com/v1/create-qr-code/?size=200x200&amp;data="&amp;ENCODEURL("https://www.google.com/maps/search/?api=1&amp;query="&amp;SUBSTITUTE(F591," ","")),"")</f>
        <v/>
      </c>
      <c r="K591" s="8">
        <f>IF(C591&lt;&gt;"",HYPERLINK("https://wa.me/507"&amp;REGEXREPLACE(C591,"[^0-9]","")&amp;"?text="&amp;ENCODEURL("Ya llegue. Codigo: "&amp;A591&amp;". Ubicacion: "&amp;"https://www.google.com/maps/search/?api=1&amp;query="&amp;SUBSTITUTE(F591," ","")),"📲 Avisar al cliente"),"")</f>
        <v/>
      </c>
      <c r="L591" s="8">
        <f>IF(C591&lt;&gt;"","https://api.qrserver.com/v1/create-qr-code/?size=200x200&amp;data="&amp;ENCODEURL("https://wa.me/507"&amp;REGEXREPLACE(C591,"[^0-9]","")&amp;"?text="&amp;ENCODEURL("Ya llegue. Codigo: "&amp;A591&amp;". Ubicacion: "&amp;"https://www.google.com/maps/search/?api=1&amp;query="&amp;SUBSTITUTE(F591," ",""))),"")</f>
        <v/>
      </c>
      <c r="M591" s="8">
        <f>IF(B591&lt;&gt;"",TODAY(),"")</f>
        <v/>
      </c>
      <c r="N591" s="8">
        <f>IF(F591&lt;&gt;"",IFERROR(IF(AND(REGEXMATCH(SUBSTITUTE(TRIM(F591)," ",""),"^-?\d+(\.\d+)?,-?\d+(\.\d+)?$"),VALUE(REGEXEXTRACT(SUBSTITUTE(TRIM(F591)," ",""),"^-?\d+(\.\d+)?"))&gt;=-90,VALUE(REGEXEXTRACT(SUBSTITUTE(TRIM(F591)," ",""),"^-?\d+(\.\d+)?"))&lt;=90,VALUE(REGEXEXTRACT(SUBSTITUTE(TRIM(F591)," ",""),"-?\d+(\.\d+)?$"))&gt;=-180,VALUE(REGEXEXTRACT(SUBSTITUTE(TRIM(F591)," ",""),"-?\d+(\.\d+)?$"))&lt;=180),"OK","REVISAR"),"REVISAR"),"")</f>
        <v/>
      </c>
      <c r="O591">
        <f>IF(A591&lt;&gt;"","https://direcciones507.github.io/direcciones507/panel.html?codigo="&amp;A591&amp;"&amp;nombre="&amp;ENCODEURL(B591)&amp;"&amp;telefono="&amp;SUBSTITUTE(C591,"-","")&amp;"&amp;referencia="&amp;ENCODEURL(E591)&amp;"&amp;lat="&amp;IZQUIERDA(SUBSTITUTE(F591," ",""),ENCONTRAR(",",SUBSTITUTE(F591," ",""))-1)&amp;"&amp;lng="&amp;DERECHA(SUBSTITUTE(F591," ",""),LARGO(SUBSTITUTE(F591," ",""))-ENCONTRAR(",",SUBSTITUTE(F591," ",""))),"")</f>
        <v/>
      </c>
    </row>
    <row r="592" ht="15.75" customHeight="1" s="10">
      <c r="A592" s="8">
        <f>CONCAT("AD507-",TEXT(ROW()-2,"0000"))</f>
        <v/>
      </c>
      <c r="C592" s="8" t="n"/>
      <c r="F592" s="8" t="n"/>
      <c r="G592" s="8">
        <f>IF(F592&lt;&gt;"",HYPERLINK("https://www.google.com/maps/search/?api=1&amp;query="&amp;SUBSTITUTE(F592," ",""),"🗺 Google Maps"),"")</f>
        <v/>
      </c>
      <c r="H592" s="8">
        <f>IF(F592&lt;&gt;"",HYPERLINK("https://waze.com/ul?ll="&amp;SUBSTITUTE(F592," ","")&amp;"&amp;navigate=yes","🚗 Waze"),"")</f>
        <v/>
      </c>
      <c r="I592" s="8">
        <f>IF(F592&lt;&gt;"",HYPERLINK("https://m.uber.com/ul/?action=setPickup&amp;pickup=my_location&amp;dropoff[latitude]="&amp;LEFT(SUBSTITUTE(F592," ",""),FIND(",",SUBSTITUTE(F592," ",""))-1)&amp;"&amp;dropoff[longitude]="&amp;MID(SUBSTITUTE(F592," ",""),FIND(",",SUBSTITUTE(F592," ",""))+1,99),"🚕 Uber"),"")</f>
        <v/>
      </c>
      <c r="J592" s="8">
        <f>IF(F592&lt;&gt;"","https://api.qrserver.com/v1/create-qr-code/?size=200x200&amp;data="&amp;ENCODEURL("https://www.google.com/maps/search/?api=1&amp;query="&amp;SUBSTITUTE(F592," ","")),"")</f>
        <v/>
      </c>
      <c r="K592" s="8">
        <f>IF(C592&lt;&gt;"",HYPERLINK("https://wa.me/507"&amp;REGEXREPLACE(C592,"[^0-9]","")&amp;"?text="&amp;ENCODEURL("Ya llegue. Codigo: "&amp;A592&amp;". Ubicacion: "&amp;"https://www.google.com/maps/search/?api=1&amp;query="&amp;SUBSTITUTE(F592," ","")),"📲 Avisar al cliente"),"")</f>
        <v/>
      </c>
      <c r="L592" s="8">
        <f>IF(C592&lt;&gt;"","https://api.qrserver.com/v1/create-qr-code/?size=200x200&amp;data="&amp;ENCODEURL("https://wa.me/507"&amp;REGEXREPLACE(C592,"[^0-9]","")&amp;"?text="&amp;ENCODEURL("Ya llegue. Codigo: "&amp;A592&amp;". Ubicacion: "&amp;"https://www.google.com/maps/search/?api=1&amp;query="&amp;SUBSTITUTE(F592," ",""))),"")</f>
        <v/>
      </c>
      <c r="M592" s="8">
        <f>IF(B592&lt;&gt;"",TODAY(),"")</f>
        <v/>
      </c>
      <c r="N592" s="8">
        <f>IF(F592&lt;&gt;"",IFERROR(IF(AND(REGEXMATCH(SUBSTITUTE(TRIM(F592)," ",""),"^-?\d+(\.\d+)?,-?\d+(\.\d+)?$"),VALUE(REGEXEXTRACT(SUBSTITUTE(TRIM(F592)," ",""),"^-?\d+(\.\d+)?"))&gt;=-90,VALUE(REGEXEXTRACT(SUBSTITUTE(TRIM(F592)," ",""),"^-?\d+(\.\d+)?"))&lt;=90,VALUE(REGEXEXTRACT(SUBSTITUTE(TRIM(F592)," ",""),"-?\d+(\.\d+)?$"))&gt;=-180,VALUE(REGEXEXTRACT(SUBSTITUTE(TRIM(F592)," ",""),"-?\d+(\.\d+)?$"))&lt;=180),"OK","REVISAR"),"REVISAR"),"")</f>
        <v/>
      </c>
      <c r="O592">
        <f>IF(A592&lt;&gt;"","https://direcciones507.github.io/direcciones507/panel.html?codigo="&amp;A592&amp;"&amp;nombre="&amp;ENCODEURL(B592)&amp;"&amp;telefono="&amp;SUBSTITUTE(C592,"-","")&amp;"&amp;referencia="&amp;ENCODEURL(E592)&amp;"&amp;lat="&amp;IZQUIERDA(SUBSTITUTE(F592," ",""),ENCONTRAR(",",SUBSTITUTE(F592," ",""))-1)&amp;"&amp;lng="&amp;DERECHA(SUBSTITUTE(F592," ",""),LARGO(SUBSTITUTE(F592," ",""))-ENCONTRAR(",",SUBSTITUTE(F592," ",""))),"")</f>
        <v/>
      </c>
    </row>
    <row r="593" ht="15.75" customHeight="1" s="10">
      <c r="A593" s="8">
        <f>CONCAT("AD507-",TEXT(ROW()-2,"0000"))</f>
        <v/>
      </c>
      <c r="C593" s="8" t="n"/>
      <c r="F593" s="8" t="n"/>
      <c r="G593" s="8">
        <f>IF(F593&lt;&gt;"",HYPERLINK("https://www.google.com/maps/search/?api=1&amp;query="&amp;SUBSTITUTE(F593," ",""),"🗺 Google Maps"),"")</f>
        <v/>
      </c>
      <c r="H593" s="8">
        <f>IF(F593&lt;&gt;"",HYPERLINK("https://waze.com/ul?ll="&amp;SUBSTITUTE(F593," ","")&amp;"&amp;navigate=yes","🚗 Waze"),"")</f>
        <v/>
      </c>
      <c r="I593" s="8">
        <f>IF(F593&lt;&gt;"",HYPERLINK("https://m.uber.com/ul/?action=setPickup&amp;pickup=my_location&amp;dropoff[latitude]="&amp;LEFT(SUBSTITUTE(F593," ",""),FIND(",",SUBSTITUTE(F593," ",""))-1)&amp;"&amp;dropoff[longitude]="&amp;MID(SUBSTITUTE(F593," ",""),FIND(",",SUBSTITUTE(F593," ",""))+1,99),"🚕 Uber"),"")</f>
        <v/>
      </c>
      <c r="J593" s="8">
        <f>IF(F593&lt;&gt;"","https://api.qrserver.com/v1/create-qr-code/?size=200x200&amp;data="&amp;ENCODEURL("https://www.google.com/maps/search/?api=1&amp;query="&amp;SUBSTITUTE(F593," ","")),"")</f>
        <v/>
      </c>
      <c r="K593" s="8">
        <f>IF(C593&lt;&gt;"",HYPERLINK("https://wa.me/507"&amp;REGEXREPLACE(C593,"[^0-9]","")&amp;"?text="&amp;ENCODEURL("Ya llegue. Codigo: "&amp;A593&amp;". Ubicacion: "&amp;"https://www.google.com/maps/search/?api=1&amp;query="&amp;SUBSTITUTE(F593," ","")),"📲 Avisar al cliente"),"")</f>
        <v/>
      </c>
      <c r="L593" s="8">
        <f>IF(C593&lt;&gt;"","https://api.qrserver.com/v1/create-qr-code/?size=200x200&amp;data="&amp;ENCODEURL("https://wa.me/507"&amp;REGEXREPLACE(C593,"[^0-9]","")&amp;"?text="&amp;ENCODEURL("Ya llegue. Codigo: "&amp;A593&amp;". Ubicacion: "&amp;"https://www.google.com/maps/search/?api=1&amp;query="&amp;SUBSTITUTE(F593," ",""))),"")</f>
        <v/>
      </c>
      <c r="M593" s="8">
        <f>IF(B593&lt;&gt;"",TODAY(),"")</f>
        <v/>
      </c>
      <c r="N593" s="8">
        <f>IF(F593&lt;&gt;"",IFERROR(IF(AND(REGEXMATCH(SUBSTITUTE(TRIM(F593)," ",""),"^-?\d+(\.\d+)?,-?\d+(\.\d+)?$"),VALUE(REGEXEXTRACT(SUBSTITUTE(TRIM(F593)," ",""),"^-?\d+(\.\d+)?"))&gt;=-90,VALUE(REGEXEXTRACT(SUBSTITUTE(TRIM(F593)," ",""),"^-?\d+(\.\d+)?"))&lt;=90,VALUE(REGEXEXTRACT(SUBSTITUTE(TRIM(F593)," ",""),"-?\d+(\.\d+)?$"))&gt;=-180,VALUE(REGEXEXTRACT(SUBSTITUTE(TRIM(F593)," ",""),"-?\d+(\.\d+)?$"))&lt;=180),"OK","REVISAR"),"REVISAR"),"")</f>
        <v/>
      </c>
      <c r="O593">
        <f>IF(A593&lt;&gt;"","https://direcciones507.github.io/direcciones507/panel.html?codigo="&amp;A593&amp;"&amp;nombre="&amp;ENCODEURL(B593)&amp;"&amp;telefono="&amp;SUBSTITUTE(C593,"-","")&amp;"&amp;referencia="&amp;ENCODEURL(E593)&amp;"&amp;lat="&amp;IZQUIERDA(SUBSTITUTE(F593," ",""),ENCONTRAR(",",SUBSTITUTE(F593," ",""))-1)&amp;"&amp;lng="&amp;DERECHA(SUBSTITUTE(F593," ",""),LARGO(SUBSTITUTE(F593," ",""))-ENCONTRAR(",",SUBSTITUTE(F593," ",""))),"")</f>
        <v/>
      </c>
    </row>
    <row r="594" ht="15.75" customHeight="1" s="10">
      <c r="A594" s="8">
        <f>CONCAT("AD507-",TEXT(ROW()-2,"0000"))</f>
        <v/>
      </c>
      <c r="C594" s="8" t="n"/>
      <c r="F594" s="8" t="n"/>
      <c r="G594" s="8">
        <f>IF(F594&lt;&gt;"",HYPERLINK("https://www.google.com/maps/search/?api=1&amp;query="&amp;SUBSTITUTE(F594," ",""),"🗺 Google Maps"),"")</f>
        <v/>
      </c>
      <c r="H594" s="8">
        <f>IF(F594&lt;&gt;"",HYPERLINK("https://waze.com/ul?ll="&amp;SUBSTITUTE(F594," ","")&amp;"&amp;navigate=yes","🚗 Waze"),"")</f>
        <v/>
      </c>
      <c r="I594" s="8">
        <f>IF(F594&lt;&gt;"",HYPERLINK("https://m.uber.com/ul/?action=setPickup&amp;pickup=my_location&amp;dropoff[latitude]="&amp;LEFT(SUBSTITUTE(F594," ",""),FIND(",",SUBSTITUTE(F594," ",""))-1)&amp;"&amp;dropoff[longitude]="&amp;MID(SUBSTITUTE(F594," ",""),FIND(",",SUBSTITUTE(F594," ",""))+1,99),"🚕 Uber"),"")</f>
        <v/>
      </c>
      <c r="J594" s="8">
        <f>IF(F594&lt;&gt;"","https://api.qrserver.com/v1/create-qr-code/?size=200x200&amp;data="&amp;ENCODEURL("https://www.google.com/maps/search/?api=1&amp;query="&amp;SUBSTITUTE(F594," ","")),"")</f>
        <v/>
      </c>
      <c r="K594" s="8">
        <f>IF(C594&lt;&gt;"",HYPERLINK("https://wa.me/507"&amp;REGEXREPLACE(C594,"[^0-9]","")&amp;"?text="&amp;ENCODEURL("Ya llegue. Codigo: "&amp;A594&amp;". Ubicacion: "&amp;"https://www.google.com/maps/search/?api=1&amp;query="&amp;SUBSTITUTE(F594," ","")),"📲 Avisar al cliente"),"")</f>
        <v/>
      </c>
      <c r="L594" s="8">
        <f>IF(C594&lt;&gt;"","https://api.qrserver.com/v1/create-qr-code/?size=200x200&amp;data="&amp;ENCODEURL("https://wa.me/507"&amp;REGEXREPLACE(C594,"[^0-9]","")&amp;"?text="&amp;ENCODEURL("Ya llegue. Codigo: "&amp;A594&amp;". Ubicacion: "&amp;"https://www.google.com/maps/search/?api=1&amp;query="&amp;SUBSTITUTE(F594," ",""))),"")</f>
        <v/>
      </c>
      <c r="M594" s="8">
        <f>IF(B594&lt;&gt;"",TODAY(),"")</f>
        <v/>
      </c>
      <c r="N594" s="8">
        <f>IF(F594&lt;&gt;"",IFERROR(IF(AND(REGEXMATCH(SUBSTITUTE(TRIM(F594)," ",""),"^-?\d+(\.\d+)?,-?\d+(\.\d+)?$"),VALUE(REGEXEXTRACT(SUBSTITUTE(TRIM(F594)," ",""),"^-?\d+(\.\d+)?"))&gt;=-90,VALUE(REGEXEXTRACT(SUBSTITUTE(TRIM(F594)," ",""),"^-?\d+(\.\d+)?"))&lt;=90,VALUE(REGEXEXTRACT(SUBSTITUTE(TRIM(F594)," ",""),"-?\d+(\.\d+)?$"))&gt;=-180,VALUE(REGEXEXTRACT(SUBSTITUTE(TRIM(F594)," ",""),"-?\d+(\.\d+)?$"))&lt;=180),"OK","REVISAR"),"REVISAR"),"")</f>
        <v/>
      </c>
      <c r="O594">
        <f>IF(A594&lt;&gt;"","https://direcciones507.github.io/direcciones507/panel.html?codigo="&amp;A594&amp;"&amp;nombre="&amp;ENCODEURL(B594)&amp;"&amp;telefono="&amp;SUBSTITUTE(C594,"-","")&amp;"&amp;referencia="&amp;ENCODEURL(E594)&amp;"&amp;lat="&amp;IZQUIERDA(SUBSTITUTE(F594," ",""),ENCONTRAR(",",SUBSTITUTE(F594," ",""))-1)&amp;"&amp;lng="&amp;DERECHA(SUBSTITUTE(F594," ",""),LARGO(SUBSTITUTE(F594," ",""))-ENCONTRAR(",",SUBSTITUTE(F594," ",""))),"")</f>
        <v/>
      </c>
    </row>
    <row r="595" ht="15.75" customHeight="1" s="10">
      <c r="A595" s="8">
        <f>CONCAT("AD507-",TEXT(ROW()-2,"0000"))</f>
        <v/>
      </c>
      <c r="C595" s="8" t="n"/>
      <c r="F595" s="8" t="n"/>
      <c r="G595" s="8">
        <f>IF(F595&lt;&gt;"",HYPERLINK("https://www.google.com/maps/search/?api=1&amp;query="&amp;SUBSTITUTE(F595," ",""),"🗺 Google Maps"),"")</f>
        <v/>
      </c>
      <c r="H595" s="8">
        <f>IF(F595&lt;&gt;"",HYPERLINK("https://waze.com/ul?ll="&amp;SUBSTITUTE(F595," ","")&amp;"&amp;navigate=yes","🚗 Waze"),"")</f>
        <v/>
      </c>
      <c r="I595" s="8">
        <f>IF(F595&lt;&gt;"",HYPERLINK("https://m.uber.com/ul/?action=setPickup&amp;pickup=my_location&amp;dropoff[latitude]="&amp;LEFT(SUBSTITUTE(F595," ",""),FIND(",",SUBSTITUTE(F595," ",""))-1)&amp;"&amp;dropoff[longitude]="&amp;MID(SUBSTITUTE(F595," ",""),FIND(",",SUBSTITUTE(F595," ",""))+1,99),"🚕 Uber"),"")</f>
        <v/>
      </c>
      <c r="J595" s="8">
        <f>IF(F595&lt;&gt;"","https://api.qrserver.com/v1/create-qr-code/?size=200x200&amp;data="&amp;ENCODEURL("https://www.google.com/maps/search/?api=1&amp;query="&amp;SUBSTITUTE(F595," ","")),"")</f>
        <v/>
      </c>
      <c r="K595" s="8">
        <f>IF(C595&lt;&gt;"",HYPERLINK("https://wa.me/507"&amp;REGEXREPLACE(C595,"[^0-9]","")&amp;"?text="&amp;ENCODEURL("Ya llegue. Codigo: "&amp;A595&amp;". Ubicacion: "&amp;"https://www.google.com/maps/search/?api=1&amp;query="&amp;SUBSTITUTE(F595," ","")),"📲 Avisar al cliente"),"")</f>
        <v/>
      </c>
      <c r="L595" s="8">
        <f>IF(C595&lt;&gt;"","https://api.qrserver.com/v1/create-qr-code/?size=200x200&amp;data="&amp;ENCODEURL("https://wa.me/507"&amp;REGEXREPLACE(C595,"[^0-9]","")&amp;"?text="&amp;ENCODEURL("Ya llegue. Codigo: "&amp;A595&amp;". Ubicacion: "&amp;"https://www.google.com/maps/search/?api=1&amp;query="&amp;SUBSTITUTE(F595," ",""))),"")</f>
        <v/>
      </c>
      <c r="M595" s="8">
        <f>IF(B595&lt;&gt;"",TODAY(),"")</f>
        <v/>
      </c>
      <c r="N595" s="8">
        <f>IF(F595&lt;&gt;"",IFERROR(IF(AND(REGEXMATCH(SUBSTITUTE(TRIM(F595)," ",""),"^-?\d+(\.\d+)?,-?\d+(\.\d+)?$"),VALUE(REGEXEXTRACT(SUBSTITUTE(TRIM(F595)," ",""),"^-?\d+(\.\d+)?"))&gt;=-90,VALUE(REGEXEXTRACT(SUBSTITUTE(TRIM(F595)," ",""),"^-?\d+(\.\d+)?"))&lt;=90,VALUE(REGEXEXTRACT(SUBSTITUTE(TRIM(F595)," ",""),"-?\d+(\.\d+)?$"))&gt;=-180,VALUE(REGEXEXTRACT(SUBSTITUTE(TRIM(F595)," ",""),"-?\d+(\.\d+)?$"))&lt;=180),"OK","REVISAR"),"REVISAR"),"")</f>
        <v/>
      </c>
      <c r="O595">
        <f>IF(A595&lt;&gt;"","https://direcciones507.github.io/direcciones507/panel.html?codigo="&amp;A595&amp;"&amp;nombre="&amp;ENCODEURL(B595)&amp;"&amp;telefono="&amp;SUBSTITUTE(C595,"-","")&amp;"&amp;referencia="&amp;ENCODEURL(E595)&amp;"&amp;lat="&amp;IZQUIERDA(SUBSTITUTE(F595," ",""),ENCONTRAR(",",SUBSTITUTE(F595," ",""))-1)&amp;"&amp;lng="&amp;DERECHA(SUBSTITUTE(F595," ",""),LARGO(SUBSTITUTE(F595," ",""))-ENCONTRAR(",",SUBSTITUTE(F595," ",""))),"")</f>
        <v/>
      </c>
    </row>
    <row r="596" ht="15.75" customHeight="1" s="10">
      <c r="A596" s="8">
        <f>CONCAT("AD507-",TEXT(ROW()-2,"0000"))</f>
        <v/>
      </c>
      <c r="C596" s="8" t="n"/>
      <c r="F596" s="8" t="n"/>
      <c r="G596" s="8">
        <f>IF(F596&lt;&gt;"",HYPERLINK("https://www.google.com/maps/search/?api=1&amp;query="&amp;SUBSTITUTE(F596," ",""),"🗺 Google Maps"),"")</f>
        <v/>
      </c>
      <c r="H596" s="8">
        <f>IF(F596&lt;&gt;"",HYPERLINK("https://waze.com/ul?ll="&amp;SUBSTITUTE(F596," ","")&amp;"&amp;navigate=yes","🚗 Waze"),"")</f>
        <v/>
      </c>
      <c r="I596" s="8">
        <f>IF(F596&lt;&gt;"",HYPERLINK("https://m.uber.com/ul/?action=setPickup&amp;pickup=my_location&amp;dropoff[latitude]="&amp;LEFT(SUBSTITUTE(F596," ",""),FIND(",",SUBSTITUTE(F596," ",""))-1)&amp;"&amp;dropoff[longitude]="&amp;MID(SUBSTITUTE(F596," ",""),FIND(",",SUBSTITUTE(F596," ",""))+1,99),"🚕 Uber"),"")</f>
        <v/>
      </c>
      <c r="J596" s="8">
        <f>IF(F596&lt;&gt;"","https://api.qrserver.com/v1/create-qr-code/?size=200x200&amp;data="&amp;ENCODEURL("https://www.google.com/maps/search/?api=1&amp;query="&amp;SUBSTITUTE(F596," ","")),"")</f>
        <v/>
      </c>
      <c r="K596" s="8">
        <f>IF(C596&lt;&gt;"",HYPERLINK("https://wa.me/507"&amp;REGEXREPLACE(C596,"[^0-9]","")&amp;"?text="&amp;ENCODEURL("Ya llegue. Codigo: "&amp;A596&amp;". Ubicacion: "&amp;"https://www.google.com/maps/search/?api=1&amp;query="&amp;SUBSTITUTE(F596," ","")),"📲 Avisar al cliente"),"")</f>
        <v/>
      </c>
      <c r="L596" s="8">
        <f>IF(C596&lt;&gt;"","https://api.qrserver.com/v1/create-qr-code/?size=200x200&amp;data="&amp;ENCODEURL("https://wa.me/507"&amp;REGEXREPLACE(C596,"[^0-9]","")&amp;"?text="&amp;ENCODEURL("Ya llegue. Codigo: "&amp;A596&amp;". Ubicacion: "&amp;"https://www.google.com/maps/search/?api=1&amp;query="&amp;SUBSTITUTE(F596," ",""))),"")</f>
        <v/>
      </c>
      <c r="M596" s="8">
        <f>IF(B596&lt;&gt;"",TODAY(),"")</f>
        <v/>
      </c>
      <c r="N596" s="8">
        <f>IF(F596&lt;&gt;"",IFERROR(IF(AND(REGEXMATCH(SUBSTITUTE(TRIM(F596)," ",""),"^-?\d+(\.\d+)?,-?\d+(\.\d+)?$"),VALUE(REGEXEXTRACT(SUBSTITUTE(TRIM(F596)," ",""),"^-?\d+(\.\d+)?"))&gt;=-90,VALUE(REGEXEXTRACT(SUBSTITUTE(TRIM(F596)," ",""),"^-?\d+(\.\d+)?"))&lt;=90,VALUE(REGEXEXTRACT(SUBSTITUTE(TRIM(F596)," ",""),"-?\d+(\.\d+)?$"))&gt;=-180,VALUE(REGEXEXTRACT(SUBSTITUTE(TRIM(F596)," ",""),"-?\d+(\.\d+)?$"))&lt;=180),"OK","REVISAR"),"REVISAR"),"")</f>
        <v/>
      </c>
      <c r="O596">
        <f>IF(A596&lt;&gt;"","https://direcciones507.github.io/direcciones507/panel.html?codigo="&amp;A596&amp;"&amp;nombre="&amp;ENCODEURL(B596)&amp;"&amp;telefono="&amp;SUBSTITUTE(C596,"-","")&amp;"&amp;referencia="&amp;ENCODEURL(E596)&amp;"&amp;lat="&amp;IZQUIERDA(SUBSTITUTE(F596," ",""),ENCONTRAR(",",SUBSTITUTE(F596," ",""))-1)&amp;"&amp;lng="&amp;DERECHA(SUBSTITUTE(F596," ",""),LARGO(SUBSTITUTE(F596," ",""))-ENCONTRAR(",",SUBSTITUTE(F596," ",""))),"")</f>
        <v/>
      </c>
    </row>
    <row r="597" ht="15.75" customHeight="1" s="10">
      <c r="A597" s="8">
        <f>CONCAT("AD507-",TEXT(ROW()-2,"0000"))</f>
        <v/>
      </c>
      <c r="C597" s="8" t="n"/>
      <c r="F597" s="8" t="n"/>
      <c r="G597" s="8">
        <f>IF(F597&lt;&gt;"",HYPERLINK("https://www.google.com/maps/search/?api=1&amp;query="&amp;SUBSTITUTE(F597," ",""),"🗺 Google Maps"),"")</f>
        <v/>
      </c>
      <c r="H597" s="8">
        <f>IF(F597&lt;&gt;"",HYPERLINK("https://waze.com/ul?ll="&amp;SUBSTITUTE(F597," ","")&amp;"&amp;navigate=yes","🚗 Waze"),"")</f>
        <v/>
      </c>
      <c r="I597" s="8">
        <f>IF(F597&lt;&gt;"",HYPERLINK("https://m.uber.com/ul/?action=setPickup&amp;pickup=my_location&amp;dropoff[latitude]="&amp;LEFT(SUBSTITUTE(F597," ",""),FIND(",",SUBSTITUTE(F597," ",""))-1)&amp;"&amp;dropoff[longitude]="&amp;MID(SUBSTITUTE(F597," ",""),FIND(",",SUBSTITUTE(F597," ",""))+1,99),"🚕 Uber"),"")</f>
        <v/>
      </c>
      <c r="J597" s="8">
        <f>IF(F597&lt;&gt;"","https://api.qrserver.com/v1/create-qr-code/?size=200x200&amp;data="&amp;ENCODEURL("https://www.google.com/maps/search/?api=1&amp;query="&amp;SUBSTITUTE(F597," ","")),"")</f>
        <v/>
      </c>
      <c r="K597" s="8">
        <f>IF(C597&lt;&gt;"",HYPERLINK("https://wa.me/507"&amp;REGEXREPLACE(C597,"[^0-9]","")&amp;"?text="&amp;ENCODEURL("Ya llegue. Codigo: "&amp;A597&amp;". Ubicacion: "&amp;"https://www.google.com/maps/search/?api=1&amp;query="&amp;SUBSTITUTE(F597," ","")),"📲 Avisar al cliente"),"")</f>
        <v/>
      </c>
      <c r="L597" s="8">
        <f>IF(C597&lt;&gt;"","https://api.qrserver.com/v1/create-qr-code/?size=200x200&amp;data="&amp;ENCODEURL("https://wa.me/507"&amp;REGEXREPLACE(C597,"[^0-9]","")&amp;"?text="&amp;ENCODEURL("Ya llegue. Codigo: "&amp;A597&amp;". Ubicacion: "&amp;"https://www.google.com/maps/search/?api=1&amp;query="&amp;SUBSTITUTE(F597," ",""))),"")</f>
        <v/>
      </c>
      <c r="M597" s="8">
        <f>IF(B597&lt;&gt;"",TODAY(),"")</f>
        <v/>
      </c>
      <c r="N597" s="8">
        <f>IF(F597&lt;&gt;"",IFERROR(IF(AND(REGEXMATCH(SUBSTITUTE(TRIM(F597)," ",""),"^-?\d+(\.\d+)?,-?\d+(\.\d+)?$"),VALUE(REGEXEXTRACT(SUBSTITUTE(TRIM(F597)," ",""),"^-?\d+(\.\d+)?"))&gt;=-90,VALUE(REGEXEXTRACT(SUBSTITUTE(TRIM(F597)," ",""),"^-?\d+(\.\d+)?"))&lt;=90,VALUE(REGEXEXTRACT(SUBSTITUTE(TRIM(F597)," ",""),"-?\d+(\.\d+)?$"))&gt;=-180,VALUE(REGEXEXTRACT(SUBSTITUTE(TRIM(F597)," ",""),"-?\d+(\.\d+)?$"))&lt;=180),"OK","REVISAR"),"REVISAR"),"")</f>
        <v/>
      </c>
      <c r="O597">
        <f>IF(A597&lt;&gt;"","https://direcciones507.github.io/direcciones507/panel.html?codigo="&amp;A597&amp;"&amp;nombre="&amp;ENCODEURL(B597)&amp;"&amp;telefono="&amp;SUBSTITUTE(C597,"-","")&amp;"&amp;referencia="&amp;ENCODEURL(E597)&amp;"&amp;lat="&amp;IZQUIERDA(SUBSTITUTE(F597," ",""),ENCONTRAR(",",SUBSTITUTE(F597," ",""))-1)&amp;"&amp;lng="&amp;DERECHA(SUBSTITUTE(F597," ",""),LARGO(SUBSTITUTE(F597," ",""))-ENCONTRAR(",",SUBSTITUTE(F597," ",""))),"")</f>
        <v/>
      </c>
    </row>
    <row r="598" ht="15.75" customHeight="1" s="10">
      <c r="A598" s="8">
        <f>CONCAT("AD507-",TEXT(ROW()-2,"0000"))</f>
        <v/>
      </c>
      <c r="C598" s="8" t="n"/>
      <c r="F598" s="8" t="n"/>
      <c r="G598" s="8">
        <f>IF(F598&lt;&gt;"",HYPERLINK("https://www.google.com/maps/search/?api=1&amp;query="&amp;SUBSTITUTE(F598," ",""),"🗺 Google Maps"),"")</f>
        <v/>
      </c>
      <c r="H598" s="8">
        <f>IF(F598&lt;&gt;"",HYPERLINK("https://waze.com/ul?ll="&amp;SUBSTITUTE(F598," ","")&amp;"&amp;navigate=yes","🚗 Waze"),"")</f>
        <v/>
      </c>
      <c r="I598" s="8">
        <f>IF(F598&lt;&gt;"",HYPERLINK("https://m.uber.com/ul/?action=setPickup&amp;pickup=my_location&amp;dropoff[latitude]="&amp;LEFT(SUBSTITUTE(F598," ",""),FIND(",",SUBSTITUTE(F598," ",""))-1)&amp;"&amp;dropoff[longitude]="&amp;MID(SUBSTITUTE(F598," ",""),FIND(",",SUBSTITUTE(F598," ",""))+1,99),"🚕 Uber"),"")</f>
        <v/>
      </c>
      <c r="J598" s="8">
        <f>IF(F598&lt;&gt;"","https://api.qrserver.com/v1/create-qr-code/?size=200x200&amp;data="&amp;ENCODEURL("https://www.google.com/maps/search/?api=1&amp;query="&amp;SUBSTITUTE(F598," ","")),"")</f>
        <v/>
      </c>
      <c r="K598" s="8">
        <f>IF(C598&lt;&gt;"",HYPERLINK("https://wa.me/507"&amp;REGEXREPLACE(C598,"[^0-9]","")&amp;"?text="&amp;ENCODEURL("Ya llegue. Codigo: "&amp;A598&amp;". Ubicacion: "&amp;"https://www.google.com/maps/search/?api=1&amp;query="&amp;SUBSTITUTE(F598," ","")),"📲 Avisar al cliente"),"")</f>
        <v/>
      </c>
      <c r="L598" s="8">
        <f>IF(C598&lt;&gt;"","https://api.qrserver.com/v1/create-qr-code/?size=200x200&amp;data="&amp;ENCODEURL("https://wa.me/507"&amp;REGEXREPLACE(C598,"[^0-9]","")&amp;"?text="&amp;ENCODEURL("Ya llegue. Codigo: "&amp;A598&amp;". Ubicacion: "&amp;"https://www.google.com/maps/search/?api=1&amp;query="&amp;SUBSTITUTE(F598," ",""))),"")</f>
        <v/>
      </c>
      <c r="M598" s="8">
        <f>IF(B598&lt;&gt;"",TODAY(),"")</f>
        <v/>
      </c>
      <c r="N598" s="8">
        <f>IF(F598&lt;&gt;"",IFERROR(IF(AND(REGEXMATCH(SUBSTITUTE(TRIM(F598)," ",""),"^-?\d+(\.\d+)?,-?\d+(\.\d+)?$"),VALUE(REGEXEXTRACT(SUBSTITUTE(TRIM(F598)," ",""),"^-?\d+(\.\d+)?"))&gt;=-90,VALUE(REGEXEXTRACT(SUBSTITUTE(TRIM(F598)," ",""),"^-?\d+(\.\d+)?"))&lt;=90,VALUE(REGEXEXTRACT(SUBSTITUTE(TRIM(F598)," ",""),"-?\d+(\.\d+)?$"))&gt;=-180,VALUE(REGEXEXTRACT(SUBSTITUTE(TRIM(F598)," ",""),"-?\d+(\.\d+)?$"))&lt;=180),"OK","REVISAR"),"REVISAR"),"")</f>
        <v/>
      </c>
      <c r="O598">
        <f>IF(A598&lt;&gt;"","https://direcciones507.github.io/direcciones507/panel.html?codigo="&amp;A598&amp;"&amp;nombre="&amp;ENCODEURL(B598)&amp;"&amp;telefono="&amp;SUBSTITUTE(C598,"-","")&amp;"&amp;referencia="&amp;ENCODEURL(E598)&amp;"&amp;lat="&amp;IZQUIERDA(SUBSTITUTE(F598," ",""),ENCONTRAR(",",SUBSTITUTE(F598," ",""))-1)&amp;"&amp;lng="&amp;DERECHA(SUBSTITUTE(F598," ",""),LARGO(SUBSTITUTE(F598," ",""))-ENCONTRAR(",",SUBSTITUTE(F598," ",""))),"")</f>
        <v/>
      </c>
    </row>
    <row r="599" ht="15.75" customHeight="1" s="10">
      <c r="A599" s="8">
        <f>CONCAT("AD507-",TEXT(ROW()-2,"0000"))</f>
        <v/>
      </c>
      <c r="C599" s="8" t="n"/>
      <c r="F599" s="8" t="n"/>
      <c r="G599" s="8">
        <f>IF(F599&lt;&gt;"",HYPERLINK("https://www.google.com/maps/search/?api=1&amp;query="&amp;SUBSTITUTE(F599," ",""),"🗺 Google Maps"),"")</f>
        <v/>
      </c>
      <c r="H599" s="8">
        <f>IF(F599&lt;&gt;"",HYPERLINK("https://waze.com/ul?ll="&amp;SUBSTITUTE(F599," ","")&amp;"&amp;navigate=yes","🚗 Waze"),"")</f>
        <v/>
      </c>
      <c r="I599" s="8">
        <f>IF(F599&lt;&gt;"",HYPERLINK("https://m.uber.com/ul/?action=setPickup&amp;pickup=my_location&amp;dropoff[latitude]="&amp;LEFT(SUBSTITUTE(F599," ",""),FIND(",",SUBSTITUTE(F599," ",""))-1)&amp;"&amp;dropoff[longitude]="&amp;MID(SUBSTITUTE(F599," ",""),FIND(",",SUBSTITUTE(F599," ",""))+1,99),"🚕 Uber"),"")</f>
        <v/>
      </c>
      <c r="J599" s="8">
        <f>IF(F599&lt;&gt;"","https://api.qrserver.com/v1/create-qr-code/?size=200x200&amp;data="&amp;ENCODEURL("https://www.google.com/maps/search/?api=1&amp;query="&amp;SUBSTITUTE(F599," ","")),"")</f>
        <v/>
      </c>
      <c r="K599" s="8">
        <f>IF(C599&lt;&gt;"",HYPERLINK("https://wa.me/507"&amp;REGEXREPLACE(C599,"[^0-9]","")&amp;"?text="&amp;ENCODEURL("Ya llegue. Codigo: "&amp;A599&amp;". Ubicacion: "&amp;"https://www.google.com/maps/search/?api=1&amp;query="&amp;SUBSTITUTE(F599," ","")),"📲 Avisar al cliente"),"")</f>
        <v/>
      </c>
      <c r="L599" s="8">
        <f>IF(C599&lt;&gt;"","https://api.qrserver.com/v1/create-qr-code/?size=200x200&amp;data="&amp;ENCODEURL("https://wa.me/507"&amp;REGEXREPLACE(C599,"[^0-9]","")&amp;"?text="&amp;ENCODEURL("Ya llegue. Codigo: "&amp;A599&amp;". Ubicacion: "&amp;"https://www.google.com/maps/search/?api=1&amp;query="&amp;SUBSTITUTE(F599," ",""))),"")</f>
        <v/>
      </c>
      <c r="M599" s="8">
        <f>IF(B599&lt;&gt;"",TODAY(),"")</f>
        <v/>
      </c>
      <c r="N599" s="8">
        <f>IF(F599&lt;&gt;"",IFERROR(IF(AND(REGEXMATCH(SUBSTITUTE(TRIM(F599)," ",""),"^-?\d+(\.\d+)?,-?\d+(\.\d+)?$"),VALUE(REGEXEXTRACT(SUBSTITUTE(TRIM(F599)," ",""),"^-?\d+(\.\d+)?"))&gt;=-90,VALUE(REGEXEXTRACT(SUBSTITUTE(TRIM(F599)," ",""),"^-?\d+(\.\d+)?"))&lt;=90,VALUE(REGEXEXTRACT(SUBSTITUTE(TRIM(F599)," ",""),"-?\d+(\.\d+)?$"))&gt;=-180,VALUE(REGEXEXTRACT(SUBSTITUTE(TRIM(F599)," ",""),"-?\d+(\.\d+)?$"))&lt;=180),"OK","REVISAR"),"REVISAR"),"")</f>
        <v/>
      </c>
      <c r="O599">
        <f>IF(A599&lt;&gt;"","https://direcciones507.github.io/direcciones507/panel.html?codigo="&amp;A599&amp;"&amp;nombre="&amp;ENCODEURL(B599)&amp;"&amp;telefono="&amp;SUBSTITUTE(C599,"-","")&amp;"&amp;referencia="&amp;ENCODEURL(E599)&amp;"&amp;lat="&amp;IZQUIERDA(SUBSTITUTE(F599," ",""),ENCONTRAR(",",SUBSTITUTE(F599," ",""))-1)&amp;"&amp;lng="&amp;DERECHA(SUBSTITUTE(F599," ",""),LARGO(SUBSTITUTE(F599," ",""))-ENCONTRAR(",",SUBSTITUTE(F599," ",""))),"")</f>
        <v/>
      </c>
    </row>
    <row r="600" ht="15.75" customHeight="1" s="10">
      <c r="A600" s="8">
        <f>CONCAT("AD507-",TEXT(ROW()-2,"0000"))</f>
        <v/>
      </c>
      <c r="C600" s="8" t="n"/>
      <c r="F600" s="8" t="n"/>
      <c r="G600" s="8">
        <f>IF(F600&lt;&gt;"",HYPERLINK("https://www.google.com/maps/search/?api=1&amp;query="&amp;SUBSTITUTE(F600," ",""),"🗺 Google Maps"),"")</f>
        <v/>
      </c>
      <c r="H600" s="8">
        <f>IF(F600&lt;&gt;"",HYPERLINK("https://waze.com/ul?ll="&amp;SUBSTITUTE(F600," ","")&amp;"&amp;navigate=yes","🚗 Waze"),"")</f>
        <v/>
      </c>
      <c r="I600" s="8">
        <f>IF(F600&lt;&gt;"",HYPERLINK("https://m.uber.com/ul/?action=setPickup&amp;pickup=my_location&amp;dropoff[latitude]="&amp;LEFT(SUBSTITUTE(F600," ",""),FIND(",",SUBSTITUTE(F600," ",""))-1)&amp;"&amp;dropoff[longitude]="&amp;MID(SUBSTITUTE(F600," ",""),FIND(",",SUBSTITUTE(F600," ",""))+1,99),"🚕 Uber"),"")</f>
        <v/>
      </c>
      <c r="J600" s="8">
        <f>IF(F600&lt;&gt;"","https://api.qrserver.com/v1/create-qr-code/?size=200x200&amp;data="&amp;ENCODEURL("https://www.google.com/maps/search/?api=1&amp;query="&amp;SUBSTITUTE(F600," ","")),"")</f>
        <v/>
      </c>
      <c r="K600" s="8">
        <f>IF(C600&lt;&gt;"",HYPERLINK("https://wa.me/507"&amp;REGEXREPLACE(C600,"[^0-9]","")&amp;"?text="&amp;ENCODEURL("Ya llegue. Codigo: "&amp;A600&amp;". Ubicacion: "&amp;"https://www.google.com/maps/search/?api=1&amp;query="&amp;SUBSTITUTE(F600," ","")),"📲 Avisar al cliente"),"")</f>
        <v/>
      </c>
      <c r="L600" s="8">
        <f>IF(C600&lt;&gt;"","https://api.qrserver.com/v1/create-qr-code/?size=200x200&amp;data="&amp;ENCODEURL("https://wa.me/507"&amp;REGEXREPLACE(C600,"[^0-9]","")&amp;"?text="&amp;ENCODEURL("Ya llegue. Codigo: "&amp;A600&amp;". Ubicacion: "&amp;"https://www.google.com/maps/search/?api=1&amp;query="&amp;SUBSTITUTE(F600," ",""))),"")</f>
        <v/>
      </c>
      <c r="M600" s="8">
        <f>IF(B600&lt;&gt;"",TODAY(),"")</f>
        <v/>
      </c>
      <c r="N600" s="8">
        <f>IF(F600&lt;&gt;"",IFERROR(IF(AND(REGEXMATCH(SUBSTITUTE(TRIM(F600)," ",""),"^-?\d+(\.\d+)?,-?\d+(\.\d+)?$"),VALUE(REGEXEXTRACT(SUBSTITUTE(TRIM(F600)," ",""),"^-?\d+(\.\d+)?"))&gt;=-90,VALUE(REGEXEXTRACT(SUBSTITUTE(TRIM(F600)," ",""),"^-?\d+(\.\d+)?"))&lt;=90,VALUE(REGEXEXTRACT(SUBSTITUTE(TRIM(F600)," ",""),"-?\d+(\.\d+)?$"))&gt;=-180,VALUE(REGEXEXTRACT(SUBSTITUTE(TRIM(F600)," ",""),"-?\d+(\.\d+)?$"))&lt;=180),"OK","REVISAR"),"REVISAR"),"")</f>
        <v/>
      </c>
      <c r="O600">
        <f>IF(A600&lt;&gt;"","https://direcciones507.github.io/direcciones507/panel.html?codigo="&amp;A600&amp;"&amp;nombre="&amp;ENCODEURL(B600)&amp;"&amp;telefono="&amp;SUBSTITUTE(C600,"-","")&amp;"&amp;referencia="&amp;ENCODEURL(E600)&amp;"&amp;lat="&amp;IZQUIERDA(SUBSTITUTE(F600," ",""),ENCONTRAR(",",SUBSTITUTE(F600," ",""))-1)&amp;"&amp;lng="&amp;DERECHA(SUBSTITUTE(F600," ",""),LARGO(SUBSTITUTE(F600," ",""))-ENCONTRAR(",",SUBSTITUTE(F600," ",""))),"")</f>
        <v/>
      </c>
    </row>
    <row r="601" ht="15.75" customHeight="1" s="10">
      <c r="A601" s="8">
        <f>CONCAT("AD507-",TEXT(ROW()-2,"0000"))</f>
        <v/>
      </c>
      <c r="C601" s="8" t="n"/>
      <c r="F601" s="8" t="n"/>
      <c r="G601" s="8">
        <f>IF(F601&lt;&gt;"",HYPERLINK("https://www.google.com/maps/search/?api=1&amp;query="&amp;SUBSTITUTE(F601," ",""),"🗺 Google Maps"),"")</f>
        <v/>
      </c>
      <c r="H601" s="8">
        <f>IF(F601&lt;&gt;"",HYPERLINK("https://waze.com/ul?ll="&amp;SUBSTITUTE(F601," ","")&amp;"&amp;navigate=yes","🚗 Waze"),"")</f>
        <v/>
      </c>
      <c r="I601" s="8">
        <f>IF(F601&lt;&gt;"",HYPERLINK("https://m.uber.com/ul/?action=setPickup&amp;pickup=my_location&amp;dropoff[latitude]="&amp;LEFT(SUBSTITUTE(F601," ",""),FIND(",",SUBSTITUTE(F601," ",""))-1)&amp;"&amp;dropoff[longitude]="&amp;MID(SUBSTITUTE(F601," ",""),FIND(",",SUBSTITUTE(F601," ",""))+1,99),"🚕 Uber"),"")</f>
        <v/>
      </c>
      <c r="J601" s="8">
        <f>IF(F601&lt;&gt;"","https://api.qrserver.com/v1/create-qr-code/?size=200x200&amp;data="&amp;ENCODEURL("https://www.google.com/maps/search/?api=1&amp;query="&amp;SUBSTITUTE(F601," ","")),"")</f>
        <v/>
      </c>
      <c r="K601" s="8">
        <f>IF(C601&lt;&gt;"",HYPERLINK("https://wa.me/507"&amp;REGEXREPLACE(C601,"[^0-9]","")&amp;"?text="&amp;ENCODEURL("Ya llegue. Codigo: "&amp;A601&amp;". Ubicacion: "&amp;"https://www.google.com/maps/search/?api=1&amp;query="&amp;SUBSTITUTE(F601," ","")),"📲 Avisar al cliente"),"")</f>
        <v/>
      </c>
      <c r="L601" s="8">
        <f>IF(C601&lt;&gt;"","https://api.qrserver.com/v1/create-qr-code/?size=200x200&amp;data="&amp;ENCODEURL("https://wa.me/507"&amp;REGEXREPLACE(C601,"[^0-9]","")&amp;"?text="&amp;ENCODEURL("Ya llegue. Codigo: "&amp;A601&amp;". Ubicacion: "&amp;"https://www.google.com/maps/search/?api=1&amp;query="&amp;SUBSTITUTE(F601," ",""))),"")</f>
        <v/>
      </c>
      <c r="M601" s="8">
        <f>IF(B601&lt;&gt;"",TODAY(),"")</f>
        <v/>
      </c>
      <c r="N601" s="8">
        <f>IF(F601&lt;&gt;"",IFERROR(IF(AND(REGEXMATCH(SUBSTITUTE(TRIM(F601)," ",""),"^-?\d+(\.\d+)?,-?\d+(\.\d+)?$"),VALUE(REGEXEXTRACT(SUBSTITUTE(TRIM(F601)," ",""),"^-?\d+(\.\d+)?"))&gt;=-90,VALUE(REGEXEXTRACT(SUBSTITUTE(TRIM(F601)," ",""),"^-?\d+(\.\d+)?"))&lt;=90,VALUE(REGEXEXTRACT(SUBSTITUTE(TRIM(F601)," ",""),"-?\d+(\.\d+)?$"))&gt;=-180,VALUE(REGEXEXTRACT(SUBSTITUTE(TRIM(F601)," ",""),"-?\d+(\.\d+)?$"))&lt;=180),"OK","REVISAR"),"REVISAR"),"")</f>
        <v/>
      </c>
      <c r="O601">
        <f>IF(A601&lt;&gt;"","https://direcciones507.github.io/direcciones507/panel.html?codigo="&amp;A601&amp;"&amp;nombre="&amp;ENCODEURL(B601)&amp;"&amp;telefono="&amp;SUBSTITUTE(C601,"-","")&amp;"&amp;referencia="&amp;ENCODEURL(E601)&amp;"&amp;lat="&amp;IZQUIERDA(SUBSTITUTE(F601," ",""),ENCONTRAR(",",SUBSTITUTE(F601," ",""))-1)&amp;"&amp;lng="&amp;DERECHA(SUBSTITUTE(F601," ",""),LARGO(SUBSTITUTE(F601," ",""))-ENCONTRAR(",",SUBSTITUTE(F601," ",""))),"")</f>
        <v/>
      </c>
    </row>
    <row r="602" ht="15.75" customHeight="1" s="10">
      <c r="A602" s="8">
        <f>CONCAT("AD507-",TEXT(ROW()-2,"0000"))</f>
        <v/>
      </c>
      <c r="C602" s="8" t="n"/>
      <c r="F602" s="8" t="n"/>
      <c r="G602" s="8">
        <f>IF(F602&lt;&gt;"",HYPERLINK("https://www.google.com/maps/search/?api=1&amp;query="&amp;SUBSTITUTE(F602," ",""),"🗺 Google Maps"),"")</f>
        <v/>
      </c>
      <c r="H602" s="8">
        <f>IF(F602&lt;&gt;"",HYPERLINK("https://waze.com/ul?ll="&amp;SUBSTITUTE(F602," ","")&amp;"&amp;navigate=yes","🚗 Waze"),"")</f>
        <v/>
      </c>
      <c r="I602" s="8">
        <f>IF(F602&lt;&gt;"",HYPERLINK("https://m.uber.com/ul/?action=setPickup&amp;pickup=my_location&amp;dropoff[latitude]="&amp;LEFT(SUBSTITUTE(F602," ",""),FIND(",",SUBSTITUTE(F602," ",""))-1)&amp;"&amp;dropoff[longitude]="&amp;MID(SUBSTITUTE(F602," ",""),FIND(",",SUBSTITUTE(F602," ",""))+1,99),"🚕 Uber"),"")</f>
        <v/>
      </c>
      <c r="J602" s="8">
        <f>IF(F602&lt;&gt;"","https://api.qrserver.com/v1/create-qr-code/?size=200x200&amp;data="&amp;ENCODEURL("https://www.google.com/maps/search/?api=1&amp;query="&amp;SUBSTITUTE(F602," ","")),"")</f>
        <v/>
      </c>
      <c r="K602" s="8">
        <f>IF(C602&lt;&gt;"",HYPERLINK("https://wa.me/507"&amp;REGEXREPLACE(C602,"[^0-9]","")&amp;"?text="&amp;ENCODEURL("Ya llegue. Codigo: "&amp;A602&amp;". Ubicacion: "&amp;"https://www.google.com/maps/search/?api=1&amp;query="&amp;SUBSTITUTE(F602," ","")),"📲 Avisar al cliente"),"")</f>
        <v/>
      </c>
      <c r="L602" s="8">
        <f>IF(C602&lt;&gt;"","https://api.qrserver.com/v1/create-qr-code/?size=200x200&amp;data="&amp;ENCODEURL("https://wa.me/507"&amp;REGEXREPLACE(C602,"[^0-9]","")&amp;"?text="&amp;ENCODEURL("Ya llegue. Codigo: "&amp;A602&amp;". Ubicacion: "&amp;"https://www.google.com/maps/search/?api=1&amp;query="&amp;SUBSTITUTE(F602," ",""))),"")</f>
        <v/>
      </c>
      <c r="M602" s="8">
        <f>IF(B602&lt;&gt;"",TODAY(),"")</f>
        <v/>
      </c>
      <c r="N602" s="8">
        <f>IF(F602&lt;&gt;"",IFERROR(IF(AND(REGEXMATCH(SUBSTITUTE(TRIM(F602)," ",""),"^-?\d+(\.\d+)?,-?\d+(\.\d+)?$"),VALUE(REGEXEXTRACT(SUBSTITUTE(TRIM(F602)," ",""),"^-?\d+(\.\d+)?"))&gt;=-90,VALUE(REGEXEXTRACT(SUBSTITUTE(TRIM(F602)," ",""),"^-?\d+(\.\d+)?"))&lt;=90,VALUE(REGEXEXTRACT(SUBSTITUTE(TRIM(F602)," ",""),"-?\d+(\.\d+)?$"))&gt;=-180,VALUE(REGEXEXTRACT(SUBSTITUTE(TRIM(F602)," ",""),"-?\d+(\.\d+)?$"))&lt;=180),"OK","REVISAR"),"REVISAR"),"")</f>
        <v/>
      </c>
      <c r="O602">
        <f>IF(A602&lt;&gt;"","https://direcciones507.github.io/direcciones507/panel.html?codigo="&amp;A602&amp;"&amp;nombre="&amp;ENCODEURL(B602)&amp;"&amp;telefono="&amp;SUBSTITUTE(C602,"-","")&amp;"&amp;referencia="&amp;ENCODEURL(E602)&amp;"&amp;lat="&amp;IZQUIERDA(SUBSTITUTE(F602," ",""),ENCONTRAR(",",SUBSTITUTE(F602," ",""))-1)&amp;"&amp;lng="&amp;DERECHA(SUBSTITUTE(F602," ",""),LARGO(SUBSTITUTE(F602," ",""))-ENCONTRAR(",",SUBSTITUTE(F602," ",""))),"")</f>
        <v/>
      </c>
    </row>
    <row r="603" ht="15.75" customHeight="1" s="10">
      <c r="A603" s="8">
        <f>CONCAT("AD507-",TEXT(ROW()-2,"0000"))</f>
        <v/>
      </c>
      <c r="C603" s="8" t="n"/>
      <c r="F603" s="8" t="n"/>
      <c r="G603" s="8">
        <f>IF(F603&lt;&gt;"",HYPERLINK("https://www.google.com/maps/search/?api=1&amp;query="&amp;SUBSTITUTE(F603," ",""),"🗺 Google Maps"),"")</f>
        <v/>
      </c>
      <c r="H603" s="8">
        <f>IF(F603&lt;&gt;"",HYPERLINK("https://waze.com/ul?ll="&amp;SUBSTITUTE(F603," ","")&amp;"&amp;navigate=yes","🚗 Waze"),"")</f>
        <v/>
      </c>
      <c r="I603" s="8">
        <f>IF(F603&lt;&gt;"",HYPERLINK("https://m.uber.com/ul/?action=setPickup&amp;pickup=my_location&amp;dropoff[latitude]="&amp;LEFT(SUBSTITUTE(F603," ",""),FIND(",",SUBSTITUTE(F603," ",""))-1)&amp;"&amp;dropoff[longitude]="&amp;MID(SUBSTITUTE(F603," ",""),FIND(",",SUBSTITUTE(F603," ",""))+1,99),"🚕 Uber"),"")</f>
        <v/>
      </c>
      <c r="J603" s="8">
        <f>IF(F603&lt;&gt;"","https://api.qrserver.com/v1/create-qr-code/?size=200x200&amp;data="&amp;ENCODEURL("https://www.google.com/maps/search/?api=1&amp;query="&amp;SUBSTITUTE(F603," ","")),"")</f>
        <v/>
      </c>
      <c r="K603" s="8">
        <f>IF(C603&lt;&gt;"",HYPERLINK("https://wa.me/507"&amp;REGEXREPLACE(C603,"[^0-9]","")&amp;"?text="&amp;ENCODEURL("Ya llegue. Codigo: "&amp;A603&amp;". Ubicacion: "&amp;"https://www.google.com/maps/search/?api=1&amp;query="&amp;SUBSTITUTE(F603," ","")),"📲 Avisar al cliente"),"")</f>
        <v/>
      </c>
      <c r="L603" s="8">
        <f>IF(C603&lt;&gt;"","https://api.qrserver.com/v1/create-qr-code/?size=200x200&amp;data="&amp;ENCODEURL("https://wa.me/507"&amp;REGEXREPLACE(C603,"[^0-9]","")&amp;"?text="&amp;ENCODEURL("Ya llegue. Codigo: "&amp;A603&amp;". Ubicacion: "&amp;"https://www.google.com/maps/search/?api=1&amp;query="&amp;SUBSTITUTE(F603," ",""))),"")</f>
        <v/>
      </c>
      <c r="M603" s="8">
        <f>IF(B603&lt;&gt;"",TODAY(),"")</f>
        <v/>
      </c>
      <c r="N603" s="8">
        <f>IF(F603&lt;&gt;"",IFERROR(IF(AND(REGEXMATCH(SUBSTITUTE(TRIM(F603)," ",""),"^-?\d+(\.\d+)?,-?\d+(\.\d+)?$"),VALUE(REGEXEXTRACT(SUBSTITUTE(TRIM(F603)," ",""),"^-?\d+(\.\d+)?"))&gt;=-90,VALUE(REGEXEXTRACT(SUBSTITUTE(TRIM(F603)," ",""),"^-?\d+(\.\d+)?"))&lt;=90,VALUE(REGEXEXTRACT(SUBSTITUTE(TRIM(F603)," ",""),"-?\d+(\.\d+)?$"))&gt;=-180,VALUE(REGEXEXTRACT(SUBSTITUTE(TRIM(F603)," ",""),"-?\d+(\.\d+)?$"))&lt;=180),"OK","REVISAR"),"REVISAR"),"")</f>
        <v/>
      </c>
      <c r="O603">
        <f>IF(A603&lt;&gt;"","https://direcciones507.github.io/direcciones507/panel.html?codigo="&amp;A603&amp;"&amp;nombre="&amp;ENCODEURL(B603)&amp;"&amp;telefono="&amp;SUBSTITUTE(C603,"-","")&amp;"&amp;referencia="&amp;ENCODEURL(E603)&amp;"&amp;lat="&amp;IZQUIERDA(SUBSTITUTE(F603," ",""),ENCONTRAR(",",SUBSTITUTE(F603," ",""))-1)&amp;"&amp;lng="&amp;DERECHA(SUBSTITUTE(F603," ",""),LARGO(SUBSTITUTE(F603," ",""))-ENCONTRAR(",",SUBSTITUTE(F603," ",""))),"")</f>
        <v/>
      </c>
    </row>
    <row r="604" ht="15.75" customHeight="1" s="10">
      <c r="A604" s="8">
        <f>CONCAT("AD507-",TEXT(ROW()-2,"0000"))</f>
        <v/>
      </c>
      <c r="C604" s="8" t="n"/>
      <c r="F604" s="8" t="n"/>
      <c r="G604" s="8">
        <f>IF(F604&lt;&gt;"",HYPERLINK("https://www.google.com/maps/search/?api=1&amp;query="&amp;SUBSTITUTE(F604," ",""),"🗺 Google Maps"),"")</f>
        <v/>
      </c>
      <c r="H604" s="8">
        <f>IF(F604&lt;&gt;"",HYPERLINK("https://waze.com/ul?ll="&amp;SUBSTITUTE(F604," ","")&amp;"&amp;navigate=yes","🚗 Waze"),"")</f>
        <v/>
      </c>
      <c r="I604" s="8">
        <f>IF(F604&lt;&gt;"",HYPERLINK("https://m.uber.com/ul/?action=setPickup&amp;pickup=my_location&amp;dropoff[latitude]="&amp;LEFT(SUBSTITUTE(F604," ",""),FIND(",",SUBSTITUTE(F604," ",""))-1)&amp;"&amp;dropoff[longitude]="&amp;MID(SUBSTITUTE(F604," ",""),FIND(",",SUBSTITUTE(F604," ",""))+1,99),"🚕 Uber"),"")</f>
        <v/>
      </c>
      <c r="J604" s="8">
        <f>IF(F604&lt;&gt;"","https://api.qrserver.com/v1/create-qr-code/?size=200x200&amp;data="&amp;ENCODEURL("https://www.google.com/maps/search/?api=1&amp;query="&amp;SUBSTITUTE(F604," ","")),"")</f>
        <v/>
      </c>
      <c r="K604" s="8">
        <f>IF(C604&lt;&gt;"",HYPERLINK("https://wa.me/507"&amp;REGEXREPLACE(C604,"[^0-9]","")&amp;"?text="&amp;ENCODEURL("Ya llegue. Codigo: "&amp;A604&amp;". Ubicacion: "&amp;"https://www.google.com/maps/search/?api=1&amp;query="&amp;SUBSTITUTE(F604," ","")),"📲 Avisar al cliente"),"")</f>
        <v/>
      </c>
      <c r="L604" s="8">
        <f>IF(C604&lt;&gt;"","https://api.qrserver.com/v1/create-qr-code/?size=200x200&amp;data="&amp;ENCODEURL("https://wa.me/507"&amp;REGEXREPLACE(C604,"[^0-9]","")&amp;"?text="&amp;ENCODEURL("Ya llegue. Codigo: "&amp;A604&amp;". Ubicacion: "&amp;"https://www.google.com/maps/search/?api=1&amp;query="&amp;SUBSTITUTE(F604," ",""))),"")</f>
        <v/>
      </c>
      <c r="M604" s="8">
        <f>IF(B604&lt;&gt;"",TODAY(),"")</f>
        <v/>
      </c>
      <c r="N604" s="8">
        <f>IF(F604&lt;&gt;"",IFERROR(IF(AND(REGEXMATCH(SUBSTITUTE(TRIM(F604)," ",""),"^-?\d+(\.\d+)?,-?\d+(\.\d+)?$"),VALUE(REGEXEXTRACT(SUBSTITUTE(TRIM(F604)," ",""),"^-?\d+(\.\d+)?"))&gt;=-90,VALUE(REGEXEXTRACT(SUBSTITUTE(TRIM(F604)," ",""),"^-?\d+(\.\d+)?"))&lt;=90,VALUE(REGEXEXTRACT(SUBSTITUTE(TRIM(F604)," ",""),"-?\d+(\.\d+)?$"))&gt;=-180,VALUE(REGEXEXTRACT(SUBSTITUTE(TRIM(F604)," ",""),"-?\d+(\.\d+)?$"))&lt;=180),"OK","REVISAR"),"REVISAR"),"")</f>
        <v/>
      </c>
      <c r="O604">
        <f>IF(A604&lt;&gt;"","https://direcciones507.github.io/direcciones507/panel.html?codigo="&amp;A604&amp;"&amp;nombre="&amp;ENCODEURL(B604)&amp;"&amp;telefono="&amp;SUBSTITUTE(C604,"-","")&amp;"&amp;referencia="&amp;ENCODEURL(E604)&amp;"&amp;lat="&amp;IZQUIERDA(SUBSTITUTE(F604," ",""),ENCONTRAR(",",SUBSTITUTE(F604," ",""))-1)&amp;"&amp;lng="&amp;DERECHA(SUBSTITUTE(F604," ",""),LARGO(SUBSTITUTE(F604," ",""))-ENCONTRAR(",",SUBSTITUTE(F604," ",""))),"")</f>
        <v/>
      </c>
    </row>
    <row r="605" ht="15.75" customHeight="1" s="10">
      <c r="A605" s="8">
        <f>CONCAT("AD507-",TEXT(ROW()-2,"0000"))</f>
        <v/>
      </c>
      <c r="C605" s="8" t="n"/>
      <c r="F605" s="8" t="n"/>
      <c r="G605" s="8">
        <f>IF(F605&lt;&gt;"",HYPERLINK("https://www.google.com/maps/search/?api=1&amp;query="&amp;SUBSTITUTE(F605," ",""),"🗺 Google Maps"),"")</f>
        <v/>
      </c>
      <c r="H605" s="8">
        <f>IF(F605&lt;&gt;"",HYPERLINK("https://waze.com/ul?ll="&amp;SUBSTITUTE(F605," ","")&amp;"&amp;navigate=yes","🚗 Waze"),"")</f>
        <v/>
      </c>
      <c r="I605" s="8">
        <f>IF(F605&lt;&gt;"",HYPERLINK("https://m.uber.com/ul/?action=setPickup&amp;pickup=my_location&amp;dropoff[latitude]="&amp;LEFT(SUBSTITUTE(F605," ",""),FIND(",",SUBSTITUTE(F605," ",""))-1)&amp;"&amp;dropoff[longitude]="&amp;MID(SUBSTITUTE(F605," ",""),FIND(",",SUBSTITUTE(F605," ",""))+1,99),"🚕 Uber"),"")</f>
        <v/>
      </c>
      <c r="J605" s="8">
        <f>IF(F605&lt;&gt;"","https://api.qrserver.com/v1/create-qr-code/?size=200x200&amp;data="&amp;ENCODEURL("https://www.google.com/maps/search/?api=1&amp;query="&amp;SUBSTITUTE(F605," ","")),"")</f>
        <v/>
      </c>
      <c r="K605" s="8">
        <f>IF(C605&lt;&gt;"",HYPERLINK("https://wa.me/507"&amp;REGEXREPLACE(C605,"[^0-9]","")&amp;"?text="&amp;ENCODEURL("Ya llegue. Codigo: "&amp;A605&amp;". Ubicacion: "&amp;"https://www.google.com/maps/search/?api=1&amp;query="&amp;SUBSTITUTE(F605," ","")),"📲 Avisar al cliente"),"")</f>
        <v/>
      </c>
      <c r="L605" s="8">
        <f>IF(C605&lt;&gt;"","https://api.qrserver.com/v1/create-qr-code/?size=200x200&amp;data="&amp;ENCODEURL("https://wa.me/507"&amp;REGEXREPLACE(C605,"[^0-9]","")&amp;"?text="&amp;ENCODEURL("Ya llegue. Codigo: "&amp;A605&amp;". Ubicacion: "&amp;"https://www.google.com/maps/search/?api=1&amp;query="&amp;SUBSTITUTE(F605," ",""))),"")</f>
        <v/>
      </c>
      <c r="M605" s="8">
        <f>IF(B605&lt;&gt;"",TODAY(),"")</f>
        <v/>
      </c>
      <c r="N605" s="8">
        <f>IF(F605&lt;&gt;"",IFERROR(IF(AND(REGEXMATCH(SUBSTITUTE(TRIM(F605)," ",""),"^-?\d+(\.\d+)?,-?\d+(\.\d+)?$"),VALUE(REGEXEXTRACT(SUBSTITUTE(TRIM(F605)," ",""),"^-?\d+(\.\d+)?"))&gt;=-90,VALUE(REGEXEXTRACT(SUBSTITUTE(TRIM(F605)," ",""),"^-?\d+(\.\d+)?"))&lt;=90,VALUE(REGEXEXTRACT(SUBSTITUTE(TRIM(F605)," ",""),"-?\d+(\.\d+)?$"))&gt;=-180,VALUE(REGEXEXTRACT(SUBSTITUTE(TRIM(F605)," ",""),"-?\d+(\.\d+)?$"))&lt;=180),"OK","REVISAR"),"REVISAR"),"")</f>
        <v/>
      </c>
      <c r="O605">
        <f>IF(A605&lt;&gt;"","https://direcciones507.github.io/direcciones507/panel.html?codigo="&amp;A605&amp;"&amp;nombre="&amp;ENCODEURL(B605)&amp;"&amp;telefono="&amp;SUBSTITUTE(C605,"-","")&amp;"&amp;referencia="&amp;ENCODEURL(E605)&amp;"&amp;lat="&amp;IZQUIERDA(SUBSTITUTE(F605," ",""),ENCONTRAR(",",SUBSTITUTE(F605," ",""))-1)&amp;"&amp;lng="&amp;DERECHA(SUBSTITUTE(F605," ",""),LARGO(SUBSTITUTE(F605," ",""))-ENCONTRAR(",",SUBSTITUTE(F605," ",""))),"")</f>
        <v/>
      </c>
    </row>
    <row r="606" ht="15.75" customHeight="1" s="10">
      <c r="A606" s="8">
        <f>CONCAT("AD507-",TEXT(ROW()-2,"0000"))</f>
        <v/>
      </c>
      <c r="C606" s="8" t="n"/>
      <c r="F606" s="8" t="n"/>
      <c r="G606" s="8">
        <f>IF(F606&lt;&gt;"",HYPERLINK("https://www.google.com/maps/search/?api=1&amp;query="&amp;SUBSTITUTE(F606," ",""),"🗺 Google Maps"),"")</f>
        <v/>
      </c>
      <c r="H606" s="8">
        <f>IF(F606&lt;&gt;"",HYPERLINK("https://waze.com/ul?ll="&amp;SUBSTITUTE(F606," ","")&amp;"&amp;navigate=yes","🚗 Waze"),"")</f>
        <v/>
      </c>
      <c r="I606" s="8">
        <f>IF(F606&lt;&gt;"",HYPERLINK("https://m.uber.com/ul/?action=setPickup&amp;pickup=my_location&amp;dropoff[latitude]="&amp;LEFT(SUBSTITUTE(F606," ",""),FIND(",",SUBSTITUTE(F606," ",""))-1)&amp;"&amp;dropoff[longitude]="&amp;MID(SUBSTITUTE(F606," ",""),FIND(",",SUBSTITUTE(F606," ",""))+1,99),"🚕 Uber"),"")</f>
        <v/>
      </c>
      <c r="J606" s="8">
        <f>IF(F606&lt;&gt;"","https://api.qrserver.com/v1/create-qr-code/?size=200x200&amp;data="&amp;ENCODEURL("https://www.google.com/maps/search/?api=1&amp;query="&amp;SUBSTITUTE(F606," ","")),"")</f>
        <v/>
      </c>
      <c r="K606" s="8">
        <f>IF(C606&lt;&gt;"",HYPERLINK("https://wa.me/507"&amp;REGEXREPLACE(C606,"[^0-9]","")&amp;"?text="&amp;ENCODEURL("Ya llegue. Codigo: "&amp;A606&amp;". Ubicacion: "&amp;"https://www.google.com/maps/search/?api=1&amp;query="&amp;SUBSTITUTE(F606," ","")),"📲 Avisar al cliente"),"")</f>
        <v/>
      </c>
      <c r="L606" s="8">
        <f>IF(C606&lt;&gt;"","https://api.qrserver.com/v1/create-qr-code/?size=200x200&amp;data="&amp;ENCODEURL("https://wa.me/507"&amp;REGEXREPLACE(C606,"[^0-9]","")&amp;"?text="&amp;ENCODEURL("Ya llegue. Codigo: "&amp;A606&amp;". Ubicacion: "&amp;"https://www.google.com/maps/search/?api=1&amp;query="&amp;SUBSTITUTE(F606," ",""))),"")</f>
        <v/>
      </c>
      <c r="M606" s="8">
        <f>IF(B606&lt;&gt;"",TODAY(),"")</f>
        <v/>
      </c>
      <c r="N606" s="8">
        <f>IF(F606&lt;&gt;"",IFERROR(IF(AND(REGEXMATCH(SUBSTITUTE(TRIM(F606)," ",""),"^-?\d+(\.\d+)?,-?\d+(\.\d+)?$"),VALUE(REGEXEXTRACT(SUBSTITUTE(TRIM(F606)," ",""),"^-?\d+(\.\d+)?"))&gt;=-90,VALUE(REGEXEXTRACT(SUBSTITUTE(TRIM(F606)," ",""),"^-?\d+(\.\d+)?"))&lt;=90,VALUE(REGEXEXTRACT(SUBSTITUTE(TRIM(F606)," ",""),"-?\d+(\.\d+)?$"))&gt;=-180,VALUE(REGEXEXTRACT(SUBSTITUTE(TRIM(F606)," ",""),"-?\d+(\.\d+)?$"))&lt;=180),"OK","REVISAR"),"REVISAR"),"")</f>
        <v/>
      </c>
      <c r="O606">
        <f>IF(A606&lt;&gt;"","https://direcciones507.github.io/direcciones507/panel.html?codigo="&amp;A606&amp;"&amp;nombre="&amp;ENCODEURL(B606)&amp;"&amp;telefono="&amp;SUBSTITUTE(C606,"-","")&amp;"&amp;referencia="&amp;ENCODEURL(E606)&amp;"&amp;lat="&amp;IZQUIERDA(SUBSTITUTE(F606," ",""),ENCONTRAR(",",SUBSTITUTE(F606," ",""))-1)&amp;"&amp;lng="&amp;DERECHA(SUBSTITUTE(F606," ",""),LARGO(SUBSTITUTE(F606," ",""))-ENCONTRAR(",",SUBSTITUTE(F606," ",""))),"")</f>
        <v/>
      </c>
    </row>
    <row r="607" ht="15.75" customHeight="1" s="10">
      <c r="A607" s="8">
        <f>CONCAT("AD507-",TEXT(ROW()-2,"0000"))</f>
        <v/>
      </c>
      <c r="C607" s="8" t="n"/>
      <c r="F607" s="8" t="n"/>
      <c r="G607" s="8">
        <f>IF(F607&lt;&gt;"",HYPERLINK("https://www.google.com/maps/search/?api=1&amp;query="&amp;SUBSTITUTE(F607," ",""),"🗺 Google Maps"),"")</f>
        <v/>
      </c>
      <c r="H607" s="8">
        <f>IF(F607&lt;&gt;"",HYPERLINK("https://waze.com/ul?ll="&amp;SUBSTITUTE(F607," ","")&amp;"&amp;navigate=yes","🚗 Waze"),"")</f>
        <v/>
      </c>
      <c r="I607" s="8">
        <f>IF(F607&lt;&gt;"",HYPERLINK("https://m.uber.com/ul/?action=setPickup&amp;pickup=my_location&amp;dropoff[latitude]="&amp;LEFT(SUBSTITUTE(F607," ",""),FIND(",",SUBSTITUTE(F607," ",""))-1)&amp;"&amp;dropoff[longitude]="&amp;MID(SUBSTITUTE(F607," ",""),FIND(",",SUBSTITUTE(F607," ",""))+1,99),"🚕 Uber"),"")</f>
        <v/>
      </c>
      <c r="J607" s="8">
        <f>IF(F607&lt;&gt;"","https://api.qrserver.com/v1/create-qr-code/?size=200x200&amp;data="&amp;ENCODEURL("https://www.google.com/maps/search/?api=1&amp;query="&amp;SUBSTITUTE(F607," ","")),"")</f>
        <v/>
      </c>
      <c r="K607" s="8">
        <f>IF(C607&lt;&gt;"",HYPERLINK("https://wa.me/507"&amp;REGEXREPLACE(C607,"[^0-9]","")&amp;"?text="&amp;ENCODEURL("Ya llegue. Codigo: "&amp;A607&amp;". Ubicacion: "&amp;"https://www.google.com/maps/search/?api=1&amp;query="&amp;SUBSTITUTE(F607," ","")),"📲 Avisar al cliente"),"")</f>
        <v/>
      </c>
      <c r="L607" s="8">
        <f>IF(C607&lt;&gt;"","https://api.qrserver.com/v1/create-qr-code/?size=200x200&amp;data="&amp;ENCODEURL("https://wa.me/507"&amp;REGEXREPLACE(C607,"[^0-9]","")&amp;"?text="&amp;ENCODEURL("Ya llegue. Codigo: "&amp;A607&amp;". Ubicacion: "&amp;"https://www.google.com/maps/search/?api=1&amp;query="&amp;SUBSTITUTE(F607," ",""))),"")</f>
        <v/>
      </c>
      <c r="M607" s="8">
        <f>IF(B607&lt;&gt;"",TODAY(),"")</f>
        <v/>
      </c>
      <c r="N607" s="8">
        <f>IF(F607&lt;&gt;"",IFERROR(IF(AND(REGEXMATCH(SUBSTITUTE(TRIM(F607)," ",""),"^-?\d+(\.\d+)?,-?\d+(\.\d+)?$"),VALUE(REGEXEXTRACT(SUBSTITUTE(TRIM(F607)," ",""),"^-?\d+(\.\d+)?"))&gt;=-90,VALUE(REGEXEXTRACT(SUBSTITUTE(TRIM(F607)," ",""),"^-?\d+(\.\d+)?"))&lt;=90,VALUE(REGEXEXTRACT(SUBSTITUTE(TRIM(F607)," ",""),"-?\d+(\.\d+)?$"))&gt;=-180,VALUE(REGEXEXTRACT(SUBSTITUTE(TRIM(F607)," ",""),"-?\d+(\.\d+)?$"))&lt;=180),"OK","REVISAR"),"REVISAR"),"")</f>
        <v/>
      </c>
      <c r="O607">
        <f>IF(A607&lt;&gt;"","https://direcciones507.github.io/direcciones507/panel.html?codigo="&amp;A607&amp;"&amp;nombre="&amp;ENCODEURL(B607)&amp;"&amp;telefono="&amp;SUBSTITUTE(C607,"-","")&amp;"&amp;referencia="&amp;ENCODEURL(E607)&amp;"&amp;lat="&amp;IZQUIERDA(SUBSTITUTE(F607," ",""),ENCONTRAR(",",SUBSTITUTE(F607," ",""))-1)&amp;"&amp;lng="&amp;DERECHA(SUBSTITUTE(F607," ",""),LARGO(SUBSTITUTE(F607," ",""))-ENCONTRAR(",",SUBSTITUTE(F607," ",""))),"")</f>
        <v/>
      </c>
    </row>
    <row r="608" ht="15.75" customHeight="1" s="10">
      <c r="A608" s="8">
        <f>CONCAT("AD507-",TEXT(ROW()-2,"0000"))</f>
        <v/>
      </c>
      <c r="C608" s="8" t="n"/>
      <c r="F608" s="8" t="n"/>
      <c r="G608" s="8">
        <f>IF(F608&lt;&gt;"",HYPERLINK("https://www.google.com/maps/search/?api=1&amp;query="&amp;SUBSTITUTE(F608," ",""),"🗺 Google Maps"),"")</f>
        <v/>
      </c>
      <c r="H608" s="8">
        <f>IF(F608&lt;&gt;"",HYPERLINK("https://waze.com/ul?ll="&amp;SUBSTITUTE(F608," ","")&amp;"&amp;navigate=yes","🚗 Waze"),"")</f>
        <v/>
      </c>
      <c r="I608" s="8">
        <f>IF(F608&lt;&gt;"",HYPERLINK("https://m.uber.com/ul/?action=setPickup&amp;pickup=my_location&amp;dropoff[latitude]="&amp;LEFT(SUBSTITUTE(F608," ",""),FIND(",",SUBSTITUTE(F608," ",""))-1)&amp;"&amp;dropoff[longitude]="&amp;MID(SUBSTITUTE(F608," ",""),FIND(",",SUBSTITUTE(F608," ",""))+1,99),"🚕 Uber"),"")</f>
        <v/>
      </c>
      <c r="J608" s="8">
        <f>IF(F608&lt;&gt;"","https://api.qrserver.com/v1/create-qr-code/?size=200x200&amp;data="&amp;ENCODEURL("https://www.google.com/maps/search/?api=1&amp;query="&amp;SUBSTITUTE(F608," ","")),"")</f>
        <v/>
      </c>
      <c r="K608" s="8">
        <f>IF(C608&lt;&gt;"",HYPERLINK("https://wa.me/507"&amp;REGEXREPLACE(C608,"[^0-9]","")&amp;"?text="&amp;ENCODEURL("Ya llegue. Codigo: "&amp;A608&amp;". Ubicacion: "&amp;"https://www.google.com/maps/search/?api=1&amp;query="&amp;SUBSTITUTE(F608," ","")),"📲 Avisar al cliente"),"")</f>
        <v/>
      </c>
      <c r="L608" s="8">
        <f>IF(C608&lt;&gt;"","https://api.qrserver.com/v1/create-qr-code/?size=200x200&amp;data="&amp;ENCODEURL("https://wa.me/507"&amp;REGEXREPLACE(C608,"[^0-9]","")&amp;"?text="&amp;ENCODEURL("Ya llegue. Codigo: "&amp;A608&amp;". Ubicacion: "&amp;"https://www.google.com/maps/search/?api=1&amp;query="&amp;SUBSTITUTE(F608," ",""))),"")</f>
        <v/>
      </c>
      <c r="M608" s="8">
        <f>IF(B608&lt;&gt;"",TODAY(),"")</f>
        <v/>
      </c>
      <c r="N608" s="8">
        <f>IF(F608&lt;&gt;"",IFERROR(IF(AND(REGEXMATCH(SUBSTITUTE(TRIM(F608)," ",""),"^-?\d+(\.\d+)?,-?\d+(\.\d+)?$"),VALUE(REGEXEXTRACT(SUBSTITUTE(TRIM(F608)," ",""),"^-?\d+(\.\d+)?"))&gt;=-90,VALUE(REGEXEXTRACT(SUBSTITUTE(TRIM(F608)," ",""),"^-?\d+(\.\d+)?"))&lt;=90,VALUE(REGEXEXTRACT(SUBSTITUTE(TRIM(F608)," ",""),"-?\d+(\.\d+)?$"))&gt;=-180,VALUE(REGEXEXTRACT(SUBSTITUTE(TRIM(F608)," ",""),"-?\d+(\.\d+)?$"))&lt;=180),"OK","REVISAR"),"REVISAR"),"")</f>
        <v/>
      </c>
      <c r="O608">
        <f>IF(A608&lt;&gt;"","https://direcciones507.github.io/direcciones507/panel.html?codigo="&amp;A608&amp;"&amp;nombre="&amp;ENCODEURL(B608)&amp;"&amp;telefono="&amp;SUBSTITUTE(C608,"-","")&amp;"&amp;referencia="&amp;ENCODEURL(E608)&amp;"&amp;lat="&amp;IZQUIERDA(SUBSTITUTE(F608," ",""),ENCONTRAR(",",SUBSTITUTE(F608," ",""))-1)&amp;"&amp;lng="&amp;DERECHA(SUBSTITUTE(F608," ",""),LARGO(SUBSTITUTE(F608," ",""))-ENCONTRAR(",",SUBSTITUTE(F608," ",""))),"")</f>
        <v/>
      </c>
    </row>
    <row r="609" ht="15.75" customHeight="1" s="10">
      <c r="A609" s="8">
        <f>CONCAT("AD507-",TEXT(ROW()-2,"0000"))</f>
        <v/>
      </c>
      <c r="C609" s="8" t="n"/>
      <c r="F609" s="8" t="n"/>
      <c r="G609" s="8">
        <f>IF(F609&lt;&gt;"",HYPERLINK("https://www.google.com/maps/search/?api=1&amp;query="&amp;SUBSTITUTE(F609," ",""),"🗺 Google Maps"),"")</f>
        <v/>
      </c>
      <c r="H609" s="8">
        <f>IF(F609&lt;&gt;"",HYPERLINK("https://waze.com/ul?ll="&amp;SUBSTITUTE(F609," ","")&amp;"&amp;navigate=yes","🚗 Waze"),"")</f>
        <v/>
      </c>
      <c r="I609" s="8">
        <f>IF(F609&lt;&gt;"",HYPERLINK("https://m.uber.com/ul/?action=setPickup&amp;pickup=my_location&amp;dropoff[latitude]="&amp;LEFT(SUBSTITUTE(F609," ",""),FIND(",",SUBSTITUTE(F609," ",""))-1)&amp;"&amp;dropoff[longitude]="&amp;MID(SUBSTITUTE(F609," ",""),FIND(",",SUBSTITUTE(F609," ",""))+1,99),"🚕 Uber"),"")</f>
        <v/>
      </c>
      <c r="J609" s="8">
        <f>IF(F609&lt;&gt;"","https://api.qrserver.com/v1/create-qr-code/?size=200x200&amp;data="&amp;ENCODEURL("https://www.google.com/maps/search/?api=1&amp;query="&amp;SUBSTITUTE(F609," ","")),"")</f>
        <v/>
      </c>
      <c r="K609" s="8">
        <f>IF(C609&lt;&gt;"",HYPERLINK("https://wa.me/507"&amp;REGEXREPLACE(C609,"[^0-9]","")&amp;"?text="&amp;ENCODEURL("Ya llegue. Codigo: "&amp;A609&amp;". Ubicacion: "&amp;"https://www.google.com/maps/search/?api=1&amp;query="&amp;SUBSTITUTE(F609," ","")),"📲 Avisar al cliente"),"")</f>
        <v/>
      </c>
      <c r="L609" s="8">
        <f>IF(C609&lt;&gt;"","https://api.qrserver.com/v1/create-qr-code/?size=200x200&amp;data="&amp;ENCODEURL("https://wa.me/507"&amp;REGEXREPLACE(C609,"[^0-9]","")&amp;"?text="&amp;ENCODEURL("Ya llegue. Codigo: "&amp;A609&amp;". Ubicacion: "&amp;"https://www.google.com/maps/search/?api=1&amp;query="&amp;SUBSTITUTE(F609," ",""))),"")</f>
        <v/>
      </c>
      <c r="M609" s="8">
        <f>IF(B609&lt;&gt;"",TODAY(),"")</f>
        <v/>
      </c>
      <c r="N609" s="8">
        <f>IF(F609&lt;&gt;"",IFERROR(IF(AND(REGEXMATCH(SUBSTITUTE(TRIM(F609)," ",""),"^-?\d+(\.\d+)?,-?\d+(\.\d+)?$"),VALUE(REGEXEXTRACT(SUBSTITUTE(TRIM(F609)," ",""),"^-?\d+(\.\d+)?"))&gt;=-90,VALUE(REGEXEXTRACT(SUBSTITUTE(TRIM(F609)," ",""),"^-?\d+(\.\d+)?"))&lt;=90,VALUE(REGEXEXTRACT(SUBSTITUTE(TRIM(F609)," ",""),"-?\d+(\.\d+)?$"))&gt;=-180,VALUE(REGEXEXTRACT(SUBSTITUTE(TRIM(F609)," ",""),"-?\d+(\.\d+)?$"))&lt;=180),"OK","REVISAR"),"REVISAR"),"")</f>
        <v/>
      </c>
      <c r="O609">
        <f>IF(A609&lt;&gt;"","https://direcciones507.github.io/direcciones507/panel.html?codigo="&amp;A609&amp;"&amp;nombre="&amp;ENCODEURL(B609)&amp;"&amp;telefono="&amp;SUBSTITUTE(C609,"-","")&amp;"&amp;referencia="&amp;ENCODEURL(E609)&amp;"&amp;lat="&amp;IZQUIERDA(SUBSTITUTE(F609," ",""),ENCONTRAR(",",SUBSTITUTE(F609," ",""))-1)&amp;"&amp;lng="&amp;DERECHA(SUBSTITUTE(F609," ",""),LARGO(SUBSTITUTE(F609," ",""))-ENCONTRAR(",",SUBSTITUTE(F609," ",""))),"")</f>
        <v/>
      </c>
    </row>
    <row r="610" ht="15.75" customHeight="1" s="10">
      <c r="A610" s="8">
        <f>CONCAT("AD507-",TEXT(ROW()-2,"0000"))</f>
        <v/>
      </c>
      <c r="C610" s="8" t="n"/>
      <c r="F610" s="8" t="n"/>
      <c r="G610" s="8">
        <f>IF(F610&lt;&gt;"",HYPERLINK("https://www.google.com/maps/search/?api=1&amp;query="&amp;SUBSTITUTE(F610," ",""),"🗺 Google Maps"),"")</f>
        <v/>
      </c>
      <c r="H610" s="8">
        <f>IF(F610&lt;&gt;"",HYPERLINK("https://waze.com/ul?ll="&amp;SUBSTITUTE(F610," ","")&amp;"&amp;navigate=yes","🚗 Waze"),"")</f>
        <v/>
      </c>
      <c r="I610" s="8">
        <f>IF(F610&lt;&gt;"",HYPERLINK("https://m.uber.com/ul/?action=setPickup&amp;pickup=my_location&amp;dropoff[latitude]="&amp;LEFT(SUBSTITUTE(F610," ",""),FIND(",",SUBSTITUTE(F610," ",""))-1)&amp;"&amp;dropoff[longitude]="&amp;MID(SUBSTITUTE(F610," ",""),FIND(",",SUBSTITUTE(F610," ",""))+1,99),"🚕 Uber"),"")</f>
        <v/>
      </c>
      <c r="J610" s="8">
        <f>IF(F610&lt;&gt;"","https://api.qrserver.com/v1/create-qr-code/?size=200x200&amp;data="&amp;ENCODEURL("https://www.google.com/maps/search/?api=1&amp;query="&amp;SUBSTITUTE(F610," ","")),"")</f>
        <v/>
      </c>
      <c r="K610" s="8">
        <f>IF(C610&lt;&gt;"",HYPERLINK("https://wa.me/507"&amp;REGEXREPLACE(C610,"[^0-9]","")&amp;"?text="&amp;ENCODEURL("Ya llegue. Codigo: "&amp;A610&amp;". Ubicacion: "&amp;"https://www.google.com/maps/search/?api=1&amp;query="&amp;SUBSTITUTE(F610," ","")),"📲 Avisar al cliente"),"")</f>
        <v/>
      </c>
      <c r="L610" s="8">
        <f>IF(C610&lt;&gt;"","https://api.qrserver.com/v1/create-qr-code/?size=200x200&amp;data="&amp;ENCODEURL("https://wa.me/507"&amp;REGEXREPLACE(C610,"[^0-9]","")&amp;"?text="&amp;ENCODEURL("Ya llegue. Codigo: "&amp;A610&amp;". Ubicacion: "&amp;"https://www.google.com/maps/search/?api=1&amp;query="&amp;SUBSTITUTE(F610," ",""))),"")</f>
        <v/>
      </c>
      <c r="M610" s="8">
        <f>IF(B610&lt;&gt;"",TODAY(),"")</f>
        <v/>
      </c>
      <c r="N610" s="8">
        <f>IF(F610&lt;&gt;"",IFERROR(IF(AND(REGEXMATCH(SUBSTITUTE(TRIM(F610)," ",""),"^-?\d+(\.\d+)?,-?\d+(\.\d+)?$"),VALUE(REGEXEXTRACT(SUBSTITUTE(TRIM(F610)," ",""),"^-?\d+(\.\d+)?"))&gt;=-90,VALUE(REGEXEXTRACT(SUBSTITUTE(TRIM(F610)," ",""),"^-?\d+(\.\d+)?"))&lt;=90,VALUE(REGEXEXTRACT(SUBSTITUTE(TRIM(F610)," ",""),"-?\d+(\.\d+)?$"))&gt;=-180,VALUE(REGEXEXTRACT(SUBSTITUTE(TRIM(F610)," ",""),"-?\d+(\.\d+)?$"))&lt;=180),"OK","REVISAR"),"REVISAR"),"")</f>
        <v/>
      </c>
      <c r="O610">
        <f>IF(A610&lt;&gt;"","https://direcciones507.github.io/direcciones507/panel.html?codigo="&amp;A610&amp;"&amp;nombre="&amp;ENCODEURL(B610)&amp;"&amp;telefono="&amp;SUBSTITUTE(C610,"-","")&amp;"&amp;referencia="&amp;ENCODEURL(E610)&amp;"&amp;lat="&amp;IZQUIERDA(SUBSTITUTE(F610," ",""),ENCONTRAR(",",SUBSTITUTE(F610," ",""))-1)&amp;"&amp;lng="&amp;DERECHA(SUBSTITUTE(F610," ",""),LARGO(SUBSTITUTE(F610," ",""))-ENCONTRAR(",",SUBSTITUTE(F610," ",""))),"")</f>
        <v/>
      </c>
    </row>
    <row r="611" ht="15.75" customHeight="1" s="10">
      <c r="A611" s="8">
        <f>CONCAT("AD507-",TEXT(ROW()-2,"0000"))</f>
        <v/>
      </c>
      <c r="C611" s="8" t="n"/>
      <c r="F611" s="8" t="n"/>
      <c r="G611" s="8">
        <f>IF(F611&lt;&gt;"",HYPERLINK("https://www.google.com/maps/search/?api=1&amp;query="&amp;SUBSTITUTE(F611," ",""),"🗺 Google Maps"),"")</f>
        <v/>
      </c>
      <c r="H611" s="8">
        <f>IF(F611&lt;&gt;"",HYPERLINK("https://waze.com/ul?ll="&amp;SUBSTITUTE(F611," ","")&amp;"&amp;navigate=yes","🚗 Waze"),"")</f>
        <v/>
      </c>
      <c r="I611" s="8">
        <f>IF(F611&lt;&gt;"",HYPERLINK("https://m.uber.com/ul/?action=setPickup&amp;pickup=my_location&amp;dropoff[latitude]="&amp;LEFT(SUBSTITUTE(F611," ",""),FIND(",",SUBSTITUTE(F611," ",""))-1)&amp;"&amp;dropoff[longitude]="&amp;MID(SUBSTITUTE(F611," ",""),FIND(",",SUBSTITUTE(F611," ",""))+1,99),"🚕 Uber"),"")</f>
        <v/>
      </c>
      <c r="J611" s="8">
        <f>IF(F611&lt;&gt;"","https://api.qrserver.com/v1/create-qr-code/?size=200x200&amp;data="&amp;ENCODEURL("https://www.google.com/maps/search/?api=1&amp;query="&amp;SUBSTITUTE(F611," ","")),"")</f>
        <v/>
      </c>
      <c r="K611" s="8">
        <f>IF(C611&lt;&gt;"",HYPERLINK("https://wa.me/507"&amp;REGEXREPLACE(C611,"[^0-9]","")&amp;"?text="&amp;ENCODEURL("Ya llegue. Codigo: "&amp;A611&amp;". Ubicacion: "&amp;"https://www.google.com/maps/search/?api=1&amp;query="&amp;SUBSTITUTE(F611," ","")),"📲 Avisar al cliente"),"")</f>
        <v/>
      </c>
      <c r="L611" s="8">
        <f>IF(C611&lt;&gt;"","https://api.qrserver.com/v1/create-qr-code/?size=200x200&amp;data="&amp;ENCODEURL("https://wa.me/507"&amp;REGEXREPLACE(C611,"[^0-9]","")&amp;"?text="&amp;ENCODEURL("Ya llegue. Codigo: "&amp;A611&amp;". Ubicacion: "&amp;"https://www.google.com/maps/search/?api=1&amp;query="&amp;SUBSTITUTE(F611," ",""))),"")</f>
        <v/>
      </c>
      <c r="M611" s="8">
        <f>IF(B611&lt;&gt;"",TODAY(),"")</f>
        <v/>
      </c>
      <c r="N611" s="8">
        <f>IF(F611&lt;&gt;"",IFERROR(IF(AND(REGEXMATCH(SUBSTITUTE(TRIM(F611)," ",""),"^-?\d+(\.\d+)?,-?\d+(\.\d+)?$"),VALUE(REGEXEXTRACT(SUBSTITUTE(TRIM(F611)," ",""),"^-?\d+(\.\d+)?"))&gt;=-90,VALUE(REGEXEXTRACT(SUBSTITUTE(TRIM(F611)," ",""),"^-?\d+(\.\d+)?"))&lt;=90,VALUE(REGEXEXTRACT(SUBSTITUTE(TRIM(F611)," ",""),"-?\d+(\.\d+)?$"))&gt;=-180,VALUE(REGEXEXTRACT(SUBSTITUTE(TRIM(F611)," ",""),"-?\d+(\.\d+)?$"))&lt;=180),"OK","REVISAR"),"REVISAR"),"")</f>
        <v/>
      </c>
      <c r="O611">
        <f>IF(A611&lt;&gt;"","https://direcciones507.github.io/direcciones507/panel.html?codigo="&amp;A611&amp;"&amp;nombre="&amp;ENCODEURL(B611)&amp;"&amp;telefono="&amp;SUBSTITUTE(C611,"-","")&amp;"&amp;referencia="&amp;ENCODEURL(E611)&amp;"&amp;lat="&amp;IZQUIERDA(SUBSTITUTE(F611," ",""),ENCONTRAR(",",SUBSTITUTE(F611," ",""))-1)&amp;"&amp;lng="&amp;DERECHA(SUBSTITUTE(F611," ",""),LARGO(SUBSTITUTE(F611," ",""))-ENCONTRAR(",",SUBSTITUTE(F611," ",""))),"")</f>
        <v/>
      </c>
    </row>
    <row r="612" ht="15.75" customHeight="1" s="10">
      <c r="A612" s="8">
        <f>CONCAT("AD507-",TEXT(ROW()-2,"0000"))</f>
        <v/>
      </c>
      <c r="C612" s="8" t="n"/>
      <c r="F612" s="8" t="n"/>
      <c r="G612" s="8">
        <f>IF(F612&lt;&gt;"",HYPERLINK("https://www.google.com/maps/search/?api=1&amp;query="&amp;SUBSTITUTE(F612," ",""),"🗺 Google Maps"),"")</f>
        <v/>
      </c>
      <c r="H612" s="8">
        <f>IF(F612&lt;&gt;"",HYPERLINK("https://waze.com/ul?ll="&amp;SUBSTITUTE(F612," ","")&amp;"&amp;navigate=yes","🚗 Waze"),"")</f>
        <v/>
      </c>
      <c r="I612" s="8">
        <f>IF(F612&lt;&gt;"",HYPERLINK("https://m.uber.com/ul/?action=setPickup&amp;pickup=my_location&amp;dropoff[latitude]="&amp;LEFT(SUBSTITUTE(F612," ",""),FIND(",",SUBSTITUTE(F612," ",""))-1)&amp;"&amp;dropoff[longitude]="&amp;MID(SUBSTITUTE(F612," ",""),FIND(",",SUBSTITUTE(F612," ",""))+1,99),"🚕 Uber"),"")</f>
        <v/>
      </c>
      <c r="J612" s="8">
        <f>IF(F612&lt;&gt;"","https://api.qrserver.com/v1/create-qr-code/?size=200x200&amp;data="&amp;ENCODEURL("https://www.google.com/maps/search/?api=1&amp;query="&amp;SUBSTITUTE(F612," ","")),"")</f>
        <v/>
      </c>
      <c r="K612" s="8">
        <f>IF(C612&lt;&gt;"",HYPERLINK("https://wa.me/507"&amp;REGEXREPLACE(C612,"[^0-9]","")&amp;"?text="&amp;ENCODEURL("Ya llegue. Codigo: "&amp;A612&amp;". Ubicacion: "&amp;"https://www.google.com/maps/search/?api=1&amp;query="&amp;SUBSTITUTE(F612," ","")),"📲 Avisar al cliente"),"")</f>
        <v/>
      </c>
      <c r="L612" s="8">
        <f>IF(C612&lt;&gt;"","https://api.qrserver.com/v1/create-qr-code/?size=200x200&amp;data="&amp;ENCODEURL("https://wa.me/507"&amp;REGEXREPLACE(C612,"[^0-9]","")&amp;"?text="&amp;ENCODEURL("Ya llegue. Codigo: "&amp;A612&amp;". Ubicacion: "&amp;"https://www.google.com/maps/search/?api=1&amp;query="&amp;SUBSTITUTE(F612," ",""))),"")</f>
        <v/>
      </c>
      <c r="M612" s="8">
        <f>IF(B612&lt;&gt;"",TODAY(),"")</f>
        <v/>
      </c>
      <c r="N612" s="8">
        <f>IF(F612&lt;&gt;"",IFERROR(IF(AND(REGEXMATCH(SUBSTITUTE(TRIM(F612)," ",""),"^-?\d+(\.\d+)?,-?\d+(\.\d+)?$"),VALUE(REGEXEXTRACT(SUBSTITUTE(TRIM(F612)," ",""),"^-?\d+(\.\d+)?"))&gt;=-90,VALUE(REGEXEXTRACT(SUBSTITUTE(TRIM(F612)," ",""),"^-?\d+(\.\d+)?"))&lt;=90,VALUE(REGEXEXTRACT(SUBSTITUTE(TRIM(F612)," ",""),"-?\d+(\.\d+)?$"))&gt;=-180,VALUE(REGEXEXTRACT(SUBSTITUTE(TRIM(F612)," ",""),"-?\d+(\.\d+)?$"))&lt;=180),"OK","REVISAR"),"REVISAR"),"")</f>
        <v/>
      </c>
      <c r="O612">
        <f>IF(A612&lt;&gt;"","https://direcciones507.github.io/direcciones507/panel.html?codigo="&amp;A612&amp;"&amp;nombre="&amp;ENCODEURL(B612)&amp;"&amp;telefono="&amp;SUBSTITUTE(C612,"-","")&amp;"&amp;referencia="&amp;ENCODEURL(E612)&amp;"&amp;lat="&amp;IZQUIERDA(SUBSTITUTE(F612," ",""),ENCONTRAR(",",SUBSTITUTE(F612," ",""))-1)&amp;"&amp;lng="&amp;DERECHA(SUBSTITUTE(F612," ",""),LARGO(SUBSTITUTE(F612," ",""))-ENCONTRAR(",",SUBSTITUTE(F612," ",""))),"")</f>
        <v/>
      </c>
    </row>
    <row r="613" ht="15.75" customHeight="1" s="10">
      <c r="A613" s="8">
        <f>CONCAT("AD507-",TEXT(ROW()-2,"0000"))</f>
        <v/>
      </c>
      <c r="C613" s="8" t="n"/>
      <c r="F613" s="8" t="n"/>
      <c r="G613" s="8">
        <f>IF(F613&lt;&gt;"",HYPERLINK("https://www.google.com/maps/search/?api=1&amp;query="&amp;SUBSTITUTE(F613," ",""),"🗺 Google Maps"),"")</f>
        <v/>
      </c>
      <c r="H613" s="8">
        <f>IF(F613&lt;&gt;"",HYPERLINK("https://waze.com/ul?ll="&amp;SUBSTITUTE(F613," ","")&amp;"&amp;navigate=yes","🚗 Waze"),"")</f>
        <v/>
      </c>
      <c r="I613" s="8">
        <f>IF(F613&lt;&gt;"",HYPERLINK("https://m.uber.com/ul/?action=setPickup&amp;pickup=my_location&amp;dropoff[latitude]="&amp;LEFT(SUBSTITUTE(F613," ",""),FIND(",",SUBSTITUTE(F613," ",""))-1)&amp;"&amp;dropoff[longitude]="&amp;MID(SUBSTITUTE(F613," ",""),FIND(",",SUBSTITUTE(F613," ",""))+1,99),"🚕 Uber"),"")</f>
        <v/>
      </c>
      <c r="J613" s="8">
        <f>IF(F613&lt;&gt;"","https://api.qrserver.com/v1/create-qr-code/?size=200x200&amp;data="&amp;ENCODEURL("https://www.google.com/maps/search/?api=1&amp;query="&amp;SUBSTITUTE(F613," ","")),"")</f>
        <v/>
      </c>
      <c r="K613" s="8">
        <f>IF(C613&lt;&gt;"",HYPERLINK("https://wa.me/507"&amp;REGEXREPLACE(C613,"[^0-9]","")&amp;"?text="&amp;ENCODEURL("Ya llegue. Codigo: "&amp;A613&amp;". Ubicacion: "&amp;"https://www.google.com/maps/search/?api=1&amp;query="&amp;SUBSTITUTE(F613," ","")),"📲 Avisar al cliente"),"")</f>
        <v/>
      </c>
      <c r="L613" s="8">
        <f>IF(C613&lt;&gt;"","https://api.qrserver.com/v1/create-qr-code/?size=200x200&amp;data="&amp;ENCODEURL("https://wa.me/507"&amp;REGEXREPLACE(C613,"[^0-9]","")&amp;"?text="&amp;ENCODEURL("Ya llegue. Codigo: "&amp;A613&amp;". Ubicacion: "&amp;"https://www.google.com/maps/search/?api=1&amp;query="&amp;SUBSTITUTE(F613," ",""))),"")</f>
        <v/>
      </c>
      <c r="M613" s="8">
        <f>IF(B613&lt;&gt;"",TODAY(),"")</f>
        <v/>
      </c>
      <c r="N613" s="8">
        <f>IF(F613&lt;&gt;"",IFERROR(IF(AND(REGEXMATCH(SUBSTITUTE(TRIM(F613)," ",""),"^-?\d+(\.\d+)?,-?\d+(\.\d+)?$"),VALUE(REGEXEXTRACT(SUBSTITUTE(TRIM(F613)," ",""),"^-?\d+(\.\d+)?"))&gt;=-90,VALUE(REGEXEXTRACT(SUBSTITUTE(TRIM(F613)," ",""),"^-?\d+(\.\d+)?"))&lt;=90,VALUE(REGEXEXTRACT(SUBSTITUTE(TRIM(F613)," ",""),"-?\d+(\.\d+)?$"))&gt;=-180,VALUE(REGEXEXTRACT(SUBSTITUTE(TRIM(F613)," ",""),"-?\d+(\.\d+)?$"))&lt;=180),"OK","REVISAR"),"REVISAR"),"")</f>
        <v/>
      </c>
      <c r="O613">
        <f>IF(A613&lt;&gt;"","https://direcciones507.github.io/direcciones507/panel.html?codigo="&amp;A613&amp;"&amp;nombre="&amp;ENCODEURL(B613)&amp;"&amp;telefono="&amp;SUBSTITUTE(C613,"-","")&amp;"&amp;referencia="&amp;ENCODEURL(E613)&amp;"&amp;lat="&amp;IZQUIERDA(SUBSTITUTE(F613," ",""),ENCONTRAR(",",SUBSTITUTE(F613," ",""))-1)&amp;"&amp;lng="&amp;DERECHA(SUBSTITUTE(F613," ",""),LARGO(SUBSTITUTE(F613," ",""))-ENCONTRAR(",",SUBSTITUTE(F613," ",""))),"")</f>
        <v/>
      </c>
    </row>
    <row r="614" ht="15.75" customHeight="1" s="10">
      <c r="A614" s="8">
        <f>CONCAT("AD507-",TEXT(ROW()-2,"0000"))</f>
        <v/>
      </c>
      <c r="C614" s="8" t="n"/>
      <c r="F614" s="8" t="n"/>
      <c r="G614" s="8">
        <f>IF(F614&lt;&gt;"",HYPERLINK("https://www.google.com/maps/search/?api=1&amp;query="&amp;SUBSTITUTE(F614," ",""),"🗺 Google Maps"),"")</f>
        <v/>
      </c>
      <c r="H614" s="8">
        <f>IF(F614&lt;&gt;"",HYPERLINK("https://waze.com/ul?ll="&amp;SUBSTITUTE(F614," ","")&amp;"&amp;navigate=yes","🚗 Waze"),"")</f>
        <v/>
      </c>
      <c r="I614" s="8">
        <f>IF(F614&lt;&gt;"",HYPERLINK("https://m.uber.com/ul/?action=setPickup&amp;pickup=my_location&amp;dropoff[latitude]="&amp;LEFT(SUBSTITUTE(F614," ",""),FIND(",",SUBSTITUTE(F614," ",""))-1)&amp;"&amp;dropoff[longitude]="&amp;MID(SUBSTITUTE(F614," ",""),FIND(",",SUBSTITUTE(F614," ",""))+1,99),"🚕 Uber"),"")</f>
        <v/>
      </c>
      <c r="J614" s="8">
        <f>IF(F614&lt;&gt;"","https://api.qrserver.com/v1/create-qr-code/?size=200x200&amp;data="&amp;ENCODEURL("https://www.google.com/maps/search/?api=1&amp;query="&amp;SUBSTITUTE(F614," ","")),"")</f>
        <v/>
      </c>
      <c r="K614" s="8">
        <f>IF(C614&lt;&gt;"",HYPERLINK("https://wa.me/507"&amp;REGEXREPLACE(C614,"[^0-9]","")&amp;"?text="&amp;ENCODEURL("Ya llegue. Codigo: "&amp;A614&amp;". Ubicacion: "&amp;"https://www.google.com/maps/search/?api=1&amp;query="&amp;SUBSTITUTE(F614," ","")),"📲 Avisar al cliente"),"")</f>
        <v/>
      </c>
      <c r="L614" s="8">
        <f>IF(C614&lt;&gt;"","https://api.qrserver.com/v1/create-qr-code/?size=200x200&amp;data="&amp;ENCODEURL("https://wa.me/507"&amp;REGEXREPLACE(C614,"[^0-9]","")&amp;"?text="&amp;ENCODEURL("Ya llegue. Codigo: "&amp;A614&amp;". Ubicacion: "&amp;"https://www.google.com/maps/search/?api=1&amp;query="&amp;SUBSTITUTE(F614," ",""))),"")</f>
        <v/>
      </c>
      <c r="M614" s="8">
        <f>IF(B614&lt;&gt;"",TODAY(),"")</f>
        <v/>
      </c>
      <c r="N614" s="8">
        <f>IF(F614&lt;&gt;"",IFERROR(IF(AND(REGEXMATCH(SUBSTITUTE(TRIM(F614)," ",""),"^-?\d+(\.\d+)?,-?\d+(\.\d+)?$"),VALUE(REGEXEXTRACT(SUBSTITUTE(TRIM(F614)," ",""),"^-?\d+(\.\d+)?"))&gt;=-90,VALUE(REGEXEXTRACT(SUBSTITUTE(TRIM(F614)," ",""),"^-?\d+(\.\d+)?"))&lt;=90,VALUE(REGEXEXTRACT(SUBSTITUTE(TRIM(F614)," ",""),"-?\d+(\.\d+)?$"))&gt;=-180,VALUE(REGEXEXTRACT(SUBSTITUTE(TRIM(F614)," ",""),"-?\d+(\.\d+)?$"))&lt;=180),"OK","REVISAR"),"REVISAR"),"")</f>
        <v/>
      </c>
      <c r="O614">
        <f>IF(A614&lt;&gt;"","https://direcciones507.github.io/direcciones507/panel.html?codigo="&amp;A614&amp;"&amp;nombre="&amp;ENCODEURL(B614)&amp;"&amp;telefono="&amp;SUBSTITUTE(C614,"-","")&amp;"&amp;referencia="&amp;ENCODEURL(E614)&amp;"&amp;lat="&amp;IZQUIERDA(SUBSTITUTE(F614," ",""),ENCONTRAR(",",SUBSTITUTE(F614," ",""))-1)&amp;"&amp;lng="&amp;DERECHA(SUBSTITUTE(F614," ",""),LARGO(SUBSTITUTE(F614," ",""))-ENCONTRAR(",",SUBSTITUTE(F614," ",""))),"")</f>
        <v/>
      </c>
    </row>
    <row r="615" ht="15.75" customHeight="1" s="10">
      <c r="A615" s="8">
        <f>CONCAT("AD507-",TEXT(ROW()-2,"0000"))</f>
        <v/>
      </c>
      <c r="C615" s="8" t="n"/>
      <c r="F615" s="8" t="n"/>
      <c r="G615" s="8">
        <f>IF(F615&lt;&gt;"",HYPERLINK("https://www.google.com/maps/search/?api=1&amp;query="&amp;SUBSTITUTE(F615," ",""),"🗺 Google Maps"),"")</f>
        <v/>
      </c>
      <c r="H615" s="8">
        <f>IF(F615&lt;&gt;"",HYPERLINK("https://waze.com/ul?ll="&amp;SUBSTITUTE(F615," ","")&amp;"&amp;navigate=yes","🚗 Waze"),"")</f>
        <v/>
      </c>
      <c r="I615" s="8">
        <f>IF(F615&lt;&gt;"",HYPERLINK("https://m.uber.com/ul/?action=setPickup&amp;pickup=my_location&amp;dropoff[latitude]="&amp;LEFT(SUBSTITUTE(F615," ",""),FIND(",",SUBSTITUTE(F615," ",""))-1)&amp;"&amp;dropoff[longitude]="&amp;MID(SUBSTITUTE(F615," ",""),FIND(",",SUBSTITUTE(F615," ",""))+1,99),"🚕 Uber"),"")</f>
        <v/>
      </c>
      <c r="J615" s="8">
        <f>IF(F615&lt;&gt;"","https://api.qrserver.com/v1/create-qr-code/?size=200x200&amp;data="&amp;ENCODEURL("https://www.google.com/maps/search/?api=1&amp;query="&amp;SUBSTITUTE(F615," ","")),"")</f>
        <v/>
      </c>
      <c r="K615" s="8">
        <f>IF(C615&lt;&gt;"",HYPERLINK("https://wa.me/507"&amp;REGEXREPLACE(C615,"[^0-9]","")&amp;"?text="&amp;ENCODEURL("Ya llegue. Codigo: "&amp;A615&amp;". Ubicacion: "&amp;"https://www.google.com/maps/search/?api=1&amp;query="&amp;SUBSTITUTE(F615," ","")),"📲 Avisar al cliente"),"")</f>
        <v/>
      </c>
      <c r="L615" s="8">
        <f>IF(C615&lt;&gt;"","https://api.qrserver.com/v1/create-qr-code/?size=200x200&amp;data="&amp;ENCODEURL("https://wa.me/507"&amp;REGEXREPLACE(C615,"[^0-9]","")&amp;"?text="&amp;ENCODEURL("Ya llegue. Codigo: "&amp;A615&amp;". Ubicacion: "&amp;"https://www.google.com/maps/search/?api=1&amp;query="&amp;SUBSTITUTE(F615," ",""))),"")</f>
        <v/>
      </c>
      <c r="M615" s="8">
        <f>IF(B615&lt;&gt;"",TODAY(),"")</f>
        <v/>
      </c>
      <c r="N615" s="8">
        <f>IF(F615&lt;&gt;"",IFERROR(IF(AND(REGEXMATCH(SUBSTITUTE(TRIM(F615)," ",""),"^-?\d+(\.\d+)?,-?\d+(\.\d+)?$"),VALUE(REGEXEXTRACT(SUBSTITUTE(TRIM(F615)," ",""),"^-?\d+(\.\d+)?"))&gt;=-90,VALUE(REGEXEXTRACT(SUBSTITUTE(TRIM(F615)," ",""),"^-?\d+(\.\d+)?"))&lt;=90,VALUE(REGEXEXTRACT(SUBSTITUTE(TRIM(F615)," ",""),"-?\d+(\.\d+)?$"))&gt;=-180,VALUE(REGEXEXTRACT(SUBSTITUTE(TRIM(F615)," ",""),"-?\d+(\.\d+)?$"))&lt;=180),"OK","REVISAR"),"REVISAR"),"")</f>
        <v/>
      </c>
      <c r="O615">
        <f>IF(A615&lt;&gt;"","https://direcciones507.github.io/direcciones507/panel.html?codigo="&amp;A615&amp;"&amp;nombre="&amp;ENCODEURL(B615)&amp;"&amp;telefono="&amp;SUBSTITUTE(C615,"-","")&amp;"&amp;referencia="&amp;ENCODEURL(E615)&amp;"&amp;lat="&amp;IZQUIERDA(SUBSTITUTE(F615," ",""),ENCONTRAR(",",SUBSTITUTE(F615," ",""))-1)&amp;"&amp;lng="&amp;DERECHA(SUBSTITUTE(F615," ",""),LARGO(SUBSTITUTE(F615," ",""))-ENCONTRAR(",",SUBSTITUTE(F615," ",""))),"")</f>
        <v/>
      </c>
    </row>
    <row r="616" ht="15.75" customHeight="1" s="10">
      <c r="A616" s="8">
        <f>CONCAT("AD507-",TEXT(ROW()-2,"0000"))</f>
        <v/>
      </c>
      <c r="C616" s="8" t="n"/>
      <c r="F616" s="8" t="n"/>
      <c r="G616" s="8">
        <f>IF(F616&lt;&gt;"",HYPERLINK("https://www.google.com/maps/search/?api=1&amp;query="&amp;SUBSTITUTE(F616," ",""),"🗺 Google Maps"),"")</f>
        <v/>
      </c>
      <c r="H616" s="8">
        <f>IF(F616&lt;&gt;"",HYPERLINK("https://waze.com/ul?ll="&amp;SUBSTITUTE(F616," ","")&amp;"&amp;navigate=yes","🚗 Waze"),"")</f>
        <v/>
      </c>
      <c r="I616" s="8">
        <f>IF(F616&lt;&gt;"",HYPERLINK("https://m.uber.com/ul/?action=setPickup&amp;pickup=my_location&amp;dropoff[latitude]="&amp;LEFT(SUBSTITUTE(F616," ",""),FIND(",",SUBSTITUTE(F616," ",""))-1)&amp;"&amp;dropoff[longitude]="&amp;MID(SUBSTITUTE(F616," ",""),FIND(",",SUBSTITUTE(F616," ",""))+1,99),"🚕 Uber"),"")</f>
        <v/>
      </c>
      <c r="J616" s="8">
        <f>IF(F616&lt;&gt;"","https://api.qrserver.com/v1/create-qr-code/?size=200x200&amp;data="&amp;ENCODEURL("https://www.google.com/maps/search/?api=1&amp;query="&amp;SUBSTITUTE(F616," ","")),"")</f>
        <v/>
      </c>
      <c r="K616" s="8">
        <f>IF(C616&lt;&gt;"",HYPERLINK("https://wa.me/507"&amp;REGEXREPLACE(C616,"[^0-9]","")&amp;"?text="&amp;ENCODEURL("Ya llegue. Codigo: "&amp;A616&amp;". Ubicacion: "&amp;"https://www.google.com/maps/search/?api=1&amp;query="&amp;SUBSTITUTE(F616," ","")),"📲 Avisar al cliente"),"")</f>
        <v/>
      </c>
      <c r="L616" s="8">
        <f>IF(C616&lt;&gt;"","https://api.qrserver.com/v1/create-qr-code/?size=200x200&amp;data="&amp;ENCODEURL("https://wa.me/507"&amp;REGEXREPLACE(C616,"[^0-9]","")&amp;"?text="&amp;ENCODEURL("Ya llegue. Codigo: "&amp;A616&amp;". Ubicacion: "&amp;"https://www.google.com/maps/search/?api=1&amp;query="&amp;SUBSTITUTE(F616," ",""))),"")</f>
        <v/>
      </c>
      <c r="M616" s="8">
        <f>IF(B616&lt;&gt;"",TODAY(),"")</f>
        <v/>
      </c>
      <c r="N616" s="8">
        <f>IF(F616&lt;&gt;"",IFERROR(IF(AND(REGEXMATCH(SUBSTITUTE(TRIM(F616)," ",""),"^-?\d+(\.\d+)?,-?\d+(\.\d+)?$"),VALUE(REGEXEXTRACT(SUBSTITUTE(TRIM(F616)," ",""),"^-?\d+(\.\d+)?"))&gt;=-90,VALUE(REGEXEXTRACT(SUBSTITUTE(TRIM(F616)," ",""),"^-?\d+(\.\d+)?"))&lt;=90,VALUE(REGEXEXTRACT(SUBSTITUTE(TRIM(F616)," ",""),"-?\d+(\.\d+)?$"))&gt;=-180,VALUE(REGEXEXTRACT(SUBSTITUTE(TRIM(F616)," ",""),"-?\d+(\.\d+)?$"))&lt;=180),"OK","REVISAR"),"REVISAR"),"")</f>
        <v/>
      </c>
      <c r="O616">
        <f>IF(A616&lt;&gt;"","https://direcciones507.github.io/direcciones507/panel.html?codigo="&amp;A616&amp;"&amp;nombre="&amp;ENCODEURL(B616)&amp;"&amp;telefono="&amp;SUBSTITUTE(C616,"-","")&amp;"&amp;referencia="&amp;ENCODEURL(E616)&amp;"&amp;lat="&amp;IZQUIERDA(SUBSTITUTE(F616," ",""),ENCONTRAR(",",SUBSTITUTE(F616," ",""))-1)&amp;"&amp;lng="&amp;DERECHA(SUBSTITUTE(F616," ",""),LARGO(SUBSTITUTE(F616," ",""))-ENCONTRAR(",",SUBSTITUTE(F616," ",""))),"")</f>
        <v/>
      </c>
    </row>
    <row r="617" ht="15.75" customHeight="1" s="10">
      <c r="A617" s="8">
        <f>CONCAT("AD507-",TEXT(ROW()-2,"0000"))</f>
        <v/>
      </c>
      <c r="C617" s="8" t="n"/>
      <c r="F617" s="8" t="n"/>
      <c r="G617" s="8">
        <f>IF(F617&lt;&gt;"",HYPERLINK("https://www.google.com/maps/search/?api=1&amp;query="&amp;SUBSTITUTE(F617," ",""),"🗺 Google Maps"),"")</f>
        <v/>
      </c>
      <c r="H617" s="8">
        <f>IF(F617&lt;&gt;"",HYPERLINK("https://waze.com/ul?ll="&amp;SUBSTITUTE(F617," ","")&amp;"&amp;navigate=yes","🚗 Waze"),"")</f>
        <v/>
      </c>
      <c r="I617" s="8">
        <f>IF(F617&lt;&gt;"",HYPERLINK("https://m.uber.com/ul/?action=setPickup&amp;pickup=my_location&amp;dropoff[latitude]="&amp;LEFT(SUBSTITUTE(F617," ",""),FIND(",",SUBSTITUTE(F617," ",""))-1)&amp;"&amp;dropoff[longitude]="&amp;MID(SUBSTITUTE(F617," ",""),FIND(",",SUBSTITUTE(F617," ",""))+1,99),"🚕 Uber"),"")</f>
        <v/>
      </c>
      <c r="J617" s="8">
        <f>IF(F617&lt;&gt;"","https://api.qrserver.com/v1/create-qr-code/?size=200x200&amp;data="&amp;ENCODEURL("https://www.google.com/maps/search/?api=1&amp;query="&amp;SUBSTITUTE(F617," ","")),"")</f>
        <v/>
      </c>
      <c r="K617" s="8">
        <f>IF(C617&lt;&gt;"",HYPERLINK("https://wa.me/507"&amp;REGEXREPLACE(C617,"[^0-9]","")&amp;"?text="&amp;ENCODEURL("Ya llegue. Codigo: "&amp;A617&amp;". Ubicacion: "&amp;"https://www.google.com/maps/search/?api=1&amp;query="&amp;SUBSTITUTE(F617," ","")),"📲 Avisar al cliente"),"")</f>
        <v/>
      </c>
      <c r="L617" s="8">
        <f>IF(C617&lt;&gt;"","https://api.qrserver.com/v1/create-qr-code/?size=200x200&amp;data="&amp;ENCODEURL("https://wa.me/507"&amp;REGEXREPLACE(C617,"[^0-9]","")&amp;"?text="&amp;ENCODEURL("Ya llegue. Codigo: "&amp;A617&amp;". Ubicacion: "&amp;"https://www.google.com/maps/search/?api=1&amp;query="&amp;SUBSTITUTE(F617," ",""))),"")</f>
        <v/>
      </c>
      <c r="M617" s="8">
        <f>IF(B617&lt;&gt;"",TODAY(),"")</f>
        <v/>
      </c>
      <c r="N617" s="8">
        <f>IF(F617&lt;&gt;"",IFERROR(IF(AND(REGEXMATCH(SUBSTITUTE(TRIM(F617)," ",""),"^-?\d+(\.\d+)?,-?\d+(\.\d+)?$"),VALUE(REGEXEXTRACT(SUBSTITUTE(TRIM(F617)," ",""),"^-?\d+(\.\d+)?"))&gt;=-90,VALUE(REGEXEXTRACT(SUBSTITUTE(TRIM(F617)," ",""),"^-?\d+(\.\d+)?"))&lt;=90,VALUE(REGEXEXTRACT(SUBSTITUTE(TRIM(F617)," ",""),"-?\d+(\.\d+)?$"))&gt;=-180,VALUE(REGEXEXTRACT(SUBSTITUTE(TRIM(F617)," ",""),"-?\d+(\.\d+)?$"))&lt;=180),"OK","REVISAR"),"REVISAR"),"")</f>
        <v/>
      </c>
      <c r="O617">
        <f>IF(A617&lt;&gt;"","https://direcciones507.github.io/direcciones507/panel.html?codigo="&amp;A617&amp;"&amp;nombre="&amp;ENCODEURL(B617)&amp;"&amp;telefono="&amp;SUBSTITUTE(C617,"-","")&amp;"&amp;referencia="&amp;ENCODEURL(E617)&amp;"&amp;lat="&amp;IZQUIERDA(SUBSTITUTE(F617," ",""),ENCONTRAR(",",SUBSTITUTE(F617," ",""))-1)&amp;"&amp;lng="&amp;DERECHA(SUBSTITUTE(F617," ",""),LARGO(SUBSTITUTE(F617," ",""))-ENCONTRAR(",",SUBSTITUTE(F617," ",""))),"")</f>
        <v/>
      </c>
    </row>
    <row r="618" ht="15.75" customHeight="1" s="10">
      <c r="A618" s="8">
        <f>CONCAT("AD507-",TEXT(ROW()-2,"0000"))</f>
        <v/>
      </c>
      <c r="C618" s="8" t="n"/>
      <c r="F618" s="8" t="n"/>
      <c r="G618" s="8">
        <f>IF(F618&lt;&gt;"",HYPERLINK("https://www.google.com/maps/search/?api=1&amp;query="&amp;SUBSTITUTE(F618," ",""),"🗺 Google Maps"),"")</f>
        <v/>
      </c>
      <c r="H618" s="8">
        <f>IF(F618&lt;&gt;"",HYPERLINK("https://waze.com/ul?ll="&amp;SUBSTITUTE(F618," ","")&amp;"&amp;navigate=yes","🚗 Waze"),"")</f>
        <v/>
      </c>
      <c r="I618" s="8">
        <f>IF(F618&lt;&gt;"",HYPERLINK("https://m.uber.com/ul/?action=setPickup&amp;pickup=my_location&amp;dropoff[latitude]="&amp;LEFT(SUBSTITUTE(F618," ",""),FIND(",",SUBSTITUTE(F618," ",""))-1)&amp;"&amp;dropoff[longitude]="&amp;MID(SUBSTITUTE(F618," ",""),FIND(",",SUBSTITUTE(F618," ",""))+1,99),"🚕 Uber"),"")</f>
        <v/>
      </c>
      <c r="J618" s="8">
        <f>IF(F618&lt;&gt;"","https://api.qrserver.com/v1/create-qr-code/?size=200x200&amp;data="&amp;ENCODEURL("https://www.google.com/maps/search/?api=1&amp;query="&amp;SUBSTITUTE(F618," ","")),"")</f>
        <v/>
      </c>
      <c r="K618" s="8">
        <f>IF(C618&lt;&gt;"",HYPERLINK("https://wa.me/507"&amp;REGEXREPLACE(C618,"[^0-9]","")&amp;"?text="&amp;ENCODEURL("Ya llegue. Codigo: "&amp;A618&amp;". Ubicacion: "&amp;"https://www.google.com/maps/search/?api=1&amp;query="&amp;SUBSTITUTE(F618," ","")),"📲 Avisar al cliente"),"")</f>
        <v/>
      </c>
      <c r="L618" s="8">
        <f>IF(C618&lt;&gt;"","https://api.qrserver.com/v1/create-qr-code/?size=200x200&amp;data="&amp;ENCODEURL("https://wa.me/507"&amp;REGEXREPLACE(C618,"[^0-9]","")&amp;"?text="&amp;ENCODEURL("Ya llegue. Codigo: "&amp;A618&amp;". Ubicacion: "&amp;"https://www.google.com/maps/search/?api=1&amp;query="&amp;SUBSTITUTE(F618," ",""))),"")</f>
        <v/>
      </c>
      <c r="M618" s="8">
        <f>IF(B618&lt;&gt;"",TODAY(),"")</f>
        <v/>
      </c>
      <c r="N618" s="8">
        <f>IF(F618&lt;&gt;"",IFERROR(IF(AND(REGEXMATCH(SUBSTITUTE(TRIM(F618)," ",""),"^-?\d+(\.\d+)?,-?\d+(\.\d+)?$"),VALUE(REGEXEXTRACT(SUBSTITUTE(TRIM(F618)," ",""),"^-?\d+(\.\d+)?"))&gt;=-90,VALUE(REGEXEXTRACT(SUBSTITUTE(TRIM(F618)," ",""),"^-?\d+(\.\d+)?"))&lt;=90,VALUE(REGEXEXTRACT(SUBSTITUTE(TRIM(F618)," ",""),"-?\d+(\.\d+)?$"))&gt;=-180,VALUE(REGEXEXTRACT(SUBSTITUTE(TRIM(F618)," ",""),"-?\d+(\.\d+)?$"))&lt;=180),"OK","REVISAR"),"REVISAR"),"")</f>
        <v/>
      </c>
      <c r="O618">
        <f>IF(A618&lt;&gt;"","https://direcciones507.github.io/direcciones507/panel.html?codigo="&amp;A618&amp;"&amp;nombre="&amp;ENCODEURL(B618)&amp;"&amp;telefono="&amp;SUBSTITUTE(C618,"-","")&amp;"&amp;referencia="&amp;ENCODEURL(E618)&amp;"&amp;lat="&amp;IZQUIERDA(SUBSTITUTE(F618," ",""),ENCONTRAR(",",SUBSTITUTE(F618," ",""))-1)&amp;"&amp;lng="&amp;DERECHA(SUBSTITUTE(F618," ",""),LARGO(SUBSTITUTE(F618," ",""))-ENCONTRAR(",",SUBSTITUTE(F618," ",""))),"")</f>
        <v/>
      </c>
    </row>
    <row r="619" ht="15.75" customHeight="1" s="10">
      <c r="A619" s="8">
        <f>CONCAT("AD507-",TEXT(ROW()-2,"0000"))</f>
        <v/>
      </c>
      <c r="C619" s="8" t="n"/>
      <c r="F619" s="8" t="n"/>
      <c r="G619" s="8">
        <f>IF(F619&lt;&gt;"",HYPERLINK("https://www.google.com/maps/search/?api=1&amp;query="&amp;SUBSTITUTE(F619," ",""),"🗺 Google Maps"),"")</f>
        <v/>
      </c>
      <c r="H619" s="8">
        <f>IF(F619&lt;&gt;"",HYPERLINK("https://waze.com/ul?ll="&amp;SUBSTITUTE(F619," ","")&amp;"&amp;navigate=yes","🚗 Waze"),"")</f>
        <v/>
      </c>
      <c r="I619" s="8">
        <f>IF(F619&lt;&gt;"",HYPERLINK("https://m.uber.com/ul/?action=setPickup&amp;pickup=my_location&amp;dropoff[latitude]="&amp;LEFT(SUBSTITUTE(F619," ",""),FIND(",",SUBSTITUTE(F619," ",""))-1)&amp;"&amp;dropoff[longitude]="&amp;MID(SUBSTITUTE(F619," ",""),FIND(",",SUBSTITUTE(F619," ",""))+1,99),"🚕 Uber"),"")</f>
        <v/>
      </c>
      <c r="J619" s="8">
        <f>IF(F619&lt;&gt;"","https://api.qrserver.com/v1/create-qr-code/?size=200x200&amp;data="&amp;ENCODEURL("https://www.google.com/maps/search/?api=1&amp;query="&amp;SUBSTITUTE(F619," ","")),"")</f>
        <v/>
      </c>
      <c r="K619" s="8">
        <f>IF(C619&lt;&gt;"",HYPERLINK("https://wa.me/507"&amp;REGEXREPLACE(C619,"[^0-9]","")&amp;"?text="&amp;ENCODEURL("Ya llegue. Codigo: "&amp;A619&amp;". Ubicacion: "&amp;"https://www.google.com/maps/search/?api=1&amp;query="&amp;SUBSTITUTE(F619," ","")),"📲 Avisar al cliente"),"")</f>
        <v/>
      </c>
      <c r="L619" s="8">
        <f>IF(C619&lt;&gt;"","https://api.qrserver.com/v1/create-qr-code/?size=200x200&amp;data="&amp;ENCODEURL("https://wa.me/507"&amp;REGEXREPLACE(C619,"[^0-9]","")&amp;"?text="&amp;ENCODEURL("Ya llegue. Codigo: "&amp;A619&amp;". Ubicacion: "&amp;"https://www.google.com/maps/search/?api=1&amp;query="&amp;SUBSTITUTE(F619," ",""))),"")</f>
        <v/>
      </c>
      <c r="M619" s="8">
        <f>IF(B619&lt;&gt;"",TODAY(),"")</f>
        <v/>
      </c>
      <c r="N619" s="8">
        <f>IF(F619&lt;&gt;"",IFERROR(IF(AND(REGEXMATCH(SUBSTITUTE(TRIM(F619)," ",""),"^-?\d+(\.\d+)?,-?\d+(\.\d+)?$"),VALUE(REGEXEXTRACT(SUBSTITUTE(TRIM(F619)," ",""),"^-?\d+(\.\d+)?"))&gt;=-90,VALUE(REGEXEXTRACT(SUBSTITUTE(TRIM(F619)," ",""),"^-?\d+(\.\d+)?"))&lt;=90,VALUE(REGEXEXTRACT(SUBSTITUTE(TRIM(F619)," ",""),"-?\d+(\.\d+)?$"))&gt;=-180,VALUE(REGEXEXTRACT(SUBSTITUTE(TRIM(F619)," ",""),"-?\d+(\.\d+)?$"))&lt;=180),"OK","REVISAR"),"REVISAR"),"")</f>
        <v/>
      </c>
      <c r="O619">
        <f>IF(A619&lt;&gt;"","https://direcciones507.github.io/direcciones507/panel.html?codigo="&amp;A619&amp;"&amp;nombre="&amp;ENCODEURL(B619)&amp;"&amp;telefono="&amp;SUBSTITUTE(C619,"-","")&amp;"&amp;referencia="&amp;ENCODEURL(E619)&amp;"&amp;lat="&amp;IZQUIERDA(SUBSTITUTE(F619," ",""),ENCONTRAR(",",SUBSTITUTE(F619," ",""))-1)&amp;"&amp;lng="&amp;DERECHA(SUBSTITUTE(F619," ",""),LARGO(SUBSTITUTE(F619," ",""))-ENCONTRAR(",",SUBSTITUTE(F619," ",""))),"")</f>
        <v/>
      </c>
    </row>
    <row r="620" ht="15.75" customHeight="1" s="10">
      <c r="A620" s="8">
        <f>CONCAT("AD507-",TEXT(ROW()-2,"0000"))</f>
        <v/>
      </c>
      <c r="C620" s="8" t="n"/>
      <c r="F620" s="8" t="n"/>
      <c r="G620" s="8">
        <f>IF(F620&lt;&gt;"",HYPERLINK("https://www.google.com/maps/search/?api=1&amp;query="&amp;SUBSTITUTE(F620," ",""),"🗺 Google Maps"),"")</f>
        <v/>
      </c>
      <c r="H620" s="8">
        <f>IF(F620&lt;&gt;"",HYPERLINK("https://waze.com/ul?ll="&amp;SUBSTITUTE(F620," ","")&amp;"&amp;navigate=yes","🚗 Waze"),"")</f>
        <v/>
      </c>
      <c r="I620" s="8">
        <f>IF(F620&lt;&gt;"",HYPERLINK("https://m.uber.com/ul/?action=setPickup&amp;pickup=my_location&amp;dropoff[latitude]="&amp;LEFT(SUBSTITUTE(F620," ",""),FIND(",",SUBSTITUTE(F620," ",""))-1)&amp;"&amp;dropoff[longitude]="&amp;MID(SUBSTITUTE(F620," ",""),FIND(",",SUBSTITUTE(F620," ",""))+1,99),"🚕 Uber"),"")</f>
        <v/>
      </c>
      <c r="J620" s="8">
        <f>IF(F620&lt;&gt;"","https://api.qrserver.com/v1/create-qr-code/?size=200x200&amp;data="&amp;ENCODEURL("https://www.google.com/maps/search/?api=1&amp;query="&amp;SUBSTITUTE(F620," ","")),"")</f>
        <v/>
      </c>
      <c r="K620" s="8">
        <f>IF(C620&lt;&gt;"",HYPERLINK("https://wa.me/507"&amp;REGEXREPLACE(C620,"[^0-9]","")&amp;"?text="&amp;ENCODEURL("Ya llegue. Codigo: "&amp;A620&amp;". Ubicacion: "&amp;"https://www.google.com/maps/search/?api=1&amp;query="&amp;SUBSTITUTE(F620," ","")),"📲 Avisar al cliente"),"")</f>
        <v/>
      </c>
      <c r="L620" s="8">
        <f>IF(C620&lt;&gt;"","https://api.qrserver.com/v1/create-qr-code/?size=200x200&amp;data="&amp;ENCODEURL("https://wa.me/507"&amp;REGEXREPLACE(C620,"[^0-9]","")&amp;"?text="&amp;ENCODEURL("Ya llegue. Codigo: "&amp;A620&amp;". Ubicacion: "&amp;"https://www.google.com/maps/search/?api=1&amp;query="&amp;SUBSTITUTE(F620," ",""))),"")</f>
        <v/>
      </c>
      <c r="M620" s="8">
        <f>IF(B620&lt;&gt;"",TODAY(),"")</f>
        <v/>
      </c>
      <c r="N620" s="8">
        <f>IF(F620&lt;&gt;"",IFERROR(IF(AND(REGEXMATCH(SUBSTITUTE(TRIM(F620)," ",""),"^-?\d+(\.\d+)?,-?\d+(\.\d+)?$"),VALUE(REGEXEXTRACT(SUBSTITUTE(TRIM(F620)," ",""),"^-?\d+(\.\d+)?"))&gt;=-90,VALUE(REGEXEXTRACT(SUBSTITUTE(TRIM(F620)," ",""),"^-?\d+(\.\d+)?"))&lt;=90,VALUE(REGEXEXTRACT(SUBSTITUTE(TRIM(F620)," ",""),"-?\d+(\.\d+)?$"))&gt;=-180,VALUE(REGEXEXTRACT(SUBSTITUTE(TRIM(F620)," ",""),"-?\d+(\.\d+)?$"))&lt;=180),"OK","REVISAR"),"REVISAR"),"")</f>
        <v/>
      </c>
      <c r="O620">
        <f>IF(A620&lt;&gt;"","https://direcciones507.github.io/direcciones507/panel.html?codigo="&amp;A620&amp;"&amp;nombre="&amp;ENCODEURL(B620)&amp;"&amp;telefono="&amp;SUBSTITUTE(C620,"-","")&amp;"&amp;referencia="&amp;ENCODEURL(E620)&amp;"&amp;lat="&amp;IZQUIERDA(SUBSTITUTE(F620," ",""),ENCONTRAR(",",SUBSTITUTE(F620," ",""))-1)&amp;"&amp;lng="&amp;DERECHA(SUBSTITUTE(F620," ",""),LARGO(SUBSTITUTE(F620," ",""))-ENCONTRAR(",",SUBSTITUTE(F620," ",""))),"")</f>
        <v/>
      </c>
    </row>
    <row r="621" ht="15.75" customHeight="1" s="10">
      <c r="A621" s="8">
        <f>CONCAT("AD507-",TEXT(ROW()-2,"0000"))</f>
        <v/>
      </c>
      <c r="C621" s="8" t="n"/>
      <c r="F621" s="8" t="n"/>
      <c r="G621" s="8">
        <f>IF(F621&lt;&gt;"",HYPERLINK("https://www.google.com/maps/search/?api=1&amp;query="&amp;SUBSTITUTE(F621," ",""),"🗺 Google Maps"),"")</f>
        <v/>
      </c>
      <c r="H621" s="8">
        <f>IF(F621&lt;&gt;"",HYPERLINK("https://waze.com/ul?ll="&amp;SUBSTITUTE(F621," ","")&amp;"&amp;navigate=yes","🚗 Waze"),"")</f>
        <v/>
      </c>
      <c r="I621" s="8">
        <f>IF(F621&lt;&gt;"",HYPERLINK("https://m.uber.com/ul/?action=setPickup&amp;pickup=my_location&amp;dropoff[latitude]="&amp;LEFT(SUBSTITUTE(F621," ",""),FIND(",",SUBSTITUTE(F621," ",""))-1)&amp;"&amp;dropoff[longitude]="&amp;MID(SUBSTITUTE(F621," ",""),FIND(",",SUBSTITUTE(F621," ",""))+1,99),"🚕 Uber"),"")</f>
        <v/>
      </c>
      <c r="J621" s="8">
        <f>IF(F621&lt;&gt;"","https://api.qrserver.com/v1/create-qr-code/?size=200x200&amp;data="&amp;ENCODEURL("https://www.google.com/maps/search/?api=1&amp;query="&amp;SUBSTITUTE(F621," ","")),"")</f>
        <v/>
      </c>
      <c r="K621" s="8">
        <f>IF(C621&lt;&gt;"",HYPERLINK("https://wa.me/507"&amp;REGEXREPLACE(C621,"[^0-9]","")&amp;"?text="&amp;ENCODEURL("Ya llegue. Codigo: "&amp;A621&amp;". Ubicacion: "&amp;"https://www.google.com/maps/search/?api=1&amp;query="&amp;SUBSTITUTE(F621," ","")),"📲 Avisar al cliente"),"")</f>
        <v/>
      </c>
      <c r="L621" s="8">
        <f>IF(C621&lt;&gt;"","https://api.qrserver.com/v1/create-qr-code/?size=200x200&amp;data="&amp;ENCODEURL("https://wa.me/507"&amp;REGEXREPLACE(C621,"[^0-9]","")&amp;"?text="&amp;ENCODEURL("Ya llegue. Codigo: "&amp;A621&amp;". Ubicacion: "&amp;"https://www.google.com/maps/search/?api=1&amp;query="&amp;SUBSTITUTE(F621," ",""))),"")</f>
        <v/>
      </c>
      <c r="M621" s="8">
        <f>IF(B621&lt;&gt;"",TODAY(),"")</f>
        <v/>
      </c>
      <c r="N621" s="8">
        <f>IF(F621&lt;&gt;"",IFERROR(IF(AND(REGEXMATCH(SUBSTITUTE(TRIM(F621)," ",""),"^-?\d+(\.\d+)?,-?\d+(\.\d+)?$"),VALUE(REGEXEXTRACT(SUBSTITUTE(TRIM(F621)," ",""),"^-?\d+(\.\d+)?"))&gt;=-90,VALUE(REGEXEXTRACT(SUBSTITUTE(TRIM(F621)," ",""),"^-?\d+(\.\d+)?"))&lt;=90,VALUE(REGEXEXTRACT(SUBSTITUTE(TRIM(F621)," ",""),"-?\d+(\.\d+)?$"))&gt;=-180,VALUE(REGEXEXTRACT(SUBSTITUTE(TRIM(F621)," ",""),"-?\d+(\.\d+)?$"))&lt;=180),"OK","REVISAR"),"REVISAR"),"")</f>
        <v/>
      </c>
      <c r="O621">
        <f>IF(A621&lt;&gt;"","https://direcciones507.github.io/direcciones507/panel.html?codigo="&amp;A621&amp;"&amp;nombre="&amp;ENCODEURL(B621)&amp;"&amp;telefono="&amp;SUBSTITUTE(C621,"-","")&amp;"&amp;referencia="&amp;ENCODEURL(E621)&amp;"&amp;lat="&amp;IZQUIERDA(SUBSTITUTE(F621," ",""),ENCONTRAR(",",SUBSTITUTE(F621," ",""))-1)&amp;"&amp;lng="&amp;DERECHA(SUBSTITUTE(F621," ",""),LARGO(SUBSTITUTE(F621," ",""))-ENCONTRAR(",",SUBSTITUTE(F621," ",""))),"")</f>
        <v/>
      </c>
    </row>
    <row r="622" ht="15.75" customHeight="1" s="10">
      <c r="A622" s="8">
        <f>CONCAT("AD507-",TEXT(ROW()-2,"0000"))</f>
        <v/>
      </c>
      <c r="C622" s="8" t="n"/>
      <c r="F622" s="8" t="n"/>
      <c r="G622" s="8">
        <f>IF(F622&lt;&gt;"",HYPERLINK("https://www.google.com/maps/search/?api=1&amp;query="&amp;SUBSTITUTE(F622," ",""),"🗺 Google Maps"),"")</f>
        <v/>
      </c>
      <c r="H622" s="8">
        <f>IF(F622&lt;&gt;"",HYPERLINK("https://waze.com/ul?ll="&amp;SUBSTITUTE(F622," ","")&amp;"&amp;navigate=yes","🚗 Waze"),"")</f>
        <v/>
      </c>
      <c r="I622" s="8">
        <f>IF(F622&lt;&gt;"",HYPERLINK("https://m.uber.com/ul/?action=setPickup&amp;pickup=my_location&amp;dropoff[latitude]="&amp;LEFT(SUBSTITUTE(F622," ",""),FIND(",",SUBSTITUTE(F622," ",""))-1)&amp;"&amp;dropoff[longitude]="&amp;MID(SUBSTITUTE(F622," ",""),FIND(",",SUBSTITUTE(F622," ",""))+1,99),"🚕 Uber"),"")</f>
        <v/>
      </c>
      <c r="J622" s="8">
        <f>IF(F622&lt;&gt;"","https://api.qrserver.com/v1/create-qr-code/?size=200x200&amp;data="&amp;ENCODEURL("https://www.google.com/maps/search/?api=1&amp;query="&amp;SUBSTITUTE(F622," ","")),"")</f>
        <v/>
      </c>
      <c r="K622" s="8">
        <f>IF(C622&lt;&gt;"",HYPERLINK("https://wa.me/507"&amp;REGEXREPLACE(C622,"[^0-9]","")&amp;"?text="&amp;ENCODEURL("Ya llegue. Codigo: "&amp;A622&amp;". Ubicacion: "&amp;"https://www.google.com/maps/search/?api=1&amp;query="&amp;SUBSTITUTE(F622," ","")),"📲 Avisar al cliente"),"")</f>
        <v/>
      </c>
      <c r="L622" s="8">
        <f>IF(C622&lt;&gt;"","https://api.qrserver.com/v1/create-qr-code/?size=200x200&amp;data="&amp;ENCODEURL("https://wa.me/507"&amp;REGEXREPLACE(C622,"[^0-9]","")&amp;"?text="&amp;ENCODEURL("Ya llegue. Codigo: "&amp;A622&amp;". Ubicacion: "&amp;"https://www.google.com/maps/search/?api=1&amp;query="&amp;SUBSTITUTE(F622," ",""))),"")</f>
        <v/>
      </c>
      <c r="M622" s="8">
        <f>IF(B622&lt;&gt;"",TODAY(),"")</f>
        <v/>
      </c>
      <c r="N622" s="8">
        <f>IF(F622&lt;&gt;"",IFERROR(IF(AND(REGEXMATCH(SUBSTITUTE(TRIM(F622)," ",""),"^-?\d+(\.\d+)?,-?\d+(\.\d+)?$"),VALUE(REGEXEXTRACT(SUBSTITUTE(TRIM(F622)," ",""),"^-?\d+(\.\d+)?"))&gt;=-90,VALUE(REGEXEXTRACT(SUBSTITUTE(TRIM(F622)," ",""),"^-?\d+(\.\d+)?"))&lt;=90,VALUE(REGEXEXTRACT(SUBSTITUTE(TRIM(F622)," ",""),"-?\d+(\.\d+)?$"))&gt;=-180,VALUE(REGEXEXTRACT(SUBSTITUTE(TRIM(F622)," ",""),"-?\d+(\.\d+)?$"))&lt;=180),"OK","REVISAR"),"REVISAR"),"")</f>
        <v/>
      </c>
      <c r="O622">
        <f>IF(A622&lt;&gt;"","https://direcciones507.github.io/direcciones507/panel.html?codigo="&amp;A622&amp;"&amp;nombre="&amp;ENCODEURL(B622)&amp;"&amp;telefono="&amp;SUBSTITUTE(C622,"-","")&amp;"&amp;referencia="&amp;ENCODEURL(E622)&amp;"&amp;lat="&amp;IZQUIERDA(SUBSTITUTE(F622," ",""),ENCONTRAR(",",SUBSTITUTE(F622," ",""))-1)&amp;"&amp;lng="&amp;DERECHA(SUBSTITUTE(F622," ",""),LARGO(SUBSTITUTE(F622," ",""))-ENCONTRAR(",",SUBSTITUTE(F622," ",""))),"")</f>
        <v/>
      </c>
    </row>
    <row r="623" ht="15.75" customHeight="1" s="10">
      <c r="A623" s="8">
        <f>CONCAT("AD507-",TEXT(ROW()-2,"0000"))</f>
        <v/>
      </c>
      <c r="C623" s="8" t="n"/>
      <c r="F623" s="8" t="n"/>
      <c r="G623" s="8">
        <f>IF(F623&lt;&gt;"",HYPERLINK("https://www.google.com/maps/search/?api=1&amp;query="&amp;SUBSTITUTE(F623," ",""),"🗺 Google Maps"),"")</f>
        <v/>
      </c>
      <c r="H623" s="8">
        <f>IF(F623&lt;&gt;"",HYPERLINK("https://waze.com/ul?ll="&amp;SUBSTITUTE(F623," ","")&amp;"&amp;navigate=yes","🚗 Waze"),"")</f>
        <v/>
      </c>
      <c r="I623" s="8">
        <f>IF(F623&lt;&gt;"",HYPERLINK("https://m.uber.com/ul/?action=setPickup&amp;pickup=my_location&amp;dropoff[latitude]="&amp;LEFT(SUBSTITUTE(F623," ",""),FIND(",",SUBSTITUTE(F623," ",""))-1)&amp;"&amp;dropoff[longitude]="&amp;MID(SUBSTITUTE(F623," ",""),FIND(",",SUBSTITUTE(F623," ",""))+1,99),"🚕 Uber"),"")</f>
        <v/>
      </c>
      <c r="J623" s="8">
        <f>IF(F623&lt;&gt;"","https://api.qrserver.com/v1/create-qr-code/?size=200x200&amp;data="&amp;ENCODEURL("https://www.google.com/maps/search/?api=1&amp;query="&amp;SUBSTITUTE(F623," ","")),"")</f>
        <v/>
      </c>
      <c r="K623" s="8">
        <f>IF(C623&lt;&gt;"",HYPERLINK("https://wa.me/507"&amp;REGEXREPLACE(C623,"[^0-9]","")&amp;"?text="&amp;ENCODEURL("Ya llegue. Codigo: "&amp;A623&amp;". Ubicacion: "&amp;"https://www.google.com/maps/search/?api=1&amp;query="&amp;SUBSTITUTE(F623," ","")),"📲 Avisar al cliente"),"")</f>
        <v/>
      </c>
      <c r="L623" s="8">
        <f>IF(C623&lt;&gt;"","https://api.qrserver.com/v1/create-qr-code/?size=200x200&amp;data="&amp;ENCODEURL("https://wa.me/507"&amp;REGEXREPLACE(C623,"[^0-9]","")&amp;"?text="&amp;ENCODEURL("Ya llegue. Codigo: "&amp;A623&amp;". Ubicacion: "&amp;"https://www.google.com/maps/search/?api=1&amp;query="&amp;SUBSTITUTE(F623," ",""))),"")</f>
        <v/>
      </c>
      <c r="M623" s="8">
        <f>IF(B623&lt;&gt;"",TODAY(),"")</f>
        <v/>
      </c>
      <c r="N623" s="8">
        <f>IF(F623&lt;&gt;"",IFERROR(IF(AND(REGEXMATCH(SUBSTITUTE(TRIM(F623)," ",""),"^-?\d+(\.\d+)?,-?\d+(\.\d+)?$"),VALUE(REGEXEXTRACT(SUBSTITUTE(TRIM(F623)," ",""),"^-?\d+(\.\d+)?"))&gt;=-90,VALUE(REGEXEXTRACT(SUBSTITUTE(TRIM(F623)," ",""),"^-?\d+(\.\d+)?"))&lt;=90,VALUE(REGEXEXTRACT(SUBSTITUTE(TRIM(F623)," ",""),"-?\d+(\.\d+)?$"))&gt;=-180,VALUE(REGEXEXTRACT(SUBSTITUTE(TRIM(F623)," ",""),"-?\d+(\.\d+)?$"))&lt;=180),"OK","REVISAR"),"REVISAR"),"")</f>
        <v/>
      </c>
      <c r="O623">
        <f>IF(A623&lt;&gt;"","https://direcciones507.github.io/direcciones507/panel.html?codigo="&amp;A623&amp;"&amp;nombre="&amp;ENCODEURL(B623)&amp;"&amp;telefono="&amp;SUBSTITUTE(C623,"-","")&amp;"&amp;referencia="&amp;ENCODEURL(E623)&amp;"&amp;lat="&amp;IZQUIERDA(SUBSTITUTE(F623," ",""),ENCONTRAR(",",SUBSTITUTE(F623," ",""))-1)&amp;"&amp;lng="&amp;DERECHA(SUBSTITUTE(F623," ",""),LARGO(SUBSTITUTE(F623," ",""))-ENCONTRAR(",",SUBSTITUTE(F623," ",""))),"")</f>
        <v/>
      </c>
    </row>
    <row r="624" ht="15.75" customHeight="1" s="10">
      <c r="A624" s="8">
        <f>CONCAT("AD507-",TEXT(ROW()-2,"0000"))</f>
        <v/>
      </c>
      <c r="C624" s="8" t="n"/>
      <c r="F624" s="8" t="n"/>
      <c r="G624" s="8">
        <f>IF(F624&lt;&gt;"",HYPERLINK("https://www.google.com/maps/search/?api=1&amp;query="&amp;SUBSTITUTE(F624," ",""),"🗺 Google Maps"),"")</f>
        <v/>
      </c>
      <c r="H624" s="8">
        <f>IF(F624&lt;&gt;"",HYPERLINK("https://waze.com/ul?ll="&amp;SUBSTITUTE(F624," ","")&amp;"&amp;navigate=yes","🚗 Waze"),"")</f>
        <v/>
      </c>
      <c r="I624" s="8">
        <f>IF(F624&lt;&gt;"",HYPERLINK("https://m.uber.com/ul/?action=setPickup&amp;pickup=my_location&amp;dropoff[latitude]="&amp;LEFT(SUBSTITUTE(F624," ",""),FIND(",",SUBSTITUTE(F624," ",""))-1)&amp;"&amp;dropoff[longitude]="&amp;MID(SUBSTITUTE(F624," ",""),FIND(",",SUBSTITUTE(F624," ",""))+1,99),"🚕 Uber"),"")</f>
        <v/>
      </c>
      <c r="J624" s="8">
        <f>IF(F624&lt;&gt;"","https://api.qrserver.com/v1/create-qr-code/?size=200x200&amp;data="&amp;ENCODEURL("https://www.google.com/maps/search/?api=1&amp;query="&amp;SUBSTITUTE(F624," ","")),"")</f>
        <v/>
      </c>
      <c r="K624" s="8">
        <f>IF(C624&lt;&gt;"",HYPERLINK("https://wa.me/507"&amp;REGEXREPLACE(C624,"[^0-9]","")&amp;"?text="&amp;ENCODEURL("Ya llegue. Codigo: "&amp;A624&amp;". Ubicacion: "&amp;"https://www.google.com/maps/search/?api=1&amp;query="&amp;SUBSTITUTE(F624," ","")),"📲 Avisar al cliente"),"")</f>
        <v/>
      </c>
      <c r="L624" s="8">
        <f>IF(C624&lt;&gt;"","https://api.qrserver.com/v1/create-qr-code/?size=200x200&amp;data="&amp;ENCODEURL("https://wa.me/507"&amp;REGEXREPLACE(C624,"[^0-9]","")&amp;"?text="&amp;ENCODEURL("Ya llegue. Codigo: "&amp;A624&amp;". Ubicacion: "&amp;"https://www.google.com/maps/search/?api=1&amp;query="&amp;SUBSTITUTE(F624," ",""))),"")</f>
        <v/>
      </c>
      <c r="M624" s="8">
        <f>IF(B624&lt;&gt;"",TODAY(),"")</f>
        <v/>
      </c>
      <c r="N624" s="8">
        <f>IF(F624&lt;&gt;"",IFERROR(IF(AND(REGEXMATCH(SUBSTITUTE(TRIM(F624)," ",""),"^-?\d+(\.\d+)?,-?\d+(\.\d+)?$"),VALUE(REGEXEXTRACT(SUBSTITUTE(TRIM(F624)," ",""),"^-?\d+(\.\d+)?"))&gt;=-90,VALUE(REGEXEXTRACT(SUBSTITUTE(TRIM(F624)," ",""),"^-?\d+(\.\d+)?"))&lt;=90,VALUE(REGEXEXTRACT(SUBSTITUTE(TRIM(F624)," ",""),"-?\d+(\.\d+)?$"))&gt;=-180,VALUE(REGEXEXTRACT(SUBSTITUTE(TRIM(F624)," ",""),"-?\d+(\.\d+)?$"))&lt;=180),"OK","REVISAR"),"REVISAR"),"")</f>
        <v/>
      </c>
      <c r="O624">
        <f>IF(A624&lt;&gt;"","https://direcciones507.github.io/direcciones507/panel.html?codigo="&amp;A624&amp;"&amp;nombre="&amp;ENCODEURL(B624)&amp;"&amp;telefono="&amp;SUBSTITUTE(C624,"-","")&amp;"&amp;referencia="&amp;ENCODEURL(E624)&amp;"&amp;lat="&amp;IZQUIERDA(SUBSTITUTE(F624," ",""),ENCONTRAR(",",SUBSTITUTE(F624," ",""))-1)&amp;"&amp;lng="&amp;DERECHA(SUBSTITUTE(F624," ",""),LARGO(SUBSTITUTE(F624," ",""))-ENCONTRAR(",",SUBSTITUTE(F624," ",""))),"")</f>
        <v/>
      </c>
    </row>
    <row r="625" ht="15.75" customHeight="1" s="10">
      <c r="A625" s="8">
        <f>CONCAT("AD507-",TEXT(ROW()-2,"0000"))</f>
        <v/>
      </c>
      <c r="C625" s="8" t="n"/>
      <c r="F625" s="8" t="n"/>
      <c r="G625" s="8">
        <f>IF(F625&lt;&gt;"",HYPERLINK("https://www.google.com/maps/search/?api=1&amp;query="&amp;SUBSTITUTE(F625," ",""),"🗺 Google Maps"),"")</f>
        <v/>
      </c>
      <c r="H625" s="8">
        <f>IF(F625&lt;&gt;"",HYPERLINK("https://waze.com/ul?ll="&amp;SUBSTITUTE(F625," ","")&amp;"&amp;navigate=yes","🚗 Waze"),"")</f>
        <v/>
      </c>
      <c r="I625" s="8">
        <f>IF(F625&lt;&gt;"",HYPERLINK("https://m.uber.com/ul/?action=setPickup&amp;pickup=my_location&amp;dropoff[latitude]="&amp;LEFT(SUBSTITUTE(F625," ",""),FIND(",",SUBSTITUTE(F625," ",""))-1)&amp;"&amp;dropoff[longitude]="&amp;MID(SUBSTITUTE(F625," ",""),FIND(",",SUBSTITUTE(F625," ",""))+1,99),"🚕 Uber"),"")</f>
        <v/>
      </c>
      <c r="J625" s="8">
        <f>IF(F625&lt;&gt;"","https://api.qrserver.com/v1/create-qr-code/?size=200x200&amp;data="&amp;ENCODEURL("https://www.google.com/maps/search/?api=1&amp;query="&amp;SUBSTITUTE(F625," ","")),"")</f>
        <v/>
      </c>
      <c r="K625" s="8">
        <f>IF(C625&lt;&gt;"",HYPERLINK("https://wa.me/507"&amp;REGEXREPLACE(C625,"[^0-9]","")&amp;"?text="&amp;ENCODEURL("Ya llegue. Codigo: "&amp;A625&amp;". Ubicacion: "&amp;"https://www.google.com/maps/search/?api=1&amp;query="&amp;SUBSTITUTE(F625," ","")),"📲 Avisar al cliente"),"")</f>
        <v/>
      </c>
      <c r="L625" s="8">
        <f>IF(C625&lt;&gt;"","https://api.qrserver.com/v1/create-qr-code/?size=200x200&amp;data="&amp;ENCODEURL("https://wa.me/507"&amp;REGEXREPLACE(C625,"[^0-9]","")&amp;"?text="&amp;ENCODEURL("Ya llegue. Codigo: "&amp;A625&amp;". Ubicacion: "&amp;"https://www.google.com/maps/search/?api=1&amp;query="&amp;SUBSTITUTE(F625," ",""))),"")</f>
        <v/>
      </c>
      <c r="M625" s="8">
        <f>IF(B625&lt;&gt;"",TODAY(),"")</f>
        <v/>
      </c>
      <c r="N625" s="8">
        <f>IF(F625&lt;&gt;"",IFERROR(IF(AND(REGEXMATCH(SUBSTITUTE(TRIM(F625)," ",""),"^-?\d+(\.\d+)?,-?\d+(\.\d+)?$"),VALUE(REGEXEXTRACT(SUBSTITUTE(TRIM(F625)," ",""),"^-?\d+(\.\d+)?"))&gt;=-90,VALUE(REGEXEXTRACT(SUBSTITUTE(TRIM(F625)," ",""),"^-?\d+(\.\d+)?"))&lt;=90,VALUE(REGEXEXTRACT(SUBSTITUTE(TRIM(F625)," ",""),"-?\d+(\.\d+)?$"))&gt;=-180,VALUE(REGEXEXTRACT(SUBSTITUTE(TRIM(F625)," ",""),"-?\d+(\.\d+)?$"))&lt;=180),"OK","REVISAR"),"REVISAR"),"")</f>
        <v/>
      </c>
      <c r="O625">
        <f>IF(A625&lt;&gt;"","https://direcciones507.github.io/direcciones507/panel.html?codigo="&amp;A625&amp;"&amp;nombre="&amp;ENCODEURL(B625)&amp;"&amp;telefono="&amp;SUBSTITUTE(C625,"-","")&amp;"&amp;referencia="&amp;ENCODEURL(E625)&amp;"&amp;lat="&amp;IZQUIERDA(SUBSTITUTE(F625," ",""),ENCONTRAR(",",SUBSTITUTE(F625," ",""))-1)&amp;"&amp;lng="&amp;DERECHA(SUBSTITUTE(F625," ",""),LARGO(SUBSTITUTE(F625," ",""))-ENCONTRAR(",",SUBSTITUTE(F625," ",""))),"")</f>
        <v/>
      </c>
    </row>
    <row r="626" ht="15.75" customHeight="1" s="10">
      <c r="A626" s="8">
        <f>CONCAT("AD507-",TEXT(ROW()-2,"0000"))</f>
        <v/>
      </c>
      <c r="C626" s="8" t="n"/>
      <c r="F626" s="8" t="n"/>
      <c r="G626" s="8">
        <f>IF(F626&lt;&gt;"",HYPERLINK("https://www.google.com/maps/search/?api=1&amp;query="&amp;SUBSTITUTE(F626," ",""),"🗺 Google Maps"),"")</f>
        <v/>
      </c>
      <c r="H626" s="8">
        <f>IF(F626&lt;&gt;"",HYPERLINK("https://waze.com/ul?ll="&amp;SUBSTITUTE(F626," ","")&amp;"&amp;navigate=yes","🚗 Waze"),"")</f>
        <v/>
      </c>
      <c r="I626" s="8">
        <f>IF(F626&lt;&gt;"",HYPERLINK("https://m.uber.com/ul/?action=setPickup&amp;pickup=my_location&amp;dropoff[latitude]="&amp;LEFT(SUBSTITUTE(F626," ",""),FIND(",",SUBSTITUTE(F626," ",""))-1)&amp;"&amp;dropoff[longitude]="&amp;MID(SUBSTITUTE(F626," ",""),FIND(",",SUBSTITUTE(F626," ",""))+1,99),"🚕 Uber"),"")</f>
        <v/>
      </c>
      <c r="J626" s="8">
        <f>IF(F626&lt;&gt;"","https://api.qrserver.com/v1/create-qr-code/?size=200x200&amp;data="&amp;ENCODEURL("https://www.google.com/maps/search/?api=1&amp;query="&amp;SUBSTITUTE(F626," ","")),"")</f>
        <v/>
      </c>
      <c r="K626" s="8">
        <f>IF(C626&lt;&gt;"",HYPERLINK("https://wa.me/507"&amp;REGEXREPLACE(C626,"[^0-9]","")&amp;"?text="&amp;ENCODEURL("Ya llegue. Codigo: "&amp;A626&amp;". Ubicacion: "&amp;"https://www.google.com/maps/search/?api=1&amp;query="&amp;SUBSTITUTE(F626," ","")),"📲 Avisar al cliente"),"")</f>
        <v/>
      </c>
      <c r="L626" s="8">
        <f>IF(C626&lt;&gt;"","https://api.qrserver.com/v1/create-qr-code/?size=200x200&amp;data="&amp;ENCODEURL("https://wa.me/507"&amp;REGEXREPLACE(C626,"[^0-9]","")&amp;"?text="&amp;ENCODEURL("Ya llegue. Codigo: "&amp;A626&amp;". Ubicacion: "&amp;"https://www.google.com/maps/search/?api=1&amp;query="&amp;SUBSTITUTE(F626," ",""))),"")</f>
        <v/>
      </c>
      <c r="M626" s="8">
        <f>IF(B626&lt;&gt;"",TODAY(),"")</f>
        <v/>
      </c>
      <c r="N626" s="8">
        <f>IF(F626&lt;&gt;"",IFERROR(IF(AND(REGEXMATCH(SUBSTITUTE(TRIM(F626)," ",""),"^-?\d+(\.\d+)?,-?\d+(\.\d+)?$"),VALUE(REGEXEXTRACT(SUBSTITUTE(TRIM(F626)," ",""),"^-?\d+(\.\d+)?"))&gt;=-90,VALUE(REGEXEXTRACT(SUBSTITUTE(TRIM(F626)," ",""),"^-?\d+(\.\d+)?"))&lt;=90,VALUE(REGEXEXTRACT(SUBSTITUTE(TRIM(F626)," ",""),"-?\d+(\.\d+)?$"))&gt;=-180,VALUE(REGEXEXTRACT(SUBSTITUTE(TRIM(F626)," ",""),"-?\d+(\.\d+)?$"))&lt;=180),"OK","REVISAR"),"REVISAR"),"")</f>
        <v/>
      </c>
      <c r="O626">
        <f>IF(A626&lt;&gt;"","https://direcciones507.github.io/direcciones507/panel.html?codigo="&amp;A626&amp;"&amp;nombre="&amp;ENCODEURL(B626)&amp;"&amp;telefono="&amp;SUBSTITUTE(C626,"-","")&amp;"&amp;referencia="&amp;ENCODEURL(E626)&amp;"&amp;lat="&amp;IZQUIERDA(SUBSTITUTE(F626," ",""),ENCONTRAR(",",SUBSTITUTE(F626," ",""))-1)&amp;"&amp;lng="&amp;DERECHA(SUBSTITUTE(F626," ",""),LARGO(SUBSTITUTE(F626," ",""))-ENCONTRAR(",",SUBSTITUTE(F626," ",""))),"")</f>
        <v/>
      </c>
    </row>
    <row r="627" ht="15.75" customHeight="1" s="10">
      <c r="A627" s="8">
        <f>CONCAT("AD507-",TEXT(ROW()-2,"0000"))</f>
        <v/>
      </c>
      <c r="C627" s="8" t="n"/>
      <c r="F627" s="8" t="n"/>
      <c r="G627" s="8">
        <f>IF(F627&lt;&gt;"",HYPERLINK("https://www.google.com/maps/search/?api=1&amp;query="&amp;SUBSTITUTE(F627," ",""),"🗺 Google Maps"),"")</f>
        <v/>
      </c>
      <c r="H627" s="8">
        <f>IF(F627&lt;&gt;"",HYPERLINK("https://waze.com/ul?ll="&amp;SUBSTITUTE(F627," ","")&amp;"&amp;navigate=yes","🚗 Waze"),"")</f>
        <v/>
      </c>
      <c r="I627" s="8">
        <f>IF(F627&lt;&gt;"",HYPERLINK("https://m.uber.com/ul/?action=setPickup&amp;pickup=my_location&amp;dropoff[latitude]="&amp;LEFT(SUBSTITUTE(F627," ",""),FIND(",",SUBSTITUTE(F627," ",""))-1)&amp;"&amp;dropoff[longitude]="&amp;MID(SUBSTITUTE(F627," ",""),FIND(",",SUBSTITUTE(F627," ",""))+1,99),"🚕 Uber"),"")</f>
        <v/>
      </c>
      <c r="J627" s="8">
        <f>IF(F627&lt;&gt;"","https://api.qrserver.com/v1/create-qr-code/?size=200x200&amp;data="&amp;ENCODEURL("https://www.google.com/maps/search/?api=1&amp;query="&amp;SUBSTITUTE(F627," ","")),"")</f>
        <v/>
      </c>
      <c r="K627" s="8">
        <f>IF(C627&lt;&gt;"",HYPERLINK("https://wa.me/507"&amp;REGEXREPLACE(C627,"[^0-9]","")&amp;"?text="&amp;ENCODEURL("Ya llegue. Codigo: "&amp;A627&amp;". Ubicacion: "&amp;"https://www.google.com/maps/search/?api=1&amp;query="&amp;SUBSTITUTE(F627," ","")),"📲 Avisar al cliente"),"")</f>
        <v/>
      </c>
      <c r="L627" s="8">
        <f>IF(C627&lt;&gt;"","https://api.qrserver.com/v1/create-qr-code/?size=200x200&amp;data="&amp;ENCODEURL("https://wa.me/507"&amp;REGEXREPLACE(C627,"[^0-9]","")&amp;"?text="&amp;ENCODEURL("Ya llegue. Codigo: "&amp;A627&amp;". Ubicacion: "&amp;"https://www.google.com/maps/search/?api=1&amp;query="&amp;SUBSTITUTE(F627," ",""))),"")</f>
        <v/>
      </c>
      <c r="M627" s="8">
        <f>IF(B627&lt;&gt;"",TODAY(),"")</f>
        <v/>
      </c>
      <c r="N627" s="8">
        <f>IF(F627&lt;&gt;"",IFERROR(IF(AND(REGEXMATCH(SUBSTITUTE(TRIM(F627)," ",""),"^-?\d+(\.\d+)?,-?\d+(\.\d+)?$"),VALUE(REGEXEXTRACT(SUBSTITUTE(TRIM(F627)," ",""),"^-?\d+(\.\d+)?"))&gt;=-90,VALUE(REGEXEXTRACT(SUBSTITUTE(TRIM(F627)," ",""),"^-?\d+(\.\d+)?"))&lt;=90,VALUE(REGEXEXTRACT(SUBSTITUTE(TRIM(F627)," ",""),"-?\d+(\.\d+)?$"))&gt;=-180,VALUE(REGEXEXTRACT(SUBSTITUTE(TRIM(F627)," ",""),"-?\d+(\.\d+)?$"))&lt;=180),"OK","REVISAR"),"REVISAR"),"")</f>
        <v/>
      </c>
      <c r="O627">
        <f>IF(A627&lt;&gt;"","https://direcciones507.github.io/direcciones507/panel.html?codigo="&amp;A627&amp;"&amp;nombre="&amp;ENCODEURL(B627)&amp;"&amp;telefono="&amp;SUBSTITUTE(C627,"-","")&amp;"&amp;referencia="&amp;ENCODEURL(E627)&amp;"&amp;lat="&amp;IZQUIERDA(SUBSTITUTE(F627," ",""),ENCONTRAR(",",SUBSTITUTE(F627," ",""))-1)&amp;"&amp;lng="&amp;DERECHA(SUBSTITUTE(F627," ",""),LARGO(SUBSTITUTE(F627," ",""))-ENCONTRAR(",",SUBSTITUTE(F627," ",""))),"")</f>
        <v/>
      </c>
    </row>
    <row r="628" ht="15.75" customHeight="1" s="10">
      <c r="A628" s="8">
        <f>CONCAT("AD507-",TEXT(ROW()-2,"0000"))</f>
        <v/>
      </c>
      <c r="C628" s="8" t="n"/>
      <c r="F628" s="8" t="n"/>
      <c r="G628" s="8">
        <f>IF(F628&lt;&gt;"",HYPERLINK("https://www.google.com/maps/search/?api=1&amp;query="&amp;SUBSTITUTE(F628," ",""),"🗺 Google Maps"),"")</f>
        <v/>
      </c>
      <c r="H628" s="8">
        <f>IF(F628&lt;&gt;"",HYPERLINK("https://waze.com/ul?ll="&amp;SUBSTITUTE(F628," ","")&amp;"&amp;navigate=yes","🚗 Waze"),"")</f>
        <v/>
      </c>
      <c r="I628" s="8">
        <f>IF(F628&lt;&gt;"",HYPERLINK("https://m.uber.com/ul/?action=setPickup&amp;pickup=my_location&amp;dropoff[latitude]="&amp;LEFT(SUBSTITUTE(F628," ",""),FIND(",",SUBSTITUTE(F628," ",""))-1)&amp;"&amp;dropoff[longitude]="&amp;MID(SUBSTITUTE(F628," ",""),FIND(",",SUBSTITUTE(F628," ",""))+1,99),"🚕 Uber"),"")</f>
        <v/>
      </c>
      <c r="J628" s="8">
        <f>IF(F628&lt;&gt;"","https://api.qrserver.com/v1/create-qr-code/?size=200x200&amp;data="&amp;ENCODEURL("https://www.google.com/maps/search/?api=1&amp;query="&amp;SUBSTITUTE(F628," ","")),"")</f>
        <v/>
      </c>
      <c r="K628" s="8">
        <f>IF(C628&lt;&gt;"",HYPERLINK("https://wa.me/507"&amp;REGEXREPLACE(C628,"[^0-9]","")&amp;"?text="&amp;ENCODEURL("Ya llegue. Codigo: "&amp;A628&amp;". Ubicacion: "&amp;"https://www.google.com/maps/search/?api=1&amp;query="&amp;SUBSTITUTE(F628," ","")),"📲 Avisar al cliente"),"")</f>
        <v/>
      </c>
      <c r="L628" s="8">
        <f>IF(C628&lt;&gt;"","https://api.qrserver.com/v1/create-qr-code/?size=200x200&amp;data="&amp;ENCODEURL("https://wa.me/507"&amp;REGEXREPLACE(C628,"[^0-9]","")&amp;"?text="&amp;ENCODEURL("Ya llegue. Codigo: "&amp;A628&amp;". Ubicacion: "&amp;"https://www.google.com/maps/search/?api=1&amp;query="&amp;SUBSTITUTE(F628," ",""))),"")</f>
        <v/>
      </c>
      <c r="M628" s="8">
        <f>IF(B628&lt;&gt;"",TODAY(),"")</f>
        <v/>
      </c>
      <c r="N628" s="8">
        <f>IF(F628&lt;&gt;"",IFERROR(IF(AND(REGEXMATCH(SUBSTITUTE(TRIM(F628)," ",""),"^-?\d+(\.\d+)?,-?\d+(\.\d+)?$"),VALUE(REGEXEXTRACT(SUBSTITUTE(TRIM(F628)," ",""),"^-?\d+(\.\d+)?"))&gt;=-90,VALUE(REGEXEXTRACT(SUBSTITUTE(TRIM(F628)," ",""),"^-?\d+(\.\d+)?"))&lt;=90,VALUE(REGEXEXTRACT(SUBSTITUTE(TRIM(F628)," ",""),"-?\d+(\.\d+)?$"))&gt;=-180,VALUE(REGEXEXTRACT(SUBSTITUTE(TRIM(F628)," ",""),"-?\d+(\.\d+)?$"))&lt;=180),"OK","REVISAR"),"REVISAR"),"")</f>
        <v/>
      </c>
      <c r="O628">
        <f>IF(A628&lt;&gt;"","https://direcciones507.github.io/direcciones507/panel.html?codigo="&amp;A628&amp;"&amp;nombre="&amp;ENCODEURL(B628)&amp;"&amp;telefono="&amp;SUBSTITUTE(C628,"-","")&amp;"&amp;referencia="&amp;ENCODEURL(E628)&amp;"&amp;lat="&amp;IZQUIERDA(SUBSTITUTE(F628," ",""),ENCONTRAR(",",SUBSTITUTE(F628," ",""))-1)&amp;"&amp;lng="&amp;DERECHA(SUBSTITUTE(F628," ",""),LARGO(SUBSTITUTE(F628," ",""))-ENCONTRAR(",",SUBSTITUTE(F628," ",""))),"")</f>
        <v/>
      </c>
    </row>
    <row r="629" ht="15.75" customHeight="1" s="10">
      <c r="A629" s="8">
        <f>CONCAT("AD507-",TEXT(ROW()-2,"0000"))</f>
        <v/>
      </c>
      <c r="C629" s="8" t="n"/>
      <c r="F629" s="8" t="n"/>
      <c r="G629" s="8">
        <f>IF(F629&lt;&gt;"",HYPERLINK("https://www.google.com/maps/search/?api=1&amp;query="&amp;SUBSTITUTE(F629," ",""),"🗺 Google Maps"),"")</f>
        <v/>
      </c>
      <c r="H629" s="8">
        <f>IF(F629&lt;&gt;"",HYPERLINK("https://waze.com/ul?ll="&amp;SUBSTITUTE(F629," ","")&amp;"&amp;navigate=yes","🚗 Waze"),"")</f>
        <v/>
      </c>
      <c r="I629" s="8">
        <f>IF(F629&lt;&gt;"",HYPERLINK("https://m.uber.com/ul/?action=setPickup&amp;pickup=my_location&amp;dropoff[latitude]="&amp;LEFT(SUBSTITUTE(F629," ",""),FIND(",",SUBSTITUTE(F629," ",""))-1)&amp;"&amp;dropoff[longitude]="&amp;MID(SUBSTITUTE(F629," ",""),FIND(",",SUBSTITUTE(F629," ",""))+1,99),"🚕 Uber"),"")</f>
        <v/>
      </c>
      <c r="J629" s="8">
        <f>IF(F629&lt;&gt;"","https://api.qrserver.com/v1/create-qr-code/?size=200x200&amp;data="&amp;ENCODEURL("https://www.google.com/maps/search/?api=1&amp;query="&amp;SUBSTITUTE(F629," ","")),"")</f>
        <v/>
      </c>
      <c r="K629" s="8">
        <f>IF(C629&lt;&gt;"",HYPERLINK("https://wa.me/507"&amp;REGEXREPLACE(C629,"[^0-9]","")&amp;"?text="&amp;ENCODEURL("Ya llegue. Codigo: "&amp;A629&amp;". Ubicacion: "&amp;"https://www.google.com/maps/search/?api=1&amp;query="&amp;SUBSTITUTE(F629," ","")),"📲 Avisar al cliente"),"")</f>
        <v/>
      </c>
      <c r="L629" s="8">
        <f>IF(C629&lt;&gt;"","https://api.qrserver.com/v1/create-qr-code/?size=200x200&amp;data="&amp;ENCODEURL("https://wa.me/507"&amp;REGEXREPLACE(C629,"[^0-9]","")&amp;"?text="&amp;ENCODEURL("Ya llegue. Codigo: "&amp;A629&amp;". Ubicacion: "&amp;"https://www.google.com/maps/search/?api=1&amp;query="&amp;SUBSTITUTE(F629," ",""))),"")</f>
        <v/>
      </c>
      <c r="M629" s="8">
        <f>IF(B629&lt;&gt;"",TODAY(),"")</f>
        <v/>
      </c>
      <c r="N629" s="8">
        <f>IF(F629&lt;&gt;"",IFERROR(IF(AND(REGEXMATCH(SUBSTITUTE(TRIM(F629)," ",""),"^-?\d+(\.\d+)?,-?\d+(\.\d+)?$"),VALUE(REGEXEXTRACT(SUBSTITUTE(TRIM(F629)," ",""),"^-?\d+(\.\d+)?"))&gt;=-90,VALUE(REGEXEXTRACT(SUBSTITUTE(TRIM(F629)," ",""),"^-?\d+(\.\d+)?"))&lt;=90,VALUE(REGEXEXTRACT(SUBSTITUTE(TRIM(F629)," ",""),"-?\d+(\.\d+)?$"))&gt;=-180,VALUE(REGEXEXTRACT(SUBSTITUTE(TRIM(F629)," ",""),"-?\d+(\.\d+)?$"))&lt;=180),"OK","REVISAR"),"REVISAR"),"")</f>
        <v/>
      </c>
      <c r="O629">
        <f>IF(A629&lt;&gt;"","https://direcciones507.github.io/direcciones507/panel.html?codigo="&amp;A629&amp;"&amp;nombre="&amp;ENCODEURL(B629)&amp;"&amp;telefono="&amp;SUBSTITUTE(C629,"-","")&amp;"&amp;referencia="&amp;ENCODEURL(E629)&amp;"&amp;lat="&amp;IZQUIERDA(SUBSTITUTE(F629," ",""),ENCONTRAR(",",SUBSTITUTE(F629," ",""))-1)&amp;"&amp;lng="&amp;DERECHA(SUBSTITUTE(F629," ",""),LARGO(SUBSTITUTE(F629," ",""))-ENCONTRAR(",",SUBSTITUTE(F629," ",""))),"")</f>
        <v/>
      </c>
    </row>
    <row r="630" ht="15.75" customHeight="1" s="10">
      <c r="A630" s="8">
        <f>CONCAT("AD507-",TEXT(ROW()-2,"0000"))</f>
        <v/>
      </c>
      <c r="C630" s="8" t="n"/>
      <c r="F630" s="8" t="n"/>
      <c r="G630" s="8">
        <f>IF(F630&lt;&gt;"",HYPERLINK("https://www.google.com/maps/search/?api=1&amp;query="&amp;SUBSTITUTE(F630," ",""),"🗺 Google Maps"),"")</f>
        <v/>
      </c>
      <c r="H630" s="8">
        <f>IF(F630&lt;&gt;"",HYPERLINK("https://waze.com/ul?ll="&amp;SUBSTITUTE(F630," ","")&amp;"&amp;navigate=yes","🚗 Waze"),"")</f>
        <v/>
      </c>
      <c r="I630" s="8">
        <f>IF(F630&lt;&gt;"",HYPERLINK("https://m.uber.com/ul/?action=setPickup&amp;pickup=my_location&amp;dropoff[latitude]="&amp;LEFT(SUBSTITUTE(F630," ",""),FIND(",",SUBSTITUTE(F630," ",""))-1)&amp;"&amp;dropoff[longitude]="&amp;MID(SUBSTITUTE(F630," ",""),FIND(",",SUBSTITUTE(F630," ",""))+1,99),"🚕 Uber"),"")</f>
        <v/>
      </c>
      <c r="J630" s="8">
        <f>IF(F630&lt;&gt;"","https://api.qrserver.com/v1/create-qr-code/?size=200x200&amp;data="&amp;ENCODEURL("https://www.google.com/maps/search/?api=1&amp;query="&amp;SUBSTITUTE(F630," ","")),"")</f>
        <v/>
      </c>
      <c r="K630" s="8">
        <f>IF(C630&lt;&gt;"",HYPERLINK("https://wa.me/507"&amp;REGEXREPLACE(C630,"[^0-9]","")&amp;"?text="&amp;ENCODEURL("Ya llegue. Codigo: "&amp;A630&amp;". Ubicacion: "&amp;"https://www.google.com/maps/search/?api=1&amp;query="&amp;SUBSTITUTE(F630," ","")),"📲 Avisar al cliente"),"")</f>
        <v/>
      </c>
      <c r="L630" s="8">
        <f>IF(C630&lt;&gt;"","https://api.qrserver.com/v1/create-qr-code/?size=200x200&amp;data="&amp;ENCODEURL("https://wa.me/507"&amp;REGEXREPLACE(C630,"[^0-9]","")&amp;"?text="&amp;ENCODEURL("Ya llegue. Codigo: "&amp;A630&amp;". Ubicacion: "&amp;"https://www.google.com/maps/search/?api=1&amp;query="&amp;SUBSTITUTE(F630," ",""))),"")</f>
        <v/>
      </c>
      <c r="M630" s="8">
        <f>IF(B630&lt;&gt;"",TODAY(),"")</f>
        <v/>
      </c>
      <c r="N630" s="8">
        <f>IF(F630&lt;&gt;"",IFERROR(IF(AND(REGEXMATCH(SUBSTITUTE(TRIM(F630)," ",""),"^-?\d+(\.\d+)?,-?\d+(\.\d+)?$"),VALUE(REGEXEXTRACT(SUBSTITUTE(TRIM(F630)," ",""),"^-?\d+(\.\d+)?"))&gt;=-90,VALUE(REGEXEXTRACT(SUBSTITUTE(TRIM(F630)," ",""),"^-?\d+(\.\d+)?"))&lt;=90,VALUE(REGEXEXTRACT(SUBSTITUTE(TRIM(F630)," ",""),"-?\d+(\.\d+)?$"))&gt;=-180,VALUE(REGEXEXTRACT(SUBSTITUTE(TRIM(F630)," ",""),"-?\d+(\.\d+)?$"))&lt;=180),"OK","REVISAR"),"REVISAR"),"")</f>
        <v/>
      </c>
      <c r="O630">
        <f>IF(A630&lt;&gt;"","https://direcciones507.github.io/direcciones507/panel.html?codigo="&amp;A630&amp;"&amp;nombre="&amp;ENCODEURL(B630)&amp;"&amp;telefono="&amp;SUBSTITUTE(C630,"-","")&amp;"&amp;referencia="&amp;ENCODEURL(E630)&amp;"&amp;lat="&amp;IZQUIERDA(SUBSTITUTE(F630," ",""),ENCONTRAR(",",SUBSTITUTE(F630," ",""))-1)&amp;"&amp;lng="&amp;DERECHA(SUBSTITUTE(F630," ",""),LARGO(SUBSTITUTE(F630," ",""))-ENCONTRAR(",",SUBSTITUTE(F630," ",""))),"")</f>
        <v/>
      </c>
    </row>
    <row r="631" ht="15.75" customHeight="1" s="10">
      <c r="A631" s="8">
        <f>CONCAT("AD507-",TEXT(ROW()-2,"0000"))</f>
        <v/>
      </c>
      <c r="C631" s="8" t="n"/>
      <c r="F631" s="8" t="n"/>
      <c r="G631" s="8">
        <f>IF(F631&lt;&gt;"",HYPERLINK("https://www.google.com/maps/search/?api=1&amp;query="&amp;SUBSTITUTE(F631," ",""),"🗺 Google Maps"),"")</f>
        <v/>
      </c>
      <c r="H631" s="8">
        <f>IF(F631&lt;&gt;"",HYPERLINK("https://waze.com/ul?ll="&amp;SUBSTITUTE(F631," ","")&amp;"&amp;navigate=yes","🚗 Waze"),"")</f>
        <v/>
      </c>
      <c r="I631" s="8">
        <f>IF(F631&lt;&gt;"",HYPERLINK("https://m.uber.com/ul/?action=setPickup&amp;pickup=my_location&amp;dropoff[latitude]="&amp;LEFT(SUBSTITUTE(F631," ",""),FIND(",",SUBSTITUTE(F631," ",""))-1)&amp;"&amp;dropoff[longitude]="&amp;MID(SUBSTITUTE(F631," ",""),FIND(",",SUBSTITUTE(F631," ",""))+1,99),"🚕 Uber"),"")</f>
        <v/>
      </c>
      <c r="J631" s="8">
        <f>IF(F631&lt;&gt;"","https://api.qrserver.com/v1/create-qr-code/?size=200x200&amp;data="&amp;ENCODEURL("https://www.google.com/maps/search/?api=1&amp;query="&amp;SUBSTITUTE(F631," ","")),"")</f>
        <v/>
      </c>
      <c r="K631" s="8">
        <f>IF(C631&lt;&gt;"",HYPERLINK("https://wa.me/507"&amp;REGEXREPLACE(C631,"[^0-9]","")&amp;"?text="&amp;ENCODEURL("Ya llegue. Codigo: "&amp;A631&amp;". Ubicacion: "&amp;"https://www.google.com/maps/search/?api=1&amp;query="&amp;SUBSTITUTE(F631," ","")),"📲 Avisar al cliente"),"")</f>
        <v/>
      </c>
      <c r="L631" s="8">
        <f>IF(C631&lt;&gt;"","https://api.qrserver.com/v1/create-qr-code/?size=200x200&amp;data="&amp;ENCODEURL("https://wa.me/507"&amp;REGEXREPLACE(C631,"[^0-9]","")&amp;"?text="&amp;ENCODEURL("Ya llegue. Codigo: "&amp;A631&amp;". Ubicacion: "&amp;"https://www.google.com/maps/search/?api=1&amp;query="&amp;SUBSTITUTE(F631," ",""))),"")</f>
        <v/>
      </c>
      <c r="M631" s="8">
        <f>IF(B631&lt;&gt;"",TODAY(),"")</f>
        <v/>
      </c>
      <c r="N631" s="8">
        <f>IF(F631&lt;&gt;"",IFERROR(IF(AND(REGEXMATCH(SUBSTITUTE(TRIM(F631)," ",""),"^-?\d+(\.\d+)?,-?\d+(\.\d+)?$"),VALUE(REGEXEXTRACT(SUBSTITUTE(TRIM(F631)," ",""),"^-?\d+(\.\d+)?"))&gt;=-90,VALUE(REGEXEXTRACT(SUBSTITUTE(TRIM(F631)," ",""),"^-?\d+(\.\d+)?"))&lt;=90,VALUE(REGEXEXTRACT(SUBSTITUTE(TRIM(F631)," ",""),"-?\d+(\.\d+)?$"))&gt;=-180,VALUE(REGEXEXTRACT(SUBSTITUTE(TRIM(F631)," ",""),"-?\d+(\.\d+)?$"))&lt;=180),"OK","REVISAR"),"REVISAR"),"")</f>
        <v/>
      </c>
      <c r="O631">
        <f>IF(A631&lt;&gt;"","https://direcciones507.github.io/direcciones507/panel.html?codigo="&amp;A631&amp;"&amp;nombre="&amp;ENCODEURL(B631)&amp;"&amp;telefono="&amp;SUBSTITUTE(C631,"-","")&amp;"&amp;referencia="&amp;ENCODEURL(E631)&amp;"&amp;lat="&amp;IZQUIERDA(SUBSTITUTE(F631," ",""),ENCONTRAR(",",SUBSTITUTE(F631," ",""))-1)&amp;"&amp;lng="&amp;DERECHA(SUBSTITUTE(F631," ",""),LARGO(SUBSTITUTE(F631," ",""))-ENCONTRAR(",",SUBSTITUTE(F631," ",""))),"")</f>
        <v/>
      </c>
    </row>
    <row r="632" ht="15.75" customHeight="1" s="10">
      <c r="A632" s="8">
        <f>CONCAT("AD507-",TEXT(ROW()-2,"0000"))</f>
        <v/>
      </c>
      <c r="C632" s="8" t="n"/>
      <c r="F632" s="8" t="n"/>
      <c r="G632" s="8">
        <f>IF(F632&lt;&gt;"",HYPERLINK("https://www.google.com/maps/search/?api=1&amp;query="&amp;SUBSTITUTE(F632," ",""),"🗺 Google Maps"),"")</f>
        <v/>
      </c>
      <c r="H632" s="8">
        <f>IF(F632&lt;&gt;"",HYPERLINK("https://waze.com/ul?ll="&amp;SUBSTITUTE(F632," ","")&amp;"&amp;navigate=yes","🚗 Waze"),"")</f>
        <v/>
      </c>
      <c r="I632" s="8">
        <f>IF(F632&lt;&gt;"",HYPERLINK("https://m.uber.com/ul/?action=setPickup&amp;pickup=my_location&amp;dropoff[latitude]="&amp;LEFT(SUBSTITUTE(F632," ",""),FIND(",",SUBSTITUTE(F632," ",""))-1)&amp;"&amp;dropoff[longitude]="&amp;MID(SUBSTITUTE(F632," ",""),FIND(",",SUBSTITUTE(F632," ",""))+1,99),"🚕 Uber"),"")</f>
        <v/>
      </c>
      <c r="J632" s="8">
        <f>IF(F632&lt;&gt;"","https://api.qrserver.com/v1/create-qr-code/?size=200x200&amp;data="&amp;ENCODEURL("https://www.google.com/maps/search/?api=1&amp;query="&amp;SUBSTITUTE(F632," ","")),"")</f>
        <v/>
      </c>
      <c r="K632" s="8">
        <f>IF(C632&lt;&gt;"",HYPERLINK("https://wa.me/507"&amp;REGEXREPLACE(C632,"[^0-9]","")&amp;"?text="&amp;ENCODEURL("Ya llegue. Codigo: "&amp;A632&amp;". Ubicacion: "&amp;"https://www.google.com/maps/search/?api=1&amp;query="&amp;SUBSTITUTE(F632," ","")),"📲 Avisar al cliente"),"")</f>
        <v/>
      </c>
      <c r="L632" s="8">
        <f>IF(C632&lt;&gt;"","https://api.qrserver.com/v1/create-qr-code/?size=200x200&amp;data="&amp;ENCODEURL("https://wa.me/507"&amp;REGEXREPLACE(C632,"[^0-9]","")&amp;"?text="&amp;ENCODEURL("Ya llegue. Codigo: "&amp;A632&amp;". Ubicacion: "&amp;"https://www.google.com/maps/search/?api=1&amp;query="&amp;SUBSTITUTE(F632," ",""))),"")</f>
        <v/>
      </c>
      <c r="M632" s="8">
        <f>IF(B632&lt;&gt;"",TODAY(),"")</f>
        <v/>
      </c>
      <c r="N632" s="8">
        <f>IF(F632&lt;&gt;"",IFERROR(IF(AND(REGEXMATCH(SUBSTITUTE(TRIM(F632)," ",""),"^-?\d+(\.\d+)?,-?\d+(\.\d+)?$"),VALUE(REGEXEXTRACT(SUBSTITUTE(TRIM(F632)," ",""),"^-?\d+(\.\d+)?"))&gt;=-90,VALUE(REGEXEXTRACT(SUBSTITUTE(TRIM(F632)," ",""),"^-?\d+(\.\d+)?"))&lt;=90,VALUE(REGEXEXTRACT(SUBSTITUTE(TRIM(F632)," ",""),"-?\d+(\.\d+)?$"))&gt;=-180,VALUE(REGEXEXTRACT(SUBSTITUTE(TRIM(F632)," ",""),"-?\d+(\.\d+)?$"))&lt;=180),"OK","REVISAR"),"REVISAR"),"")</f>
        <v/>
      </c>
      <c r="O632">
        <f>IF(A632&lt;&gt;"","https://direcciones507.github.io/direcciones507/panel.html?codigo="&amp;A632&amp;"&amp;nombre="&amp;ENCODEURL(B632)&amp;"&amp;telefono="&amp;SUBSTITUTE(C632,"-","")&amp;"&amp;referencia="&amp;ENCODEURL(E632)&amp;"&amp;lat="&amp;IZQUIERDA(SUBSTITUTE(F632," ",""),ENCONTRAR(",",SUBSTITUTE(F632," ",""))-1)&amp;"&amp;lng="&amp;DERECHA(SUBSTITUTE(F632," ",""),LARGO(SUBSTITUTE(F632," ",""))-ENCONTRAR(",",SUBSTITUTE(F632," ",""))),"")</f>
        <v/>
      </c>
    </row>
    <row r="633" ht="15.75" customHeight="1" s="10">
      <c r="A633" s="8">
        <f>CONCAT("AD507-",TEXT(ROW()-2,"0000"))</f>
        <v/>
      </c>
      <c r="C633" s="8" t="n"/>
      <c r="F633" s="8" t="n"/>
      <c r="G633" s="8">
        <f>IF(F633&lt;&gt;"",HYPERLINK("https://www.google.com/maps/search/?api=1&amp;query="&amp;SUBSTITUTE(F633," ",""),"🗺 Google Maps"),"")</f>
        <v/>
      </c>
      <c r="H633" s="8">
        <f>IF(F633&lt;&gt;"",HYPERLINK("https://waze.com/ul?ll="&amp;SUBSTITUTE(F633," ","")&amp;"&amp;navigate=yes","🚗 Waze"),"")</f>
        <v/>
      </c>
      <c r="I633" s="8">
        <f>IF(F633&lt;&gt;"",HYPERLINK("https://m.uber.com/ul/?action=setPickup&amp;pickup=my_location&amp;dropoff[latitude]="&amp;LEFT(SUBSTITUTE(F633," ",""),FIND(",",SUBSTITUTE(F633," ",""))-1)&amp;"&amp;dropoff[longitude]="&amp;MID(SUBSTITUTE(F633," ",""),FIND(",",SUBSTITUTE(F633," ",""))+1,99),"🚕 Uber"),"")</f>
        <v/>
      </c>
      <c r="J633" s="8">
        <f>IF(F633&lt;&gt;"","https://api.qrserver.com/v1/create-qr-code/?size=200x200&amp;data="&amp;ENCODEURL("https://www.google.com/maps/search/?api=1&amp;query="&amp;SUBSTITUTE(F633," ","")),"")</f>
        <v/>
      </c>
      <c r="K633" s="8">
        <f>IF(C633&lt;&gt;"",HYPERLINK("https://wa.me/507"&amp;REGEXREPLACE(C633,"[^0-9]","")&amp;"?text="&amp;ENCODEURL("Ya llegue. Codigo: "&amp;A633&amp;". Ubicacion: "&amp;"https://www.google.com/maps/search/?api=1&amp;query="&amp;SUBSTITUTE(F633," ","")),"📲 Avisar al cliente"),"")</f>
        <v/>
      </c>
      <c r="L633" s="8">
        <f>IF(C633&lt;&gt;"","https://api.qrserver.com/v1/create-qr-code/?size=200x200&amp;data="&amp;ENCODEURL("https://wa.me/507"&amp;REGEXREPLACE(C633,"[^0-9]","")&amp;"?text="&amp;ENCODEURL("Ya llegue. Codigo: "&amp;A633&amp;". Ubicacion: "&amp;"https://www.google.com/maps/search/?api=1&amp;query="&amp;SUBSTITUTE(F633," ",""))),"")</f>
        <v/>
      </c>
      <c r="M633" s="8">
        <f>IF(B633&lt;&gt;"",TODAY(),"")</f>
        <v/>
      </c>
      <c r="N633" s="8">
        <f>IF(F633&lt;&gt;"",IFERROR(IF(AND(REGEXMATCH(SUBSTITUTE(TRIM(F633)," ",""),"^-?\d+(\.\d+)?,-?\d+(\.\d+)?$"),VALUE(REGEXEXTRACT(SUBSTITUTE(TRIM(F633)," ",""),"^-?\d+(\.\d+)?"))&gt;=-90,VALUE(REGEXEXTRACT(SUBSTITUTE(TRIM(F633)," ",""),"^-?\d+(\.\d+)?"))&lt;=90,VALUE(REGEXEXTRACT(SUBSTITUTE(TRIM(F633)," ",""),"-?\d+(\.\d+)?$"))&gt;=-180,VALUE(REGEXEXTRACT(SUBSTITUTE(TRIM(F633)," ",""),"-?\d+(\.\d+)?$"))&lt;=180),"OK","REVISAR"),"REVISAR"),"")</f>
        <v/>
      </c>
      <c r="O633">
        <f>IF(A633&lt;&gt;"","https://direcciones507.github.io/direcciones507/panel.html?codigo="&amp;A633&amp;"&amp;nombre="&amp;ENCODEURL(B633)&amp;"&amp;telefono="&amp;SUBSTITUTE(C633,"-","")&amp;"&amp;referencia="&amp;ENCODEURL(E633)&amp;"&amp;lat="&amp;IZQUIERDA(SUBSTITUTE(F633," ",""),ENCONTRAR(",",SUBSTITUTE(F633," ",""))-1)&amp;"&amp;lng="&amp;DERECHA(SUBSTITUTE(F633," ",""),LARGO(SUBSTITUTE(F633," ",""))-ENCONTRAR(",",SUBSTITUTE(F633," ",""))),"")</f>
        <v/>
      </c>
    </row>
    <row r="634" ht="15.75" customHeight="1" s="10">
      <c r="A634" s="8">
        <f>CONCAT("AD507-",TEXT(ROW()-2,"0000"))</f>
        <v/>
      </c>
      <c r="C634" s="8" t="n"/>
      <c r="F634" s="8" t="n"/>
      <c r="G634" s="8">
        <f>IF(F634&lt;&gt;"",HYPERLINK("https://www.google.com/maps/search/?api=1&amp;query="&amp;SUBSTITUTE(F634," ",""),"🗺 Google Maps"),"")</f>
        <v/>
      </c>
      <c r="H634" s="8">
        <f>IF(F634&lt;&gt;"",HYPERLINK("https://waze.com/ul?ll="&amp;SUBSTITUTE(F634," ","")&amp;"&amp;navigate=yes","🚗 Waze"),"")</f>
        <v/>
      </c>
      <c r="I634" s="8">
        <f>IF(F634&lt;&gt;"",HYPERLINK("https://m.uber.com/ul/?action=setPickup&amp;pickup=my_location&amp;dropoff[latitude]="&amp;LEFT(SUBSTITUTE(F634," ",""),FIND(",",SUBSTITUTE(F634," ",""))-1)&amp;"&amp;dropoff[longitude]="&amp;MID(SUBSTITUTE(F634," ",""),FIND(",",SUBSTITUTE(F634," ",""))+1,99),"🚕 Uber"),"")</f>
        <v/>
      </c>
      <c r="J634" s="8">
        <f>IF(F634&lt;&gt;"","https://api.qrserver.com/v1/create-qr-code/?size=200x200&amp;data="&amp;ENCODEURL("https://www.google.com/maps/search/?api=1&amp;query="&amp;SUBSTITUTE(F634," ","")),"")</f>
        <v/>
      </c>
      <c r="K634" s="8">
        <f>IF(C634&lt;&gt;"",HYPERLINK("https://wa.me/507"&amp;REGEXREPLACE(C634,"[^0-9]","")&amp;"?text="&amp;ENCODEURL("Ya llegue. Codigo: "&amp;A634&amp;". Ubicacion: "&amp;"https://www.google.com/maps/search/?api=1&amp;query="&amp;SUBSTITUTE(F634," ","")),"📲 Avisar al cliente"),"")</f>
        <v/>
      </c>
      <c r="L634" s="8">
        <f>IF(C634&lt;&gt;"","https://api.qrserver.com/v1/create-qr-code/?size=200x200&amp;data="&amp;ENCODEURL("https://wa.me/507"&amp;REGEXREPLACE(C634,"[^0-9]","")&amp;"?text="&amp;ENCODEURL("Ya llegue. Codigo: "&amp;A634&amp;". Ubicacion: "&amp;"https://www.google.com/maps/search/?api=1&amp;query="&amp;SUBSTITUTE(F634," ",""))),"")</f>
        <v/>
      </c>
      <c r="M634" s="8">
        <f>IF(B634&lt;&gt;"",TODAY(),"")</f>
        <v/>
      </c>
      <c r="N634" s="8">
        <f>IF(F634&lt;&gt;"",IFERROR(IF(AND(REGEXMATCH(SUBSTITUTE(TRIM(F634)," ",""),"^-?\d+(\.\d+)?,-?\d+(\.\d+)?$"),VALUE(REGEXEXTRACT(SUBSTITUTE(TRIM(F634)," ",""),"^-?\d+(\.\d+)?"))&gt;=-90,VALUE(REGEXEXTRACT(SUBSTITUTE(TRIM(F634)," ",""),"^-?\d+(\.\d+)?"))&lt;=90,VALUE(REGEXEXTRACT(SUBSTITUTE(TRIM(F634)," ",""),"-?\d+(\.\d+)?$"))&gt;=-180,VALUE(REGEXEXTRACT(SUBSTITUTE(TRIM(F634)," ",""),"-?\d+(\.\d+)?$"))&lt;=180),"OK","REVISAR"),"REVISAR"),"")</f>
        <v/>
      </c>
      <c r="O634">
        <f>IF(A634&lt;&gt;"","https://direcciones507.github.io/direcciones507/panel.html?codigo="&amp;A634&amp;"&amp;nombre="&amp;ENCODEURL(B634)&amp;"&amp;telefono="&amp;SUBSTITUTE(C634,"-","")&amp;"&amp;referencia="&amp;ENCODEURL(E634)&amp;"&amp;lat="&amp;IZQUIERDA(SUBSTITUTE(F634," ",""),ENCONTRAR(",",SUBSTITUTE(F634," ",""))-1)&amp;"&amp;lng="&amp;DERECHA(SUBSTITUTE(F634," ",""),LARGO(SUBSTITUTE(F634," ",""))-ENCONTRAR(",",SUBSTITUTE(F634," ",""))),"")</f>
        <v/>
      </c>
    </row>
    <row r="635" ht="15.75" customHeight="1" s="10">
      <c r="A635" s="8">
        <f>CONCAT("AD507-",TEXT(ROW()-2,"0000"))</f>
        <v/>
      </c>
      <c r="C635" s="8" t="n"/>
      <c r="F635" s="8" t="n"/>
      <c r="G635" s="8">
        <f>IF(F635&lt;&gt;"",HYPERLINK("https://www.google.com/maps/search/?api=1&amp;query="&amp;SUBSTITUTE(F635," ",""),"🗺 Google Maps"),"")</f>
        <v/>
      </c>
      <c r="H635" s="8">
        <f>IF(F635&lt;&gt;"",HYPERLINK("https://waze.com/ul?ll="&amp;SUBSTITUTE(F635," ","")&amp;"&amp;navigate=yes","🚗 Waze"),"")</f>
        <v/>
      </c>
      <c r="I635" s="8">
        <f>IF(F635&lt;&gt;"",HYPERLINK("https://m.uber.com/ul/?action=setPickup&amp;pickup=my_location&amp;dropoff[latitude]="&amp;LEFT(SUBSTITUTE(F635," ",""),FIND(",",SUBSTITUTE(F635," ",""))-1)&amp;"&amp;dropoff[longitude]="&amp;MID(SUBSTITUTE(F635," ",""),FIND(",",SUBSTITUTE(F635," ",""))+1,99),"🚕 Uber"),"")</f>
        <v/>
      </c>
      <c r="J635" s="8">
        <f>IF(F635&lt;&gt;"","https://api.qrserver.com/v1/create-qr-code/?size=200x200&amp;data="&amp;ENCODEURL("https://www.google.com/maps/search/?api=1&amp;query="&amp;SUBSTITUTE(F635," ","")),"")</f>
        <v/>
      </c>
      <c r="K635" s="8">
        <f>IF(C635&lt;&gt;"",HYPERLINK("https://wa.me/507"&amp;REGEXREPLACE(C635,"[^0-9]","")&amp;"?text="&amp;ENCODEURL("Ya llegue. Codigo: "&amp;A635&amp;". Ubicacion: "&amp;"https://www.google.com/maps/search/?api=1&amp;query="&amp;SUBSTITUTE(F635," ","")),"📲 Avisar al cliente"),"")</f>
        <v/>
      </c>
      <c r="L635" s="8">
        <f>IF(C635&lt;&gt;"","https://api.qrserver.com/v1/create-qr-code/?size=200x200&amp;data="&amp;ENCODEURL("https://wa.me/507"&amp;REGEXREPLACE(C635,"[^0-9]","")&amp;"?text="&amp;ENCODEURL("Ya llegue. Codigo: "&amp;A635&amp;". Ubicacion: "&amp;"https://www.google.com/maps/search/?api=1&amp;query="&amp;SUBSTITUTE(F635," ",""))),"")</f>
        <v/>
      </c>
      <c r="M635" s="8">
        <f>IF(B635&lt;&gt;"",TODAY(),"")</f>
        <v/>
      </c>
      <c r="N635" s="8">
        <f>IF(F635&lt;&gt;"",IFERROR(IF(AND(REGEXMATCH(SUBSTITUTE(TRIM(F635)," ",""),"^-?\d+(\.\d+)?,-?\d+(\.\d+)?$"),VALUE(REGEXEXTRACT(SUBSTITUTE(TRIM(F635)," ",""),"^-?\d+(\.\d+)?"))&gt;=-90,VALUE(REGEXEXTRACT(SUBSTITUTE(TRIM(F635)," ",""),"^-?\d+(\.\d+)?"))&lt;=90,VALUE(REGEXEXTRACT(SUBSTITUTE(TRIM(F635)," ",""),"-?\d+(\.\d+)?$"))&gt;=-180,VALUE(REGEXEXTRACT(SUBSTITUTE(TRIM(F635)," ",""),"-?\d+(\.\d+)?$"))&lt;=180),"OK","REVISAR"),"REVISAR"),"")</f>
        <v/>
      </c>
      <c r="O635">
        <f>IF(A635&lt;&gt;"","https://direcciones507.github.io/direcciones507/panel.html?codigo="&amp;A635&amp;"&amp;nombre="&amp;ENCODEURL(B635)&amp;"&amp;telefono="&amp;SUBSTITUTE(C635,"-","")&amp;"&amp;referencia="&amp;ENCODEURL(E635)&amp;"&amp;lat="&amp;IZQUIERDA(SUBSTITUTE(F635," ",""),ENCONTRAR(",",SUBSTITUTE(F635," ",""))-1)&amp;"&amp;lng="&amp;DERECHA(SUBSTITUTE(F635," ",""),LARGO(SUBSTITUTE(F635," ",""))-ENCONTRAR(",",SUBSTITUTE(F635," ",""))),"")</f>
        <v/>
      </c>
    </row>
    <row r="636" ht="15.75" customHeight="1" s="10">
      <c r="A636" s="8">
        <f>CONCAT("AD507-",TEXT(ROW()-2,"0000"))</f>
        <v/>
      </c>
      <c r="C636" s="8" t="n"/>
      <c r="F636" s="8" t="n"/>
      <c r="G636" s="8">
        <f>IF(F636&lt;&gt;"",HYPERLINK("https://www.google.com/maps/search/?api=1&amp;query="&amp;SUBSTITUTE(F636," ",""),"🗺 Google Maps"),"")</f>
        <v/>
      </c>
      <c r="H636" s="8">
        <f>IF(F636&lt;&gt;"",HYPERLINK("https://waze.com/ul?ll="&amp;SUBSTITUTE(F636," ","")&amp;"&amp;navigate=yes","🚗 Waze"),"")</f>
        <v/>
      </c>
      <c r="I636" s="8">
        <f>IF(F636&lt;&gt;"",HYPERLINK("https://m.uber.com/ul/?action=setPickup&amp;pickup=my_location&amp;dropoff[latitude]="&amp;LEFT(SUBSTITUTE(F636," ",""),FIND(",",SUBSTITUTE(F636," ",""))-1)&amp;"&amp;dropoff[longitude]="&amp;MID(SUBSTITUTE(F636," ",""),FIND(",",SUBSTITUTE(F636," ",""))+1,99),"🚕 Uber"),"")</f>
        <v/>
      </c>
      <c r="J636" s="8">
        <f>IF(F636&lt;&gt;"","https://api.qrserver.com/v1/create-qr-code/?size=200x200&amp;data="&amp;ENCODEURL("https://www.google.com/maps/search/?api=1&amp;query="&amp;SUBSTITUTE(F636," ","")),"")</f>
        <v/>
      </c>
      <c r="K636" s="8">
        <f>IF(C636&lt;&gt;"",HYPERLINK("https://wa.me/507"&amp;REGEXREPLACE(C636,"[^0-9]","")&amp;"?text="&amp;ENCODEURL("Ya llegue. Codigo: "&amp;A636&amp;". Ubicacion: "&amp;"https://www.google.com/maps/search/?api=1&amp;query="&amp;SUBSTITUTE(F636," ","")),"📲 Avisar al cliente"),"")</f>
        <v/>
      </c>
      <c r="L636" s="8">
        <f>IF(C636&lt;&gt;"","https://api.qrserver.com/v1/create-qr-code/?size=200x200&amp;data="&amp;ENCODEURL("https://wa.me/507"&amp;REGEXREPLACE(C636,"[^0-9]","")&amp;"?text="&amp;ENCODEURL("Ya llegue. Codigo: "&amp;A636&amp;". Ubicacion: "&amp;"https://www.google.com/maps/search/?api=1&amp;query="&amp;SUBSTITUTE(F636," ",""))),"")</f>
        <v/>
      </c>
      <c r="M636" s="8">
        <f>IF(B636&lt;&gt;"",TODAY(),"")</f>
        <v/>
      </c>
      <c r="N636" s="8">
        <f>IF(F636&lt;&gt;"",IFERROR(IF(AND(REGEXMATCH(SUBSTITUTE(TRIM(F636)," ",""),"^-?\d+(\.\d+)?,-?\d+(\.\d+)?$"),VALUE(REGEXEXTRACT(SUBSTITUTE(TRIM(F636)," ",""),"^-?\d+(\.\d+)?"))&gt;=-90,VALUE(REGEXEXTRACT(SUBSTITUTE(TRIM(F636)," ",""),"^-?\d+(\.\d+)?"))&lt;=90,VALUE(REGEXEXTRACT(SUBSTITUTE(TRIM(F636)," ",""),"-?\d+(\.\d+)?$"))&gt;=-180,VALUE(REGEXEXTRACT(SUBSTITUTE(TRIM(F636)," ",""),"-?\d+(\.\d+)?$"))&lt;=180),"OK","REVISAR"),"REVISAR"),"")</f>
        <v/>
      </c>
      <c r="O636">
        <f>IF(A636&lt;&gt;"","https://direcciones507.github.io/direcciones507/panel.html?codigo="&amp;A636&amp;"&amp;nombre="&amp;ENCODEURL(B636)&amp;"&amp;telefono="&amp;SUBSTITUTE(C636,"-","")&amp;"&amp;referencia="&amp;ENCODEURL(E636)&amp;"&amp;lat="&amp;IZQUIERDA(SUBSTITUTE(F636," ",""),ENCONTRAR(",",SUBSTITUTE(F636," ",""))-1)&amp;"&amp;lng="&amp;DERECHA(SUBSTITUTE(F636," ",""),LARGO(SUBSTITUTE(F636," ",""))-ENCONTRAR(",",SUBSTITUTE(F636," ",""))),"")</f>
        <v/>
      </c>
    </row>
    <row r="637" ht="15.75" customHeight="1" s="10">
      <c r="A637" s="8">
        <f>CONCAT("AD507-",TEXT(ROW()-2,"0000"))</f>
        <v/>
      </c>
      <c r="C637" s="8" t="n"/>
      <c r="F637" s="8" t="n"/>
      <c r="G637" s="8">
        <f>IF(F637&lt;&gt;"",HYPERLINK("https://www.google.com/maps/search/?api=1&amp;query="&amp;SUBSTITUTE(F637," ",""),"🗺 Google Maps"),"")</f>
        <v/>
      </c>
      <c r="H637" s="8">
        <f>IF(F637&lt;&gt;"",HYPERLINK("https://waze.com/ul?ll="&amp;SUBSTITUTE(F637," ","")&amp;"&amp;navigate=yes","🚗 Waze"),"")</f>
        <v/>
      </c>
      <c r="I637" s="8">
        <f>IF(F637&lt;&gt;"",HYPERLINK("https://m.uber.com/ul/?action=setPickup&amp;pickup=my_location&amp;dropoff[latitude]="&amp;LEFT(SUBSTITUTE(F637," ",""),FIND(",",SUBSTITUTE(F637," ",""))-1)&amp;"&amp;dropoff[longitude]="&amp;MID(SUBSTITUTE(F637," ",""),FIND(",",SUBSTITUTE(F637," ",""))+1,99),"🚕 Uber"),"")</f>
        <v/>
      </c>
      <c r="J637" s="8">
        <f>IF(F637&lt;&gt;"","https://api.qrserver.com/v1/create-qr-code/?size=200x200&amp;data="&amp;ENCODEURL("https://www.google.com/maps/search/?api=1&amp;query="&amp;SUBSTITUTE(F637," ","")),"")</f>
        <v/>
      </c>
      <c r="K637" s="8">
        <f>IF(C637&lt;&gt;"",HYPERLINK("https://wa.me/507"&amp;REGEXREPLACE(C637,"[^0-9]","")&amp;"?text="&amp;ENCODEURL("Ya llegue. Codigo: "&amp;A637&amp;". Ubicacion: "&amp;"https://www.google.com/maps/search/?api=1&amp;query="&amp;SUBSTITUTE(F637," ","")),"📲 Avisar al cliente"),"")</f>
        <v/>
      </c>
      <c r="L637" s="8">
        <f>IF(C637&lt;&gt;"","https://api.qrserver.com/v1/create-qr-code/?size=200x200&amp;data="&amp;ENCODEURL("https://wa.me/507"&amp;REGEXREPLACE(C637,"[^0-9]","")&amp;"?text="&amp;ENCODEURL("Ya llegue. Codigo: "&amp;A637&amp;". Ubicacion: "&amp;"https://www.google.com/maps/search/?api=1&amp;query="&amp;SUBSTITUTE(F637," ",""))),"")</f>
        <v/>
      </c>
      <c r="M637" s="8">
        <f>IF(B637&lt;&gt;"",TODAY(),"")</f>
        <v/>
      </c>
      <c r="N637" s="8">
        <f>IF(F637&lt;&gt;"",IFERROR(IF(AND(REGEXMATCH(SUBSTITUTE(TRIM(F637)," ",""),"^-?\d+(\.\d+)?,-?\d+(\.\d+)?$"),VALUE(REGEXEXTRACT(SUBSTITUTE(TRIM(F637)," ",""),"^-?\d+(\.\d+)?"))&gt;=-90,VALUE(REGEXEXTRACT(SUBSTITUTE(TRIM(F637)," ",""),"^-?\d+(\.\d+)?"))&lt;=90,VALUE(REGEXEXTRACT(SUBSTITUTE(TRIM(F637)," ",""),"-?\d+(\.\d+)?$"))&gt;=-180,VALUE(REGEXEXTRACT(SUBSTITUTE(TRIM(F637)," ",""),"-?\d+(\.\d+)?$"))&lt;=180),"OK","REVISAR"),"REVISAR"),"")</f>
        <v/>
      </c>
      <c r="O637">
        <f>IF(A637&lt;&gt;"","https://direcciones507.github.io/direcciones507/panel.html?codigo="&amp;A637&amp;"&amp;nombre="&amp;ENCODEURL(B637)&amp;"&amp;telefono="&amp;SUBSTITUTE(C637,"-","")&amp;"&amp;referencia="&amp;ENCODEURL(E637)&amp;"&amp;lat="&amp;IZQUIERDA(SUBSTITUTE(F637," ",""),ENCONTRAR(",",SUBSTITUTE(F637," ",""))-1)&amp;"&amp;lng="&amp;DERECHA(SUBSTITUTE(F637," ",""),LARGO(SUBSTITUTE(F637," ",""))-ENCONTRAR(",",SUBSTITUTE(F637," ",""))),"")</f>
        <v/>
      </c>
    </row>
    <row r="638" ht="15.75" customHeight="1" s="10">
      <c r="A638" s="8">
        <f>CONCAT("AD507-",TEXT(ROW()-2,"0000"))</f>
        <v/>
      </c>
      <c r="C638" s="8" t="n"/>
      <c r="F638" s="8" t="n"/>
      <c r="G638" s="8">
        <f>IF(F638&lt;&gt;"",HYPERLINK("https://www.google.com/maps/search/?api=1&amp;query="&amp;SUBSTITUTE(F638," ",""),"🗺 Google Maps"),"")</f>
        <v/>
      </c>
      <c r="H638" s="8">
        <f>IF(F638&lt;&gt;"",HYPERLINK("https://waze.com/ul?ll="&amp;SUBSTITUTE(F638," ","")&amp;"&amp;navigate=yes","🚗 Waze"),"")</f>
        <v/>
      </c>
      <c r="I638" s="8">
        <f>IF(F638&lt;&gt;"",HYPERLINK("https://m.uber.com/ul/?action=setPickup&amp;pickup=my_location&amp;dropoff[latitude]="&amp;LEFT(SUBSTITUTE(F638," ",""),FIND(",",SUBSTITUTE(F638," ",""))-1)&amp;"&amp;dropoff[longitude]="&amp;MID(SUBSTITUTE(F638," ",""),FIND(",",SUBSTITUTE(F638," ",""))+1,99),"🚕 Uber"),"")</f>
        <v/>
      </c>
      <c r="J638" s="8">
        <f>IF(F638&lt;&gt;"","https://api.qrserver.com/v1/create-qr-code/?size=200x200&amp;data="&amp;ENCODEURL("https://www.google.com/maps/search/?api=1&amp;query="&amp;SUBSTITUTE(F638," ","")),"")</f>
        <v/>
      </c>
      <c r="K638" s="8">
        <f>IF(C638&lt;&gt;"",HYPERLINK("https://wa.me/507"&amp;REGEXREPLACE(C638,"[^0-9]","")&amp;"?text="&amp;ENCODEURL("Ya llegue. Codigo: "&amp;A638&amp;". Ubicacion: "&amp;"https://www.google.com/maps/search/?api=1&amp;query="&amp;SUBSTITUTE(F638," ","")),"📲 Avisar al cliente"),"")</f>
        <v/>
      </c>
      <c r="L638" s="8">
        <f>IF(C638&lt;&gt;"","https://api.qrserver.com/v1/create-qr-code/?size=200x200&amp;data="&amp;ENCODEURL("https://wa.me/507"&amp;REGEXREPLACE(C638,"[^0-9]","")&amp;"?text="&amp;ENCODEURL("Ya llegue. Codigo: "&amp;A638&amp;". Ubicacion: "&amp;"https://www.google.com/maps/search/?api=1&amp;query="&amp;SUBSTITUTE(F638," ",""))),"")</f>
        <v/>
      </c>
      <c r="M638" s="8">
        <f>IF(B638&lt;&gt;"",TODAY(),"")</f>
        <v/>
      </c>
      <c r="N638" s="8">
        <f>IF(F638&lt;&gt;"",IFERROR(IF(AND(REGEXMATCH(SUBSTITUTE(TRIM(F638)," ",""),"^-?\d+(\.\d+)?,-?\d+(\.\d+)?$"),VALUE(REGEXEXTRACT(SUBSTITUTE(TRIM(F638)," ",""),"^-?\d+(\.\d+)?"))&gt;=-90,VALUE(REGEXEXTRACT(SUBSTITUTE(TRIM(F638)," ",""),"^-?\d+(\.\d+)?"))&lt;=90,VALUE(REGEXEXTRACT(SUBSTITUTE(TRIM(F638)," ",""),"-?\d+(\.\d+)?$"))&gt;=-180,VALUE(REGEXEXTRACT(SUBSTITUTE(TRIM(F638)," ",""),"-?\d+(\.\d+)?$"))&lt;=180),"OK","REVISAR"),"REVISAR"),"")</f>
        <v/>
      </c>
      <c r="O638">
        <f>IF(A638&lt;&gt;"","https://direcciones507.github.io/direcciones507/panel.html?codigo="&amp;A638&amp;"&amp;nombre="&amp;ENCODEURL(B638)&amp;"&amp;telefono="&amp;SUBSTITUTE(C638,"-","")&amp;"&amp;referencia="&amp;ENCODEURL(E638)&amp;"&amp;lat="&amp;IZQUIERDA(SUBSTITUTE(F638," ",""),ENCONTRAR(",",SUBSTITUTE(F638," ",""))-1)&amp;"&amp;lng="&amp;DERECHA(SUBSTITUTE(F638," ",""),LARGO(SUBSTITUTE(F638," ",""))-ENCONTRAR(",",SUBSTITUTE(F638," ",""))),"")</f>
        <v/>
      </c>
    </row>
    <row r="639" ht="15.75" customHeight="1" s="10">
      <c r="A639" s="8">
        <f>CONCAT("AD507-",TEXT(ROW()-2,"0000"))</f>
        <v/>
      </c>
      <c r="C639" s="8" t="n"/>
      <c r="F639" s="8" t="n"/>
      <c r="G639" s="8">
        <f>IF(F639&lt;&gt;"",HYPERLINK("https://www.google.com/maps/search/?api=1&amp;query="&amp;SUBSTITUTE(F639," ",""),"🗺 Google Maps"),"")</f>
        <v/>
      </c>
      <c r="H639" s="8">
        <f>IF(F639&lt;&gt;"",HYPERLINK("https://waze.com/ul?ll="&amp;SUBSTITUTE(F639," ","")&amp;"&amp;navigate=yes","🚗 Waze"),"")</f>
        <v/>
      </c>
      <c r="I639" s="8">
        <f>IF(F639&lt;&gt;"",HYPERLINK("https://m.uber.com/ul/?action=setPickup&amp;pickup=my_location&amp;dropoff[latitude]="&amp;LEFT(SUBSTITUTE(F639," ",""),FIND(",",SUBSTITUTE(F639," ",""))-1)&amp;"&amp;dropoff[longitude]="&amp;MID(SUBSTITUTE(F639," ",""),FIND(",",SUBSTITUTE(F639," ",""))+1,99),"🚕 Uber"),"")</f>
        <v/>
      </c>
      <c r="J639" s="8">
        <f>IF(F639&lt;&gt;"","https://api.qrserver.com/v1/create-qr-code/?size=200x200&amp;data="&amp;ENCODEURL("https://www.google.com/maps/search/?api=1&amp;query="&amp;SUBSTITUTE(F639," ","")),"")</f>
        <v/>
      </c>
      <c r="K639" s="8">
        <f>IF(C639&lt;&gt;"",HYPERLINK("https://wa.me/507"&amp;REGEXREPLACE(C639,"[^0-9]","")&amp;"?text="&amp;ENCODEURL("Ya llegue. Codigo: "&amp;A639&amp;". Ubicacion: "&amp;"https://www.google.com/maps/search/?api=1&amp;query="&amp;SUBSTITUTE(F639," ","")),"📲 Avisar al cliente"),"")</f>
        <v/>
      </c>
      <c r="L639" s="8">
        <f>IF(C639&lt;&gt;"","https://api.qrserver.com/v1/create-qr-code/?size=200x200&amp;data="&amp;ENCODEURL("https://wa.me/507"&amp;REGEXREPLACE(C639,"[^0-9]","")&amp;"?text="&amp;ENCODEURL("Ya llegue. Codigo: "&amp;A639&amp;". Ubicacion: "&amp;"https://www.google.com/maps/search/?api=1&amp;query="&amp;SUBSTITUTE(F639," ",""))),"")</f>
        <v/>
      </c>
      <c r="M639" s="8">
        <f>IF(B639&lt;&gt;"",TODAY(),"")</f>
        <v/>
      </c>
      <c r="N639" s="8">
        <f>IF(F639&lt;&gt;"",IFERROR(IF(AND(REGEXMATCH(SUBSTITUTE(TRIM(F639)," ",""),"^-?\d+(\.\d+)?,-?\d+(\.\d+)?$"),VALUE(REGEXEXTRACT(SUBSTITUTE(TRIM(F639)," ",""),"^-?\d+(\.\d+)?"))&gt;=-90,VALUE(REGEXEXTRACT(SUBSTITUTE(TRIM(F639)," ",""),"^-?\d+(\.\d+)?"))&lt;=90,VALUE(REGEXEXTRACT(SUBSTITUTE(TRIM(F639)," ",""),"-?\d+(\.\d+)?$"))&gt;=-180,VALUE(REGEXEXTRACT(SUBSTITUTE(TRIM(F639)," ",""),"-?\d+(\.\d+)?$"))&lt;=180),"OK","REVISAR"),"REVISAR"),"")</f>
        <v/>
      </c>
      <c r="O639">
        <f>IF(A639&lt;&gt;"","https://direcciones507.github.io/direcciones507/panel.html?codigo="&amp;A639&amp;"&amp;nombre="&amp;ENCODEURL(B639)&amp;"&amp;telefono="&amp;SUBSTITUTE(C639,"-","")&amp;"&amp;referencia="&amp;ENCODEURL(E639)&amp;"&amp;lat="&amp;IZQUIERDA(SUBSTITUTE(F639," ",""),ENCONTRAR(",",SUBSTITUTE(F639," ",""))-1)&amp;"&amp;lng="&amp;DERECHA(SUBSTITUTE(F639," ",""),LARGO(SUBSTITUTE(F639," ",""))-ENCONTRAR(",",SUBSTITUTE(F639," ",""))),"")</f>
        <v/>
      </c>
    </row>
    <row r="640" ht="15.75" customHeight="1" s="10">
      <c r="A640" s="8">
        <f>CONCAT("AD507-",TEXT(ROW()-2,"0000"))</f>
        <v/>
      </c>
      <c r="C640" s="8" t="n"/>
      <c r="F640" s="8" t="n"/>
      <c r="G640" s="8">
        <f>IF(F640&lt;&gt;"",HYPERLINK("https://www.google.com/maps/search/?api=1&amp;query="&amp;SUBSTITUTE(F640," ",""),"🗺 Google Maps"),"")</f>
        <v/>
      </c>
      <c r="H640" s="8">
        <f>IF(F640&lt;&gt;"",HYPERLINK("https://waze.com/ul?ll="&amp;SUBSTITUTE(F640," ","")&amp;"&amp;navigate=yes","🚗 Waze"),"")</f>
        <v/>
      </c>
      <c r="I640" s="8">
        <f>IF(F640&lt;&gt;"",HYPERLINK("https://m.uber.com/ul/?action=setPickup&amp;pickup=my_location&amp;dropoff[latitude]="&amp;LEFT(SUBSTITUTE(F640," ",""),FIND(",",SUBSTITUTE(F640," ",""))-1)&amp;"&amp;dropoff[longitude]="&amp;MID(SUBSTITUTE(F640," ",""),FIND(",",SUBSTITUTE(F640," ",""))+1,99),"🚕 Uber"),"")</f>
        <v/>
      </c>
      <c r="J640" s="8">
        <f>IF(F640&lt;&gt;"","https://api.qrserver.com/v1/create-qr-code/?size=200x200&amp;data="&amp;ENCODEURL("https://www.google.com/maps/search/?api=1&amp;query="&amp;SUBSTITUTE(F640," ","")),"")</f>
        <v/>
      </c>
      <c r="K640" s="8">
        <f>IF(C640&lt;&gt;"",HYPERLINK("https://wa.me/507"&amp;REGEXREPLACE(C640,"[^0-9]","")&amp;"?text="&amp;ENCODEURL("Ya llegue. Codigo: "&amp;A640&amp;". Ubicacion: "&amp;"https://www.google.com/maps/search/?api=1&amp;query="&amp;SUBSTITUTE(F640," ","")),"📲 Avisar al cliente"),"")</f>
        <v/>
      </c>
      <c r="L640" s="8">
        <f>IF(C640&lt;&gt;"","https://api.qrserver.com/v1/create-qr-code/?size=200x200&amp;data="&amp;ENCODEURL("https://wa.me/507"&amp;REGEXREPLACE(C640,"[^0-9]","")&amp;"?text="&amp;ENCODEURL("Ya llegue. Codigo: "&amp;A640&amp;". Ubicacion: "&amp;"https://www.google.com/maps/search/?api=1&amp;query="&amp;SUBSTITUTE(F640," ",""))),"")</f>
        <v/>
      </c>
      <c r="M640" s="8">
        <f>IF(B640&lt;&gt;"",TODAY(),"")</f>
        <v/>
      </c>
      <c r="N640" s="8">
        <f>IF(F640&lt;&gt;"",IFERROR(IF(AND(REGEXMATCH(SUBSTITUTE(TRIM(F640)," ",""),"^-?\d+(\.\d+)?,-?\d+(\.\d+)?$"),VALUE(REGEXEXTRACT(SUBSTITUTE(TRIM(F640)," ",""),"^-?\d+(\.\d+)?"))&gt;=-90,VALUE(REGEXEXTRACT(SUBSTITUTE(TRIM(F640)," ",""),"^-?\d+(\.\d+)?"))&lt;=90,VALUE(REGEXEXTRACT(SUBSTITUTE(TRIM(F640)," ",""),"-?\d+(\.\d+)?$"))&gt;=-180,VALUE(REGEXEXTRACT(SUBSTITUTE(TRIM(F640)," ",""),"-?\d+(\.\d+)?$"))&lt;=180),"OK","REVISAR"),"REVISAR"),"")</f>
        <v/>
      </c>
      <c r="O640">
        <f>IF(A640&lt;&gt;"","https://direcciones507.github.io/direcciones507/panel.html?codigo="&amp;A640&amp;"&amp;nombre="&amp;ENCODEURL(B640)&amp;"&amp;telefono="&amp;SUBSTITUTE(C640,"-","")&amp;"&amp;referencia="&amp;ENCODEURL(E640)&amp;"&amp;lat="&amp;IZQUIERDA(SUBSTITUTE(F640," ",""),ENCONTRAR(",",SUBSTITUTE(F640," ",""))-1)&amp;"&amp;lng="&amp;DERECHA(SUBSTITUTE(F640," ",""),LARGO(SUBSTITUTE(F640," ",""))-ENCONTRAR(",",SUBSTITUTE(F640," ",""))),"")</f>
        <v/>
      </c>
    </row>
    <row r="641" ht="15.75" customHeight="1" s="10">
      <c r="A641" s="8">
        <f>CONCAT("AD507-",TEXT(ROW()-2,"0000"))</f>
        <v/>
      </c>
      <c r="C641" s="8" t="n"/>
      <c r="F641" s="8" t="n"/>
      <c r="G641" s="8">
        <f>IF(F641&lt;&gt;"",HYPERLINK("https://www.google.com/maps/search/?api=1&amp;query="&amp;SUBSTITUTE(F641," ",""),"🗺 Google Maps"),"")</f>
        <v/>
      </c>
      <c r="H641" s="8">
        <f>IF(F641&lt;&gt;"",HYPERLINK("https://waze.com/ul?ll="&amp;SUBSTITUTE(F641," ","")&amp;"&amp;navigate=yes","🚗 Waze"),"")</f>
        <v/>
      </c>
      <c r="I641" s="8">
        <f>IF(F641&lt;&gt;"",HYPERLINK("https://m.uber.com/ul/?action=setPickup&amp;pickup=my_location&amp;dropoff[latitude]="&amp;LEFT(SUBSTITUTE(F641," ",""),FIND(",",SUBSTITUTE(F641," ",""))-1)&amp;"&amp;dropoff[longitude]="&amp;MID(SUBSTITUTE(F641," ",""),FIND(",",SUBSTITUTE(F641," ",""))+1,99),"🚕 Uber"),"")</f>
        <v/>
      </c>
      <c r="J641" s="8">
        <f>IF(F641&lt;&gt;"","https://api.qrserver.com/v1/create-qr-code/?size=200x200&amp;data="&amp;ENCODEURL("https://www.google.com/maps/search/?api=1&amp;query="&amp;SUBSTITUTE(F641," ","")),"")</f>
        <v/>
      </c>
      <c r="K641" s="8">
        <f>IF(C641&lt;&gt;"",HYPERLINK("https://wa.me/507"&amp;REGEXREPLACE(C641,"[^0-9]","")&amp;"?text="&amp;ENCODEURL("Ya llegue. Codigo: "&amp;A641&amp;". Ubicacion: "&amp;"https://www.google.com/maps/search/?api=1&amp;query="&amp;SUBSTITUTE(F641," ","")),"📲 Avisar al cliente"),"")</f>
        <v/>
      </c>
      <c r="L641" s="8">
        <f>IF(C641&lt;&gt;"","https://api.qrserver.com/v1/create-qr-code/?size=200x200&amp;data="&amp;ENCODEURL("https://wa.me/507"&amp;REGEXREPLACE(C641,"[^0-9]","")&amp;"?text="&amp;ENCODEURL("Ya llegue. Codigo: "&amp;A641&amp;". Ubicacion: "&amp;"https://www.google.com/maps/search/?api=1&amp;query="&amp;SUBSTITUTE(F641," ",""))),"")</f>
        <v/>
      </c>
      <c r="M641" s="8">
        <f>IF(B641&lt;&gt;"",TODAY(),"")</f>
        <v/>
      </c>
      <c r="N641" s="8">
        <f>IF(F641&lt;&gt;"",IFERROR(IF(AND(REGEXMATCH(SUBSTITUTE(TRIM(F641)," ",""),"^-?\d+(\.\d+)?,-?\d+(\.\d+)?$"),VALUE(REGEXEXTRACT(SUBSTITUTE(TRIM(F641)," ",""),"^-?\d+(\.\d+)?"))&gt;=-90,VALUE(REGEXEXTRACT(SUBSTITUTE(TRIM(F641)," ",""),"^-?\d+(\.\d+)?"))&lt;=90,VALUE(REGEXEXTRACT(SUBSTITUTE(TRIM(F641)," ",""),"-?\d+(\.\d+)?$"))&gt;=-180,VALUE(REGEXEXTRACT(SUBSTITUTE(TRIM(F641)," ",""),"-?\d+(\.\d+)?$"))&lt;=180),"OK","REVISAR"),"REVISAR"),"")</f>
        <v/>
      </c>
      <c r="O641">
        <f>IF(A641&lt;&gt;"","https://direcciones507.github.io/direcciones507/panel.html?codigo="&amp;A641&amp;"&amp;nombre="&amp;ENCODEURL(B641)&amp;"&amp;telefono="&amp;SUBSTITUTE(C641,"-","")&amp;"&amp;referencia="&amp;ENCODEURL(E641)&amp;"&amp;lat="&amp;IZQUIERDA(SUBSTITUTE(F641," ",""),ENCONTRAR(",",SUBSTITUTE(F641," ",""))-1)&amp;"&amp;lng="&amp;DERECHA(SUBSTITUTE(F641," ",""),LARGO(SUBSTITUTE(F641," ",""))-ENCONTRAR(",",SUBSTITUTE(F641," ",""))),"")</f>
        <v/>
      </c>
    </row>
    <row r="642" ht="15.75" customHeight="1" s="10">
      <c r="A642" s="8">
        <f>CONCAT("AD507-",TEXT(ROW()-2,"0000"))</f>
        <v/>
      </c>
      <c r="C642" s="8" t="n"/>
      <c r="F642" s="8" t="n"/>
      <c r="G642" s="8">
        <f>IF(F642&lt;&gt;"",HYPERLINK("https://www.google.com/maps/search/?api=1&amp;query="&amp;SUBSTITUTE(F642," ",""),"🗺 Google Maps"),"")</f>
        <v/>
      </c>
      <c r="H642" s="8">
        <f>IF(F642&lt;&gt;"",HYPERLINK("https://waze.com/ul?ll="&amp;SUBSTITUTE(F642," ","")&amp;"&amp;navigate=yes","🚗 Waze"),"")</f>
        <v/>
      </c>
      <c r="I642" s="8">
        <f>IF(F642&lt;&gt;"",HYPERLINK("https://m.uber.com/ul/?action=setPickup&amp;pickup=my_location&amp;dropoff[latitude]="&amp;LEFT(SUBSTITUTE(F642," ",""),FIND(",",SUBSTITUTE(F642," ",""))-1)&amp;"&amp;dropoff[longitude]="&amp;MID(SUBSTITUTE(F642," ",""),FIND(",",SUBSTITUTE(F642," ",""))+1,99),"🚕 Uber"),"")</f>
        <v/>
      </c>
      <c r="J642" s="8">
        <f>IF(F642&lt;&gt;"","https://api.qrserver.com/v1/create-qr-code/?size=200x200&amp;data="&amp;ENCODEURL("https://www.google.com/maps/search/?api=1&amp;query="&amp;SUBSTITUTE(F642," ","")),"")</f>
        <v/>
      </c>
      <c r="K642" s="8">
        <f>IF(C642&lt;&gt;"",HYPERLINK("https://wa.me/507"&amp;REGEXREPLACE(C642,"[^0-9]","")&amp;"?text="&amp;ENCODEURL("Ya llegue. Codigo: "&amp;A642&amp;". Ubicacion: "&amp;"https://www.google.com/maps/search/?api=1&amp;query="&amp;SUBSTITUTE(F642," ","")),"📲 Avisar al cliente"),"")</f>
        <v/>
      </c>
      <c r="L642" s="8">
        <f>IF(C642&lt;&gt;"","https://api.qrserver.com/v1/create-qr-code/?size=200x200&amp;data="&amp;ENCODEURL("https://wa.me/507"&amp;REGEXREPLACE(C642,"[^0-9]","")&amp;"?text="&amp;ENCODEURL("Ya llegue. Codigo: "&amp;A642&amp;". Ubicacion: "&amp;"https://www.google.com/maps/search/?api=1&amp;query="&amp;SUBSTITUTE(F642," ",""))),"")</f>
        <v/>
      </c>
      <c r="M642" s="8">
        <f>IF(B642&lt;&gt;"",TODAY(),"")</f>
        <v/>
      </c>
      <c r="N642" s="8">
        <f>IF(F642&lt;&gt;"",IFERROR(IF(AND(REGEXMATCH(SUBSTITUTE(TRIM(F642)," ",""),"^-?\d+(\.\d+)?,-?\d+(\.\d+)?$"),VALUE(REGEXEXTRACT(SUBSTITUTE(TRIM(F642)," ",""),"^-?\d+(\.\d+)?"))&gt;=-90,VALUE(REGEXEXTRACT(SUBSTITUTE(TRIM(F642)," ",""),"^-?\d+(\.\d+)?"))&lt;=90,VALUE(REGEXEXTRACT(SUBSTITUTE(TRIM(F642)," ",""),"-?\d+(\.\d+)?$"))&gt;=-180,VALUE(REGEXEXTRACT(SUBSTITUTE(TRIM(F642)," ",""),"-?\d+(\.\d+)?$"))&lt;=180),"OK","REVISAR"),"REVISAR"),"")</f>
        <v/>
      </c>
      <c r="O642">
        <f>IF(A642&lt;&gt;"","https://direcciones507.github.io/direcciones507/panel.html?codigo="&amp;A642&amp;"&amp;nombre="&amp;ENCODEURL(B642)&amp;"&amp;telefono="&amp;SUBSTITUTE(C642,"-","")&amp;"&amp;referencia="&amp;ENCODEURL(E642)&amp;"&amp;lat="&amp;IZQUIERDA(SUBSTITUTE(F642," ",""),ENCONTRAR(",",SUBSTITUTE(F642," ",""))-1)&amp;"&amp;lng="&amp;DERECHA(SUBSTITUTE(F642," ",""),LARGO(SUBSTITUTE(F642," ",""))-ENCONTRAR(",",SUBSTITUTE(F642," ",""))),"")</f>
        <v/>
      </c>
    </row>
    <row r="643" ht="15.75" customHeight="1" s="10">
      <c r="A643" s="8">
        <f>CONCAT("AD507-",TEXT(ROW()-2,"0000"))</f>
        <v/>
      </c>
      <c r="C643" s="8" t="n"/>
      <c r="F643" s="8" t="n"/>
      <c r="G643" s="8">
        <f>IF(F643&lt;&gt;"",HYPERLINK("https://www.google.com/maps/search/?api=1&amp;query="&amp;SUBSTITUTE(F643," ",""),"🗺 Google Maps"),"")</f>
        <v/>
      </c>
      <c r="H643" s="8">
        <f>IF(F643&lt;&gt;"",HYPERLINK("https://waze.com/ul?ll="&amp;SUBSTITUTE(F643," ","")&amp;"&amp;navigate=yes","🚗 Waze"),"")</f>
        <v/>
      </c>
      <c r="I643" s="8">
        <f>IF(F643&lt;&gt;"",HYPERLINK("https://m.uber.com/ul/?action=setPickup&amp;pickup=my_location&amp;dropoff[latitude]="&amp;LEFT(SUBSTITUTE(F643," ",""),FIND(",",SUBSTITUTE(F643," ",""))-1)&amp;"&amp;dropoff[longitude]="&amp;MID(SUBSTITUTE(F643," ",""),FIND(",",SUBSTITUTE(F643," ",""))+1,99),"🚕 Uber"),"")</f>
        <v/>
      </c>
      <c r="J643" s="8">
        <f>IF(F643&lt;&gt;"","https://api.qrserver.com/v1/create-qr-code/?size=200x200&amp;data="&amp;ENCODEURL("https://www.google.com/maps/search/?api=1&amp;query="&amp;SUBSTITUTE(F643," ","")),"")</f>
        <v/>
      </c>
      <c r="K643" s="8">
        <f>IF(C643&lt;&gt;"",HYPERLINK("https://wa.me/507"&amp;REGEXREPLACE(C643,"[^0-9]","")&amp;"?text="&amp;ENCODEURL("Ya llegue. Codigo: "&amp;A643&amp;". Ubicacion: "&amp;"https://www.google.com/maps/search/?api=1&amp;query="&amp;SUBSTITUTE(F643," ","")),"📲 Avisar al cliente"),"")</f>
        <v/>
      </c>
      <c r="L643" s="8">
        <f>IF(C643&lt;&gt;"","https://api.qrserver.com/v1/create-qr-code/?size=200x200&amp;data="&amp;ENCODEURL("https://wa.me/507"&amp;REGEXREPLACE(C643,"[^0-9]","")&amp;"?text="&amp;ENCODEURL("Ya llegue. Codigo: "&amp;A643&amp;". Ubicacion: "&amp;"https://www.google.com/maps/search/?api=1&amp;query="&amp;SUBSTITUTE(F643," ",""))),"")</f>
        <v/>
      </c>
      <c r="M643" s="8">
        <f>IF(B643&lt;&gt;"",TODAY(),"")</f>
        <v/>
      </c>
      <c r="N643" s="8">
        <f>IF(F643&lt;&gt;"",IFERROR(IF(AND(REGEXMATCH(SUBSTITUTE(TRIM(F643)," ",""),"^-?\d+(\.\d+)?,-?\d+(\.\d+)?$"),VALUE(REGEXEXTRACT(SUBSTITUTE(TRIM(F643)," ",""),"^-?\d+(\.\d+)?"))&gt;=-90,VALUE(REGEXEXTRACT(SUBSTITUTE(TRIM(F643)," ",""),"^-?\d+(\.\d+)?"))&lt;=90,VALUE(REGEXEXTRACT(SUBSTITUTE(TRIM(F643)," ",""),"-?\d+(\.\d+)?$"))&gt;=-180,VALUE(REGEXEXTRACT(SUBSTITUTE(TRIM(F643)," ",""),"-?\d+(\.\d+)?$"))&lt;=180),"OK","REVISAR"),"REVISAR"),"")</f>
        <v/>
      </c>
      <c r="O643">
        <f>IF(A643&lt;&gt;"","https://direcciones507.github.io/direcciones507/panel.html?codigo="&amp;A643&amp;"&amp;nombre="&amp;ENCODEURL(B643)&amp;"&amp;telefono="&amp;SUBSTITUTE(C643,"-","")&amp;"&amp;referencia="&amp;ENCODEURL(E643)&amp;"&amp;lat="&amp;IZQUIERDA(SUBSTITUTE(F643," ",""),ENCONTRAR(",",SUBSTITUTE(F643," ",""))-1)&amp;"&amp;lng="&amp;DERECHA(SUBSTITUTE(F643," ",""),LARGO(SUBSTITUTE(F643," ",""))-ENCONTRAR(",",SUBSTITUTE(F643," ",""))),"")</f>
        <v/>
      </c>
    </row>
    <row r="644" ht="15.75" customHeight="1" s="10">
      <c r="A644" s="8">
        <f>CONCAT("AD507-",TEXT(ROW()-2,"0000"))</f>
        <v/>
      </c>
      <c r="C644" s="8" t="n"/>
      <c r="F644" s="8" t="n"/>
      <c r="G644" s="8">
        <f>IF(F644&lt;&gt;"",HYPERLINK("https://www.google.com/maps/search/?api=1&amp;query="&amp;SUBSTITUTE(F644," ",""),"🗺 Google Maps"),"")</f>
        <v/>
      </c>
      <c r="H644" s="8">
        <f>IF(F644&lt;&gt;"",HYPERLINK("https://waze.com/ul?ll="&amp;SUBSTITUTE(F644," ","")&amp;"&amp;navigate=yes","🚗 Waze"),"")</f>
        <v/>
      </c>
      <c r="I644" s="8">
        <f>IF(F644&lt;&gt;"",HYPERLINK("https://m.uber.com/ul/?action=setPickup&amp;pickup=my_location&amp;dropoff[latitude]="&amp;LEFT(SUBSTITUTE(F644," ",""),FIND(",",SUBSTITUTE(F644," ",""))-1)&amp;"&amp;dropoff[longitude]="&amp;MID(SUBSTITUTE(F644," ",""),FIND(",",SUBSTITUTE(F644," ",""))+1,99),"🚕 Uber"),"")</f>
        <v/>
      </c>
      <c r="J644" s="8">
        <f>IF(F644&lt;&gt;"","https://api.qrserver.com/v1/create-qr-code/?size=200x200&amp;data="&amp;ENCODEURL("https://www.google.com/maps/search/?api=1&amp;query="&amp;SUBSTITUTE(F644," ","")),"")</f>
        <v/>
      </c>
      <c r="K644" s="8">
        <f>IF(C644&lt;&gt;"",HYPERLINK("https://wa.me/507"&amp;REGEXREPLACE(C644,"[^0-9]","")&amp;"?text="&amp;ENCODEURL("Ya llegue. Codigo: "&amp;A644&amp;". Ubicacion: "&amp;"https://www.google.com/maps/search/?api=1&amp;query="&amp;SUBSTITUTE(F644," ","")),"📲 Avisar al cliente"),"")</f>
        <v/>
      </c>
      <c r="L644" s="8">
        <f>IF(C644&lt;&gt;"","https://api.qrserver.com/v1/create-qr-code/?size=200x200&amp;data="&amp;ENCODEURL("https://wa.me/507"&amp;REGEXREPLACE(C644,"[^0-9]","")&amp;"?text="&amp;ENCODEURL("Ya llegue. Codigo: "&amp;A644&amp;". Ubicacion: "&amp;"https://www.google.com/maps/search/?api=1&amp;query="&amp;SUBSTITUTE(F644," ",""))),"")</f>
        <v/>
      </c>
      <c r="M644" s="8">
        <f>IF(B644&lt;&gt;"",TODAY(),"")</f>
        <v/>
      </c>
      <c r="N644" s="8">
        <f>IF(F644&lt;&gt;"",IFERROR(IF(AND(REGEXMATCH(SUBSTITUTE(TRIM(F644)," ",""),"^-?\d+(\.\d+)?,-?\d+(\.\d+)?$"),VALUE(REGEXEXTRACT(SUBSTITUTE(TRIM(F644)," ",""),"^-?\d+(\.\d+)?"))&gt;=-90,VALUE(REGEXEXTRACT(SUBSTITUTE(TRIM(F644)," ",""),"^-?\d+(\.\d+)?"))&lt;=90,VALUE(REGEXEXTRACT(SUBSTITUTE(TRIM(F644)," ",""),"-?\d+(\.\d+)?$"))&gt;=-180,VALUE(REGEXEXTRACT(SUBSTITUTE(TRIM(F644)," ",""),"-?\d+(\.\d+)?$"))&lt;=180),"OK","REVISAR"),"REVISAR"),"")</f>
        <v/>
      </c>
      <c r="O644">
        <f>IF(A644&lt;&gt;"","https://direcciones507.github.io/direcciones507/panel.html?codigo="&amp;A644&amp;"&amp;nombre="&amp;ENCODEURL(B644)&amp;"&amp;telefono="&amp;SUBSTITUTE(C644,"-","")&amp;"&amp;referencia="&amp;ENCODEURL(E644)&amp;"&amp;lat="&amp;IZQUIERDA(SUBSTITUTE(F644," ",""),ENCONTRAR(",",SUBSTITUTE(F644," ",""))-1)&amp;"&amp;lng="&amp;DERECHA(SUBSTITUTE(F644," ",""),LARGO(SUBSTITUTE(F644," ",""))-ENCONTRAR(",",SUBSTITUTE(F644," ",""))),"")</f>
        <v/>
      </c>
    </row>
    <row r="645" ht="15.75" customHeight="1" s="10">
      <c r="A645" s="8">
        <f>CONCAT("AD507-",TEXT(ROW()-2,"0000"))</f>
        <v/>
      </c>
      <c r="C645" s="8" t="n"/>
      <c r="F645" s="8" t="n"/>
      <c r="G645" s="8">
        <f>IF(F645&lt;&gt;"",HYPERLINK("https://www.google.com/maps/search/?api=1&amp;query="&amp;SUBSTITUTE(F645," ",""),"🗺 Google Maps"),"")</f>
        <v/>
      </c>
      <c r="H645" s="8">
        <f>IF(F645&lt;&gt;"",HYPERLINK("https://waze.com/ul?ll="&amp;SUBSTITUTE(F645," ","")&amp;"&amp;navigate=yes","🚗 Waze"),"")</f>
        <v/>
      </c>
      <c r="I645" s="8">
        <f>IF(F645&lt;&gt;"",HYPERLINK("https://m.uber.com/ul/?action=setPickup&amp;pickup=my_location&amp;dropoff[latitude]="&amp;LEFT(SUBSTITUTE(F645," ",""),FIND(",",SUBSTITUTE(F645," ",""))-1)&amp;"&amp;dropoff[longitude]="&amp;MID(SUBSTITUTE(F645," ",""),FIND(",",SUBSTITUTE(F645," ",""))+1,99),"🚕 Uber"),"")</f>
        <v/>
      </c>
      <c r="J645" s="8">
        <f>IF(F645&lt;&gt;"","https://api.qrserver.com/v1/create-qr-code/?size=200x200&amp;data="&amp;ENCODEURL("https://www.google.com/maps/search/?api=1&amp;query="&amp;SUBSTITUTE(F645," ","")),"")</f>
        <v/>
      </c>
      <c r="K645" s="8">
        <f>IF(C645&lt;&gt;"",HYPERLINK("https://wa.me/507"&amp;REGEXREPLACE(C645,"[^0-9]","")&amp;"?text="&amp;ENCODEURL("Ya llegue. Codigo: "&amp;A645&amp;". Ubicacion: "&amp;"https://www.google.com/maps/search/?api=1&amp;query="&amp;SUBSTITUTE(F645," ","")),"📲 Avisar al cliente"),"")</f>
        <v/>
      </c>
      <c r="L645" s="8">
        <f>IF(C645&lt;&gt;"","https://api.qrserver.com/v1/create-qr-code/?size=200x200&amp;data="&amp;ENCODEURL("https://wa.me/507"&amp;REGEXREPLACE(C645,"[^0-9]","")&amp;"?text="&amp;ENCODEURL("Ya llegue. Codigo: "&amp;A645&amp;". Ubicacion: "&amp;"https://www.google.com/maps/search/?api=1&amp;query="&amp;SUBSTITUTE(F645," ",""))),"")</f>
        <v/>
      </c>
      <c r="M645" s="8">
        <f>IF(B645&lt;&gt;"",TODAY(),"")</f>
        <v/>
      </c>
      <c r="N645" s="8">
        <f>IF(F645&lt;&gt;"",IFERROR(IF(AND(REGEXMATCH(SUBSTITUTE(TRIM(F645)," ",""),"^-?\d+(\.\d+)?,-?\d+(\.\d+)?$"),VALUE(REGEXEXTRACT(SUBSTITUTE(TRIM(F645)," ",""),"^-?\d+(\.\d+)?"))&gt;=-90,VALUE(REGEXEXTRACT(SUBSTITUTE(TRIM(F645)," ",""),"^-?\d+(\.\d+)?"))&lt;=90,VALUE(REGEXEXTRACT(SUBSTITUTE(TRIM(F645)," ",""),"-?\d+(\.\d+)?$"))&gt;=-180,VALUE(REGEXEXTRACT(SUBSTITUTE(TRIM(F645)," ",""),"-?\d+(\.\d+)?$"))&lt;=180),"OK","REVISAR"),"REVISAR"),"")</f>
        <v/>
      </c>
      <c r="O645">
        <f>IF(A645&lt;&gt;"","https://direcciones507.github.io/direcciones507/panel.html?codigo="&amp;A645&amp;"&amp;nombre="&amp;ENCODEURL(B645)&amp;"&amp;telefono="&amp;SUBSTITUTE(C645,"-","")&amp;"&amp;referencia="&amp;ENCODEURL(E645)&amp;"&amp;lat="&amp;IZQUIERDA(SUBSTITUTE(F645," ",""),ENCONTRAR(",",SUBSTITUTE(F645," ",""))-1)&amp;"&amp;lng="&amp;DERECHA(SUBSTITUTE(F645," ",""),LARGO(SUBSTITUTE(F645," ",""))-ENCONTRAR(",",SUBSTITUTE(F645," ",""))),"")</f>
        <v/>
      </c>
    </row>
    <row r="646" ht="15.75" customHeight="1" s="10">
      <c r="A646" s="8">
        <f>CONCAT("AD507-",TEXT(ROW()-2,"0000"))</f>
        <v/>
      </c>
      <c r="C646" s="8" t="n"/>
      <c r="F646" s="8" t="n"/>
      <c r="G646" s="8">
        <f>IF(F646&lt;&gt;"",HYPERLINK("https://www.google.com/maps/search/?api=1&amp;query="&amp;SUBSTITUTE(F646," ",""),"🗺 Google Maps"),"")</f>
        <v/>
      </c>
      <c r="H646" s="8">
        <f>IF(F646&lt;&gt;"",HYPERLINK("https://waze.com/ul?ll="&amp;SUBSTITUTE(F646," ","")&amp;"&amp;navigate=yes","🚗 Waze"),"")</f>
        <v/>
      </c>
      <c r="I646" s="8">
        <f>IF(F646&lt;&gt;"",HYPERLINK("https://m.uber.com/ul/?action=setPickup&amp;pickup=my_location&amp;dropoff[latitude]="&amp;LEFT(SUBSTITUTE(F646," ",""),FIND(",",SUBSTITUTE(F646," ",""))-1)&amp;"&amp;dropoff[longitude]="&amp;MID(SUBSTITUTE(F646," ",""),FIND(",",SUBSTITUTE(F646," ",""))+1,99),"🚕 Uber"),"")</f>
        <v/>
      </c>
      <c r="J646" s="8">
        <f>IF(F646&lt;&gt;"","https://api.qrserver.com/v1/create-qr-code/?size=200x200&amp;data="&amp;ENCODEURL("https://www.google.com/maps/search/?api=1&amp;query="&amp;SUBSTITUTE(F646," ","")),"")</f>
        <v/>
      </c>
      <c r="K646" s="8">
        <f>IF(C646&lt;&gt;"",HYPERLINK("https://wa.me/507"&amp;REGEXREPLACE(C646,"[^0-9]","")&amp;"?text="&amp;ENCODEURL("Ya llegue. Codigo: "&amp;A646&amp;". Ubicacion: "&amp;"https://www.google.com/maps/search/?api=1&amp;query="&amp;SUBSTITUTE(F646," ","")),"📲 Avisar al cliente"),"")</f>
        <v/>
      </c>
      <c r="L646" s="8">
        <f>IF(C646&lt;&gt;"","https://api.qrserver.com/v1/create-qr-code/?size=200x200&amp;data="&amp;ENCODEURL("https://wa.me/507"&amp;REGEXREPLACE(C646,"[^0-9]","")&amp;"?text="&amp;ENCODEURL("Ya llegue. Codigo: "&amp;A646&amp;". Ubicacion: "&amp;"https://www.google.com/maps/search/?api=1&amp;query="&amp;SUBSTITUTE(F646," ",""))),"")</f>
        <v/>
      </c>
      <c r="M646" s="8">
        <f>IF(B646&lt;&gt;"",TODAY(),"")</f>
        <v/>
      </c>
      <c r="N646" s="8">
        <f>IF(F646&lt;&gt;"",IFERROR(IF(AND(REGEXMATCH(SUBSTITUTE(TRIM(F646)," ",""),"^-?\d+(\.\d+)?,-?\d+(\.\d+)?$"),VALUE(REGEXEXTRACT(SUBSTITUTE(TRIM(F646)," ",""),"^-?\d+(\.\d+)?"))&gt;=-90,VALUE(REGEXEXTRACT(SUBSTITUTE(TRIM(F646)," ",""),"^-?\d+(\.\d+)?"))&lt;=90,VALUE(REGEXEXTRACT(SUBSTITUTE(TRIM(F646)," ",""),"-?\d+(\.\d+)?$"))&gt;=-180,VALUE(REGEXEXTRACT(SUBSTITUTE(TRIM(F646)," ",""),"-?\d+(\.\d+)?$"))&lt;=180),"OK","REVISAR"),"REVISAR"),"")</f>
        <v/>
      </c>
      <c r="O646">
        <f>IF(A646&lt;&gt;"","https://direcciones507.github.io/direcciones507/panel.html?codigo="&amp;A646&amp;"&amp;nombre="&amp;ENCODEURL(B646)&amp;"&amp;telefono="&amp;SUBSTITUTE(C646,"-","")&amp;"&amp;referencia="&amp;ENCODEURL(E646)&amp;"&amp;lat="&amp;IZQUIERDA(SUBSTITUTE(F646," ",""),ENCONTRAR(",",SUBSTITUTE(F646," ",""))-1)&amp;"&amp;lng="&amp;DERECHA(SUBSTITUTE(F646," ",""),LARGO(SUBSTITUTE(F646," ",""))-ENCONTRAR(",",SUBSTITUTE(F646," ",""))),"")</f>
        <v/>
      </c>
    </row>
    <row r="647" ht="15.75" customHeight="1" s="10">
      <c r="A647" s="8">
        <f>CONCAT("AD507-",TEXT(ROW()-2,"0000"))</f>
        <v/>
      </c>
      <c r="C647" s="8" t="n"/>
      <c r="F647" s="8" t="n"/>
      <c r="G647" s="8">
        <f>IF(F647&lt;&gt;"",HYPERLINK("https://www.google.com/maps/search/?api=1&amp;query="&amp;SUBSTITUTE(F647," ",""),"🗺 Google Maps"),"")</f>
        <v/>
      </c>
      <c r="H647" s="8">
        <f>IF(F647&lt;&gt;"",HYPERLINK("https://waze.com/ul?ll="&amp;SUBSTITUTE(F647," ","")&amp;"&amp;navigate=yes","🚗 Waze"),"")</f>
        <v/>
      </c>
      <c r="I647" s="8">
        <f>IF(F647&lt;&gt;"",HYPERLINK("https://m.uber.com/ul/?action=setPickup&amp;pickup=my_location&amp;dropoff[latitude]="&amp;LEFT(SUBSTITUTE(F647," ",""),FIND(",",SUBSTITUTE(F647," ",""))-1)&amp;"&amp;dropoff[longitude]="&amp;MID(SUBSTITUTE(F647," ",""),FIND(",",SUBSTITUTE(F647," ",""))+1,99),"🚕 Uber"),"")</f>
        <v/>
      </c>
      <c r="J647" s="8">
        <f>IF(F647&lt;&gt;"","https://api.qrserver.com/v1/create-qr-code/?size=200x200&amp;data="&amp;ENCODEURL("https://www.google.com/maps/search/?api=1&amp;query="&amp;SUBSTITUTE(F647," ","")),"")</f>
        <v/>
      </c>
      <c r="K647" s="8">
        <f>IF(C647&lt;&gt;"",HYPERLINK("https://wa.me/507"&amp;REGEXREPLACE(C647,"[^0-9]","")&amp;"?text="&amp;ENCODEURL("Ya llegue. Codigo: "&amp;A647&amp;". Ubicacion: "&amp;"https://www.google.com/maps/search/?api=1&amp;query="&amp;SUBSTITUTE(F647," ","")),"📲 Avisar al cliente"),"")</f>
        <v/>
      </c>
      <c r="L647" s="8">
        <f>IF(C647&lt;&gt;"","https://api.qrserver.com/v1/create-qr-code/?size=200x200&amp;data="&amp;ENCODEURL("https://wa.me/507"&amp;REGEXREPLACE(C647,"[^0-9]","")&amp;"?text="&amp;ENCODEURL("Ya llegue. Codigo: "&amp;A647&amp;". Ubicacion: "&amp;"https://www.google.com/maps/search/?api=1&amp;query="&amp;SUBSTITUTE(F647," ",""))),"")</f>
        <v/>
      </c>
      <c r="M647" s="8">
        <f>IF(B647&lt;&gt;"",TODAY(),"")</f>
        <v/>
      </c>
      <c r="N647" s="8">
        <f>IF(F647&lt;&gt;"",IFERROR(IF(AND(REGEXMATCH(SUBSTITUTE(TRIM(F647)," ",""),"^-?\d+(\.\d+)?,-?\d+(\.\d+)?$"),VALUE(REGEXEXTRACT(SUBSTITUTE(TRIM(F647)," ",""),"^-?\d+(\.\d+)?"))&gt;=-90,VALUE(REGEXEXTRACT(SUBSTITUTE(TRIM(F647)," ",""),"^-?\d+(\.\d+)?"))&lt;=90,VALUE(REGEXEXTRACT(SUBSTITUTE(TRIM(F647)," ",""),"-?\d+(\.\d+)?$"))&gt;=-180,VALUE(REGEXEXTRACT(SUBSTITUTE(TRIM(F647)," ",""),"-?\d+(\.\d+)?$"))&lt;=180),"OK","REVISAR"),"REVISAR"),"")</f>
        <v/>
      </c>
      <c r="O647">
        <f>IF(A647&lt;&gt;"","https://direcciones507.github.io/direcciones507/panel.html?codigo="&amp;A647&amp;"&amp;nombre="&amp;ENCODEURL(B647)&amp;"&amp;telefono="&amp;SUBSTITUTE(C647,"-","")&amp;"&amp;referencia="&amp;ENCODEURL(E647)&amp;"&amp;lat="&amp;IZQUIERDA(SUBSTITUTE(F647," ",""),ENCONTRAR(",",SUBSTITUTE(F647," ",""))-1)&amp;"&amp;lng="&amp;DERECHA(SUBSTITUTE(F647," ",""),LARGO(SUBSTITUTE(F647," ",""))-ENCONTRAR(",",SUBSTITUTE(F647," ",""))),"")</f>
        <v/>
      </c>
    </row>
    <row r="648" ht="15.75" customHeight="1" s="10">
      <c r="A648" s="8">
        <f>CONCAT("AD507-",TEXT(ROW()-2,"0000"))</f>
        <v/>
      </c>
      <c r="C648" s="8" t="n"/>
      <c r="F648" s="8" t="n"/>
      <c r="G648" s="8">
        <f>IF(F648&lt;&gt;"",HYPERLINK("https://www.google.com/maps/search/?api=1&amp;query="&amp;SUBSTITUTE(F648," ",""),"🗺 Google Maps"),"")</f>
        <v/>
      </c>
      <c r="H648" s="8">
        <f>IF(F648&lt;&gt;"",HYPERLINK("https://waze.com/ul?ll="&amp;SUBSTITUTE(F648," ","")&amp;"&amp;navigate=yes","🚗 Waze"),"")</f>
        <v/>
      </c>
      <c r="I648" s="8">
        <f>IF(F648&lt;&gt;"",HYPERLINK("https://m.uber.com/ul/?action=setPickup&amp;pickup=my_location&amp;dropoff[latitude]="&amp;LEFT(SUBSTITUTE(F648," ",""),FIND(",",SUBSTITUTE(F648," ",""))-1)&amp;"&amp;dropoff[longitude]="&amp;MID(SUBSTITUTE(F648," ",""),FIND(",",SUBSTITUTE(F648," ",""))+1,99),"🚕 Uber"),"")</f>
        <v/>
      </c>
      <c r="J648" s="8">
        <f>IF(F648&lt;&gt;"","https://api.qrserver.com/v1/create-qr-code/?size=200x200&amp;data="&amp;ENCODEURL("https://www.google.com/maps/search/?api=1&amp;query="&amp;SUBSTITUTE(F648," ","")),"")</f>
        <v/>
      </c>
      <c r="K648" s="8">
        <f>IF(C648&lt;&gt;"",HYPERLINK("https://wa.me/507"&amp;REGEXREPLACE(C648,"[^0-9]","")&amp;"?text="&amp;ENCODEURL("Ya llegue. Codigo: "&amp;A648&amp;". Ubicacion: "&amp;"https://www.google.com/maps/search/?api=1&amp;query="&amp;SUBSTITUTE(F648," ","")),"📲 Avisar al cliente"),"")</f>
        <v/>
      </c>
      <c r="L648" s="8">
        <f>IF(C648&lt;&gt;"","https://api.qrserver.com/v1/create-qr-code/?size=200x200&amp;data="&amp;ENCODEURL("https://wa.me/507"&amp;REGEXREPLACE(C648,"[^0-9]","")&amp;"?text="&amp;ENCODEURL("Ya llegue. Codigo: "&amp;A648&amp;". Ubicacion: "&amp;"https://www.google.com/maps/search/?api=1&amp;query="&amp;SUBSTITUTE(F648," ",""))),"")</f>
        <v/>
      </c>
      <c r="M648" s="8">
        <f>IF(B648&lt;&gt;"",TODAY(),"")</f>
        <v/>
      </c>
      <c r="N648" s="8">
        <f>IF(F648&lt;&gt;"",IFERROR(IF(AND(REGEXMATCH(SUBSTITUTE(TRIM(F648)," ",""),"^-?\d+(\.\d+)?,-?\d+(\.\d+)?$"),VALUE(REGEXEXTRACT(SUBSTITUTE(TRIM(F648)," ",""),"^-?\d+(\.\d+)?"))&gt;=-90,VALUE(REGEXEXTRACT(SUBSTITUTE(TRIM(F648)," ",""),"^-?\d+(\.\d+)?"))&lt;=90,VALUE(REGEXEXTRACT(SUBSTITUTE(TRIM(F648)," ",""),"-?\d+(\.\d+)?$"))&gt;=-180,VALUE(REGEXEXTRACT(SUBSTITUTE(TRIM(F648)," ",""),"-?\d+(\.\d+)?$"))&lt;=180),"OK","REVISAR"),"REVISAR"),"")</f>
        <v/>
      </c>
      <c r="O648">
        <f>IF(A648&lt;&gt;"","https://direcciones507.github.io/direcciones507/panel.html?codigo="&amp;A648&amp;"&amp;nombre="&amp;ENCODEURL(B648)&amp;"&amp;telefono="&amp;SUBSTITUTE(C648,"-","")&amp;"&amp;referencia="&amp;ENCODEURL(E648)&amp;"&amp;lat="&amp;IZQUIERDA(SUBSTITUTE(F648," ",""),ENCONTRAR(",",SUBSTITUTE(F648," ",""))-1)&amp;"&amp;lng="&amp;DERECHA(SUBSTITUTE(F648," ",""),LARGO(SUBSTITUTE(F648," ",""))-ENCONTRAR(",",SUBSTITUTE(F648," ",""))),"")</f>
        <v/>
      </c>
    </row>
    <row r="649" ht="15.75" customHeight="1" s="10">
      <c r="A649" s="8">
        <f>CONCAT("AD507-",TEXT(ROW()-2,"0000"))</f>
        <v/>
      </c>
      <c r="C649" s="8" t="n"/>
      <c r="F649" s="8" t="n"/>
      <c r="G649" s="8">
        <f>IF(F649&lt;&gt;"",HYPERLINK("https://www.google.com/maps/search/?api=1&amp;query="&amp;SUBSTITUTE(F649," ",""),"🗺 Google Maps"),"")</f>
        <v/>
      </c>
      <c r="H649" s="8">
        <f>IF(F649&lt;&gt;"",HYPERLINK("https://waze.com/ul?ll="&amp;SUBSTITUTE(F649," ","")&amp;"&amp;navigate=yes","🚗 Waze"),"")</f>
        <v/>
      </c>
      <c r="I649" s="8">
        <f>IF(F649&lt;&gt;"",HYPERLINK("https://m.uber.com/ul/?action=setPickup&amp;pickup=my_location&amp;dropoff[latitude]="&amp;LEFT(SUBSTITUTE(F649," ",""),FIND(",",SUBSTITUTE(F649," ",""))-1)&amp;"&amp;dropoff[longitude]="&amp;MID(SUBSTITUTE(F649," ",""),FIND(",",SUBSTITUTE(F649," ",""))+1,99),"🚕 Uber"),"")</f>
        <v/>
      </c>
      <c r="J649" s="8">
        <f>IF(F649&lt;&gt;"","https://api.qrserver.com/v1/create-qr-code/?size=200x200&amp;data="&amp;ENCODEURL("https://www.google.com/maps/search/?api=1&amp;query="&amp;SUBSTITUTE(F649," ","")),"")</f>
        <v/>
      </c>
      <c r="K649" s="8">
        <f>IF(C649&lt;&gt;"",HYPERLINK("https://wa.me/507"&amp;REGEXREPLACE(C649,"[^0-9]","")&amp;"?text="&amp;ENCODEURL("Ya llegue. Codigo: "&amp;A649&amp;". Ubicacion: "&amp;"https://www.google.com/maps/search/?api=1&amp;query="&amp;SUBSTITUTE(F649," ","")),"📲 Avisar al cliente"),"")</f>
        <v/>
      </c>
      <c r="L649" s="8">
        <f>IF(C649&lt;&gt;"","https://api.qrserver.com/v1/create-qr-code/?size=200x200&amp;data="&amp;ENCODEURL("https://wa.me/507"&amp;REGEXREPLACE(C649,"[^0-9]","")&amp;"?text="&amp;ENCODEURL("Ya llegue. Codigo: "&amp;A649&amp;". Ubicacion: "&amp;"https://www.google.com/maps/search/?api=1&amp;query="&amp;SUBSTITUTE(F649," ",""))),"")</f>
        <v/>
      </c>
      <c r="M649" s="8">
        <f>IF(B649&lt;&gt;"",TODAY(),"")</f>
        <v/>
      </c>
      <c r="N649" s="8">
        <f>IF(F649&lt;&gt;"",IFERROR(IF(AND(REGEXMATCH(SUBSTITUTE(TRIM(F649)," ",""),"^-?\d+(\.\d+)?,-?\d+(\.\d+)?$"),VALUE(REGEXEXTRACT(SUBSTITUTE(TRIM(F649)," ",""),"^-?\d+(\.\d+)?"))&gt;=-90,VALUE(REGEXEXTRACT(SUBSTITUTE(TRIM(F649)," ",""),"^-?\d+(\.\d+)?"))&lt;=90,VALUE(REGEXEXTRACT(SUBSTITUTE(TRIM(F649)," ",""),"-?\d+(\.\d+)?$"))&gt;=-180,VALUE(REGEXEXTRACT(SUBSTITUTE(TRIM(F649)," ",""),"-?\d+(\.\d+)?$"))&lt;=180),"OK","REVISAR"),"REVISAR"),"")</f>
        <v/>
      </c>
      <c r="O649">
        <f>IF(A649&lt;&gt;"","https://direcciones507.github.io/direcciones507/panel.html?codigo="&amp;A649&amp;"&amp;nombre="&amp;ENCODEURL(B649)&amp;"&amp;telefono="&amp;SUBSTITUTE(C649,"-","")&amp;"&amp;referencia="&amp;ENCODEURL(E649)&amp;"&amp;lat="&amp;IZQUIERDA(SUBSTITUTE(F649," ",""),ENCONTRAR(",",SUBSTITUTE(F649," ",""))-1)&amp;"&amp;lng="&amp;DERECHA(SUBSTITUTE(F649," ",""),LARGO(SUBSTITUTE(F649," ",""))-ENCONTRAR(",",SUBSTITUTE(F649," ",""))),"")</f>
        <v/>
      </c>
    </row>
    <row r="650" ht="15.75" customHeight="1" s="10">
      <c r="A650" s="8">
        <f>CONCAT("AD507-",TEXT(ROW()-2,"0000"))</f>
        <v/>
      </c>
      <c r="C650" s="8" t="n"/>
      <c r="F650" s="8" t="n"/>
      <c r="G650" s="8">
        <f>IF(F650&lt;&gt;"",HYPERLINK("https://www.google.com/maps/search/?api=1&amp;query="&amp;SUBSTITUTE(F650," ",""),"🗺 Google Maps"),"")</f>
        <v/>
      </c>
      <c r="H650" s="8">
        <f>IF(F650&lt;&gt;"",HYPERLINK("https://waze.com/ul?ll="&amp;SUBSTITUTE(F650," ","")&amp;"&amp;navigate=yes","🚗 Waze"),"")</f>
        <v/>
      </c>
      <c r="I650" s="8">
        <f>IF(F650&lt;&gt;"",HYPERLINK("https://m.uber.com/ul/?action=setPickup&amp;pickup=my_location&amp;dropoff[latitude]="&amp;LEFT(SUBSTITUTE(F650," ",""),FIND(",",SUBSTITUTE(F650," ",""))-1)&amp;"&amp;dropoff[longitude]="&amp;MID(SUBSTITUTE(F650," ",""),FIND(",",SUBSTITUTE(F650," ",""))+1,99),"🚕 Uber"),"")</f>
        <v/>
      </c>
      <c r="J650" s="8">
        <f>IF(F650&lt;&gt;"","https://api.qrserver.com/v1/create-qr-code/?size=200x200&amp;data="&amp;ENCODEURL("https://www.google.com/maps/search/?api=1&amp;query="&amp;SUBSTITUTE(F650," ","")),"")</f>
        <v/>
      </c>
      <c r="K650" s="8">
        <f>IF(C650&lt;&gt;"",HYPERLINK("https://wa.me/507"&amp;REGEXREPLACE(C650,"[^0-9]","")&amp;"?text="&amp;ENCODEURL("Ya llegue. Codigo: "&amp;A650&amp;". Ubicacion: "&amp;"https://www.google.com/maps/search/?api=1&amp;query="&amp;SUBSTITUTE(F650," ","")),"📲 Avisar al cliente"),"")</f>
        <v/>
      </c>
      <c r="L650" s="8">
        <f>IF(C650&lt;&gt;"","https://api.qrserver.com/v1/create-qr-code/?size=200x200&amp;data="&amp;ENCODEURL("https://wa.me/507"&amp;REGEXREPLACE(C650,"[^0-9]","")&amp;"?text="&amp;ENCODEURL("Ya llegue. Codigo: "&amp;A650&amp;". Ubicacion: "&amp;"https://www.google.com/maps/search/?api=1&amp;query="&amp;SUBSTITUTE(F650," ",""))),"")</f>
        <v/>
      </c>
      <c r="M650" s="8">
        <f>IF(B650&lt;&gt;"",TODAY(),"")</f>
        <v/>
      </c>
      <c r="N650" s="8">
        <f>IF(F650&lt;&gt;"",IFERROR(IF(AND(REGEXMATCH(SUBSTITUTE(TRIM(F650)," ",""),"^-?\d+(\.\d+)?,-?\d+(\.\d+)?$"),VALUE(REGEXEXTRACT(SUBSTITUTE(TRIM(F650)," ",""),"^-?\d+(\.\d+)?"))&gt;=-90,VALUE(REGEXEXTRACT(SUBSTITUTE(TRIM(F650)," ",""),"^-?\d+(\.\d+)?"))&lt;=90,VALUE(REGEXEXTRACT(SUBSTITUTE(TRIM(F650)," ",""),"-?\d+(\.\d+)?$"))&gt;=-180,VALUE(REGEXEXTRACT(SUBSTITUTE(TRIM(F650)," ",""),"-?\d+(\.\d+)?$"))&lt;=180),"OK","REVISAR"),"REVISAR"),"")</f>
        <v/>
      </c>
      <c r="O650">
        <f>IF(A650&lt;&gt;"","https://direcciones507.github.io/direcciones507/panel.html?codigo="&amp;A650&amp;"&amp;nombre="&amp;ENCODEURL(B650)&amp;"&amp;telefono="&amp;SUBSTITUTE(C650,"-","")&amp;"&amp;referencia="&amp;ENCODEURL(E650)&amp;"&amp;lat="&amp;IZQUIERDA(SUBSTITUTE(F650," ",""),ENCONTRAR(",",SUBSTITUTE(F650," ",""))-1)&amp;"&amp;lng="&amp;DERECHA(SUBSTITUTE(F650," ",""),LARGO(SUBSTITUTE(F650," ",""))-ENCONTRAR(",",SUBSTITUTE(F650," ",""))),"")</f>
        <v/>
      </c>
    </row>
    <row r="651" ht="15.75" customHeight="1" s="10">
      <c r="A651" s="8">
        <f>CONCAT("AD507-",TEXT(ROW()-2,"0000"))</f>
        <v/>
      </c>
      <c r="C651" s="8" t="n"/>
      <c r="F651" s="8" t="n"/>
      <c r="G651" s="8">
        <f>IF(F651&lt;&gt;"",HYPERLINK("https://www.google.com/maps/search/?api=1&amp;query="&amp;SUBSTITUTE(F651," ",""),"🗺 Google Maps"),"")</f>
        <v/>
      </c>
      <c r="H651" s="8">
        <f>IF(F651&lt;&gt;"",HYPERLINK("https://waze.com/ul?ll="&amp;SUBSTITUTE(F651," ","")&amp;"&amp;navigate=yes","🚗 Waze"),"")</f>
        <v/>
      </c>
      <c r="I651" s="8">
        <f>IF(F651&lt;&gt;"",HYPERLINK("https://m.uber.com/ul/?action=setPickup&amp;pickup=my_location&amp;dropoff[latitude]="&amp;LEFT(SUBSTITUTE(F651," ",""),FIND(",",SUBSTITUTE(F651," ",""))-1)&amp;"&amp;dropoff[longitude]="&amp;MID(SUBSTITUTE(F651," ",""),FIND(",",SUBSTITUTE(F651," ",""))+1,99),"🚕 Uber"),"")</f>
        <v/>
      </c>
      <c r="J651" s="8">
        <f>IF(F651&lt;&gt;"","https://api.qrserver.com/v1/create-qr-code/?size=200x200&amp;data="&amp;ENCODEURL("https://www.google.com/maps/search/?api=1&amp;query="&amp;SUBSTITUTE(F651," ","")),"")</f>
        <v/>
      </c>
      <c r="K651" s="8">
        <f>IF(C651&lt;&gt;"",HYPERLINK("https://wa.me/507"&amp;REGEXREPLACE(C651,"[^0-9]","")&amp;"?text="&amp;ENCODEURL("Ya llegue. Codigo: "&amp;A651&amp;". Ubicacion: "&amp;"https://www.google.com/maps/search/?api=1&amp;query="&amp;SUBSTITUTE(F651," ","")),"📲 Avisar al cliente"),"")</f>
        <v/>
      </c>
      <c r="L651" s="8">
        <f>IF(C651&lt;&gt;"","https://api.qrserver.com/v1/create-qr-code/?size=200x200&amp;data="&amp;ENCODEURL("https://wa.me/507"&amp;REGEXREPLACE(C651,"[^0-9]","")&amp;"?text="&amp;ENCODEURL("Ya llegue. Codigo: "&amp;A651&amp;". Ubicacion: "&amp;"https://www.google.com/maps/search/?api=1&amp;query="&amp;SUBSTITUTE(F651," ",""))),"")</f>
        <v/>
      </c>
      <c r="M651" s="8">
        <f>IF(B651&lt;&gt;"",TODAY(),"")</f>
        <v/>
      </c>
      <c r="N651" s="8">
        <f>IF(F651&lt;&gt;"",IFERROR(IF(AND(REGEXMATCH(SUBSTITUTE(TRIM(F651)," ",""),"^-?\d+(\.\d+)?,-?\d+(\.\d+)?$"),VALUE(REGEXEXTRACT(SUBSTITUTE(TRIM(F651)," ",""),"^-?\d+(\.\d+)?"))&gt;=-90,VALUE(REGEXEXTRACT(SUBSTITUTE(TRIM(F651)," ",""),"^-?\d+(\.\d+)?"))&lt;=90,VALUE(REGEXEXTRACT(SUBSTITUTE(TRIM(F651)," ",""),"-?\d+(\.\d+)?$"))&gt;=-180,VALUE(REGEXEXTRACT(SUBSTITUTE(TRIM(F651)," ",""),"-?\d+(\.\d+)?$"))&lt;=180),"OK","REVISAR"),"REVISAR"),"")</f>
        <v/>
      </c>
      <c r="O651">
        <f>IF(A651&lt;&gt;"","https://direcciones507.github.io/direcciones507/panel.html?codigo="&amp;A651&amp;"&amp;nombre="&amp;ENCODEURL(B651)&amp;"&amp;telefono="&amp;SUBSTITUTE(C651,"-","")&amp;"&amp;referencia="&amp;ENCODEURL(E651)&amp;"&amp;lat="&amp;IZQUIERDA(SUBSTITUTE(F651," ",""),ENCONTRAR(",",SUBSTITUTE(F651," ",""))-1)&amp;"&amp;lng="&amp;DERECHA(SUBSTITUTE(F651," ",""),LARGO(SUBSTITUTE(F651," ",""))-ENCONTRAR(",",SUBSTITUTE(F651," ",""))),"")</f>
        <v/>
      </c>
    </row>
    <row r="652" ht="15.75" customHeight="1" s="10">
      <c r="A652" s="8">
        <f>CONCAT("AD507-",TEXT(ROW()-2,"0000"))</f>
        <v/>
      </c>
      <c r="C652" s="8" t="n"/>
      <c r="F652" s="8" t="n"/>
      <c r="G652" s="8">
        <f>IF(F652&lt;&gt;"",HYPERLINK("https://www.google.com/maps/search/?api=1&amp;query="&amp;SUBSTITUTE(F652," ",""),"🗺 Google Maps"),"")</f>
        <v/>
      </c>
      <c r="H652" s="8">
        <f>IF(F652&lt;&gt;"",HYPERLINK("https://waze.com/ul?ll="&amp;SUBSTITUTE(F652," ","")&amp;"&amp;navigate=yes","🚗 Waze"),"")</f>
        <v/>
      </c>
      <c r="I652" s="8">
        <f>IF(F652&lt;&gt;"",HYPERLINK("https://m.uber.com/ul/?action=setPickup&amp;pickup=my_location&amp;dropoff[latitude]="&amp;LEFT(SUBSTITUTE(F652," ",""),FIND(",",SUBSTITUTE(F652," ",""))-1)&amp;"&amp;dropoff[longitude]="&amp;MID(SUBSTITUTE(F652," ",""),FIND(",",SUBSTITUTE(F652," ",""))+1,99),"🚕 Uber"),"")</f>
        <v/>
      </c>
      <c r="J652" s="8">
        <f>IF(F652&lt;&gt;"","https://api.qrserver.com/v1/create-qr-code/?size=200x200&amp;data="&amp;ENCODEURL("https://www.google.com/maps/search/?api=1&amp;query="&amp;SUBSTITUTE(F652," ","")),"")</f>
        <v/>
      </c>
      <c r="K652" s="8">
        <f>IF(C652&lt;&gt;"",HYPERLINK("https://wa.me/507"&amp;REGEXREPLACE(C652,"[^0-9]","")&amp;"?text="&amp;ENCODEURL("Ya llegue. Codigo: "&amp;A652&amp;". Ubicacion: "&amp;"https://www.google.com/maps/search/?api=1&amp;query="&amp;SUBSTITUTE(F652," ","")),"📲 Avisar al cliente"),"")</f>
        <v/>
      </c>
      <c r="L652" s="8">
        <f>IF(C652&lt;&gt;"","https://api.qrserver.com/v1/create-qr-code/?size=200x200&amp;data="&amp;ENCODEURL("https://wa.me/507"&amp;REGEXREPLACE(C652,"[^0-9]","")&amp;"?text="&amp;ENCODEURL("Ya llegue. Codigo: "&amp;A652&amp;". Ubicacion: "&amp;"https://www.google.com/maps/search/?api=1&amp;query="&amp;SUBSTITUTE(F652," ",""))),"")</f>
        <v/>
      </c>
      <c r="M652" s="8">
        <f>IF(B652&lt;&gt;"",TODAY(),"")</f>
        <v/>
      </c>
      <c r="N652" s="8">
        <f>IF(F652&lt;&gt;"",IFERROR(IF(AND(REGEXMATCH(SUBSTITUTE(TRIM(F652)," ",""),"^-?\d+(\.\d+)?,-?\d+(\.\d+)?$"),VALUE(REGEXEXTRACT(SUBSTITUTE(TRIM(F652)," ",""),"^-?\d+(\.\d+)?"))&gt;=-90,VALUE(REGEXEXTRACT(SUBSTITUTE(TRIM(F652)," ",""),"^-?\d+(\.\d+)?"))&lt;=90,VALUE(REGEXEXTRACT(SUBSTITUTE(TRIM(F652)," ",""),"-?\d+(\.\d+)?$"))&gt;=-180,VALUE(REGEXEXTRACT(SUBSTITUTE(TRIM(F652)," ",""),"-?\d+(\.\d+)?$"))&lt;=180),"OK","REVISAR"),"REVISAR"),"")</f>
        <v/>
      </c>
      <c r="O652">
        <f>IF(A652&lt;&gt;"","https://direcciones507.github.io/direcciones507/panel.html?codigo="&amp;A652&amp;"&amp;nombre="&amp;ENCODEURL(B652)&amp;"&amp;telefono="&amp;SUBSTITUTE(C652,"-","")&amp;"&amp;referencia="&amp;ENCODEURL(E652)&amp;"&amp;lat="&amp;IZQUIERDA(SUBSTITUTE(F652," ",""),ENCONTRAR(",",SUBSTITUTE(F652," ",""))-1)&amp;"&amp;lng="&amp;DERECHA(SUBSTITUTE(F652," ",""),LARGO(SUBSTITUTE(F652," ",""))-ENCONTRAR(",",SUBSTITUTE(F652," ",""))),"")</f>
        <v/>
      </c>
    </row>
    <row r="653" ht="15.75" customHeight="1" s="10">
      <c r="A653" s="8">
        <f>CONCAT("AD507-",TEXT(ROW()-2,"0000"))</f>
        <v/>
      </c>
      <c r="C653" s="8" t="n"/>
      <c r="F653" s="8" t="n"/>
      <c r="G653" s="8">
        <f>IF(F653&lt;&gt;"",HYPERLINK("https://www.google.com/maps/search/?api=1&amp;query="&amp;SUBSTITUTE(F653," ",""),"🗺 Google Maps"),"")</f>
        <v/>
      </c>
      <c r="H653" s="8">
        <f>IF(F653&lt;&gt;"",HYPERLINK("https://waze.com/ul?ll="&amp;SUBSTITUTE(F653," ","")&amp;"&amp;navigate=yes","🚗 Waze"),"")</f>
        <v/>
      </c>
      <c r="I653" s="8">
        <f>IF(F653&lt;&gt;"",HYPERLINK("https://m.uber.com/ul/?action=setPickup&amp;pickup=my_location&amp;dropoff[latitude]="&amp;LEFT(SUBSTITUTE(F653," ",""),FIND(",",SUBSTITUTE(F653," ",""))-1)&amp;"&amp;dropoff[longitude]="&amp;MID(SUBSTITUTE(F653," ",""),FIND(",",SUBSTITUTE(F653," ",""))+1,99),"🚕 Uber"),"")</f>
        <v/>
      </c>
      <c r="J653" s="8">
        <f>IF(F653&lt;&gt;"","https://api.qrserver.com/v1/create-qr-code/?size=200x200&amp;data="&amp;ENCODEURL("https://www.google.com/maps/search/?api=1&amp;query="&amp;SUBSTITUTE(F653," ","")),"")</f>
        <v/>
      </c>
      <c r="K653" s="8">
        <f>IF(C653&lt;&gt;"",HYPERLINK("https://wa.me/507"&amp;REGEXREPLACE(C653,"[^0-9]","")&amp;"?text="&amp;ENCODEURL("Ya llegue. Codigo: "&amp;A653&amp;". Ubicacion: "&amp;"https://www.google.com/maps/search/?api=1&amp;query="&amp;SUBSTITUTE(F653," ","")),"📲 Avisar al cliente"),"")</f>
        <v/>
      </c>
      <c r="L653" s="8">
        <f>IF(C653&lt;&gt;"","https://api.qrserver.com/v1/create-qr-code/?size=200x200&amp;data="&amp;ENCODEURL("https://wa.me/507"&amp;REGEXREPLACE(C653,"[^0-9]","")&amp;"?text="&amp;ENCODEURL("Ya llegue. Codigo: "&amp;A653&amp;". Ubicacion: "&amp;"https://www.google.com/maps/search/?api=1&amp;query="&amp;SUBSTITUTE(F653," ",""))),"")</f>
        <v/>
      </c>
      <c r="M653" s="8">
        <f>IF(B653&lt;&gt;"",TODAY(),"")</f>
        <v/>
      </c>
      <c r="N653" s="8">
        <f>IF(F653&lt;&gt;"",IFERROR(IF(AND(REGEXMATCH(SUBSTITUTE(TRIM(F653)," ",""),"^-?\d+(\.\d+)?,-?\d+(\.\d+)?$"),VALUE(REGEXEXTRACT(SUBSTITUTE(TRIM(F653)," ",""),"^-?\d+(\.\d+)?"))&gt;=-90,VALUE(REGEXEXTRACT(SUBSTITUTE(TRIM(F653)," ",""),"^-?\d+(\.\d+)?"))&lt;=90,VALUE(REGEXEXTRACT(SUBSTITUTE(TRIM(F653)," ",""),"-?\d+(\.\d+)?$"))&gt;=-180,VALUE(REGEXEXTRACT(SUBSTITUTE(TRIM(F653)," ",""),"-?\d+(\.\d+)?$"))&lt;=180),"OK","REVISAR"),"REVISAR"),"")</f>
        <v/>
      </c>
      <c r="O653">
        <f>IF(A653&lt;&gt;"","https://direcciones507.github.io/direcciones507/panel.html?codigo="&amp;A653&amp;"&amp;nombre="&amp;ENCODEURL(B653)&amp;"&amp;telefono="&amp;SUBSTITUTE(C653,"-","")&amp;"&amp;referencia="&amp;ENCODEURL(E653)&amp;"&amp;lat="&amp;IZQUIERDA(SUBSTITUTE(F653," ",""),ENCONTRAR(",",SUBSTITUTE(F653," ",""))-1)&amp;"&amp;lng="&amp;DERECHA(SUBSTITUTE(F653," ",""),LARGO(SUBSTITUTE(F653," ",""))-ENCONTRAR(",",SUBSTITUTE(F653," ",""))),"")</f>
        <v/>
      </c>
    </row>
    <row r="654" ht="15.75" customHeight="1" s="10">
      <c r="A654" s="8">
        <f>CONCAT("AD507-",TEXT(ROW()-2,"0000"))</f>
        <v/>
      </c>
      <c r="C654" s="8" t="n"/>
      <c r="F654" s="8" t="n"/>
      <c r="G654" s="8">
        <f>IF(F654&lt;&gt;"",HYPERLINK("https://www.google.com/maps/search/?api=1&amp;query="&amp;SUBSTITUTE(F654," ",""),"🗺 Google Maps"),"")</f>
        <v/>
      </c>
      <c r="H654" s="8">
        <f>IF(F654&lt;&gt;"",HYPERLINK("https://waze.com/ul?ll="&amp;SUBSTITUTE(F654," ","")&amp;"&amp;navigate=yes","🚗 Waze"),"")</f>
        <v/>
      </c>
      <c r="I654" s="8">
        <f>IF(F654&lt;&gt;"",HYPERLINK("https://m.uber.com/ul/?action=setPickup&amp;pickup=my_location&amp;dropoff[latitude]="&amp;LEFT(SUBSTITUTE(F654," ",""),FIND(",",SUBSTITUTE(F654," ",""))-1)&amp;"&amp;dropoff[longitude]="&amp;MID(SUBSTITUTE(F654," ",""),FIND(",",SUBSTITUTE(F654," ",""))+1,99),"🚕 Uber"),"")</f>
        <v/>
      </c>
      <c r="J654" s="8">
        <f>IF(F654&lt;&gt;"","https://api.qrserver.com/v1/create-qr-code/?size=200x200&amp;data="&amp;ENCODEURL("https://www.google.com/maps/search/?api=1&amp;query="&amp;SUBSTITUTE(F654," ","")),"")</f>
        <v/>
      </c>
      <c r="K654" s="8">
        <f>IF(C654&lt;&gt;"",HYPERLINK("https://wa.me/507"&amp;REGEXREPLACE(C654,"[^0-9]","")&amp;"?text="&amp;ENCODEURL("Ya llegue. Codigo: "&amp;A654&amp;". Ubicacion: "&amp;"https://www.google.com/maps/search/?api=1&amp;query="&amp;SUBSTITUTE(F654," ","")),"📲 Avisar al cliente"),"")</f>
        <v/>
      </c>
      <c r="L654" s="8">
        <f>IF(C654&lt;&gt;"","https://api.qrserver.com/v1/create-qr-code/?size=200x200&amp;data="&amp;ENCODEURL("https://wa.me/507"&amp;REGEXREPLACE(C654,"[^0-9]","")&amp;"?text="&amp;ENCODEURL("Ya llegue. Codigo: "&amp;A654&amp;". Ubicacion: "&amp;"https://www.google.com/maps/search/?api=1&amp;query="&amp;SUBSTITUTE(F654," ",""))),"")</f>
        <v/>
      </c>
      <c r="M654" s="8">
        <f>IF(B654&lt;&gt;"",TODAY(),"")</f>
        <v/>
      </c>
      <c r="N654" s="8">
        <f>IF(F654&lt;&gt;"",IFERROR(IF(AND(REGEXMATCH(SUBSTITUTE(TRIM(F654)," ",""),"^-?\d+(\.\d+)?,-?\d+(\.\d+)?$"),VALUE(REGEXEXTRACT(SUBSTITUTE(TRIM(F654)," ",""),"^-?\d+(\.\d+)?"))&gt;=-90,VALUE(REGEXEXTRACT(SUBSTITUTE(TRIM(F654)," ",""),"^-?\d+(\.\d+)?"))&lt;=90,VALUE(REGEXEXTRACT(SUBSTITUTE(TRIM(F654)," ",""),"-?\d+(\.\d+)?$"))&gt;=-180,VALUE(REGEXEXTRACT(SUBSTITUTE(TRIM(F654)," ",""),"-?\d+(\.\d+)?$"))&lt;=180),"OK","REVISAR"),"REVISAR"),"")</f>
        <v/>
      </c>
      <c r="O654">
        <f>IF(A654&lt;&gt;"","https://direcciones507.github.io/direcciones507/panel.html?codigo="&amp;A654&amp;"&amp;nombre="&amp;ENCODEURL(B654)&amp;"&amp;telefono="&amp;SUBSTITUTE(C654,"-","")&amp;"&amp;referencia="&amp;ENCODEURL(E654)&amp;"&amp;lat="&amp;IZQUIERDA(SUBSTITUTE(F654," ",""),ENCONTRAR(",",SUBSTITUTE(F654," ",""))-1)&amp;"&amp;lng="&amp;DERECHA(SUBSTITUTE(F654," ",""),LARGO(SUBSTITUTE(F654," ",""))-ENCONTRAR(",",SUBSTITUTE(F654," ",""))),"")</f>
        <v/>
      </c>
    </row>
    <row r="655" ht="15.75" customHeight="1" s="10">
      <c r="A655" s="8">
        <f>CONCAT("AD507-",TEXT(ROW()-2,"0000"))</f>
        <v/>
      </c>
      <c r="C655" s="8" t="n"/>
      <c r="F655" s="8" t="n"/>
      <c r="G655" s="8">
        <f>IF(F655&lt;&gt;"",HYPERLINK("https://www.google.com/maps/search/?api=1&amp;query="&amp;SUBSTITUTE(F655," ",""),"🗺 Google Maps"),"")</f>
        <v/>
      </c>
      <c r="H655" s="8">
        <f>IF(F655&lt;&gt;"",HYPERLINK("https://waze.com/ul?ll="&amp;SUBSTITUTE(F655," ","")&amp;"&amp;navigate=yes","🚗 Waze"),"")</f>
        <v/>
      </c>
      <c r="I655" s="8">
        <f>IF(F655&lt;&gt;"",HYPERLINK("https://m.uber.com/ul/?action=setPickup&amp;pickup=my_location&amp;dropoff[latitude]="&amp;LEFT(SUBSTITUTE(F655," ",""),FIND(",",SUBSTITUTE(F655," ",""))-1)&amp;"&amp;dropoff[longitude]="&amp;MID(SUBSTITUTE(F655," ",""),FIND(",",SUBSTITUTE(F655," ",""))+1,99),"🚕 Uber"),"")</f>
        <v/>
      </c>
      <c r="J655" s="8">
        <f>IF(F655&lt;&gt;"","https://api.qrserver.com/v1/create-qr-code/?size=200x200&amp;data="&amp;ENCODEURL("https://www.google.com/maps/search/?api=1&amp;query="&amp;SUBSTITUTE(F655," ","")),"")</f>
        <v/>
      </c>
      <c r="K655" s="8">
        <f>IF(C655&lt;&gt;"",HYPERLINK("https://wa.me/507"&amp;REGEXREPLACE(C655,"[^0-9]","")&amp;"?text="&amp;ENCODEURL("Ya llegue. Codigo: "&amp;A655&amp;". Ubicacion: "&amp;"https://www.google.com/maps/search/?api=1&amp;query="&amp;SUBSTITUTE(F655," ","")),"📲 Avisar al cliente"),"")</f>
        <v/>
      </c>
      <c r="L655" s="8">
        <f>IF(C655&lt;&gt;"","https://api.qrserver.com/v1/create-qr-code/?size=200x200&amp;data="&amp;ENCODEURL("https://wa.me/507"&amp;REGEXREPLACE(C655,"[^0-9]","")&amp;"?text="&amp;ENCODEURL("Ya llegue. Codigo: "&amp;A655&amp;". Ubicacion: "&amp;"https://www.google.com/maps/search/?api=1&amp;query="&amp;SUBSTITUTE(F655," ",""))),"")</f>
        <v/>
      </c>
      <c r="M655" s="8">
        <f>IF(B655&lt;&gt;"",TODAY(),"")</f>
        <v/>
      </c>
      <c r="N655" s="8">
        <f>IF(F655&lt;&gt;"",IFERROR(IF(AND(REGEXMATCH(SUBSTITUTE(TRIM(F655)," ",""),"^-?\d+(\.\d+)?,-?\d+(\.\d+)?$"),VALUE(REGEXEXTRACT(SUBSTITUTE(TRIM(F655)," ",""),"^-?\d+(\.\d+)?"))&gt;=-90,VALUE(REGEXEXTRACT(SUBSTITUTE(TRIM(F655)," ",""),"^-?\d+(\.\d+)?"))&lt;=90,VALUE(REGEXEXTRACT(SUBSTITUTE(TRIM(F655)," ",""),"-?\d+(\.\d+)?$"))&gt;=-180,VALUE(REGEXEXTRACT(SUBSTITUTE(TRIM(F655)," ",""),"-?\d+(\.\d+)?$"))&lt;=180),"OK","REVISAR"),"REVISAR"),"")</f>
        <v/>
      </c>
      <c r="O655">
        <f>IF(A655&lt;&gt;"","https://direcciones507.github.io/direcciones507/panel.html?codigo="&amp;A655&amp;"&amp;nombre="&amp;ENCODEURL(B655)&amp;"&amp;telefono="&amp;SUBSTITUTE(C655,"-","")&amp;"&amp;referencia="&amp;ENCODEURL(E655)&amp;"&amp;lat="&amp;IZQUIERDA(SUBSTITUTE(F655," ",""),ENCONTRAR(",",SUBSTITUTE(F655," ",""))-1)&amp;"&amp;lng="&amp;DERECHA(SUBSTITUTE(F655," ",""),LARGO(SUBSTITUTE(F655," ",""))-ENCONTRAR(",",SUBSTITUTE(F655," ",""))),"")</f>
        <v/>
      </c>
    </row>
    <row r="656" ht="15.75" customHeight="1" s="10">
      <c r="A656" s="8">
        <f>CONCAT("AD507-",TEXT(ROW()-2,"0000"))</f>
        <v/>
      </c>
      <c r="C656" s="8" t="n"/>
      <c r="F656" s="8" t="n"/>
      <c r="G656" s="8">
        <f>IF(F656&lt;&gt;"",HYPERLINK("https://www.google.com/maps/search/?api=1&amp;query="&amp;SUBSTITUTE(F656," ",""),"🗺 Google Maps"),"")</f>
        <v/>
      </c>
      <c r="H656" s="8">
        <f>IF(F656&lt;&gt;"",HYPERLINK("https://waze.com/ul?ll="&amp;SUBSTITUTE(F656," ","")&amp;"&amp;navigate=yes","🚗 Waze"),"")</f>
        <v/>
      </c>
      <c r="I656" s="8">
        <f>IF(F656&lt;&gt;"",HYPERLINK("https://m.uber.com/ul/?action=setPickup&amp;pickup=my_location&amp;dropoff[latitude]="&amp;LEFT(SUBSTITUTE(F656," ",""),FIND(",",SUBSTITUTE(F656," ",""))-1)&amp;"&amp;dropoff[longitude]="&amp;MID(SUBSTITUTE(F656," ",""),FIND(",",SUBSTITUTE(F656," ",""))+1,99),"🚕 Uber"),"")</f>
        <v/>
      </c>
      <c r="J656" s="8">
        <f>IF(F656&lt;&gt;"","https://api.qrserver.com/v1/create-qr-code/?size=200x200&amp;data="&amp;ENCODEURL("https://www.google.com/maps/search/?api=1&amp;query="&amp;SUBSTITUTE(F656," ","")),"")</f>
        <v/>
      </c>
      <c r="K656" s="8">
        <f>IF(C656&lt;&gt;"",HYPERLINK("https://wa.me/507"&amp;REGEXREPLACE(C656,"[^0-9]","")&amp;"?text="&amp;ENCODEURL("Ya llegue. Codigo: "&amp;A656&amp;". Ubicacion: "&amp;"https://www.google.com/maps/search/?api=1&amp;query="&amp;SUBSTITUTE(F656," ","")),"📲 Avisar al cliente"),"")</f>
        <v/>
      </c>
      <c r="L656" s="8">
        <f>IF(C656&lt;&gt;"","https://api.qrserver.com/v1/create-qr-code/?size=200x200&amp;data="&amp;ENCODEURL("https://wa.me/507"&amp;REGEXREPLACE(C656,"[^0-9]","")&amp;"?text="&amp;ENCODEURL("Ya llegue. Codigo: "&amp;A656&amp;". Ubicacion: "&amp;"https://www.google.com/maps/search/?api=1&amp;query="&amp;SUBSTITUTE(F656," ",""))),"")</f>
        <v/>
      </c>
      <c r="M656" s="8">
        <f>IF(B656&lt;&gt;"",TODAY(),"")</f>
        <v/>
      </c>
      <c r="N656" s="8">
        <f>IF(F656&lt;&gt;"",IFERROR(IF(AND(REGEXMATCH(SUBSTITUTE(TRIM(F656)," ",""),"^-?\d+(\.\d+)?,-?\d+(\.\d+)?$"),VALUE(REGEXEXTRACT(SUBSTITUTE(TRIM(F656)," ",""),"^-?\d+(\.\d+)?"))&gt;=-90,VALUE(REGEXEXTRACT(SUBSTITUTE(TRIM(F656)," ",""),"^-?\d+(\.\d+)?"))&lt;=90,VALUE(REGEXEXTRACT(SUBSTITUTE(TRIM(F656)," ",""),"-?\d+(\.\d+)?$"))&gt;=-180,VALUE(REGEXEXTRACT(SUBSTITUTE(TRIM(F656)," ",""),"-?\d+(\.\d+)?$"))&lt;=180),"OK","REVISAR"),"REVISAR"),"")</f>
        <v/>
      </c>
      <c r="O656">
        <f>IF(A656&lt;&gt;"","https://direcciones507.github.io/direcciones507/panel.html?codigo="&amp;A656&amp;"&amp;nombre="&amp;ENCODEURL(B656)&amp;"&amp;telefono="&amp;SUBSTITUTE(C656,"-","")&amp;"&amp;referencia="&amp;ENCODEURL(E656)&amp;"&amp;lat="&amp;IZQUIERDA(SUBSTITUTE(F656," ",""),ENCONTRAR(",",SUBSTITUTE(F656," ",""))-1)&amp;"&amp;lng="&amp;DERECHA(SUBSTITUTE(F656," ",""),LARGO(SUBSTITUTE(F656," ",""))-ENCONTRAR(",",SUBSTITUTE(F656," ",""))),"")</f>
        <v/>
      </c>
    </row>
    <row r="657" ht="15.75" customHeight="1" s="10">
      <c r="A657" s="8">
        <f>CONCAT("AD507-",TEXT(ROW()-2,"0000"))</f>
        <v/>
      </c>
      <c r="C657" s="8" t="n"/>
      <c r="F657" s="8" t="n"/>
      <c r="G657" s="8">
        <f>IF(F657&lt;&gt;"",HYPERLINK("https://www.google.com/maps/search/?api=1&amp;query="&amp;SUBSTITUTE(F657," ",""),"🗺 Google Maps"),"")</f>
        <v/>
      </c>
      <c r="H657" s="8">
        <f>IF(F657&lt;&gt;"",HYPERLINK("https://waze.com/ul?ll="&amp;SUBSTITUTE(F657," ","")&amp;"&amp;navigate=yes","🚗 Waze"),"")</f>
        <v/>
      </c>
      <c r="I657" s="8">
        <f>IF(F657&lt;&gt;"",HYPERLINK("https://m.uber.com/ul/?action=setPickup&amp;pickup=my_location&amp;dropoff[latitude]="&amp;LEFT(SUBSTITUTE(F657," ",""),FIND(",",SUBSTITUTE(F657," ",""))-1)&amp;"&amp;dropoff[longitude]="&amp;MID(SUBSTITUTE(F657," ",""),FIND(",",SUBSTITUTE(F657," ",""))+1,99),"🚕 Uber"),"")</f>
        <v/>
      </c>
      <c r="J657" s="8">
        <f>IF(F657&lt;&gt;"","https://api.qrserver.com/v1/create-qr-code/?size=200x200&amp;data="&amp;ENCODEURL("https://www.google.com/maps/search/?api=1&amp;query="&amp;SUBSTITUTE(F657," ","")),"")</f>
        <v/>
      </c>
      <c r="K657" s="8">
        <f>IF(C657&lt;&gt;"",HYPERLINK("https://wa.me/507"&amp;REGEXREPLACE(C657,"[^0-9]","")&amp;"?text="&amp;ENCODEURL("Ya llegue. Codigo: "&amp;A657&amp;". Ubicacion: "&amp;"https://www.google.com/maps/search/?api=1&amp;query="&amp;SUBSTITUTE(F657," ","")),"📲 Avisar al cliente"),"")</f>
        <v/>
      </c>
      <c r="L657" s="8">
        <f>IF(C657&lt;&gt;"","https://api.qrserver.com/v1/create-qr-code/?size=200x200&amp;data="&amp;ENCODEURL("https://wa.me/507"&amp;REGEXREPLACE(C657,"[^0-9]","")&amp;"?text="&amp;ENCODEURL("Ya llegue. Codigo: "&amp;A657&amp;". Ubicacion: "&amp;"https://www.google.com/maps/search/?api=1&amp;query="&amp;SUBSTITUTE(F657," ",""))),"")</f>
        <v/>
      </c>
      <c r="M657" s="8">
        <f>IF(B657&lt;&gt;"",TODAY(),"")</f>
        <v/>
      </c>
      <c r="N657" s="8">
        <f>IF(F657&lt;&gt;"",IFERROR(IF(AND(REGEXMATCH(SUBSTITUTE(TRIM(F657)," ",""),"^-?\d+(\.\d+)?,-?\d+(\.\d+)?$"),VALUE(REGEXEXTRACT(SUBSTITUTE(TRIM(F657)," ",""),"^-?\d+(\.\d+)?"))&gt;=-90,VALUE(REGEXEXTRACT(SUBSTITUTE(TRIM(F657)," ",""),"^-?\d+(\.\d+)?"))&lt;=90,VALUE(REGEXEXTRACT(SUBSTITUTE(TRIM(F657)," ",""),"-?\d+(\.\d+)?$"))&gt;=-180,VALUE(REGEXEXTRACT(SUBSTITUTE(TRIM(F657)," ",""),"-?\d+(\.\d+)?$"))&lt;=180),"OK","REVISAR"),"REVISAR"),"")</f>
        <v/>
      </c>
      <c r="O657">
        <f>IF(A657&lt;&gt;"","https://direcciones507.github.io/direcciones507/panel.html?codigo="&amp;A657&amp;"&amp;nombre="&amp;ENCODEURL(B657)&amp;"&amp;telefono="&amp;SUBSTITUTE(C657,"-","")&amp;"&amp;referencia="&amp;ENCODEURL(E657)&amp;"&amp;lat="&amp;IZQUIERDA(SUBSTITUTE(F657," ",""),ENCONTRAR(",",SUBSTITUTE(F657," ",""))-1)&amp;"&amp;lng="&amp;DERECHA(SUBSTITUTE(F657," ",""),LARGO(SUBSTITUTE(F657," ",""))-ENCONTRAR(",",SUBSTITUTE(F657," ",""))),"")</f>
        <v/>
      </c>
    </row>
    <row r="658" ht="15.75" customHeight="1" s="10">
      <c r="A658" s="8">
        <f>CONCAT("AD507-",TEXT(ROW()-2,"0000"))</f>
        <v/>
      </c>
      <c r="C658" s="8" t="n"/>
      <c r="F658" s="8" t="n"/>
      <c r="G658" s="8">
        <f>IF(F658&lt;&gt;"",HYPERLINK("https://www.google.com/maps/search/?api=1&amp;query="&amp;SUBSTITUTE(F658," ",""),"🗺 Google Maps"),"")</f>
        <v/>
      </c>
      <c r="H658" s="8">
        <f>IF(F658&lt;&gt;"",HYPERLINK("https://waze.com/ul?ll="&amp;SUBSTITUTE(F658," ","")&amp;"&amp;navigate=yes","🚗 Waze"),"")</f>
        <v/>
      </c>
      <c r="I658" s="8">
        <f>IF(F658&lt;&gt;"",HYPERLINK("https://m.uber.com/ul/?action=setPickup&amp;pickup=my_location&amp;dropoff[latitude]="&amp;LEFT(SUBSTITUTE(F658," ",""),FIND(",",SUBSTITUTE(F658," ",""))-1)&amp;"&amp;dropoff[longitude]="&amp;MID(SUBSTITUTE(F658," ",""),FIND(",",SUBSTITUTE(F658," ",""))+1,99),"🚕 Uber"),"")</f>
        <v/>
      </c>
      <c r="J658" s="8">
        <f>IF(F658&lt;&gt;"","https://api.qrserver.com/v1/create-qr-code/?size=200x200&amp;data="&amp;ENCODEURL("https://www.google.com/maps/search/?api=1&amp;query="&amp;SUBSTITUTE(F658," ","")),"")</f>
        <v/>
      </c>
      <c r="K658" s="8">
        <f>IF(C658&lt;&gt;"",HYPERLINK("https://wa.me/507"&amp;REGEXREPLACE(C658,"[^0-9]","")&amp;"?text="&amp;ENCODEURL("Ya llegue. Codigo: "&amp;A658&amp;". Ubicacion: "&amp;"https://www.google.com/maps/search/?api=1&amp;query="&amp;SUBSTITUTE(F658," ","")),"📲 Avisar al cliente"),"")</f>
        <v/>
      </c>
      <c r="L658" s="8">
        <f>IF(C658&lt;&gt;"","https://api.qrserver.com/v1/create-qr-code/?size=200x200&amp;data="&amp;ENCODEURL("https://wa.me/507"&amp;REGEXREPLACE(C658,"[^0-9]","")&amp;"?text="&amp;ENCODEURL("Ya llegue. Codigo: "&amp;A658&amp;". Ubicacion: "&amp;"https://www.google.com/maps/search/?api=1&amp;query="&amp;SUBSTITUTE(F658," ",""))),"")</f>
        <v/>
      </c>
      <c r="M658" s="8">
        <f>IF(B658&lt;&gt;"",TODAY(),"")</f>
        <v/>
      </c>
      <c r="N658" s="8">
        <f>IF(F658&lt;&gt;"",IFERROR(IF(AND(REGEXMATCH(SUBSTITUTE(TRIM(F658)," ",""),"^-?\d+(\.\d+)?,-?\d+(\.\d+)?$"),VALUE(REGEXEXTRACT(SUBSTITUTE(TRIM(F658)," ",""),"^-?\d+(\.\d+)?"))&gt;=-90,VALUE(REGEXEXTRACT(SUBSTITUTE(TRIM(F658)," ",""),"^-?\d+(\.\d+)?"))&lt;=90,VALUE(REGEXEXTRACT(SUBSTITUTE(TRIM(F658)," ",""),"-?\d+(\.\d+)?$"))&gt;=-180,VALUE(REGEXEXTRACT(SUBSTITUTE(TRIM(F658)," ",""),"-?\d+(\.\d+)?$"))&lt;=180),"OK","REVISAR"),"REVISAR"),"")</f>
        <v/>
      </c>
      <c r="O658">
        <f>IF(A658&lt;&gt;"","https://direcciones507.github.io/direcciones507/panel.html?codigo="&amp;A658&amp;"&amp;nombre="&amp;ENCODEURL(B658)&amp;"&amp;telefono="&amp;SUBSTITUTE(C658,"-","")&amp;"&amp;referencia="&amp;ENCODEURL(E658)&amp;"&amp;lat="&amp;IZQUIERDA(SUBSTITUTE(F658," ",""),ENCONTRAR(",",SUBSTITUTE(F658," ",""))-1)&amp;"&amp;lng="&amp;DERECHA(SUBSTITUTE(F658," ",""),LARGO(SUBSTITUTE(F658," ",""))-ENCONTRAR(",",SUBSTITUTE(F658," ",""))),"")</f>
        <v/>
      </c>
    </row>
    <row r="659" ht="15.75" customHeight="1" s="10">
      <c r="A659" s="8">
        <f>CONCAT("AD507-",TEXT(ROW()-2,"0000"))</f>
        <v/>
      </c>
      <c r="C659" s="8" t="n"/>
      <c r="F659" s="8" t="n"/>
      <c r="G659" s="8">
        <f>IF(F659&lt;&gt;"",HYPERLINK("https://www.google.com/maps/search/?api=1&amp;query="&amp;SUBSTITUTE(F659," ",""),"🗺 Google Maps"),"")</f>
        <v/>
      </c>
      <c r="H659" s="8">
        <f>IF(F659&lt;&gt;"",HYPERLINK("https://waze.com/ul?ll="&amp;SUBSTITUTE(F659," ","")&amp;"&amp;navigate=yes","🚗 Waze"),"")</f>
        <v/>
      </c>
      <c r="I659" s="8">
        <f>IF(F659&lt;&gt;"",HYPERLINK("https://m.uber.com/ul/?action=setPickup&amp;pickup=my_location&amp;dropoff[latitude]="&amp;LEFT(SUBSTITUTE(F659," ",""),FIND(",",SUBSTITUTE(F659," ",""))-1)&amp;"&amp;dropoff[longitude]="&amp;MID(SUBSTITUTE(F659," ",""),FIND(",",SUBSTITUTE(F659," ",""))+1,99),"🚕 Uber"),"")</f>
        <v/>
      </c>
      <c r="J659" s="8">
        <f>IF(F659&lt;&gt;"","https://api.qrserver.com/v1/create-qr-code/?size=200x200&amp;data="&amp;ENCODEURL("https://www.google.com/maps/search/?api=1&amp;query="&amp;SUBSTITUTE(F659," ","")),"")</f>
        <v/>
      </c>
      <c r="K659" s="8">
        <f>IF(C659&lt;&gt;"",HYPERLINK("https://wa.me/507"&amp;REGEXREPLACE(C659,"[^0-9]","")&amp;"?text="&amp;ENCODEURL("Ya llegue. Codigo: "&amp;A659&amp;". Ubicacion: "&amp;"https://www.google.com/maps/search/?api=1&amp;query="&amp;SUBSTITUTE(F659," ","")),"📲 Avisar al cliente"),"")</f>
        <v/>
      </c>
      <c r="L659" s="8">
        <f>IF(C659&lt;&gt;"","https://api.qrserver.com/v1/create-qr-code/?size=200x200&amp;data="&amp;ENCODEURL("https://wa.me/507"&amp;REGEXREPLACE(C659,"[^0-9]","")&amp;"?text="&amp;ENCODEURL("Ya llegue. Codigo: "&amp;A659&amp;". Ubicacion: "&amp;"https://www.google.com/maps/search/?api=1&amp;query="&amp;SUBSTITUTE(F659," ",""))),"")</f>
        <v/>
      </c>
      <c r="M659" s="8">
        <f>IF(B659&lt;&gt;"",TODAY(),"")</f>
        <v/>
      </c>
      <c r="N659" s="8">
        <f>IF(F659&lt;&gt;"",IFERROR(IF(AND(REGEXMATCH(SUBSTITUTE(TRIM(F659)," ",""),"^-?\d+(\.\d+)?,-?\d+(\.\d+)?$"),VALUE(REGEXEXTRACT(SUBSTITUTE(TRIM(F659)," ",""),"^-?\d+(\.\d+)?"))&gt;=-90,VALUE(REGEXEXTRACT(SUBSTITUTE(TRIM(F659)," ",""),"^-?\d+(\.\d+)?"))&lt;=90,VALUE(REGEXEXTRACT(SUBSTITUTE(TRIM(F659)," ",""),"-?\d+(\.\d+)?$"))&gt;=-180,VALUE(REGEXEXTRACT(SUBSTITUTE(TRIM(F659)," ",""),"-?\d+(\.\d+)?$"))&lt;=180),"OK","REVISAR"),"REVISAR"),"")</f>
        <v/>
      </c>
      <c r="O659">
        <f>IF(A659&lt;&gt;"","https://direcciones507.github.io/direcciones507/panel.html?codigo="&amp;A659&amp;"&amp;nombre="&amp;ENCODEURL(B659)&amp;"&amp;telefono="&amp;SUBSTITUTE(C659,"-","")&amp;"&amp;referencia="&amp;ENCODEURL(E659)&amp;"&amp;lat="&amp;IZQUIERDA(SUBSTITUTE(F659," ",""),ENCONTRAR(",",SUBSTITUTE(F659," ",""))-1)&amp;"&amp;lng="&amp;DERECHA(SUBSTITUTE(F659," ",""),LARGO(SUBSTITUTE(F659," ",""))-ENCONTRAR(",",SUBSTITUTE(F659," ",""))),"")</f>
        <v/>
      </c>
    </row>
    <row r="660" ht="15.75" customHeight="1" s="10">
      <c r="A660" s="8">
        <f>CONCAT("AD507-",TEXT(ROW()-2,"0000"))</f>
        <v/>
      </c>
      <c r="C660" s="8" t="n"/>
      <c r="F660" s="8" t="n"/>
      <c r="G660" s="8">
        <f>IF(F660&lt;&gt;"",HYPERLINK("https://www.google.com/maps/search/?api=1&amp;query="&amp;SUBSTITUTE(F660," ",""),"🗺 Google Maps"),"")</f>
        <v/>
      </c>
      <c r="H660" s="8">
        <f>IF(F660&lt;&gt;"",HYPERLINK("https://waze.com/ul?ll="&amp;SUBSTITUTE(F660," ","")&amp;"&amp;navigate=yes","🚗 Waze"),"")</f>
        <v/>
      </c>
      <c r="I660" s="8">
        <f>IF(F660&lt;&gt;"",HYPERLINK("https://m.uber.com/ul/?action=setPickup&amp;pickup=my_location&amp;dropoff[latitude]="&amp;LEFT(SUBSTITUTE(F660," ",""),FIND(",",SUBSTITUTE(F660," ",""))-1)&amp;"&amp;dropoff[longitude]="&amp;MID(SUBSTITUTE(F660," ",""),FIND(",",SUBSTITUTE(F660," ",""))+1,99),"🚕 Uber"),"")</f>
        <v/>
      </c>
      <c r="J660" s="8">
        <f>IF(F660&lt;&gt;"","https://api.qrserver.com/v1/create-qr-code/?size=200x200&amp;data="&amp;ENCODEURL("https://www.google.com/maps/search/?api=1&amp;query="&amp;SUBSTITUTE(F660," ","")),"")</f>
        <v/>
      </c>
      <c r="K660" s="8">
        <f>IF(C660&lt;&gt;"",HYPERLINK("https://wa.me/507"&amp;REGEXREPLACE(C660,"[^0-9]","")&amp;"?text="&amp;ENCODEURL("Ya llegue. Codigo: "&amp;A660&amp;". Ubicacion: "&amp;"https://www.google.com/maps/search/?api=1&amp;query="&amp;SUBSTITUTE(F660," ","")),"📲 Avisar al cliente"),"")</f>
        <v/>
      </c>
      <c r="L660" s="8">
        <f>IF(C660&lt;&gt;"","https://api.qrserver.com/v1/create-qr-code/?size=200x200&amp;data="&amp;ENCODEURL("https://wa.me/507"&amp;REGEXREPLACE(C660,"[^0-9]","")&amp;"?text="&amp;ENCODEURL("Ya llegue. Codigo: "&amp;A660&amp;". Ubicacion: "&amp;"https://www.google.com/maps/search/?api=1&amp;query="&amp;SUBSTITUTE(F660," ",""))),"")</f>
        <v/>
      </c>
      <c r="M660" s="8">
        <f>IF(B660&lt;&gt;"",TODAY(),"")</f>
        <v/>
      </c>
      <c r="N660" s="8">
        <f>IF(F660&lt;&gt;"",IFERROR(IF(AND(REGEXMATCH(SUBSTITUTE(TRIM(F660)," ",""),"^-?\d+(\.\d+)?,-?\d+(\.\d+)?$"),VALUE(REGEXEXTRACT(SUBSTITUTE(TRIM(F660)," ",""),"^-?\d+(\.\d+)?"))&gt;=-90,VALUE(REGEXEXTRACT(SUBSTITUTE(TRIM(F660)," ",""),"^-?\d+(\.\d+)?"))&lt;=90,VALUE(REGEXEXTRACT(SUBSTITUTE(TRIM(F660)," ",""),"-?\d+(\.\d+)?$"))&gt;=-180,VALUE(REGEXEXTRACT(SUBSTITUTE(TRIM(F660)," ",""),"-?\d+(\.\d+)?$"))&lt;=180),"OK","REVISAR"),"REVISAR"),"")</f>
        <v/>
      </c>
      <c r="O660">
        <f>IF(A660&lt;&gt;"","https://direcciones507.github.io/direcciones507/panel.html?codigo="&amp;A660&amp;"&amp;nombre="&amp;ENCODEURL(B660)&amp;"&amp;telefono="&amp;SUBSTITUTE(C660,"-","")&amp;"&amp;referencia="&amp;ENCODEURL(E660)&amp;"&amp;lat="&amp;IZQUIERDA(SUBSTITUTE(F660," ",""),ENCONTRAR(",",SUBSTITUTE(F660," ",""))-1)&amp;"&amp;lng="&amp;DERECHA(SUBSTITUTE(F660," ",""),LARGO(SUBSTITUTE(F660," ",""))-ENCONTRAR(",",SUBSTITUTE(F660," ",""))),"")</f>
        <v/>
      </c>
    </row>
    <row r="661" ht="15.75" customHeight="1" s="10">
      <c r="A661" s="8">
        <f>CONCAT("AD507-",TEXT(ROW()-2,"0000"))</f>
        <v/>
      </c>
      <c r="C661" s="8" t="n"/>
      <c r="F661" s="8" t="n"/>
      <c r="G661" s="8">
        <f>IF(F661&lt;&gt;"",HYPERLINK("https://www.google.com/maps/search/?api=1&amp;query="&amp;SUBSTITUTE(F661," ",""),"🗺 Google Maps"),"")</f>
        <v/>
      </c>
      <c r="H661" s="8">
        <f>IF(F661&lt;&gt;"",HYPERLINK("https://waze.com/ul?ll="&amp;SUBSTITUTE(F661," ","")&amp;"&amp;navigate=yes","🚗 Waze"),"")</f>
        <v/>
      </c>
      <c r="I661" s="8">
        <f>IF(F661&lt;&gt;"",HYPERLINK("https://m.uber.com/ul/?action=setPickup&amp;pickup=my_location&amp;dropoff[latitude]="&amp;LEFT(SUBSTITUTE(F661," ",""),FIND(",",SUBSTITUTE(F661," ",""))-1)&amp;"&amp;dropoff[longitude]="&amp;MID(SUBSTITUTE(F661," ",""),FIND(",",SUBSTITUTE(F661," ",""))+1,99),"🚕 Uber"),"")</f>
        <v/>
      </c>
      <c r="J661" s="8">
        <f>IF(F661&lt;&gt;"","https://api.qrserver.com/v1/create-qr-code/?size=200x200&amp;data="&amp;ENCODEURL("https://www.google.com/maps/search/?api=1&amp;query="&amp;SUBSTITUTE(F661," ","")),"")</f>
        <v/>
      </c>
      <c r="K661" s="8">
        <f>IF(C661&lt;&gt;"",HYPERLINK("https://wa.me/507"&amp;REGEXREPLACE(C661,"[^0-9]","")&amp;"?text="&amp;ENCODEURL("Ya llegue. Codigo: "&amp;A661&amp;". Ubicacion: "&amp;"https://www.google.com/maps/search/?api=1&amp;query="&amp;SUBSTITUTE(F661," ","")),"📲 Avisar al cliente"),"")</f>
        <v/>
      </c>
      <c r="L661" s="8">
        <f>IF(C661&lt;&gt;"","https://api.qrserver.com/v1/create-qr-code/?size=200x200&amp;data="&amp;ENCODEURL("https://wa.me/507"&amp;REGEXREPLACE(C661,"[^0-9]","")&amp;"?text="&amp;ENCODEURL("Ya llegue. Codigo: "&amp;A661&amp;". Ubicacion: "&amp;"https://www.google.com/maps/search/?api=1&amp;query="&amp;SUBSTITUTE(F661," ",""))),"")</f>
        <v/>
      </c>
      <c r="M661" s="8">
        <f>IF(B661&lt;&gt;"",TODAY(),"")</f>
        <v/>
      </c>
      <c r="N661" s="8">
        <f>IF(F661&lt;&gt;"",IFERROR(IF(AND(REGEXMATCH(SUBSTITUTE(TRIM(F661)," ",""),"^-?\d+(\.\d+)?,-?\d+(\.\d+)?$"),VALUE(REGEXEXTRACT(SUBSTITUTE(TRIM(F661)," ",""),"^-?\d+(\.\d+)?"))&gt;=-90,VALUE(REGEXEXTRACT(SUBSTITUTE(TRIM(F661)," ",""),"^-?\d+(\.\d+)?"))&lt;=90,VALUE(REGEXEXTRACT(SUBSTITUTE(TRIM(F661)," ",""),"-?\d+(\.\d+)?$"))&gt;=-180,VALUE(REGEXEXTRACT(SUBSTITUTE(TRIM(F661)," ",""),"-?\d+(\.\d+)?$"))&lt;=180),"OK","REVISAR"),"REVISAR"),"")</f>
        <v/>
      </c>
      <c r="O661">
        <f>IF(A661&lt;&gt;"","https://direcciones507.github.io/direcciones507/panel.html?codigo="&amp;A661&amp;"&amp;nombre="&amp;ENCODEURL(B661)&amp;"&amp;telefono="&amp;SUBSTITUTE(C661,"-","")&amp;"&amp;referencia="&amp;ENCODEURL(E661)&amp;"&amp;lat="&amp;IZQUIERDA(SUBSTITUTE(F661," ",""),ENCONTRAR(",",SUBSTITUTE(F661," ",""))-1)&amp;"&amp;lng="&amp;DERECHA(SUBSTITUTE(F661," ",""),LARGO(SUBSTITUTE(F661," ",""))-ENCONTRAR(",",SUBSTITUTE(F661," ",""))),"")</f>
        <v/>
      </c>
    </row>
    <row r="662" ht="15.75" customHeight="1" s="10">
      <c r="A662" s="8">
        <f>CONCAT("AD507-",TEXT(ROW()-2,"0000"))</f>
        <v/>
      </c>
      <c r="C662" s="8" t="n"/>
      <c r="F662" s="8" t="n"/>
      <c r="G662" s="8">
        <f>IF(F662&lt;&gt;"",HYPERLINK("https://www.google.com/maps/search/?api=1&amp;query="&amp;SUBSTITUTE(F662," ",""),"🗺 Google Maps"),"")</f>
        <v/>
      </c>
      <c r="H662" s="8">
        <f>IF(F662&lt;&gt;"",HYPERLINK("https://waze.com/ul?ll="&amp;SUBSTITUTE(F662," ","")&amp;"&amp;navigate=yes","🚗 Waze"),"")</f>
        <v/>
      </c>
      <c r="I662" s="8">
        <f>IF(F662&lt;&gt;"",HYPERLINK("https://m.uber.com/ul/?action=setPickup&amp;pickup=my_location&amp;dropoff[latitude]="&amp;LEFT(SUBSTITUTE(F662," ",""),FIND(",",SUBSTITUTE(F662," ",""))-1)&amp;"&amp;dropoff[longitude]="&amp;MID(SUBSTITUTE(F662," ",""),FIND(",",SUBSTITUTE(F662," ",""))+1,99),"🚕 Uber"),"")</f>
        <v/>
      </c>
      <c r="J662" s="8">
        <f>IF(F662&lt;&gt;"","https://api.qrserver.com/v1/create-qr-code/?size=200x200&amp;data="&amp;ENCODEURL("https://www.google.com/maps/search/?api=1&amp;query="&amp;SUBSTITUTE(F662," ","")),"")</f>
        <v/>
      </c>
      <c r="K662" s="8">
        <f>IF(C662&lt;&gt;"",HYPERLINK("https://wa.me/507"&amp;REGEXREPLACE(C662,"[^0-9]","")&amp;"?text="&amp;ENCODEURL("Ya llegue. Codigo: "&amp;A662&amp;". Ubicacion: "&amp;"https://www.google.com/maps/search/?api=1&amp;query="&amp;SUBSTITUTE(F662," ","")),"📲 Avisar al cliente"),"")</f>
        <v/>
      </c>
      <c r="L662" s="8">
        <f>IF(C662&lt;&gt;"","https://api.qrserver.com/v1/create-qr-code/?size=200x200&amp;data="&amp;ENCODEURL("https://wa.me/507"&amp;REGEXREPLACE(C662,"[^0-9]","")&amp;"?text="&amp;ENCODEURL("Ya llegue. Codigo: "&amp;A662&amp;". Ubicacion: "&amp;"https://www.google.com/maps/search/?api=1&amp;query="&amp;SUBSTITUTE(F662," ",""))),"")</f>
        <v/>
      </c>
      <c r="M662" s="8">
        <f>IF(B662&lt;&gt;"",TODAY(),"")</f>
        <v/>
      </c>
      <c r="N662" s="8">
        <f>IF(F662&lt;&gt;"",IFERROR(IF(AND(REGEXMATCH(SUBSTITUTE(TRIM(F662)," ",""),"^-?\d+(\.\d+)?,-?\d+(\.\d+)?$"),VALUE(REGEXEXTRACT(SUBSTITUTE(TRIM(F662)," ",""),"^-?\d+(\.\d+)?"))&gt;=-90,VALUE(REGEXEXTRACT(SUBSTITUTE(TRIM(F662)," ",""),"^-?\d+(\.\d+)?"))&lt;=90,VALUE(REGEXEXTRACT(SUBSTITUTE(TRIM(F662)," ",""),"-?\d+(\.\d+)?$"))&gt;=-180,VALUE(REGEXEXTRACT(SUBSTITUTE(TRIM(F662)," ",""),"-?\d+(\.\d+)?$"))&lt;=180),"OK","REVISAR"),"REVISAR"),"")</f>
        <v/>
      </c>
      <c r="O662">
        <f>IF(A662&lt;&gt;"","https://direcciones507.github.io/direcciones507/panel.html?codigo="&amp;A662&amp;"&amp;nombre="&amp;ENCODEURL(B662)&amp;"&amp;telefono="&amp;SUBSTITUTE(C662,"-","")&amp;"&amp;referencia="&amp;ENCODEURL(E662)&amp;"&amp;lat="&amp;IZQUIERDA(SUBSTITUTE(F662," ",""),ENCONTRAR(",",SUBSTITUTE(F662," ",""))-1)&amp;"&amp;lng="&amp;DERECHA(SUBSTITUTE(F662," ",""),LARGO(SUBSTITUTE(F662," ",""))-ENCONTRAR(",",SUBSTITUTE(F662," ",""))),"")</f>
        <v/>
      </c>
    </row>
    <row r="663" ht="15.75" customHeight="1" s="10">
      <c r="A663" s="8">
        <f>CONCAT("AD507-",TEXT(ROW()-2,"0000"))</f>
        <v/>
      </c>
      <c r="C663" s="8" t="n"/>
      <c r="F663" s="8" t="n"/>
      <c r="G663" s="8">
        <f>IF(F663&lt;&gt;"",HYPERLINK("https://www.google.com/maps/search/?api=1&amp;query="&amp;SUBSTITUTE(F663," ",""),"🗺 Google Maps"),"")</f>
        <v/>
      </c>
      <c r="H663" s="8">
        <f>IF(F663&lt;&gt;"",HYPERLINK("https://waze.com/ul?ll="&amp;SUBSTITUTE(F663," ","")&amp;"&amp;navigate=yes","🚗 Waze"),"")</f>
        <v/>
      </c>
      <c r="I663" s="8">
        <f>IF(F663&lt;&gt;"",HYPERLINK("https://m.uber.com/ul/?action=setPickup&amp;pickup=my_location&amp;dropoff[latitude]="&amp;LEFT(SUBSTITUTE(F663," ",""),FIND(",",SUBSTITUTE(F663," ",""))-1)&amp;"&amp;dropoff[longitude]="&amp;MID(SUBSTITUTE(F663," ",""),FIND(",",SUBSTITUTE(F663," ",""))+1,99),"🚕 Uber"),"")</f>
        <v/>
      </c>
      <c r="J663" s="8">
        <f>IF(F663&lt;&gt;"","https://api.qrserver.com/v1/create-qr-code/?size=200x200&amp;data="&amp;ENCODEURL("https://www.google.com/maps/search/?api=1&amp;query="&amp;SUBSTITUTE(F663," ","")),"")</f>
        <v/>
      </c>
      <c r="K663" s="8">
        <f>IF(C663&lt;&gt;"",HYPERLINK("https://wa.me/507"&amp;REGEXREPLACE(C663,"[^0-9]","")&amp;"?text="&amp;ENCODEURL("Ya llegue. Codigo: "&amp;A663&amp;". Ubicacion: "&amp;"https://www.google.com/maps/search/?api=1&amp;query="&amp;SUBSTITUTE(F663," ","")),"📲 Avisar al cliente"),"")</f>
        <v/>
      </c>
      <c r="L663" s="8">
        <f>IF(C663&lt;&gt;"","https://api.qrserver.com/v1/create-qr-code/?size=200x200&amp;data="&amp;ENCODEURL("https://wa.me/507"&amp;REGEXREPLACE(C663,"[^0-9]","")&amp;"?text="&amp;ENCODEURL("Ya llegue. Codigo: "&amp;A663&amp;". Ubicacion: "&amp;"https://www.google.com/maps/search/?api=1&amp;query="&amp;SUBSTITUTE(F663," ",""))),"")</f>
        <v/>
      </c>
      <c r="M663" s="8">
        <f>IF(B663&lt;&gt;"",TODAY(),"")</f>
        <v/>
      </c>
      <c r="N663" s="8">
        <f>IF(F663&lt;&gt;"",IFERROR(IF(AND(REGEXMATCH(SUBSTITUTE(TRIM(F663)," ",""),"^-?\d+(\.\d+)?,-?\d+(\.\d+)?$"),VALUE(REGEXEXTRACT(SUBSTITUTE(TRIM(F663)," ",""),"^-?\d+(\.\d+)?"))&gt;=-90,VALUE(REGEXEXTRACT(SUBSTITUTE(TRIM(F663)," ",""),"^-?\d+(\.\d+)?"))&lt;=90,VALUE(REGEXEXTRACT(SUBSTITUTE(TRIM(F663)," ",""),"-?\d+(\.\d+)?$"))&gt;=-180,VALUE(REGEXEXTRACT(SUBSTITUTE(TRIM(F663)," ",""),"-?\d+(\.\d+)?$"))&lt;=180),"OK","REVISAR"),"REVISAR"),"")</f>
        <v/>
      </c>
      <c r="O663">
        <f>IF(A663&lt;&gt;"","https://direcciones507.github.io/direcciones507/panel.html?codigo="&amp;A663&amp;"&amp;nombre="&amp;ENCODEURL(B663)&amp;"&amp;telefono="&amp;SUBSTITUTE(C663,"-","")&amp;"&amp;referencia="&amp;ENCODEURL(E663)&amp;"&amp;lat="&amp;IZQUIERDA(SUBSTITUTE(F663," ",""),ENCONTRAR(",",SUBSTITUTE(F663," ",""))-1)&amp;"&amp;lng="&amp;DERECHA(SUBSTITUTE(F663," ",""),LARGO(SUBSTITUTE(F663," ",""))-ENCONTRAR(",",SUBSTITUTE(F663," ",""))),"")</f>
        <v/>
      </c>
    </row>
    <row r="664" ht="15.75" customHeight="1" s="10">
      <c r="A664" s="8">
        <f>CONCAT("AD507-",TEXT(ROW()-2,"0000"))</f>
        <v/>
      </c>
      <c r="C664" s="8" t="n"/>
      <c r="F664" s="8" t="n"/>
      <c r="G664" s="8">
        <f>IF(F664&lt;&gt;"",HYPERLINK("https://www.google.com/maps/search/?api=1&amp;query="&amp;SUBSTITUTE(F664," ",""),"🗺 Google Maps"),"")</f>
        <v/>
      </c>
      <c r="H664" s="8">
        <f>IF(F664&lt;&gt;"",HYPERLINK("https://waze.com/ul?ll="&amp;SUBSTITUTE(F664," ","")&amp;"&amp;navigate=yes","🚗 Waze"),"")</f>
        <v/>
      </c>
      <c r="I664" s="8">
        <f>IF(F664&lt;&gt;"",HYPERLINK("https://m.uber.com/ul/?action=setPickup&amp;pickup=my_location&amp;dropoff[latitude]="&amp;LEFT(SUBSTITUTE(F664," ",""),FIND(",",SUBSTITUTE(F664," ",""))-1)&amp;"&amp;dropoff[longitude]="&amp;MID(SUBSTITUTE(F664," ",""),FIND(",",SUBSTITUTE(F664," ",""))+1,99),"🚕 Uber"),"")</f>
        <v/>
      </c>
      <c r="J664" s="8">
        <f>IF(F664&lt;&gt;"","https://api.qrserver.com/v1/create-qr-code/?size=200x200&amp;data="&amp;ENCODEURL("https://www.google.com/maps/search/?api=1&amp;query="&amp;SUBSTITUTE(F664," ","")),"")</f>
        <v/>
      </c>
      <c r="K664" s="8">
        <f>IF(C664&lt;&gt;"",HYPERLINK("https://wa.me/507"&amp;REGEXREPLACE(C664,"[^0-9]","")&amp;"?text="&amp;ENCODEURL("Ya llegue. Codigo: "&amp;A664&amp;". Ubicacion: "&amp;"https://www.google.com/maps/search/?api=1&amp;query="&amp;SUBSTITUTE(F664," ","")),"📲 Avisar al cliente"),"")</f>
        <v/>
      </c>
      <c r="L664" s="8">
        <f>IF(C664&lt;&gt;"","https://api.qrserver.com/v1/create-qr-code/?size=200x200&amp;data="&amp;ENCODEURL("https://wa.me/507"&amp;REGEXREPLACE(C664,"[^0-9]","")&amp;"?text="&amp;ENCODEURL("Ya llegue. Codigo: "&amp;A664&amp;". Ubicacion: "&amp;"https://www.google.com/maps/search/?api=1&amp;query="&amp;SUBSTITUTE(F664," ",""))),"")</f>
        <v/>
      </c>
      <c r="M664" s="8">
        <f>IF(B664&lt;&gt;"",TODAY(),"")</f>
        <v/>
      </c>
      <c r="N664" s="8">
        <f>IF(F664&lt;&gt;"",IFERROR(IF(AND(REGEXMATCH(SUBSTITUTE(TRIM(F664)," ",""),"^-?\d+(\.\d+)?,-?\d+(\.\d+)?$"),VALUE(REGEXEXTRACT(SUBSTITUTE(TRIM(F664)," ",""),"^-?\d+(\.\d+)?"))&gt;=-90,VALUE(REGEXEXTRACT(SUBSTITUTE(TRIM(F664)," ",""),"^-?\d+(\.\d+)?"))&lt;=90,VALUE(REGEXEXTRACT(SUBSTITUTE(TRIM(F664)," ",""),"-?\d+(\.\d+)?$"))&gt;=-180,VALUE(REGEXEXTRACT(SUBSTITUTE(TRIM(F664)," ",""),"-?\d+(\.\d+)?$"))&lt;=180),"OK","REVISAR"),"REVISAR"),"")</f>
        <v/>
      </c>
      <c r="O664">
        <f>IF(A664&lt;&gt;"","https://direcciones507.github.io/direcciones507/panel.html?codigo="&amp;A664&amp;"&amp;nombre="&amp;ENCODEURL(B664)&amp;"&amp;telefono="&amp;SUBSTITUTE(C664,"-","")&amp;"&amp;referencia="&amp;ENCODEURL(E664)&amp;"&amp;lat="&amp;IZQUIERDA(SUBSTITUTE(F664," ",""),ENCONTRAR(",",SUBSTITUTE(F664," ",""))-1)&amp;"&amp;lng="&amp;DERECHA(SUBSTITUTE(F664," ",""),LARGO(SUBSTITUTE(F664," ",""))-ENCONTRAR(",",SUBSTITUTE(F664," ",""))),"")</f>
        <v/>
      </c>
    </row>
    <row r="665" ht="15.75" customHeight="1" s="10">
      <c r="A665" s="8">
        <f>CONCAT("AD507-",TEXT(ROW()-2,"0000"))</f>
        <v/>
      </c>
      <c r="C665" s="8" t="n"/>
      <c r="F665" s="8" t="n"/>
      <c r="G665" s="8">
        <f>IF(F665&lt;&gt;"",HYPERLINK("https://www.google.com/maps/search/?api=1&amp;query="&amp;SUBSTITUTE(F665," ",""),"🗺 Google Maps"),"")</f>
        <v/>
      </c>
      <c r="H665" s="8">
        <f>IF(F665&lt;&gt;"",HYPERLINK("https://waze.com/ul?ll="&amp;SUBSTITUTE(F665," ","")&amp;"&amp;navigate=yes","🚗 Waze"),"")</f>
        <v/>
      </c>
      <c r="I665" s="8">
        <f>IF(F665&lt;&gt;"",HYPERLINK("https://m.uber.com/ul/?action=setPickup&amp;pickup=my_location&amp;dropoff[latitude]="&amp;LEFT(SUBSTITUTE(F665," ",""),FIND(",",SUBSTITUTE(F665," ",""))-1)&amp;"&amp;dropoff[longitude]="&amp;MID(SUBSTITUTE(F665," ",""),FIND(",",SUBSTITUTE(F665," ",""))+1,99),"🚕 Uber"),"")</f>
        <v/>
      </c>
      <c r="J665" s="8">
        <f>IF(F665&lt;&gt;"","https://api.qrserver.com/v1/create-qr-code/?size=200x200&amp;data="&amp;ENCODEURL("https://www.google.com/maps/search/?api=1&amp;query="&amp;SUBSTITUTE(F665," ","")),"")</f>
        <v/>
      </c>
      <c r="K665" s="8">
        <f>IF(C665&lt;&gt;"",HYPERLINK("https://wa.me/507"&amp;REGEXREPLACE(C665,"[^0-9]","")&amp;"?text="&amp;ENCODEURL("Ya llegue. Codigo: "&amp;A665&amp;". Ubicacion: "&amp;"https://www.google.com/maps/search/?api=1&amp;query="&amp;SUBSTITUTE(F665," ","")),"📲 Avisar al cliente"),"")</f>
        <v/>
      </c>
      <c r="L665" s="8">
        <f>IF(C665&lt;&gt;"","https://api.qrserver.com/v1/create-qr-code/?size=200x200&amp;data="&amp;ENCODEURL("https://wa.me/507"&amp;REGEXREPLACE(C665,"[^0-9]","")&amp;"?text="&amp;ENCODEURL("Ya llegue. Codigo: "&amp;A665&amp;". Ubicacion: "&amp;"https://www.google.com/maps/search/?api=1&amp;query="&amp;SUBSTITUTE(F665," ",""))),"")</f>
        <v/>
      </c>
      <c r="M665" s="8">
        <f>IF(B665&lt;&gt;"",TODAY(),"")</f>
        <v/>
      </c>
      <c r="N665" s="8">
        <f>IF(F665&lt;&gt;"",IFERROR(IF(AND(REGEXMATCH(SUBSTITUTE(TRIM(F665)," ",""),"^-?\d+(\.\d+)?,-?\d+(\.\d+)?$"),VALUE(REGEXEXTRACT(SUBSTITUTE(TRIM(F665)," ",""),"^-?\d+(\.\d+)?"))&gt;=-90,VALUE(REGEXEXTRACT(SUBSTITUTE(TRIM(F665)," ",""),"^-?\d+(\.\d+)?"))&lt;=90,VALUE(REGEXEXTRACT(SUBSTITUTE(TRIM(F665)," ",""),"-?\d+(\.\d+)?$"))&gt;=-180,VALUE(REGEXEXTRACT(SUBSTITUTE(TRIM(F665)," ",""),"-?\d+(\.\d+)?$"))&lt;=180),"OK","REVISAR"),"REVISAR"),"")</f>
        <v/>
      </c>
      <c r="O665">
        <f>IF(A665&lt;&gt;"","https://direcciones507.github.io/direcciones507/panel.html?codigo="&amp;A665&amp;"&amp;nombre="&amp;ENCODEURL(B665)&amp;"&amp;telefono="&amp;SUBSTITUTE(C665,"-","")&amp;"&amp;referencia="&amp;ENCODEURL(E665)&amp;"&amp;lat="&amp;IZQUIERDA(SUBSTITUTE(F665," ",""),ENCONTRAR(",",SUBSTITUTE(F665," ",""))-1)&amp;"&amp;lng="&amp;DERECHA(SUBSTITUTE(F665," ",""),LARGO(SUBSTITUTE(F665," ",""))-ENCONTRAR(",",SUBSTITUTE(F665," ",""))),"")</f>
        <v/>
      </c>
    </row>
    <row r="666" ht="15.75" customHeight="1" s="10">
      <c r="A666" s="8">
        <f>CONCAT("AD507-",TEXT(ROW()-2,"0000"))</f>
        <v/>
      </c>
      <c r="C666" s="8" t="n"/>
      <c r="F666" s="8" t="n"/>
      <c r="G666" s="8">
        <f>IF(F666&lt;&gt;"",HYPERLINK("https://www.google.com/maps/search/?api=1&amp;query="&amp;SUBSTITUTE(F666," ",""),"🗺 Google Maps"),"")</f>
        <v/>
      </c>
      <c r="H666" s="8">
        <f>IF(F666&lt;&gt;"",HYPERLINK("https://waze.com/ul?ll="&amp;SUBSTITUTE(F666," ","")&amp;"&amp;navigate=yes","🚗 Waze"),"")</f>
        <v/>
      </c>
      <c r="I666" s="8">
        <f>IF(F666&lt;&gt;"",HYPERLINK("https://m.uber.com/ul/?action=setPickup&amp;pickup=my_location&amp;dropoff[latitude]="&amp;LEFT(SUBSTITUTE(F666," ",""),FIND(",",SUBSTITUTE(F666," ",""))-1)&amp;"&amp;dropoff[longitude]="&amp;MID(SUBSTITUTE(F666," ",""),FIND(",",SUBSTITUTE(F666," ",""))+1,99),"🚕 Uber"),"")</f>
        <v/>
      </c>
      <c r="J666" s="8">
        <f>IF(F666&lt;&gt;"","https://api.qrserver.com/v1/create-qr-code/?size=200x200&amp;data="&amp;ENCODEURL("https://www.google.com/maps/search/?api=1&amp;query="&amp;SUBSTITUTE(F666," ","")),"")</f>
        <v/>
      </c>
      <c r="K666" s="8">
        <f>IF(C666&lt;&gt;"",HYPERLINK("https://wa.me/507"&amp;REGEXREPLACE(C666,"[^0-9]","")&amp;"?text="&amp;ENCODEURL("Ya llegue. Codigo: "&amp;A666&amp;". Ubicacion: "&amp;"https://www.google.com/maps/search/?api=1&amp;query="&amp;SUBSTITUTE(F666," ","")),"📲 Avisar al cliente"),"")</f>
        <v/>
      </c>
      <c r="L666" s="8">
        <f>IF(C666&lt;&gt;"","https://api.qrserver.com/v1/create-qr-code/?size=200x200&amp;data="&amp;ENCODEURL("https://wa.me/507"&amp;REGEXREPLACE(C666,"[^0-9]","")&amp;"?text="&amp;ENCODEURL("Ya llegue. Codigo: "&amp;A666&amp;". Ubicacion: "&amp;"https://www.google.com/maps/search/?api=1&amp;query="&amp;SUBSTITUTE(F666," ",""))),"")</f>
        <v/>
      </c>
      <c r="M666" s="8">
        <f>IF(B666&lt;&gt;"",TODAY(),"")</f>
        <v/>
      </c>
      <c r="N666" s="8">
        <f>IF(F666&lt;&gt;"",IFERROR(IF(AND(REGEXMATCH(SUBSTITUTE(TRIM(F666)," ",""),"^-?\d+(\.\d+)?,-?\d+(\.\d+)?$"),VALUE(REGEXEXTRACT(SUBSTITUTE(TRIM(F666)," ",""),"^-?\d+(\.\d+)?"))&gt;=-90,VALUE(REGEXEXTRACT(SUBSTITUTE(TRIM(F666)," ",""),"^-?\d+(\.\d+)?"))&lt;=90,VALUE(REGEXEXTRACT(SUBSTITUTE(TRIM(F666)," ",""),"-?\d+(\.\d+)?$"))&gt;=-180,VALUE(REGEXEXTRACT(SUBSTITUTE(TRIM(F666)," ",""),"-?\d+(\.\d+)?$"))&lt;=180),"OK","REVISAR"),"REVISAR"),"")</f>
        <v/>
      </c>
      <c r="O666">
        <f>IF(A666&lt;&gt;"","https://direcciones507.github.io/direcciones507/panel.html?codigo="&amp;A666&amp;"&amp;nombre="&amp;ENCODEURL(B666)&amp;"&amp;telefono="&amp;SUBSTITUTE(C666,"-","")&amp;"&amp;referencia="&amp;ENCODEURL(E666)&amp;"&amp;lat="&amp;IZQUIERDA(SUBSTITUTE(F666," ",""),ENCONTRAR(",",SUBSTITUTE(F666," ",""))-1)&amp;"&amp;lng="&amp;DERECHA(SUBSTITUTE(F666," ",""),LARGO(SUBSTITUTE(F666," ",""))-ENCONTRAR(",",SUBSTITUTE(F666," ",""))),"")</f>
        <v/>
      </c>
    </row>
    <row r="667" ht="15.75" customHeight="1" s="10">
      <c r="A667" s="8">
        <f>CONCAT("AD507-",TEXT(ROW()-2,"0000"))</f>
        <v/>
      </c>
      <c r="C667" s="8" t="n"/>
      <c r="F667" s="8" t="n"/>
      <c r="G667" s="8">
        <f>IF(F667&lt;&gt;"",HYPERLINK("https://www.google.com/maps/search/?api=1&amp;query="&amp;SUBSTITUTE(F667," ",""),"🗺 Google Maps"),"")</f>
        <v/>
      </c>
      <c r="H667" s="8">
        <f>IF(F667&lt;&gt;"",HYPERLINK("https://waze.com/ul?ll="&amp;SUBSTITUTE(F667," ","")&amp;"&amp;navigate=yes","🚗 Waze"),"")</f>
        <v/>
      </c>
      <c r="I667" s="8">
        <f>IF(F667&lt;&gt;"",HYPERLINK("https://m.uber.com/ul/?action=setPickup&amp;pickup=my_location&amp;dropoff[latitude]="&amp;LEFT(SUBSTITUTE(F667," ",""),FIND(",",SUBSTITUTE(F667," ",""))-1)&amp;"&amp;dropoff[longitude]="&amp;MID(SUBSTITUTE(F667," ",""),FIND(",",SUBSTITUTE(F667," ",""))+1,99),"🚕 Uber"),"")</f>
        <v/>
      </c>
      <c r="J667" s="8">
        <f>IF(F667&lt;&gt;"","https://api.qrserver.com/v1/create-qr-code/?size=200x200&amp;data="&amp;ENCODEURL("https://www.google.com/maps/search/?api=1&amp;query="&amp;SUBSTITUTE(F667," ","")),"")</f>
        <v/>
      </c>
      <c r="K667" s="8">
        <f>IF(C667&lt;&gt;"",HYPERLINK("https://wa.me/507"&amp;REGEXREPLACE(C667,"[^0-9]","")&amp;"?text="&amp;ENCODEURL("Ya llegue. Codigo: "&amp;A667&amp;". Ubicacion: "&amp;"https://www.google.com/maps/search/?api=1&amp;query="&amp;SUBSTITUTE(F667," ","")),"📲 Avisar al cliente"),"")</f>
        <v/>
      </c>
      <c r="L667" s="8">
        <f>IF(C667&lt;&gt;"","https://api.qrserver.com/v1/create-qr-code/?size=200x200&amp;data="&amp;ENCODEURL("https://wa.me/507"&amp;REGEXREPLACE(C667,"[^0-9]","")&amp;"?text="&amp;ENCODEURL("Ya llegue. Codigo: "&amp;A667&amp;". Ubicacion: "&amp;"https://www.google.com/maps/search/?api=1&amp;query="&amp;SUBSTITUTE(F667," ",""))),"")</f>
        <v/>
      </c>
      <c r="M667" s="8">
        <f>IF(B667&lt;&gt;"",TODAY(),"")</f>
        <v/>
      </c>
      <c r="N667" s="8">
        <f>IF(F667&lt;&gt;"",IFERROR(IF(AND(REGEXMATCH(SUBSTITUTE(TRIM(F667)," ",""),"^-?\d+(\.\d+)?,-?\d+(\.\d+)?$"),VALUE(REGEXEXTRACT(SUBSTITUTE(TRIM(F667)," ",""),"^-?\d+(\.\d+)?"))&gt;=-90,VALUE(REGEXEXTRACT(SUBSTITUTE(TRIM(F667)," ",""),"^-?\d+(\.\d+)?"))&lt;=90,VALUE(REGEXEXTRACT(SUBSTITUTE(TRIM(F667)," ",""),"-?\d+(\.\d+)?$"))&gt;=-180,VALUE(REGEXEXTRACT(SUBSTITUTE(TRIM(F667)," ",""),"-?\d+(\.\d+)?$"))&lt;=180),"OK","REVISAR"),"REVISAR"),"")</f>
        <v/>
      </c>
      <c r="O667">
        <f>IF(A667&lt;&gt;"","https://direcciones507.github.io/direcciones507/panel.html?codigo="&amp;A667&amp;"&amp;nombre="&amp;ENCODEURL(B667)&amp;"&amp;telefono="&amp;SUBSTITUTE(C667,"-","")&amp;"&amp;referencia="&amp;ENCODEURL(E667)&amp;"&amp;lat="&amp;IZQUIERDA(SUBSTITUTE(F667," ",""),ENCONTRAR(",",SUBSTITUTE(F667," ",""))-1)&amp;"&amp;lng="&amp;DERECHA(SUBSTITUTE(F667," ",""),LARGO(SUBSTITUTE(F667," ",""))-ENCONTRAR(",",SUBSTITUTE(F667," ",""))),"")</f>
        <v/>
      </c>
    </row>
    <row r="668" ht="15.75" customHeight="1" s="10">
      <c r="A668" s="8">
        <f>CONCAT("AD507-",TEXT(ROW()-2,"0000"))</f>
        <v/>
      </c>
      <c r="C668" s="8" t="n"/>
      <c r="F668" s="8" t="n"/>
      <c r="G668" s="8">
        <f>IF(F668&lt;&gt;"",HYPERLINK("https://www.google.com/maps/search/?api=1&amp;query="&amp;SUBSTITUTE(F668," ",""),"🗺 Google Maps"),"")</f>
        <v/>
      </c>
      <c r="H668" s="8">
        <f>IF(F668&lt;&gt;"",HYPERLINK("https://waze.com/ul?ll="&amp;SUBSTITUTE(F668," ","")&amp;"&amp;navigate=yes","🚗 Waze"),"")</f>
        <v/>
      </c>
      <c r="I668" s="8">
        <f>IF(F668&lt;&gt;"",HYPERLINK("https://m.uber.com/ul/?action=setPickup&amp;pickup=my_location&amp;dropoff[latitude]="&amp;LEFT(SUBSTITUTE(F668," ",""),FIND(",",SUBSTITUTE(F668," ",""))-1)&amp;"&amp;dropoff[longitude]="&amp;MID(SUBSTITUTE(F668," ",""),FIND(",",SUBSTITUTE(F668," ",""))+1,99),"🚕 Uber"),"")</f>
        <v/>
      </c>
      <c r="J668" s="8">
        <f>IF(F668&lt;&gt;"","https://api.qrserver.com/v1/create-qr-code/?size=200x200&amp;data="&amp;ENCODEURL("https://www.google.com/maps/search/?api=1&amp;query="&amp;SUBSTITUTE(F668," ","")),"")</f>
        <v/>
      </c>
      <c r="K668" s="8">
        <f>IF(C668&lt;&gt;"",HYPERLINK("https://wa.me/507"&amp;REGEXREPLACE(C668,"[^0-9]","")&amp;"?text="&amp;ENCODEURL("Ya llegue. Codigo: "&amp;A668&amp;". Ubicacion: "&amp;"https://www.google.com/maps/search/?api=1&amp;query="&amp;SUBSTITUTE(F668," ","")),"📲 Avisar al cliente"),"")</f>
        <v/>
      </c>
      <c r="L668" s="8">
        <f>IF(C668&lt;&gt;"","https://api.qrserver.com/v1/create-qr-code/?size=200x200&amp;data="&amp;ENCODEURL("https://wa.me/507"&amp;REGEXREPLACE(C668,"[^0-9]","")&amp;"?text="&amp;ENCODEURL("Ya llegue. Codigo: "&amp;A668&amp;". Ubicacion: "&amp;"https://www.google.com/maps/search/?api=1&amp;query="&amp;SUBSTITUTE(F668," ",""))),"")</f>
        <v/>
      </c>
      <c r="M668" s="8">
        <f>IF(B668&lt;&gt;"",TODAY(),"")</f>
        <v/>
      </c>
      <c r="N668" s="8">
        <f>IF(F668&lt;&gt;"",IFERROR(IF(AND(REGEXMATCH(SUBSTITUTE(TRIM(F668)," ",""),"^-?\d+(\.\d+)?,-?\d+(\.\d+)?$"),VALUE(REGEXEXTRACT(SUBSTITUTE(TRIM(F668)," ",""),"^-?\d+(\.\d+)?"))&gt;=-90,VALUE(REGEXEXTRACT(SUBSTITUTE(TRIM(F668)," ",""),"^-?\d+(\.\d+)?"))&lt;=90,VALUE(REGEXEXTRACT(SUBSTITUTE(TRIM(F668)," ",""),"-?\d+(\.\d+)?$"))&gt;=-180,VALUE(REGEXEXTRACT(SUBSTITUTE(TRIM(F668)," ",""),"-?\d+(\.\d+)?$"))&lt;=180),"OK","REVISAR"),"REVISAR"),"")</f>
        <v/>
      </c>
      <c r="O668">
        <f>IF(A668&lt;&gt;"","https://direcciones507.github.io/direcciones507/panel.html?codigo="&amp;A668&amp;"&amp;nombre="&amp;ENCODEURL(B668)&amp;"&amp;telefono="&amp;SUBSTITUTE(C668,"-","")&amp;"&amp;referencia="&amp;ENCODEURL(E668)&amp;"&amp;lat="&amp;IZQUIERDA(SUBSTITUTE(F668," ",""),ENCONTRAR(",",SUBSTITUTE(F668," ",""))-1)&amp;"&amp;lng="&amp;DERECHA(SUBSTITUTE(F668," ",""),LARGO(SUBSTITUTE(F668," ",""))-ENCONTRAR(",",SUBSTITUTE(F668," ",""))),"")</f>
        <v/>
      </c>
    </row>
    <row r="669" ht="15.75" customHeight="1" s="10">
      <c r="A669" s="8">
        <f>CONCAT("AD507-",TEXT(ROW()-2,"0000"))</f>
        <v/>
      </c>
      <c r="C669" s="8" t="n"/>
      <c r="F669" s="8" t="n"/>
      <c r="G669" s="8">
        <f>IF(F669&lt;&gt;"",HYPERLINK("https://www.google.com/maps/search/?api=1&amp;query="&amp;SUBSTITUTE(F669," ",""),"🗺 Google Maps"),"")</f>
        <v/>
      </c>
      <c r="H669" s="8">
        <f>IF(F669&lt;&gt;"",HYPERLINK("https://waze.com/ul?ll="&amp;SUBSTITUTE(F669," ","")&amp;"&amp;navigate=yes","🚗 Waze"),"")</f>
        <v/>
      </c>
      <c r="I669" s="8">
        <f>IF(F669&lt;&gt;"",HYPERLINK("https://m.uber.com/ul/?action=setPickup&amp;pickup=my_location&amp;dropoff[latitude]="&amp;LEFT(SUBSTITUTE(F669," ",""),FIND(",",SUBSTITUTE(F669," ",""))-1)&amp;"&amp;dropoff[longitude]="&amp;MID(SUBSTITUTE(F669," ",""),FIND(",",SUBSTITUTE(F669," ",""))+1,99),"🚕 Uber"),"")</f>
        <v/>
      </c>
      <c r="J669" s="8">
        <f>IF(F669&lt;&gt;"","https://api.qrserver.com/v1/create-qr-code/?size=200x200&amp;data="&amp;ENCODEURL("https://www.google.com/maps/search/?api=1&amp;query="&amp;SUBSTITUTE(F669," ","")),"")</f>
        <v/>
      </c>
      <c r="K669" s="8">
        <f>IF(C669&lt;&gt;"",HYPERLINK("https://wa.me/507"&amp;REGEXREPLACE(C669,"[^0-9]","")&amp;"?text="&amp;ENCODEURL("Ya llegue. Codigo: "&amp;A669&amp;". Ubicacion: "&amp;"https://www.google.com/maps/search/?api=1&amp;query="&amp;SUBSTITUTE(F669," ","")),"📲 Avisar al cliente"),"")</f>
        <v/>
      </c>
      <c r="L669" s="8">
        <f>IF(C669&lt;&gt;"","https://api.qrserver.com/v1/create-qr-code/?size=200x200&amp;data="&amp;ENCODEURL("https://wa.me/507"&amp;REGEXREPLACE(C669,"[^0-9]","")&amp;"?text="&amp;ENCODEURL("Ya llegue. Codigo: "&amp;A669&amp;". Ubicacion: "&amp;"https://www.google.com/maps/search/?api=1&amp;query="&amp;SUBSTITUTE(F669," ",""))),"")</f>
        <v/>
      </c>
      <c r="M669" s="8">
        <f>IF(B669&lt;&gt;"",TODAY(),"")</f>
        <v/>
      </c>
      <c r="N669" s="8">
        <f>IF(F669&lt;&gt;"",IFERROR(IF(AND(REGEXMATCH(SUBSTITUTE(TRIM(F669)," ",""),"^-?\d+(\.\d+)?,-?\d+(\.\d+)?$"),VALUE(REGEXEXTRACT(SUBSTITUTE(TRIM(F669)," ",""),"^-?\d+(\.\d+)?"))&gt;=-90,VALUE(REGEXEXTRACT(SUBSTITUTE(TRIM(F669)," ",""),"^-?\d+(\.\d+)?"))&lt;=90,VALUE(REGEXEXTRACT(SUBSTITUTE(TRIM(F669)," ",""),"-?\d+(\.\d+)?$"))&gt;=-180,VALUE(REGEXEXTRACT(SUBSTITUTE(TRIM(F669)," ",""),"-?\d+(\.\d+)?$"))&lt;=180),"OK","REVISAR"),"REVISAR"),"")</f>
        <v/>
      </c>
      <c r="O669">
        <f>IF(A669&lt;&gt;"","https://direcciones507.github.io/direcciones507/panel.html?codigo="&amp;A669&amp;"&amp;nombre="&amp;ENCODEURL(B669)&amp;"&amp;telefono="&amp;SUBSTITUTE(C669,"-","")&amp;"&amp;referencia="&amp;ENCODEURL(E669)&amp;"&amp;lat="&amp;IZQUIERDA(SUBSTITUTE(F669," ",""),ENCONTRAR(",",SUBSTITUTE(F669," ",""))-1)&amp;"&amp;lng="&amp;DERECHA(SUBSTITUTE(F669," ",""),LARGO(SUBSTITUTE(F669," ",""))-ENCONTRAR(",",SUBSTITUTE(F669," ",""))),"")</f>
        <v/>
      </c>
    </row>
    <row r="670" ht="15.75" customHeight="1" s="10">
      <c r="A670" s="8">
        <f>CONCAT("AD507-",TEXT(ROW()-2,"0000"))</f>
        <v/>
      </c>
      <c r="C670" s="8" t="n"/>
      <c r="F670" s="8" t="n"/>
      <c r="G670" s="8">
        <f>IF(F670&lt;&gt;"",HYPERLINK("https://www.google.com/maps/search/?api=1&amp;query="&amp;SUBSTITUTE(F670," ",""),"🗺 Google Maps"),"")</f>
        <v/>
      </c>
      <c r="H670" s="8">
        <f>IF(F670&lt;&gt;"",HYPERLINK("https://waze.com/ul?ll="&amp;SUBSTITUTE(F670," ","")&amp;"&amp;navigate=yes","🚗 Waze"),"")</f>
        <v/>
      </c>
      <c r="I670" s="8">
        <f>IF(F670&lt;&gt;"",HYPERLINK("https://m.uber.com/ul/?action=setPickup&amp;pickup=my_location&amp;dropoff[latitude]="&amp;LEFT(SUBSTITUTE(F670," ",""),FIND(",",SUBSTITUTE(F670," ",""))-1)&amp;"&amp;dropoff[longitude]="&amp;MID(SUBSTITUTE(F670," ",""),FIND(",",SUBSTITUTE(F670," ",""))+1,99),"🚕 Uber"),"")</f>
        <v/>
      </c>
      <c r="J670" s="8">
        <f>IF(F670&lt;&gt;"","https://api.qrserver.com/v1/create-qr-code/?size=200x200&amp;data="&amp;ENCODEURL("https://www.google.com/maps/search/?api=1&amp;query="&amp;SUBSTITUTE(F670," ","")),"")</f>
        <v/>
      </c>
      <c r="K670" s="8">
        <f>IF(C670&lt;&gt;"",HYPERLINK("https://wa.me/507"&amp;REGEXREPLACE(C670,"[^0-9]","")&amp;"?text="&amp;ENCODEURL("Ya llegue. Codigo: "&amp;A670&amp;". Ubicacion: "&amp;"https://www.google.com/maps/search/?api=1&amp;query="&amp;SUBSTITUTE(F670," ","")),"📲 Avisar al cliente"),"")</f>
        <v/>
      </c>
      <c r="L670" s="8">
        <f>IF(C670&lt;&gt;"","https://api.qrserver.com/v1/create-qr-code/?size=200x200&amp;data="&amp;ENCODEURL("https://wa.me/507"&amp;REGEXREPLACE(C670,"[^0-9]","")&amp;"?text="&amp;ENCODEURL("Ya llegue. Codigo: "&amp;A670&amp;". Ubicacion: "&amp;"https://www.google.com/maps/search/?api=1&amp;query="&amp;SUBSTITUTE(F670," ",""))),"")</f>
        <v/>
      </c>
      <c r="M670" s="8">
        <f>IF(B670&lt;&gt;"",TODAY(),"")</f>
        <v/>
      </c>
      <c r="N670" s="8">
        <f>IF(F670&lt;&gt;"",IFERROR(IF(AND(REGEXMATCH(SUBSTITUTE(TRIM(F670)," ",""),"^-?\d+(\.\d+)?,-?\d+(\.\d+)?$"),VALUE(REGEXEXTRACT(SUBSTITUTE(TRIM(F670)," ",""),"^-?\d+(\.\d+)?"))&gt;=-90,VALUE(REGEXEXTRACT(SUBSTITUTE(TRIM(F670)," ",""),"^-?\d+(\.\d+)?"))&lt;=90,VALUE(REGEXEXTRACT(SUBSTITUTE(TRIM(F670)," ",""),"-?\d+(\.\d+)?$"))&gt;=-180,VALUE(REGEXEXTRACT(SUBSTITUTE(TRIM(F670)," ",""),"-?\d+(\.\d+)?$"))&lt;=180),"OK","REVISAR"),"REVISAR"),"")</f>
        <v/>
      </c>
      <c r="O670">
        <f>IF(A670&lt;&gt;"","https://direcciones507.github.io/direcciones507/panel.html?codigo="&amp;A670&amp;"&amp;nombre="&amp;ENCODEURL(B670)&amp;"&amp;telefono="&amp;SUBSTITUTE(C670,"-","")&amp;"&amp;referencia="&amp;ENCODEURL(E670)&amp;"&amp;lat="&amp;IZQUIERDA(SUBSTITUTE(F670," ",""),ENCONTRAR(",",SUBSTITUTE(F670," ",""))-1)&amp;"&amp;lng="&amp;DERECHA(SUBSTITUTE(F670," ",""),LARGO(SUBSTITUTE(F670," ",""))-ENCONTRAR(",",SUBSTITUTE(F670," ",""))),"")</f>
        <v/>
      </c>
    </row>
    <row r="671" ht="15.75" customHeight="1" s="10">
      <c r="A671" s="8">
        <f>CONCAT("AD507-",TEXT(ROW()-2,"0000"))</f>
        <v/>
      </c>
      <c r="C671" s="8" t="n"/>
      <c r="F671" s="8" t="n"/>
      <c r="G671" s="8">
        <f>IF(F671&lt;&gt;"",HYPERLINK("https://www.google.com/maps/search/?api=1&amp;query="&amp;SUBSTITUTE(F671," ",""),"🗺 Google Maps"),"")</f>
        <v/>
      </c>
      <c r="H671" s="8">
        <f>IF(F671&lt;&gt;"",HYPERLINK("https://waze.com/ul?ll="&amp;SUBSTITUTE(F671," ","")&amp;"&amp;navigate=yes","🚗 Waze"),"")</f>
        <v/>
      </c>
      <c r="I671" s="8">
        <f>IF(F671&lt;&gt;"",HYPERLINK("https://m.uber.com/ul/?action=setPickup&amp;pickup=my_location&amp;dropoff[latitude]="&amp;LEFT(SUBSTITUTE(F671," ",""),FIND(",",SUBSTITUTE(F671," ",""))-1)&amp;"&amp;dropoff[longitude]="&amp;MID(SUBSTITUTE(F671," ",""),FIND(",",SUBSTITUTE(F671," ",""))+1,99),"🚕 Uber"),"")</f>
        <v/>
      </c>
      <c r="J671" s="8">
        <f>IF(F671&lt;&gt;"","https://api.qrserver.com/v1/create-qr-code/?size=200x200&amp;data="&amp;ENCODEURL("https://www.google.com/maps/search/?api=1&amp;query="&amp;SUBSTITUTE(F671," ","")),"")</f>
        <v/>
      </c>
      <c r="K671" s="8">
        <f>IF(C671&lt;&gt;"",HYPERLINK("https://wa.me/507"&amp;REGEXREPLACE(C671,"[^0-9]","")&amp;"?text="&amp;ENCODEURL("Ya llegue. Codigo: "&amp;A671&amp;". Ubicacion: "&amp;"https://www.google.com/maps/search/?api=1&amp;query="&amp;SUBSTITUTE(F671," ","")),"📲 Avisar al cliente"),"")</f>
        <v/>
      </c>
      <c r="L671" s="8">
        <f>IF(C671&lt;&gt;"","https://api.qrserver.com/v1/create-qr-code/?size=200x200&amp;data="&amp;ENCODEURL("https://wa.me/507"&amp;REGEXREPLACE(C671,"[^0-9]","")&amp;"?text="&amp;ENCODEURL("Ya llegue. Codigo: "&amp;A671&amp;". Ubicacion: "&amp;"https://www.google.com/maps/search/?api=1&amp;query="&amp;SUBSTITUTE(F671," ",""))),"")</f>
        <v/>
      </c>
      <c r="M671" s="8">
        <f>IF(B671&lt;&gt;"",TODAY(),"")</f>
        <v/>
      </c>
      <c r="N671" s="8">
        <f>IF(F671&lt;&gt;"",IFERROR(IF(AND(REGEXMATCH(SUBSTITUTE(TRIM(F671)," ",""),"^-?\d+(\.\d+)?,-?\d+(\.\d+)?$"),VALUE(REGEXEXTRACT(SUBSTITUTE(TRIM(F671)," ",""),"^-?\d+(\.\d+)?"))&gt;=-90,VALUE(REGEXEXTRACT(SUBSTITUTE(TRIM(F671)," ",""),"^-?\d+(\.\d+)?"))&lt;=90,VALUE(REGEXEXTRACT(SUBSTITUTE(TRIM(F671)," ",""),"-?\d+(\.\d+)?$"))&gt;=-180,VALUE(REGEXEXTRACT(SUBSTITUTE(TRIM(F671)," ",""),"-?\d+(\.\d+)?$"))&lt;=180),"OK","REVISAR"),"REVISAR"),"")</f>
        <v/>
      </c>
      <c r="O671">
        <f>IF(A671&lt;&gt;"","https://direcciones507.github.io/direcciones507/panel.html?codigo="&amp;A671&amp;"&amp;nombre="&amp;ENCODEURL(B671)&amp;"&amp;telefono="&amp;SUBSTITUTE(C671,"-","")&amp;"&amp;referencia="&amp;ENCODEURL(E671)&amp;"&amp;lat="&amp;IZQUIERDA(SUBSTITUTE(F671," ",""),ENCONTRAR(",",SUBSTITUTE(F671," ",""))-1)&amp;"&amp;lng="&amp;DERECHA(SUBSTITUTE(F671," ",""),LARGO(SUBSTITUTE(F671," ",""))-ENCONTRAR(",",SUBSTITUTE(F671," ",""))),"")</f>
        <v/>
      </c>
    </row>
    <row r="672" ht="15.75" customHeight="1" s="10">
      <c r="A672" s="8">
        <f>CONCAT("AD507-",TEXT(ROW()-2,"0000"))</f>
        <v/>
      </c>
      <c r="C672" s="8" t="n"/>
      <c r="F672" s="8" t="n"/>
      <c r="G672" s="8">
        <f>IF(F672&lt;&gt;"",HYPERLINK("https://www.google.com/maps/search/?api=1&amp;query="&amp;SUBSTITUTE(F672," ",""),"🗺 Google Maps"),"")</f>
        <v/>
      </c>
      <c r="H672" s="8">
        <f>IF(F672&lt;&gt;"",HYPERLINK("https://waze.com/ul?ll="&amp;SUBSTITUTE(F672," ","")&amp;"&amp;navigate=yes","🚗 Waze"),"")</f>
        <v/>
      </c>
      <c r="I672" s="8">
        <f>IF(F672&lt;&gt;"",HYPERLINK("https://m.uber.com/ul/?action=setPickup&amp;pickup=my_location&amp;dropoff[latitude]="&amp;LEFT(SUBSTITUTE(F672," ",""),FIND(",",SUBSTITUTE(F672," ",""))-1)&amp;"&amp;dropoff[longitude]="&amp;MID(SUBSTITUTE(F672," ",""),FIND(",",SUBSTITUTE(F672," ",""))+1,99),"🚕 Uber"),"")</f>
        <v/>
      </c>
      <c r="J672" s="8">
        <f>IF(F672&lt;&gt;"","https://api.qrserver.com/v1/create-qr-code/?size=200x200&amp;data="&amp;ENCODEURL("https://www.google.com/maps/search/?api=1&amp;query="&amp;SUBSTITUTE(F672," ","")),"")</f>
        <v/>
      </c>
      <c r="K672" s="8">
        <f>IF(C672&lt;&gt;"",HYPERLINK("https://wa.me/507"&amp;REGEXREPLACE(C672,"[^0-9]","")&amp;"?text="&amp;ENCODEURL("Ya llegue. Codigo: "&amp;A672&amp;". Ubicacion: "&amp;"https://www.google.com/maps/search/?api=1&amp;query="&amp;SUBSTITUTE(F672," ","")),"📲 Avisar al cliente"),"")</f>
        <v/>
      </c>
      <c r="L672" s="8">
        <f>IF(C672&lt;&gt;"","https://api.qrserver.com/v1/create-qr-code/?size=200x200&amp;data="&amp;ENCODEURL("https://wa.me/507"&amp;REGEXREPLACE(C672,"[^0-9]","")&amp;"?text="&amp;ENCODEURL("Ya llegue. Codigo: "&amp;A672&amp;". Ubicacion: "&amp;"https://www.google.com/maps/search/?api=1&amp;query="&amp;SUBSTITUTE(F672," ",""))),"")</f>
        <v/>
      </c>
      <c r="M672" s="8">
        <f>IF(B672&lt;&gt;"",TODAY(),"")</f>
        <v/>
      </c>
      <c r="N672" s="8">
        <f>IF(F672&lt;&gt;"",IFERROR(IF(AND(REGEXMATCH(SUBSTITUTE(TRIM(F672)," ",""),"^-?\d+(\.\d+)?,-?\d+(\.\d+)?$"),VALUE(REGEXEXTRACT(SUBSTITUTE(TRIM(F672)," ",""),"^-?\d+(\.\d+)?"))&gt;=-90,VALUE(REGEXEXTRACT(SUBSTITUTE(TRIM(F672)," ",""),"^-?\d+(\.\d+)?"))&lt;=90,VALUE(REGEXEXTRACT(SUBSTITUTE(TRIM(F672)," ",""),"-?\d+(\.\d+)?$"))&gt;=-180,VALUE(REGEXEXTRACT(SUBSTITUTE(TRIM(F672)," ",""),"-?\d+(\.\d+)?$"))&lt;=180),"OK","REVISAR"),"REVISAR"),"")</f>
        <v/>
      </c>
      <c r="O672">
        <f>IF(A672&lt;&gt;"","https://direcciones507.github.io/direcciones507/panel.html?codigo="&amp;A672&amp;"&amp;nombre="&amp;ENCODEURL(B672)&amp;"&amp;telefono="&amp;SUBSTITUTE(C672,"-","")&amp;"&amp;referencia="&amp;ENCODEURL(E672)&amp;"&amp;lat="&amp;IZQUIERDA(SUBSTITUTE(F672," ",""),ENCONTRAR(",",SUBSTITUTE(F672," ",""))-1)&amp;"&amp;lng="&amp;DERECHA(SUBSTITUTE(F672," ",""),LARGO(SUBSTITUTE(F672," ",""))-ENCONTRAR(",",SUBSTITUTE(F672," ",""))),"")</f>
        <v/>
      </c>
    </row>
    <row r="673" ht="15.75" customHeight="1" s="10">
      <c r="A673" s="8">
        <f>CONCAT("AD507-",TEXT(ROW()-2,"0000"))</f>
        <v/>
      </c>
      <c r="C673" s="8" t="n"/>
      <c r="F673" s="8" t="n"/>
      <c r="G673" s="8">
        <f>IF(F673&lt;&gt;"",HYPERLINK("https://www.google.com/maps/search/?api=1&amp;query="&amp;SUBSTITUTE(F673," ",""),"🗺 Google Maps"),"")</f>
        <v/>
      </c>
      <c r="H673" s="8">
        <f>IF(F673&lt;&gt;"",HYPERLINK("https://waze.com/ul?ll="&amp;SUBSTITUTE(F673," ","")&amp;"&amp;navigate=yes","🚗 Waze"),"")</f>
        <v/>
      </c>
      <c r="I673" s="8">
        <f>IF(F673&lt;&gt;"",HYPERLINK("https://m.uber.com/ul/?action=setPickup&amp;pickup=my_location&amp;dropoff[latitude]="&amp;LEFT(SUBSTITUTE(F673," ",""),FIND(",",SUBSTITUTE(F673," ",""))-1)&amp;"&amp;dropoff[longitude]="&amp;MID(SUBSTITUTE(F673," ",""),FIND(",",SUBSTITUTE(F673," ",""))+1,99),"🚕 Uber"),"")</f>
        <v/>
      </c>
      <c r="J673" s="8">
        <f>IF(F673&lt;&gt;"","https://api.qrserver.com/v1/create-qr-code/?size=200x200&amp;data="&amp;ENCODEURL("https://www.google.com/maps/search/?api=1&amp;query="&amp;SUBSTITUTE(F673," ","")),"")</f>
        <v/>
      </c>
      <c r="K673" s="8">
        <f>IF(C673&lt;&gt;"",HYPERLINK("https://wa.me/507"&amp;REGEXREPLACE(C673,"[^0-9]","")&amp;"?text="&amp;ENCODEURL("Ya llegue. Codigo: "&amp;A673&amp;". Ubicacion: "&amp;"https://www.google.com/maps/search/?api=1&amp;query="&amp;SUBSTITUTE(F673," ","")),"📲 Avisar al cliente"),"")</f>
        <v/>
      </c>
      <c r="L673" s="8">
        <f>IF(C673&lt;&gt;"","https://api.qrserver.com/v1/create-qr-code/?size=200x200&amp;data="&amp;ENCODEURL("https://wa.me/507"&amp;REGEXREPLACE(C673,"[^0-9]","")&amp;"?text="&amp;ENCODEURL("Ya llegue. Codigo: "&amp;A673&amp;". Ubicacion: "&amp;"https://www.google.com/maps/search/?api=1&amp;query="&amp;SUBSTITUTE(F673," ",""))),"")</f>
        <v/>
      </c>
      <c r="M673" s="8">
        <f>IF(B673&lt;&gt;"",TODAY(),"")</f>
        <v/>
      </c>
      <c r="N673" s="8">
        <f>IF(F673&lt;&gt;"",IFERROR(IF(AND(REGEXMATCH(SUBSTITUTE(TRIM(F673)," ",""),"^-?\d+(\.\d+)?,-?\d+(\.\d+)?$"),VALUE(REGEXEXTRACT(SUBSTITUTE(TRIM(F673)," ",""),"^-?\d+(\.\d+)?"))&gt;=-90,VALUE(REGEXEXTRACT(SUBSTITUTE(TRIM(F673)," ",""),"^-?\d+(\.\d+)?"))&lt;=90,VALUE(REGEXEXTRACT(SUBSTITUTE(TRIM(F673)," ",""),"-?\d+(\.\d+)?$"))&gt;=-180,VALUE(REGEXEXTRACT(SUBSTITUTE(TRIM(F673)," ",""),"-?\d+(\.\d+)?$"))&lt;=180),"OK","REVISAR"),"REVISAR"),"")</f>
        <v/>
      </c>
      <c r="O673">
        <f>IF(A673&lt;&gt;"","https://direcciones507.github.io/direcciones507/panel.html?codigo="&amp;A673&amp;"&amp;nombre="&amp;ENCODEURL(B673)&amp;"&amp;telefono="&amp;SUBSTITUTE(C673,"-","")&amp;"&amp;referencia="&amp;ENCODEURL(E673)&amp;"&amp;lat="&amp;IZQUIERDA(SUBSTITUTE(F673," ",""),ENCONTRAR(",",SUBSTITUTE(F673," ",""))-1)&amp;"&amp;lng="&amp;DERECHA(SUBSTITUTE(F673," ",""),LARGO(SUBSTITUTE(F673," ",""))-ENCONTRAR(",",SUBSTITUTE(F673," ",""))),"")</f>
        <v/>
      </c>
    </row>
    <row r="674" ht="15.75" customHeight="1" s="10">
      <c r="A674" s="8">
        <f>CONCAT("AD507-",TEXT(ROW()-2,"0000"))</f>
        <v/>
      </c>
      <c r="C674" s="8" t="n"/>
      <c r="F674" s="8" t="n"/>
      <c r="G674" s="8">
        <f>IF(F674&lt;&gt;"",HYPERLINK("https://www.google.com/maps/search/?api=1&amp;query="&amp;SUBSTITUTE(F674," ",""),"🗺 Google Maps"),"")</f>
        <v/>
      </c>
      <c r="H674" s="8">
        <f>IF(F674&lt;&gt;"",HYPERLINK("https://waze.com/ul?ll="&amp;SUBSTITUTE(F674," ","")&amp;"&amp;navigate=yes","🚗 Waze"),"")</f>
        <v/>
      </c>
      <c r="I674" s="8">
        <f>IF(F674&lt;&gt;"",HYPERLINK("https://m.uber.com/ul/?action=setPickup&amp;pickup=my_location&amp;dropoff[latitude]="&amp;LEFT(SUBSTITUTE(F674," ",""),FIND(",",SUBSTITUTE(F674," ",""))-1)&amp;"&amp;dropoff[longitude]="&amp;MID(SUBSTITUTE(F674," ",""),FIND(",",SUBSTITUTE(F674," ",""))+1,99),"🚕 Uber"),"")</f>
        <v/>
      </c>
      <c r="J674" s="8">
        <f>IF(F674&lt;&gt;"","https://api.qrserver.com/v1/create-qr-code/?size=200x200&amp;data="&amp;ENCODEURL("https://www.google.com/maps/search/?api=1&amp;query="&amp;SUBSTITUTE(F674," ","")),"")</f>
        <v/>
      </c>
      <c r="K674" s="8">
        <f>IF(C674&lt;&gt;"",HYPERLINK("https://wa.me/507"&amp;REGEXREPLACE(C674,"[^0-9]","")&amp;"?text="&amp;ENCODEURL("Ya llegue. Codigo: "&amp;A674&amp;". Ubicacion: "&amp;"https://www.google.com/maps/search/?api=1&amp;query="&amp;SUBSTITUTE(F674," ","")),"📲 Avisar al cliente"),"")</f>
        <v/>
      </c>
      <c r="L674" s="8">
        <f>IF(C674&lt;&gt;"","https://api.qrserver.com/v1/create-qr-code/?size=200x200&amp;data="&amp;ENCODEURL("https://wa.me/507"&amp;REGEXREPLACE(C674,"[^0-9]","")&amp;"?text="&amp;ENCODEURL("Ya llegue. Codigo: "&amp;A674&amp;". Ubicacion: "&amp;"https://www.google.com/maps/search/?api=1&amp;query="&amp;SUBSTITUTE(F674," ",""))),"")</f>
        <v/>
      </c>
      <c r="M674" s="8">
        <f>IF(B674&lt;&gt;"",TODAY(),"")</f>
        <v/>
      </c>
      <c r="N674" s="8">
        <f>IF(F674&lt;&gt;"",IFERROR(IF(AND(REGEXMATCH(SUBSTITUTE(TRIM(F674)," ",""),"^-?\d+(\.\d+)?,-?\d+(\.\d+)?$"),VALUE(REGEXEXTRACT(SUBSTITUTE(TRIM(F674)," ",""),"^-?\d+(\.\d+)?"))&gt;=-90,VALUE(REGEXEXTRACT(SUBSTITUTE(TRIM(F674)," ",""),"^-?\d+(\.\d+)?"))&lt;=90,VALUE(REGEXEXTRACT(SUBSTITUTE(TRIM(F674)," ",""),"-?\d+(\.\d+)?$"))&gt;=-180,VALUE(REGEXEXTRACT(SUBSTITUTE(TRIM(F674)," ",""),"-?\d+(\.\d+)?$"))&lt;=180),"OK","REVISAR"),"REVISAR"),"")</f>
        <v/>
      </c>
      <c r="O674">
        <f>IF(A674&lt;&gt;"","https://direcciones507.github.io/direcciones507/panel.html?codigo="&amp;A674&amp;"&amp;nombre="&amp;ENCODEURL(B674)&amp;"&amp;telefono="&amp;SUBSTITUTE(C674,"-","")&amp;"&amp;referencia="&amp;ENCODEURL(E674)&amp;"&amp;lat="&amp;IZQUIERDA(SUBSTITUTE(F674," ",""),ENCONTRAR(",",SUBSTITUTE(F674," ",""))-1)&amp;"&amp;lng="&amp;DERECHA(SUBSTITUTE(F674," ",""),LARGO(SUBSTITUTE(F674," ",""))-ENCONTRAR(",",SUBSTITUTE(F674," ",""))),"")</f>
        <v/>
      </c>
    </row>
    <row r="675" ht="15.75" customHeight="1" s="10">
      <c r="A675" s="8">
        <f>CONCAT("AD507-",TEXT(ROW()-2,"0000"))</f>
        <v/>
      </c>
      <c r="C675" s="8" t="n"/>
      <c r="F675" s="8" t="n"/>
      <c r="G675" s="8">
        <f>IF(F675&lt;&gt;"",HYPERLINK("https://www.google.com/maps/search/?api=1&amp;query="&amp;SUBSTITUTE(F675," ",""),"🗺 Google Maps"),"")</f>
        <v/>
      </c>
      <c r="H675" s="8">
        <f>IF(F675&lt;&gt;"",HYPERLINK("https://waze.com/ul?ll="&amp;SUBSTITUTE(F675," ","")&amp;"&amp;navigate=yes","🚗 Waze"),"")</f>
        <v/>
      </c>
      <c r="I675" s="8">
        <f>IF(F675&lt;&gt;"",HYPERLINK("https://m.uber.com/ul/?action=setPickup&amp;pickup=my_location&amp;dropoff[latitude]="&amp;LEFT(SUBSTITUTE(F675," ",""),FIND(",",SUBSTITUTE(F675," ",""))-1)&amp;"&amp;dropoff[longitude]="&amp;MID(SUBSTITUTE(F675," ",""),FIND(",",SUBSTITUTE(F675," ",""))+1,99),"🚕 Uber"),"")</f>
        <v/>
      </c>
      <c r="J675" s="8">
        <f>IF(F675&lt;&gt;"","https://api.qrserver.com/v1/create-qr-code/?size=200x200&amp;data="&amp;ENCODEURL("https://www.google.com/maps/search/?api=1&amp;query="&amp;SUBSTITUTE(F675," ","")),"")</f>
        <v/>
      </c>
      <c r="K675" s="8">
        <f>IF(C675&lt;&gt;"",HYPERLINK("https://wa.me/507"&amp;REGEXREPLACE(C675,"[^0-9]","")&amp;"?text="&amp;ENCODEURL("Ya llegue. Codigo: "&amp;A675&amp;". Ubicacion: "&amp;"https://www.google.com/maps/search/?api=1&amp;query="&amp;SUBSTITUTE(F675," ","")),"📲 Avisar al cliente"),"")</f>
        <v/>
      </c>
      <c r="L675" s="8">
        <f>IF(C675&lt;&gt;"","https://api.qrserver.com/v1/create-qr-code/?size=200x200&amp;data="&amp;ENCODEURL("https://wa.me/507"&amp;REGEXREPLACE(C675,"[^0-9]","")&amp;"?text="&amp;ENCODEURL("Ya llegue. Codigo: "&amp;A675&amp;". Ubicacion: "&amp;"https://www.google.com/maps/search/?api=1&amp;query="&amp;SUBSTITUTE(F675," ",""))),"")</f>
        <v/>
      </c>
      <c r="M675" s="8">
        <f>IF(B675&lt;&gt;"",TODAY(),"")</f>
        <v/>
      </c>
      <c r="N675" s="8">
        <f>IF(F675&lt;&gt;"",IFERROR(IF(AND(REGEXMATCH(SUBSTITUTE(TRIM(F675)," ",""),"^-?\d+(\.\d+)?,-?\d+(\.\d+)?$"),VALUE(REGEXEXTRACT(SUBSTITUTE(TRIM(F675)," ",""),"^-?\d+(\.\d+)?"))&gt;=-90,VALUE(REGEXEXTRACT(SUBSTITUTE(TRIM(F675)," ",""),"^-?\d+(\.\d+)?"))&lt;=90,VALUE(REGEXEXTRACT(SUBSTITUTE(TRIM(F675)," ",""),"-?\d+(\.\d+)?$"))&gt;=-180,VALUE(REGEXEXTRACT(SUBSTITUTE(TRIM(F675)," ",""),"-?\d+(\.\d+)?$"))&lt;=180),"OK","REVISAR"),"REVISAR"),"")</f>
        <v/>
      </c>
      <c r="O675">
        <f>IF(A675&lt;&gt;"","https://direcciones507.github.io/direcciones507/panel.html?codigo="&amp;A675&amp;"&amp;nombre="&amp;ENCODEURL(B675)&amp;"&amp;telefono="&amp;SUBSTITUTE(C675,"-","")&amp;"&amp;referencia="&amp;ENCODEURL(E675)&amp;"&amp;lat="&amp;IZQUIERDA(SUBSTITUTE(F675," ",""),ENCONTRAR(",",SUBSTITUTE(F675," ",""))-1)&amp;"&amp;lng="&amp;DERECHA(SUBSTITUTE(F675," ",""),LARGO(SUBSTITUTE(F675," ",""))-ENCONTRAR(",",SUBSTITUTE(F675," ",""))),"")</f>
        <v/>
      </c>
    </row>
    <row r="676" ht="15.75" customHeight="1" s="10">
      <c r="A676" s="8">
        <f>CONCAT("AD507-",TEXT(ROW()-2,"0000"))</f>
        <v/>
      </c>
      <c r="C676" s="8" t="n"/>
      <c r="F676" s="8" t="n"/>
      <c r="G676" s="8">
        <f>IF(F676&lt;&gt;"",HYPERLINK("https://www.google.com/maps/search/?api=1&amp;query="&amp;SUBSTITUTE(F676," ",""),"🗺 Google Maps"),"")</f>
        <v/>
      </c>
      <c r="H676" s="8">
        <f>IF(F676&lt;&gt;"",HYPERLINK("https://waze.com/ul?ll="&amp;SUBSTITUTE(F676," ","")&amp;"&amp;navigate=yes","🚗 Waze"),"")</f>
        <v/>
      </c>
      <c r="I676" s="8">
        <f>IF(F676&lt;&gt;"",HYPERLINK("https://m.uber.com/ul/?action=setPickup&amp;pickup=my_location&amp;dropoff[latitude]="&amp;LEFT(SUBSTITUTE(F676," ",""),FIND(",",SUBSTITUTE(F676," ",""))-1)&amp;"&amp;dropoff[longitude]="&amp;MID(SUBSTITUTE(F676," ",""),FIND(",",SUBSTITUTE(F676," ",""))+1,99),"🚕 Uber"),"")</f>
        <v/>
      </c>
      <c r="J676" s="8">
        <f>IF(F676&lt;&gt;"","https://api.qrserver.com/v1/create-qr-code/?size=200x200&amp;data="&amp;ENCODEURL("https://www.google.com/maps/search/?api=1&amp;query="&amp;SUBSTITUTE(F676," ","")),"")</f>
        <v/>
      </c>
      <c r="K676" s="8">
        <f>IF(C676&lt;&gt;"",HYPERLINK("https://wa.me/507"&amp;REGEXREPLACE(C676,"[^0-9]","")&amp;"?text="&amp;ENCODEURL("Ya llegue. Codigo: "&amp;A676&amp;". Ubicacion: "&amp;"https://www.google.com/maps/search/?api=1&amp;query="&amp;SUBSTITUTE(F676," ","")),"📲 Avisar al cliente"),"")</f>
        <v/>
      </c>
      <c r="L676" s="8">
        <f>IF(C676&lt;&gt;"","https://api.qrserver.com/v1/create-qr-code/?size=200x200&amp;data="&amp;ENCODEURL("https://wa.me/507"&amp;REGEXREPLACE(C676,"[^0-9]","")&amp;"?text="&amp;ENCODEURL("Ya llegue. Codigo: "&amp;A676&amp;". Ubicacion: "&amp;"https://www.google.com/maps/search/?api=1&amp;query="&amp;SUBSTITUTE(F676," ",""))),"")</f>
        <v/>
      </c>
      <c r="M676" s="8">
        <f>IF(B676&lt;&gt;"",TODAY(),"")</f>
        <v/>
      </c>
      <c r="N676" s="8">
        <f>IF(F676&lt;&gt;"",IFERROR(IF(AND(REGEXMATCH(SUBSTITUTE(TRIM(F676)," ",""),"^-?\d+(\.\d+)?,-?\d+(\.\d+)?$"),VALUE(REGEXEXTRACT(SUBSTITUTE(TRIM(F676)," ",""),"^-?\d+(\.\d+)?"))&gt;=-90,VALUE(REGEXEXTRACT(SUBSTITUTE(TRIM(F676)," ",""),"^-?\d+(\.\d+)?"))&lt;=90,VALUE(REGEXEXTRACT(SUBSTITUTE(TRIM(F676)," ",""),"-?\d+(\.\d+)?$"))&gt;=-180,VALUE(REGEXEXTRACT(SUBSTITUTE(TRIM(F676)," ",""),"-?\d+(\.\d+)?$"))&lt;=180),"OK","REVISAR"),"REVISAR"),"")</f>
        <v/>
      </c>
      <c r="O676">
        <f>IF(A676&lt;&gt;"","https://direcciones507.github.io/direcciones507/panel.html?codigo="&amp;A676&amp;"&amp;nombre="&amp;ENCODEURL(B676)&amp;"&amp;telefono="&amp;SUBSTITUTE(C676,"-","")&amp;"&amp;referencia="&amp;ENCODEURL(E676)&amp;"&amp;lat="&amp;IZQUIERDA(SUBSTITUTE(F676," ",""),ENCONTRAR(",",SUBSTITUTE(F676," ",""))-1)&amp;"&amp;lng="&amp;DERECHA(SUBSTITUTE(F676," ",""),LARGO(SUBSTITUTE(F676," ",""))-ENCONTRAR(",",SUBSTITUTE(F676," ",""))),"")</f>
        <v/>
      </c>
    </row>
    <row r="677" ht="15.75" customHeight="1" s="10">
      <c r="A677" s="8">
        <f>CONCAT("AD507-",TEXT(ROW()-2,"0000"))</f>
        <v/>
      </c>
      <c r="C677" s="8" t="n"/>
      <c r="F677" s="8" t="n"/>
      <c r="G677" s="8">
        <f>IF(F677&lt;&gt;"",HYPERLINK("https://www.google.com/maps/search/?api=1&amp;query="&amp;SUBSTITUTE(F677," ",""),"🗺 Google Maps"),"")</f>
        <v/>
      </c>
      <c r="H677" s="8">
        <f>IF(F677&lt;&gt;"",HYPERLINK("https://waze.com/ul?ll="&amp;SUBSTITUTE(F677," ","")&amp;"&amp;navigate=yes","🚗 Waze"),"")</f>
        <v/>
      </c>
      <c r="I677" s="8">
        <f>IF(F677&lt;&gt;"",HYPERLINK("https://m.uber.com/ul/?action=setPickup&amp;pickup=my_location&amp;dropoff[latitude]="&amp;LEFT(SUBSTITUTE(F677," ",""),FIND(",",SUBSTITUTE(F677," ",""))-1)&amp;"&amp;dropoff[longitude]="&amp;MID(SUBSTITUTE(F677," ",""),FIND(",",SUBSTITUTE(F677," ",""))+1,99),"🚕 Uber"),"")</f>
        <v/>
      </c>
      <c r="J677" s="8">
        <f>IF(F677&lt;&gt;"","https://api.qrserver.com/v1/create-qr-code/?size=200x200&amp;data="&amp;ENCODEURL("https://www.google.com/maps/search/?api=1&amp;query="&amp;SUBSTITUTE(F677," ","")),"")</f>
        <v/>
      </c>
      <c r="K677" s="8">
        <f>IF(C677&lt;&gt;"",HYPERLINK("https://wa.me/507"&amp;REGEXREPLACE(C677,"[^0-9]","")&amp;"?text="&amp;ENCODEURL("Ya llegue. Codigo: "&amp;A677&amp;". Ubicacion: "&amp;"https://www.google.com/maps/search/?api=1&amp;query="&amp;SUBSTITUTE(F677," ","")),"📲 Avisar al cliente"),"")</f>
        <v/>
      </c>
      <c r="L677" s="8">
        <f>IF(C677&lt;&gt;"","https://api.qrserver.com/v1/create-qr-code/?size=200x200&amp;data="&amp;ENCODEURL("https://wa.me/507"&amp;REGEXREPLACE(C677,"[^0-9]","")&amp;"?text="&amp;ENCODEURL("Ya llegue. Codigo: "&amp;A677&amp;". Ubicacion: "&amp;"https://www.google.com/maps/search/?api=1&amp;query="&amp;SUBSTITUTE(F677," ",""))),"")</f>
        <v/>
      </c>
      <c r="M677" s="8">
        <f>IF(B677&lt;&gt;"",TODAY(),"")</f>
        <v/>
      </c>
      <c r="N677" s="8">
        <f>IF(F677&lt;&gt;"",IFERROR(IF(AND(REGEXMATCH(SUBSTITUTE(TRIM(F677)," ",""),"^-?\d+(\.\d+)?,-?\d+(\.\d+)?$"),VALUE(REGEXEXTRACT(SUBSTITUTE(TRIM(F677)," ",""),"^-?\d+(\.\d+)?"))&gt;=-90,VALUE(REGEXEXTRACT(SUBSTITUTE(TRIM(F677)," ",""),"^-?\d+(\.\d+)?"))&lt;=90,VALUE(REGEXEXTRACT(SUBSTITUTE(TRIM(F677)," ",""),"-?\d+(\.\d+)?$"))&gt;=-180,VALUE(REGEXEXTRACT(SUBSTITUTE(TRIM(F677)," ",""),"-?\d+(\.\d+)?$"))&lt;=180),"OK","REVISAR"),"REVISAR"),"")</f>
        <v/>
      </c>
      <c r="O677">
        <f>IF(A677&lt;&gt;"","https://direcciones507.github.io/direcciones507/panel.html?codigo="&amp;A677&amp;"&amp;nombre="&amp;ENCODEURL(B677)&amp;"&amp;telefono="&amp;SUBSTITUTE(C677,"-","")&amp;"&amp;referencia="&amp;ENCODEURL(E677)&amp;"&amp;lat="&amp;IZQUIERDA(SUBSTITUTE(F677," ",""),ENCONTRAR(",",SUBSTITUTE(F677," ",""))-1)&amp;"&amp;lng="&amp;DERECHA(SUBSTITUTE(F677," ",""),LARGO(SUBSTITUTE(F677," ",""))-ENCONTRAR(",",SUBSTITUTE(F677," ",""))),"")</f>
        <v/>
      </c>
    </row>
    <row r="678" ht="15.75" customHeight="1" s="10">
      <c r="A678" s="8">
        <f>CONCAT("AD507-",TEXT(ROW()-2,"0000"))</f>
        <v/>
      </c>
      <c r="C678" s="8" t="n"/>
      <c r="F678" s="8" t="n"/>
      <c r="G678" s="8">
        <f>IF(F678&lt;&gt;"",HYPERLINK("https://www.google.com/maps/search/?api=1&amp;query="&amp;SUBSTITUTE(F678," ",""),"🗺 Google Maps"),"")</f>
        <v/>
      </c>
      <c r="H678" s="8">
        <f>IF(F678&lt;&gt;"",HYPERLINK("https://waze.com/ul?ll="&amp;SUBSTITUTE(F678," ","")&amp;"&amp;navigate=yes","🚗 Waze"),"")</f>
        <v/>
      </c>
      <c r="I678" s="8">
        <f>IF(F678&lt;&gt;"",HYPERLINK("https://m.uber.com/ul/?action=setPickup&amp;pickup=my_location&amp;dropoff[latitude]="&amp;LEFT(SUBSTITUTE(F678," ",""),FIND(",",SUBSTITUTE(F678," ",""))-1)&amp;"&amp;dropoff[longitude]="&amp;MID(SUBSTITUTE(F678," ",""),FIND(",",SUBSTITUTE(F678," ",""))+1,99),"🚕 Uber"),"")</f>
        <v/>
      </c>
      <c r="J678" s="8">
        <f>IF(F678&lt;&gt;"","https://api.qrserver.com/v1/create-qr-code/?size=200x200&amp;data="&amp;ENCODEURL("https://www.google.com/maps/search/?api=1&amp;query="&amp;SUBSTITUTE(F678," ","")),"")</f>
        <v/>
      </c>
      <c r="K678" s="8">
        <f>IF(C678&lt;&gt;"",HYPERLINK("https://wa.me/507"&amp;REGEXREPLACE(C678,"[^0-9]","")&amp;"?text="&amp;ENCODEURL("Ya llegue. Codigo: "&amp;A678&amp;". Ubicacion: "&amp;"https://www.google.com/maps/search/?api=1&amp;query="&amp;SUBSTITUTE(F678," ","")),"📲 Avisar al cliente"),"")</f>
        <v/>
      </c>
      <c r="L678" s="8">
        <f>IF(C678&lt;&gt;"","https://api.qrserver.com/v1/create-qr-code/?size=200x200&amp;data="&amp;ENCODEURL("https://wa.me/507"&amp;REGEXREPLACE(C678,"[^0-9]","")&amp;"?text="&amp;ENCODEURL("Ya llegue. Codigo: "&amp;A678&amp;". Ubicacion: "&amp;"https://www.google.com/maps/search/?api=1&amp;query="&amp;SUBSTITUTE(F678," ",""))),"")</f>
        <v/>
      </c>
      <c r="M678" s="8">
        <f>IF(B678&lt;&gt;"",TODAY(),"")</f>
        <v/>
      </c>
      <c r="N678" s="8">
        <f>IF(F678&lt;&gt;"",IFERROR(IF(AND(REGEXMATCH(SUBSTITUTE(TRIM(F678)," ",""),"^-?\d+(\.\d+)?,-?\d+(\.\d+)?$"),VALUE(REGEXEXTRACT(SUBSTITUTE(TRIM(F678)," ",""),"^-?\d+(\.\d+)?"))&gt;=-90,VALUE(REGEXEXTRACT(SUBSTITUTE(TRIM(F678)," ",""),"^-?\d+(\.\d+)?"))&lt;=90,VALUE(REGEXEXTRACT(SUBSTITUTE(TRIM(F678)," ",""),"-?\d+(\.\d+)?$"))&gt;=-180,VALUE(REGEXEXTRACT(SUBSTITUTE(TRIM(F678)," ",""),"-?\d+(\.\d+)?$"))&lt;=180),"OK","REVISAR"),"REVISAR"),"")</f>
        <v/>
      </c>
      <c r="O678">
        <f>IF(A678&lt;&gt;"","https://direcciones507.github.io/direcciones507/panel.html?codigo="&amp;A678&amp;"&amp;nombre="&amp;ENCODEURL(B678)&amp;"&amp;telefono="&amp;SUBSTITUTE(C678,"-","")&amp;"&amp;referencia="&amp;ENCODEURL(E678)&amp;"&amp;lat="&amp;IZQUIERDA(SUBSTITUTE(F678," ",""),ENCONTRAR(",",SUBSTITUTE(F678," ",""))-1)&amp;"&amp;lng="&amp;DERECHA(SUBSTITUTE(F678," ",""),LARGO(SUBSTITUTE(F678," ",""))-ENCONTRAR(",",SUBSTITUTE(F678," ",""))),"")</f>
        <v/>
      </c>
    </row>
    <row r="679" ht="15.75" customHeight="1" s="10">
      <c r="A679" s="8">
        <f>CONCAT("AD507-",TEXT(ROW()-2,"0000"))</f>
        <v/>
      </c>
      <c r="C679" s="8" t="n"/>
      <c r="F679" s="8" t="n"/>
      <c r="G679" s="8">
        <f>IF(F679&lt;&gt;"",HYPERLINK("https://www.google.com/maps/search/?api=1&amp;query="&amp;SUBSTITUTE(F679," ",""),"🗺 Google Maps"),"")</f>
        <v/>
      </c>
      <c r="H679" s="8">
        <f>IF(F679&lt;&gt;"",HYPERLINK("https://waze.com/ul?ll="&amp;SUBSTITUTE(F679," ","")&amp;"&amp;navigate=yes","🚗 Waze"),"")</f>
        <v/>
      </c>
      <c r="I679" s="8">
        <f>IF(F679&lt;&gt;"",HYPERLINK("https://m.uber.com/ul/?action=setPickup&amp;pickup=my_location&amp;dropoff[latitude]="&amp;LEFT(SUBSTITUTE(F679," ",""),FIND(",",SUBSTITUTE(F679," ",""))-1)&amp;"&amp;dropoff[longitude]="&amp;MID(SUBSTITUTE(F679," ",""),FIND(",",SUBSTITUTE(F679," ",""))+1,99),"🚕 Uber"),"")</f>
        <v/>
      </c>
      <c r="J679" s="8">
        <f>IF(F679&lt;&gt;"","https://api.qrserver.com/v1/create-qr-code/?size=200x200&amp;data="&amp;ENCODEURL("https://www.google.com/maps/search/?api=1&amp;query="&amp;SUBSTITUTE(F679," ","")),"")</f>
        <v/>
      </c>
      <c r="K679" s="8">
        <f>IF(C679&lt;&gt;"",HYPERLINK("https://wa.me/507"&amp;REGEXREPLACE(C679,"[^0-9]","")&amp;"?text="&amp;ENCODEURL("Ya llegue. Codigo: "&amp;A679&amp;". Ubicacion: "&amp;"https://www.google.com/maps/search/?api=1&amp;query="&amp;SUBSTITUTE(F679," ","")),"📲 Avisar al cliente"),"")</f>
        <v/>
      </c>
      <c r="L679" s="8">
        <f>IF(C679&lt;&gt;"","https://api.qrserver.com/v1/create-qr-code/?size=200x200&amp;data="&amp;ENCODEURL("https://wa.me/507"&amp;REGEXREPLACE(C679,"[^0-9]","")&amp;"?text="&amp;ENCODEURL("Ya llegue. Codigo: "&amp;A679&amp;". Ubicacion: "&amp;"https://www.google.com/maps/search/?api=1&amp;query="&amp;SUBSTITUTE(F679," ",""))),"")</f>
        <v/>
      </c>
      <c r="M679" s="8">
        <f>IF(B679&lt;&gt;"",TODAY(),"")</f>
        <v/>
      </c>
      <c r="N679" s="8">
        <f>IF(F679&lt;&gt;"",IFERROR(IF(AND(REGEXMATCH(SUBSTITUTE(TRIM(F679)," ",""),"^-?\d+(\.\d+)?,-?\d+(\.\d+)?$"),VALUE(REGEXEXTRACT(SUBSTITUTE(TRIM(F679)," ",""),"^-?\d+(\.\d+)?"))&gt;=-90,VALUE(REGEXEXTRACT(SUBSTITUTE(TRIM(F679)," ",""),"^-?\d+(\.\d+)?"))&lt;=90,VALUE(REGEXEXTRACT(SUBSTITUTE(TRIM(F679)," ",""),"-?\d+(\.\d+)?$"))&gt;=-180,VALUE(REGEXEXTRACT(SUBSTITUTE(TRIM(F679)," ",""),"-?\d+(\.\d+)?$"))&lt;=180),"OK","REVISAR"),"REVISAR"),"")</f>
        <v/>
      </c>
      <c r="O679">
        <f>IF(A679&lt;&gt;"","https://direcciones507.github.io/direcciones507/panel.html?codigo="&amp;A679&amp;"&amp;nombre="&amp;ENCODEURL(B679)&amp;"&amp;telefono="&amp;SUBSTITUTE(C679,"-","")&amp;"&amp;referencia="&amp;ENCODEURL(E679)&amp;"&amp;lat="&amp;IZQUIERDA(SUBSTITUTE(F679," ",""),ENCONTRAR(",",SUBSTITUTE(F679," ",""))-1)&amp;"&amp;lng="&amp;DERECHA(SUBSTITUTE(F679," ",""),LARGO(SUBSTITUTE(F679," ",""))-ENCONTRAR(",",SUBSTITUTE(F679," ",""))),"")</f>
        <v/>
      </c>
    </row>
    <row r="680" ht="15.75" customHeight="1" s="10">
      <c r="A680" s="8">
        <f>CONCAT("AD507-",TEXT(ROW()-2,"0000"))</f>
        <v/>
      </c>
      <c r="C680" s="8" t="n"/>
      <c r="F680" s="8" t="n"/>
      <c r="G680" s="8">
        <f>IF(F680&lt;&gt;"",HYPERLINK("https://www.google.com/maps/search/?api=1&amp;query="&amp;SUBSTITUTE(F680," ",""),"🗺 Google Maps"),"")</f>
        <v/>
      </c>
      <c r="H680" s="8">
        <f>IF(F680&lt;&gt;"",HYPERLINK("https://waze.com/ul?ll="&amp;SUBSTITUTE(F680," ","")&amp;"&amp;navigate=yes","🚗 Waze"),"")</f>
        <v/>
      </c>
      <c r="I680" s="8">
        <f>IF(F680&lt;&gt;"",HYPERLINK("https://m.uber.com/ul/?action=setPickup&amp;pickup=my_location&amp;dropoff[latitude]="&amp;LEFT(SUBSTITUTE(F680," ",""),FIND(",",SUBSTITUTE(F680," ",""))-1)&amp;"&amp;dropoff[longitude]="&amp;MID(SUBSTITUTE(F680," ",""),FIND(",",SUBSTITUTE(F680," ",""))+1,99),"🚕 Uber"),"")</f>
        <v/>
      </c>
      <c r="J680" s="8">
        <f>IF(F680&lt;&gt;"","https://api.qrserver.com/v1/create-qr-code/?size=200x200&amp;data="&amp;ENCODEURL("https://www.google.com/maps/search/?api=1&amp;query="&amp;SUBSTITUTE(F680," ","")),"")</f>
        <v/>
      </c>
      <c r="K680" s="8">
        <f>IF(C680&lt;&gt;"",HYPERLINK("https://wa.me/507"&amp;REGEXREPLACE(C680,"[^0-9]","")&amp;"?text="&amp;ENCODEURL("Ya llegue. Codigo: "&amp;A680&amp;". Ubicacion: "&amp;"https://www.google.com/maps/search/?api=1&amp;query="&amp;SUBSTITUTE(F680," ","")),"📲 Avisar al cliente"),"")</f>
        <v/>
      </c>
      <c r="L680" s="8">
        <f>IF(C680&lt;&gt;"","https://api.qrserver.com/v1/create-qr-code/?size=200x200&amp;data="&amp;ENCODEURL("https://wa.me/507"&amp;REGEXREPLACE(C680,"[^0-9]","")&amp;"?text="&amp;ENCODEURL("Ya llegue. Codigo: "&amp;A680&amp;". Ubicacion: "&amp;"https://www.google.com/maps/search/?api=1&amp;query="&amp;SUBSTITUTE(F680," ",""))),"")</f>
        <v/>
      </c>
      <c r="M680" s="8">
        <f>IF(B680&lt;&gt;"",TODAY(),"")</f>
        <v/>
      </c>
      <c r="N680" s="8">
        <f>IF(F680&lt;&gt;"",IFERROR(IF(AND(REGEXMATCH(SUBSTITUTE(TRIM(F680)," ",""),"^-?\d+(\.\d+)?,-?\d+(\.\d+)?$"),VALUE(REGEXEXTRACT(SUBSTITUTE(TRIM(F680)," ",""),"^-?\d+(\.\d+)?"))&gt;=-90,VALUE(REGEXEXTRACT(SUBSTITUTE(TRIM(F680)," ",""),"^-?\d+(\.\d+)?"))&lt;=90,VALUE(REGEXEXTRACT(SUBSTITUTE(TRIM(F680)," ",""),"-?\d+(\.\d+)?$"))&gt;=-180,VALUE(REGEXEXTRACT(SUBSTITUTE(TRIM(F680)," ",""),"-?\d+(\.\d+)?$"))&lt;=180),"OK","REVISAR"),"REVISAR"),"")</f>
        <v/>
      </c>
      <c r="O680">
        <f>IF(A680&lt;&gt;"","https://direcciones507.github.io/direcciones507/panel.html?codigo="&amp;A680&amp;"&amp;nombre="&amp;ENCODEURL(B680)&amp;"&amp;telefono="&amp;SUBSTITUTE(C680,"-","")&amp;"&amp;referencia="&amp;ENCODEURL(E680)&amp;"&amp;lat="&amp;IZQUIERDA(SUBSTITUTE(F680," ",""),ENCONTRAR(",",SUBSTITUTE(F680," ",""))-1)&amp;"&amp;lng="&amp;DERECHA(SUBSTITUTE(F680," ",""),LARGO(SUBSTITUTE(F680," ",""))-ENCONTRAR(",",SUBSTITUTE(F680," ",""))),"")</f>
        <v/>
      </c>
    </row>
    <row r="681" ht="15.75" customHeight="1" s="10">
      <c r="A681" s="8">
        <f>CONCAT("AD507-",TEXT(ROW()-2,"0000"))</f>
        <v/>
      </c>
      <c r="C681" s="8" t="n"/>
      <c r="F681" s="8" t="n"/>
      <c r="G681" s="8">
        <f>IF(F681&lt;&gt;"",HYPERLINK("https://www.google.com/maps/search/?api=1&amp;query="&amp;SUBSTITUTE(F681," ",""),"🗺 Google Maps"),"")</f>
        <v/>
      </c>
      <c r="H681" s="8">
        <f>IF(F681&lt;&gt;"",HYPERLINK("https://waze.com/ul?ll="&amp;SUBSTITUTE(F681," ","")&amp;"&amp;navigate=yes","🚗 Waze"),"")</f>
        <v/>
      </c>
      <c r="I681" s="8">
        <f>IF(F681&lt;&gt;"",HYPERLINK("https://m.uber.com/ul/?action=setPickup&amp;pickup=my_location&amp;dropoff[latitude]="&amp;LEFT(SUBSTITUTE(F681," ",""),FIND(",",SUBSTITUTE(F681," ",""))-1)&amp;"&amp;dropoff[longitude]="&amp;MID(SUBSTITUTE(F681," ",""),FIND(",",SUBSTITUTE(F681," ",""))+1,99),"🚕 Uber"),"")</f>
        <v/>
      </c>
      <c r="J681" s="8">
        <f>IF(F681&lt;&gt;"","https://api.qrserver.com/v1/create-qr-code/?size=200x200&amp;data="&amp;ENCODEURL("https://www.google.com/maps/search/?api=1&amp;query="&amp;SUBSTITUTE(F681," ","")),"")</f>
        <v/>
      </c>
      <c r="K681" s="8">
        <f>IF(C681&lt;&gt;"",HYPERLINK("https://wa.me/507"&amp;REGEXREPLACE(C681,"[^0-9]","")&amp;"?text="&amp;ENCODEURL("Ya llegue. Codigo: "&amp;A681&amp;". Ubicacion: "&amp;"https://www.google.com/maps/search/?api=1&amp;query="&amp;SUBSTITUTE(F681," ","")),"📲 Avisar al cliente"),"")</f>
        <v/>
      </c>
      <c r="L681" s="8">
        <f>IF(C681&lt;&gt;"","https://api.qrserver.com/v1/create-qr-code/?size=200x200&amp;data="&amp;ENCODEURL("https://wa.me/507"&amp;REGEXREPLACE(C681,"[^0-9]","")&amp;"?text="&amp;ENCODEURL("Ya llegue. Codigo: "&amp;A681&amp;". Ubicacion: "&amp;"https://www.google.com/maps/search/?api=1&amp;query="&amp;SUBSTITUTE(F681," ",""))),"")</f>
        <v/>
      </c>
      <c r="M681" s="8">
        <f>IF(B681&lt;&gt;"",TODAY(),"")</f>
        <v/>
      </c>
      <c r="N681" s="8">
        <f>IF(F681&lt;&gt;"",IFERROR(IF(AND(REGEXMATCH(SUBSTITUTE(TRIM(F681)," ",""),"^-?\d+(\.\d+)?,-?\d+(\.\d+)?$"),VALUE(REGEXEXTRACT(SUBSTITUTE(TRIM(F681)," ",""),"^-?\d+(\.\d+)?"))&gt;=-90,VALUE(REGEXEXTRACT(SUBSTITUTE(TRIM(F681)," ",""),"^-?\d+(\.\d+)?"))&lt;=90,VALUE(REGEXEXTRACT(SUBSTITUTE(TRIM(F681)," ",""),"-?\d+(\.\d+)?$"))&gt;=-180,VALUE(REGEXEXTRACT(SUBSTITUTE(TRIM(F681)," ",""),"-?\d+(\.\d+)?$"))&lt;=180),"OK","REVISAR"),"REVISAR"),"")</f>
        <v/>
      </c>
      <c r="O681">
        <f>IF(A681&lt;&gt;"","https://direcciones507.github.io/direcciones507/panel.html?codigo="&amp;A681&amp;"&amp;nombre="&amp;ENCODEURL(B681)&amp;"&amp;telefono="&amp;SUBSTITUTE(C681,"-","")&amp;"&amp;referencia="&amp;ENCODEURL(E681)&amp;"&amp;lat="&amp;IZQUIERDA(SUBSTITUTE(F681," ",""),ENCONTRAR(",",SUBSTITUTE(F681," ",""))-1)&amp;"&amp;lng="&amp;DERECHA(SUBSTITUTE(F681," ",""),LARGO(SUBSTITUTE(F681," ",""))-ENCONTRAR(",",SUBSTITUTE(F681," ",""))),"")</f>
        <v/>
      </c>
    </row>
    <row r="682" ht="15.75" customHeight="1" s="10">
      <c r="A682" s="8">
        <f>CONCAT("AD507-",TEXT(ROW()-2,"0000"))</f>
        <v/>
      </c>
      <c r="C682" s="8" t="n"/>
      <c r="F682" s="8" t="n"/>
      <c r="G682" s="8">
        <f>IF(F682&lt;&gt;"",HYPERLINK("https://www.google.com/maps/search/?api=1&amp;query="&amp;SUBSTITUTE(F682," ",""),"🗺 Google Maps"),"")</f>
        <v/>
      </c>
      <c r="H682" s="8">
        <f>IF(F682&lt;&gt;"",HYPERLINK("https://waze.com/ul?ll="&amp;SUBSTITUTE(F682," ","")&amp;"&amp;navigate=yes","🚗 Waze"),"")</f>
        <v/>
      </c>
      <c r="I682" s="8">
        <f>IF(F682&lt;&gt;"",HYPERLINK("https://m.uber.com/ul/?action=setPickup&amp;pickup=my_location&amp;dropoff[latitude]="&amp;LEFT(SUBSTITUTE(F682," ",""),FIND(",",SUBSTITUTE(F682," ",""))-1)&amp;"&amp;dropoff[longitude]="&amp;MID(SUBSTITUTE(F682," ",""),FIND(",",SUBSTITUTE(F682," ",""))+1,99),"🚕 Uber"),"")</f>
        <v/>
      </c>
      <c r="J682" s="8">
        <f>IF(F682&lt;&gt;"","https://api.qrserver.com/v1/create-qr-code/?size=200x200&amp;data="&amp;ENCODEURL("https://www.google.com/maps/search/?api=1&amp;query="&amp;SUBSTITUTE(F682," ","")),"")</f>
        <v/>
      </c>
      <c r="K682" s="8">
        <f>IF(C682&lt;&gt;"",HYPERLINK("https://wa.me/507"&amp;REGEXREPLACE(C682,"[^0-9]","")&amp;"?text="&amp;ENCODEURL("Ya llegue. Codigo: "&amp;A682&amp;". Ubicacion: "&amp;"https://www.google.com/maps/search/?api=1&amp;query="&amp;SUBSTITUTE(F682," ","")),"📲 Avisar al cliente"),"")</f>
        <v/>
      </c>
      <c r="L682" s="8">
        <f>IF(C682&lt;&gt;"","https://api.qrserver.com/v1/create-qr-code/?size=200x200&amp;data="&amp;ENCODEURL("https://wa.me/507"&amp;REGEXREPLACE(C682,"[^0-9]","")&amp;"?text="&amp;ENCODEURL("Ya llegue. Codigo: "&amp;A682&amp;". Ubicacion: "&amp;"https://www.google.com/maps/search/?api=1&amp;query="&amp;SUBSTITUTE(F682," ",""))),"")</f>
        <v/>
      </c>
      <c r="M682" s="8">
        <f>IF(B682&lt;&gt;"",TODAY(),"")</f>
        <v/>
      </c>
      <c r="N682" s="8">
        <f>IF(F682&lt;&gt;"",IFERROR(IF(AND(REGEXMATCH(SUBSTITUTE(TRIM(F682)," ",""),"^-?\d+(\.\d+)?,-?\d+(\.\d+)?$"),VALUE(REGEXEXTRACT(SUBSTITUTE(TRIM(F682)," ",""),"^-?\d+(\.\d+)?"))&gt;=-90,VALUE(REGEXEXTRACT(SUBSTITUTE(TRIM(F682)," ",""),"^-?\d+(\.\d+)?"))&lt;=90,VALUE(REGEXEXTRACT(SUBSTITUTE(TRIM(F682)," ",""),"-?\d+(\.\d+)?$"))&gt;=-180,VALUE(REGEXEXTRACT(SUBSTITUTE(TRIM(F682)," ",""),"-?\d+(\.\d+)?$"))&lt;=180),"OK","REVISAR"),"REVISAR"),"")</f>
        <v/>
      </c>
      <c r="O682">
        <f>IF(A682&lt;&gt;"","https://direcciones507.github.io/direcciones507/panel.html?codigo="&amp;A682&amp;"&amp;nombre="&amp;ENCODEURL(B682)&amp;"&amp;telefono="&amp;SUBSTITUTE(C682,"-","")&amp;"&amp;referencia="&amp;ENCODEURL(E682)&amp;"&amp;lat="&amp;IZQUIERDA(SUBSTITUTE(F682," ",""),ENCONTRAR(",",SUBSTITUTE(F682," ",""))-1)&amp;"&amp;lng="&amp;DERECHA(SUBSTITUTE(F682," ",""),LARGO(SUBSTITUTE(F682," ",""))-ENCONTRAR(",",SUBSTITUTE(F682," ",""))),"")</f>
        <v/>
      </c>
    </row>
    <row r="683" ht="15.75" customHeight="1" s="10">
      <c r="A683" s="8">
        <f>CONCAT("AD507-",TEXT(ROW()-2,"0000"))</f>
        <v/>
      </c>
      <c r="C683" s="8" t="n"/>
      <c r="F683" s="8" t="n"/>
      <c r="G683" s="8">
        <f>IF(F683&lt;&gt;"",HYPERLINK("https://www.google.com/maps/search/?api=1&amp;query="&amp;SUBSTITUTE(F683," ",""),"🗺 Google Maps"),"")</f>
        <v/>
      </c>
      <c r="H683" s="8">
        <f>IF(F683&lt;&gt;"",HYPERLINK("https://waze.com/ul?ll="&amp;SUBSTITUTE(F683," ","")&amp;"&amp;navigate=yes","🚗 Waze"),"")</f>
        <v/>
      </c>
      <c r="I683" s="8">
        <f>IF(F683&lt;&gt;"",HYPERLINK("https://m.uber.com/ul/?action=setPickup&amp;pickup=my_location&amp;dropoff[latitude]="&amp;LEFT(SUBSTITUTE(F683," ",""),FIND(",",SUBSTITUTE(F683," ",""))-1)&amp;"&amp;dropoff[longitude]="&amp;MID(SUBSTITUTE(F683," ",""),FIND(",",SUBSTITUTE(F683," ",""))+1,99),"🚕 Uber"),"")</f>
        <v/>
      </c>
      <c r="J683" s="8">
        <f>IF(F683&lt;&gt;"","https://api.qrserver.com/v1/create-qr-code/?size=200x200&amp;data="&amp;ENCODEURL("https://www.google.com/maps/search/?api=1&amp;query="&amp;SUBSTITUTE(F683," ","")),"")</f>
        <v/>
      </c>
      <c r="K683" s="8">
        <f>IF(C683&lt;&gt;"",HYPERLINK("https://wa.me/507"&amp;REGEXREPLACE(C683,"[^0-9]","")&amp;"?text="&amp;ENCODEURL("Ya llegue. Codigo: "&amp;A683&amp;". Ubicacion: "&amp;"https://www.google.com/maps/search/?api=1&amp;query="&amp;SUBSTITUTE(F683," ","")),"📲 Avisar al cliente"),"")</f>
        <v/>
      </c>
      <c r="L683" s="8">
        <f>IF(C683&lt;&gt;"","https://api.qrserver.com/v1/create-qr-code/?size=200x200&amp;data="&amp;ENCODEURL("https://wa.me/507"&amp;REGEXREPLACE(C683,"[^0-9]","")&amp;"?text="&amp;ENCODEURL("Ya llegue. Codigo: "&amp;A683&amp;". Ubicacion: "&amp;"https://www.google.com/maps/search/?api=1&amp;query="&amp;SUBSTITUTE(F683," ",""))),"")</f>
        <v/>
      </c>
      <c r="M683" s="8">
        <f>IF(B683&lt;&gt;"",TODAY(),"")</f>
        <v/>
      </c>
      <c r="N683" s="8">
        <f>IF(F683&lt;&gt;"",IFERROR(IF(AND(REGEXMATCH(SUBSTITUTE(TRIM(F683)," ",""),"^-?\d+(\.\d+)?,-?\d+(\.\d+)?$"),VALUE(REGEXEXTRACT(SUBSTITUTE(TRIM(F683)," ",""),"^-?\d+(\.\d+)?"))&gt;=-90,VALUE(REGEXEXTRACT(SUBSTITUTE(TRIM(F683)," ",""),"^-?\d+(\.\d+)?"))&lt;=90,VALUE(REGEXEXTRACT(SUBSTITUTE(TRIM(F683)," ",""),"-?\d+(\.\d+)?$"))&gt;=-180,VALUE(REGEXEXTRACT(SUBSTITUTE(TRIM(F683)," ",""),"-?\d+(\.\d+)?$"))&lt;=180),"OK","REVISAR"),"REVISAR"),"")</f>
        <v/>
      </c>
      <c r="O683">
        <f>IF(A683&lt;&gt;"","https://direcciones507.github.io/direcciones507/panel.html?codigo="&amp;A683&amp;"&amp;nombre="&amp;ENCODEURL(B683)&amp;"&amp;telefono="&amp;SUBSTITUTE(C683,"-","")&amp;"&amp;referencia="&amp;ENCODEURL(E683)&amp;"&amp;lat="&amp;IZQUIERDA(SUBSTITUTE(F683," ",""),ENCONTRAR(",",SUBSTITUTE(F683," ",""))-1)&amp;"&amp;lng="&amp;DERECHA(SUBSTITUTE(F683," ",""),LARGO(SUBSTITUTE(F683," ",""))-ENCONTRAR(",",SUBSTITUTE(F683," ",""))),"")</f>
        <v/>
      </c>
    </row>
    <row r="684" ht="15.75" customHeight="1" s="10">
      <c r="A684" s="8">
        <f>CONCAT("AD507-",TEXT(ROW()-2,"0000"))</f>
        <v/>
      </c>
      <c r="C684" s="8" t="n"/>
      <c r="F684" s="8" t="n"/>
      <c r="G684" s="8">
        <f>IF(F684&lt;&gt;"",HYPERLINK("https://www.google.com/maps/search/?api=1&amp;query="&amp;SUBSTITUTE(F684," ",""),"🗺 Google Maps"),"")</f>
        <v/>
      </c>
      <c r="H684" s="8">
        <f>IF(F684&lt;&gt;"",HYPERLINK("https://waze.com/ul?ll="&amp;SUBSTITUTE(F684," ","")&amp;"&amp;navigate=yes","🚗 Waze"),"")</f>
        <v/>
      </c>
      <c r="I684" s="8">
        <f>IF(F684&lt;&gt;"",HYPERLINK("https://m.uber.com/ul/?action=setPickup&amp;pickup=my_location&amp;dropoff[latitude]="&amp;LEFT(SUBSTITUTE(F684," ",""),FIND(",",SUBSTITUTE(F684," ",""))-1)&amp;"&amp;dropoff[longitude]="&amp;MID(SUBSTITUTE(F684," ",""),FIND(",",SUBSTITUTE(F684," ",""))+1,99),"🚕 Uber"),"")</f>
        <v/>
      </c>
      <c r="J684" s="8">
        <f>IF(F684&lt;&gt;"","https://api.qrserver.com/v1/create-qr-code/?size=200x200&amp;data="&amp;ENCODEURL("https://www.google.com/maps/search/?api=1&amp;query="&amp;SUBSTITUTE(F684," ","")),"")</f>
        <v/>
      </c>
      <c r="K684" s="8">
        <f>IF(C684&lt;&gt;"",HYPERLINK("https://wa.me/507"&amp;REGEXREPLACE(C684,"[^0-9]","")&amp;"?text="&amp;ENCODEURL("Ya llegue. Codigo: "&amp;A684&amp;". Ubicacion: "&amp;"https://www.google.com/maps/search/?api=1&amp;query="&amp;SUBSTITUTE(F684," ","")),"📲 Avisar al cliente"),"")</f>
        <v/>
      </c>
      <c r="L684" s="8">
        <f>IF(C684&lt;&gt;"","https://api.qrserver.com/v1/create-qr-code/?size=200x200&amp;data="&amp;ENCODEURL("https://wa.me/507"&amp;REGEXREPLACE(C684,"[^0-9]","")&amp;"?text="&amp;ENCODEURL("Ya llegue. Codigo: "&amp;A684&amp;". Ubicacion: "&amp;"https://www.google.com/maps/search/?api=1&amp;query="&amp;SUBSTITUTE(F684," ",""))),"")</f>
        <v/>
      </c>
      <c r="M684" s="8">
        <f>IF(B684&lt;&gt;"",TODAY(),"")</f>
        <v/>
      </c>
      <c r="N684" s="8">
        <f>IF(F684&lt;&gt;"",IFERROR(IF(AND(REGEXMATCH(SUBSTITUTE(TRIM(F684)," ",""),"^-?\d+(\.\d+)?,-?\d+(\.\d+)?$"),VALUE(REGEXEXTRACT(SUBSTITUTE(TRIM(F684)," ",""),"^-?\d+(\.\d+)?"))&gt;=-90,VALUE(REGEXEXTRACT(SUBSTITUTE(TRIM(F684)," ",""),"^-?\d+(\.\d+)?"))&lt;=90,VALUE(REGEXEXTRACT(SUBSTITUTE(TRIM(F684)," ",""),"-?\d+(\.\d+)?$"))&gt;=-180,VALUE(REGEXEXTRACT(SUBSTITUTE(TRIM(F684)," ",""),"-?\d+(\.\d+)?$"))&lt;=180),"OK","REVISAR"),"REVISAR"),"")</f>
        <v/>
      </c>
      <c r="O684">
        <f>IF(A684&lt;&gt;"","https://direcciones507.github.io/direcciones507/panel.html?codigo="&amp;A684&amp;"&amp;nombre="&amp;ENCODEURL(B684)&amp;"&amp;telefono="&amp;SUBSTITUTE(C684,"-","")&amp;"&amp;referencia="&amp;ENCODEURL(E684)&amp;"&amp;lat="&amp;IZQUIERDA(SUBSTITUTE(F684," ",""),ENCONTRAR(",",SUBSTITUTE(F684," ",""))-1)&amp;"&amp;lng="&amp;DERECHA(SUBSTITUTE(F684," ",""),LARGO(SUBSTITUTE(F684," ",""))-ENCONTRAR(",",SUBSTITUTE(F684," ",""))),"")</f>
        <v/>
      </c>
    </row>
    <row r="685" ht="15.75" customHeight="1" s="10">
      <c r="A685" s="8">
        <f>CONCAT("AD507-",TEXT(ROW()-2,"0000"))</f>
        <v/>
      </c>
      <c r="C685" s="8" t="n"/>
      <c r="F685" s="8" t="n"/>
      <c r="G685" s="8">
        <f>IF(F685&lt;&gt;"",HYPERLINK("https://www.google.com/maps/search/?api=1&amp;query="&amp;SUBSTITUTE(F685," ",""),"🗺 Google Maps"),"")</f>
        <v/>
      </c>
      <c r="H685" s="8">
        <f>IF(F685&lt;&gt;"",HYPERLINK("https://waze.com/ul?ll="&amp;SUBSTITUTE(F685," ","")&amp;"&amp;navigate=yes","🚗 Waze"),"")</f>
        <v/>
      </c>
      <c r="I685" s="8">
        <f>IF(F685&lt;&gt;"",HYPERLINK("https://m.uber.com/ul/?action=setPickup&amp;pickup=my_location&amp;dropoff[latitude]="&amp;LEFT(SUBSTITUTE(F685," ",""),FIND(",",SUBSTITUTE(F685," ",""))-1)&amp;"&amp;dropoff[longitude]="&amp;MID(SUBSTITUTE(F685," ",""),FIND(",",SUBSTITUTE(F685," ",""))+1,99),"🚕 Uber"),"")</f>
        <v/>
      </c>
      <c r="J685" s="8">
        <f>IF(F685&lt;&gt;"","https://api.qrserver.com/v1/create-qr-code/?size=200x200&amp;data="&amp;ENCODEURL("https://www.google.com/maps/search/?api=1&amp;query="&amp;SUBSTITUTE(F685," ","")),"")</f>
        <v/>
      </c>
      <c r="K685" s="8">
        <f>IF(C685&lt;&gt;"",HYPERLINK("https://wa.me/507"&amp;REGEXREPLACE(C685,"[^0-9]","")&amp;"?text="&amp;ENCODEURL("Ya llegue. Codigo: "&amp;A685&amp;". Ubicacion: "&amp;"https://www.google.com/maps/search/?api=1&amp;query="&amp;SUBSTITUTE(F685," ","")),"📲 Avisar al cliente"),"")</f>
        <v/>
      </c>
      <c r="L685" s="8">
        <f>IF(C685&lt;&gt;"","https://api.qrserver.com/v1/create-qr-code/?size=200x200&amp;data="&amp;ENCODEURL("https://wa.me/507"&amp;REGEXREPLACE(C685,"[^0-9]","")&amp;"?text="&amp;ENCODEURL("Ya llegue. Codigo: "&amp;A685&amp;". Ubicacion: "&amp;"https://www.google.com/maps/search/?api=1&amp;query="&amp;SUBSTITUTE(F685," ",""))),"")</f>
        <v/>
      </c>
      <c r="M685" s="8">
        <f>IF(B685&lt;&gt;"",TODAY(),"")</f>
        <v/>
      </c>
      <c r="N685" s="8">
        <f>IF(F685&lt;&gt;"",IFERROR(IF(AND(REGEXMATCH(SUBSTITUTE(TRIM(F685)," ",""),"^-?\d+(\.\d+)?,-?\d+(\.\d+)?$"),VALUE(REGEXEXTRACT(SUBSTITUTE(TRIM(F685)," ",""),"^-?\d+(\.\d+)?"))&gt;=-90,VALUE(REGEXEXTRACT(SUBSTITUTE(TRIM(F685)," ",""),"^-?\d+(\.\d+)?"))&lt;=90,VALUE(REGEXEXTRACT(SUBSTITUTE(TRIM(F685)," ",""),"-?\d+(\.\d+)?$"))&gt;=-180,VALUE(REGEXEXTRACT(SUBSTITUTE(TRIM(F685)," ",""),"-?\d+(\.\d+)?$"))&lt;=180),"OK","REVISAR"),"REVISAR"),"")</f>
        <v/>
      </c>
      <c r="O685">
        <f>IF(A685&lt;&gt;"","https://direcciones507.github.io/direcciones507/panel.html?codigo="&amp;A685&amp;"&amp;nombre="&amp;ENCODEURL(B685)&amp;"&amp;telefono="&amp;SUBSTITUTE(C685,"-","")&amp;"&amp;referencia="&amp;ENCODEURL(E685)&amp;"&amp;lat="&amp;IZQUIERDA(SUBSTITUTE(F685," ",""),ENCONTRAR(",",SUBSTITUTE(F685," ",""))-1)&amp;"&amp;lng="&amp;DERECHA(SUBSTITUTE(F685," ",""),LARGO(SUBSTITUTE(F685," ",""))-ENCONTRAR(",",SUBSTITUTE(F685," ",""))),"")</f>
        <v/>
      </c>
    </row>
    <row r="686" ht="15.75" customHeight="1" s="10">
      <c r="A686" s="8">
        <f>CONCAT("AD507-",TEXT(ROW()-2,"0000"))</f>
        <v/>
      </c>
      <c r="C686" s="8" t="n"/>
      <c r="F686" s="8" t="n"/>
      <c r="G686" s="8">
        <f>IF(F686&lt;&gt;"",HYPERLINK("https://www.google.com/maps/search/?api=1&amp;query="&amp;SUBSTITUTE(F686," ",""),"🗺 Google Maps"),"")</f>
        <v/>
      </c>
      <c r="H686" s="8">
        <f>IF(F686&lt;&gt;"",HYPERLINK("https://waze.com/ul?ll="&amp;SUBSTITUTE(F686," ","")&amp;"&amp;navigate=yes","🚗 Waze"),"")</f>
        <v/>
      </c>
      <c r="I686" s="8">
        <f>IF(F686&lt;&gt;"",HYPERLINK("https://m.uber.com/ul/?action=setPickup&amp;pickup=my_location&amp;dropoff[latitude]="&amp;LEFT(SUBSTITUTE(F686," ",""),FIND(",",SUBSTITUTE(F686," ",""))-1)&amp;"&amp;dropoff[longitude]="&amp;MID(SUBSTITUTE(F686," ",""),FIND(",",SUBSTITUTE(F686," ",""))+1,99),"🚕 Uber"),"")</f>
        <v/>
      </c>
      <c r="J686" s="8">
        <f>IF(F686&lt;&gt;"","https://api.qrserver.com/v1/create-qr-code/?size=200x200&amp;data="&amp;ENCODEURL("https://www.google.com/maps/search/?api=1&amp;query="&amp;SUBSTITUTE(F686," ","")),"")</f>
        <v/>
      </c>
      <c r="K686" s="8">
        <f>IF(C686&lt;&gt;"",HYPERLINK("https://wa.me/507"&amp;REGEXREPLACE(C686,"[^0-9]","")&amp;"?text="&amp;ENCODEURL("Ya llegue. Codigo: "&amp;A686&amp;". Ubicacion: "&amp;"https://www.google.com/maps/search/?api=1&amp;query="&amp;SUBSTITUTE(F686," ","")),"📲 Avisar al cliente"),"")</f>
        <v/>
      </c>
      <c r="L686" s="8">
        <f>IF(C686&lt;&gt;"","https://api.qrserver.com/v1/create-qr-code/?size=200x200&amp;data="&amp;ENCODEURL("https://wa.me/507"&amp;REGEXREPLACE(C686,"[^0-9]","")&amp;"?text="&amp;ENCODEURL("Ya llegue. Codigo: "&amp;A686&amp;". Ubicacion: "&amp;"https://www.google.com/maps/search/?api=1&amp;query="&amp;SUBSTITUTE(F686," ",""))),"")</f>
        <v/>
      </c>
      <c r="M686" s="8">
        <f>IF(B686&lt;&gt;"",TODAY(),"")</f>
        <v/>
      </c>
      <c r="N686" s="8">
        <f>IF(F686&lt;&gt;"",IFERROR(IF(AND(REGEXMATCH(SUBSTITUTE(TRIM(F686)," ",""),"^-?\d+(\.\d+)?,-?\d+(\.\d+)?$"),VALUE(REGEXEXTRACT(SUBSTITUTE(TRIM(F686)," ",""),"^-?\d+(\.\d+)?"))&gt;=-90,VALUE(REGEXEXTRACT(SUBSTITUTE(TRIM(F686)," ",""),"^-?\d+(\.\d+)?"))&lt;=90,VALUE(REGEXEXTRACT(SUBSTITUTE(TRIM(F686)," ",""),"-?\d+(\.\d+)?$"))&gt;=-180,VALUE(REGEXEXTRACT(SUBSTITUTE(TRIM(F686)," ",""),"-?\d+(\.\d+)?$"))&lt;=180),"OK","REVISAR"),"REVISAR"),"")</f>
        <v/>
      </c>
      <c r="O686">
        <f>IF(A686&lt;&gt;"","https://direcciones507.github.io/direcciones507/panel.html?codigo="&amp;A686&amp;"&amp;nombre="&amp;ENCODEURL(B686)&amp;"&amp;telefono="&amp;SUBSTITUTE(C686,"-","")&amp;"&amp;referencia="&amp;ENCODEURL(E686)&amp;"&amp;lat="&amp;IZQUIERDA(SUBSTITUTE(F686," ",""),ENCONTRAR(",",SUBSTITUTE(F686," ",""))-1)&amp;"&amp;lng="&amp;DERECHA(SUBSTITUTE(F686," ",""),LARGO(SUBSTITUTE(F686," ",""))-ENCONTRAR(",",SUBSTITUTE(F686," ",""))),"")</f>
        <v/>
      </c>
    </row>
    <row r="687" ht="15.75" customHeight="1" s="10">
      <c r="A687" s="8">
        <f>CONCAT("AD507-",TEXT(ROW()-2,"0000"))</f>
        <v/>
      </c>
      <c r="C687" s="8" t="n"/>
      <c r="F687" s="8" t="n"/>
      <c r="G687" s="8">
        <f>IF(F687&lt;&gt;"",HYPERLINK("https://www.google.com/maps/search/?api=1&amp;query="&amp;SUBSTITUTE(F687," ",""),"🗺 Google Maps"),"")</f>
        <v/>
      </c>
      <c r="H687" s="8">
        <f>IF(F687&lt;&gt;"",HYPERLINK("https://waze.com/ul?ll="&amp;SUBSTITUTE(F687," ","")&amp;"&amp;navigate=yes","🚗 Waze"),"")</f>
        <v/>
      </c>
      <c r="I687" s="8">
        <f>IF(F687&lt;&gt;"",HYPERLINK("https://m.uber.com/ul/?action=setPickup&amp;pickup=my_location&amp;dropoff[latitude]="&amp;LEFT(SUBSTITUTE(F687," ",""),FIND(",",SUBSTITUTE(F687," ",""))-1)&amp;"&amp;dropoff[longitude]="&amp;MID(SUBSTITUTE(F687," ",""),FIND(",",SUBSTITUTE(F687," ",""))+1,99),"🚕 Uber"),"")</f>
        <v/>
      </c>
      <c r="J687" s="8">
        <f>IF(F687&lt;&gt;"","https://api.qrserver.com/v1/create-qr-code/?size=200x200&amp;data="&amp;ENCODEURL("https://www.google.com/maps/search/?api=1&amp;query="&amp;SUBSTITUTE(F687," ","")),"")</f>
        <v/>
      </c>
      <c r="K687" s="8">
        <f>IF(C687&lt;&gt;"",HYPERLINK("https://wa.me/507"&amp;REGEXREPLACE(C687,"[^0-9]","")&amp;"?text="&amp;ENCODEURL("Ya llegue. Codigo: "&amp;A687&amp;". Ubicacion: "&amp;"https://www.google.com/maps/search/?api=1&amp;query="&amp;SUBSTITUTE(F687," ","")),"📲 Avisar al cliente"),"")</f>
        <v/>
      </c>
      <c r="L687" s="8">
        <f>IF(C687&lt;&gt;"","https://api.qrserver.com/v1/create-qr-code/?size=200x200&amp;data="&amp;ENCODEURL("https://wa.me/507"&amp;REGEXREPLACE(C687,"[^0-9]","")&amp;"?text="&amp;ENCODEURL("Ya llegue. Codigo: "&amp;A687&amp;". Ubicacion: "&amp;"https://www.google.com/maps/search/?api=1&amp;query="&amp;SUBSTITUTE(F687," ",""))),"")</f>
        <v/>
      </c>
      <c r="M687" s="8">
        <f>IF(B687&lt;&gt;"",TODAY(),"")</f>
        <v/>
      </c>
      <c r="N687" s="8">
        <f>IF(F687&lt;&gt;"",IFERROR(IF(AND(REGEXMATCH(SUBSTITUTE(TRIM(F687)," ",""),"^-?\d+(\.\d+)?,-?\d+(\.\d+)?$"),VALUE(REGEXEXTRACT(SUBSTITUTE(TRIM(F687)," ",""),"^-?\d+(\.\d+)?"))&gt;=-90,VALUE(REGEXEXTRACT(SUBSTITUTE(TRIM(F687)," ",""),"^-?\d+(\.\d+)?"))&lt;=90,VALUE(REGEXEXTRACT(SUBSTITUTE(TRIM(F687)," ",""),"-?\d+(\.\d+)?$"))&gt;=-180,VALUE(REGEXEXTRACT(SUBSTITUTE(TRIM(F687)," ",""),"-?\d+(\.\d+)?$"))&lt;=180),"OK","REVISAR"),"REVISAR"),"")</f>
        <v/>
      </c>
      <c r="O687">
        <f>IF(A687&lt;&gt;"","https://direcciones507.github.io/direcciones507/panel.html?codigo="&amp;A687&amp;"&amp;nombre="&amp;ENCODEURL(B687)&amp;"&amp;telefono="&amp;SUBSTITUTE(C687,"-","")&amp;"&amp;referencia="&amp;ENCODEURL(E687)&amp;"&amp;lat="&amp;IZQUIERDA(SUBSTITUTE(F687," ",""),ENCONTRAR(",",SUBSTITUTE(F687," ",""))-1)&amp;"&amp;lng="&amp;DERECHA(SUBSTITUTE(F687," ",""),LARGO(SUBSTITUTE(F687," ",""))-ENCONTRAR(",",SUBSTITUTE(F687," ",""))),"")</f>
        <v/>
      </c>
    </row>
    <row r="688" ht="15.75" customHeight="1" s="10">
      <c r="A688" s="8">
        <f>CONCAT("AD507-",TEXT(ROW()-2,"0000"))</f>
        <v/>
      </c>
      <c r="C688" s="8" t="n"/>
      <c r="F688" s="8" t="n"/>
      <c r="G688" s="8">
        <f>IF(F688&lt;&gt;"",HYPERLINK("https://www.google.com/maps/search/?api=1&amp;query="&amp;SUBSTITUTE(F688," ",""),"🗺 Google Maps"),"")</f>
        <v/>
      </c>
      <c r="H688" s="8">
        <f>IF(F688&lt;&gt;"",HYPERLINK("https://waze.com/ul?ll="&amp;SUBSTITUTE(F688," ","")&amp;"&amp;navigate=yes","🚗 Waze"),"")</f>
        <v/>
      </c>
      <c r="I688" s="8">
        <f>IF(F688&lt;&gt;"",HYPERLINK("https://m.uber.com/ul/?action=setPickup&amp;pickup=my_location&amp;dropoff[latitude]="&amp;LEFT(SUBSTITUTE(F688," ",""),FIND(",",SUBSTITUTE(F688," ",""))-1)&amp;"&amp;dropoff[longitude]="&amp;MID(SUBSTITUTE(F688," ",""),FIND(",",SUBSTITUTE(F688," ",""))+1,99),"🚕 Uber"),"")</f>
        <v/>
      </c>
      <c r="J688" s="8">
        <f>IF(F688&lt;&gt;"","https://api.qrserver.com/v1/create-qr-code/?size=200x200&amp;data="&amp;ENCODEURL("https://www.google.com/maps/search/?api=1&amp;query="&amp;SUBSTITUTE(F688," ","")),"")</f>
        <v/>
      </c>
      <c r="K688" s="8">
        <f>IF(C688&lt;&gt;"",HYPERLINK("https://wa.me/507"&amp;REGEXREPLACE(C688,"[^0-9]","")&amp;"?text="&amp;ENCODEURL("Ya llegue. Codigo: "&amp;A688&amp;". Ubicacion: "&amp;"https://www.google.com/maps/search/?api=1&amp;query="&amp;SUBSTITUTE(F688," ","")),"📲 Avisar al cliente"),"")</f>
        <v/>
      </c>
      <c r="L688" s="8">
        <f>IF(C688&lt;&gt;"","https://api.qrserver.com/v1/create-qr-code/?size=200x200&amp;data="&amp;ENCODEURL("https://wa.me/507"&amp;REGEXREPLACE(C688,"[^0-9]","")&amp;"?text="&amp;ENCODEURL("Ya llegue. Codigo: "&amp;A688&amp;". Ubicacion: "&amp;"https://www.google.com/maps/search/?api=1&amp;query="&amp;SUBSTITUTE(F688," ",""))),"")</f>
        <v/>
      </c>
      <c r="M688" s="8">
        <f>IF(B688&lt;&gt;"",TODAY(),"")</f>
        <v/>
      </c>
      <c r="N688" s="8">
        <f>IF(F688&lt;&gt;"",IFERROR(IF(AND(REGEXMATCH(SUBSTITUTE(TRIM(F688)," ",""),"^-?\d+(\.\d+)?,-?\d+(\.\d+)?$"),VALUE(REGEXEXTRACT(SUBSTITUTE(TRIM(F688)," ",""),"^-?\d+(\.\d+)?"))&gt;=-90,VALUE(REGEXEXTRACT(SUBSTITUTE(TRIM(F688)," ",""),"^-?\d+(\.\d+)?"))&lt;=90,VALUE(REGEXEXTRACT(SUBSTITUTE(TRIM(F688)," ",""),"-?\d+(\.\d+)?$"))&gt;=-180,VALUE(REGEXEXTRACT(SUBSTITUTE(TRIM(F688)," ",""),"-?\d+(\.\d+)?$"))&lt;=180),"OK","REVISAR"),"REVISAR"),"")</f>
        <v/>
      </c>
      <c r="O688">
        <f>IF(A688&lt;&gt;"","https://direcciones507.github.io/direcciones507/panel.html?codigo="&amp;A688&amp;"&amp;nombre="&amp;ENCODEURL(B688)&amp;"&amp;telefono="&amp;SUBSTITUTE(C688,"-","")&amp;"&amp;referencia="&amp;ENCODEURL(E688)&amp;"&amp;lat="&amp;IZQUIERDA(SUBSTITUTE(F688," ",""),ENCONTRAR(",",SUBSTITUTE(F688," ",""))-1)&amp;"&amp;lng="&amp;DERECHA(SUBSTITUTE(F688," ",""),LARGO(SUBSTITUTE(F688," ",""))-ENCONTRAR(",",SUBSTITUTE(F688," ",""))),"")</f>
        <v/>
      </c>
    </row>
    <row r="689" ht="15.75" customHeight="1" s="10">
      <c r="A689" s="8">
        <f>CONCAT("AD507-",TEXT(ROW()-2,"0000"))</f>
        <v/>
      </c>
      <c r="C689" s="8" t="n"/>
      <c r="F689" s="8" t="n"/>
      <c r="G689" s="8">
        <f>IF(F689&lt;&gt;"",HYPERLINK("https://www.google.com/maps/search/?api=1&amp;query="&amp;SUBSTITUTE(F689," ",""),"🗺 Google Maps"),"")</f>
        <v/>
      </c>
      <c r="H689" s="8">
        <f>IF(F689&lt;&gt;"",HYPERLINK("https://waze.com/ul?ll="&amp;SUBSTITUTE(F689," ","")&amp;"&amp;navigate=yes","🚗 Waze"),"")</f>
        <v/>
      </c>
      <c r="I689" s="8">
        <f>IF(F689&lt;&gt;"",HYPERLINK("https://m.uber.com/ul/?action=setPickup&amp;pickup=my_location&amp;dropoff[latitude]="&amp;LEFT(SUBSTITUTE(F689," ",""),FIND(",",SUBSTITUTE(F689," ",""))-1)&amp;"&amp;dropoff[longitude]="&amp;MID(SUBSTITUTE(F689," ",""),FIND(",",SUBSTITUTE(F689," ",""))+1,99),"🚕 Uber"),"")</f>
        <v/>
      </c>
      <c r="J689" s="8">
        <f>IF(F689&lt;&gt;"","https://api.qrserver.com/v1/create-qr-code/?size=200x200&amp;data="&amp;ENCODEURL("https://www.google.com/maps/search/?api=1&amp;query="&amp;SUBSTITUTE(F689," ","")),"")</f>
        <v/>
      </c>
      <c r="K689" s="8">
        <f>IF(C689&lt;&gt;"",HYPERLINK("https://wa.me/507"&amp;REGEXREPLACE(C689,"[^0-9]","")&amp;"?text="&amp;ENCODEURL("Ya llegue. Codigo: "&amp;A689&amp;". Ubicacion: "&amp;"https://www.google.com/maps/search/?api=1&amp;query="&amp;SUBSTITUTE(F689," ","")),"📲 Avisar al cliente"),"")</f>
        <v/>
      </c>
      <c r="L689" s="8">
        <f>IF(C689&lt;&gt;"","https://api.qrserver.com/v1/create-qr-code/?size=200x200&amp;data="&amp;ENCODEURL("https://wa.me/507"&amp;REGEXREPLACE(C689,"[^0-9]","")&amp;"?text="&amp;ENCODEURL("Ya llegue. Codigo: "&amp;A689&amp;". Ubicacion: "&amp;"https://www.google.com/maps/search/?api=1&amp;query="&amp;SUBSTITUTE(F689," ",""))),"")</f>
        <v/>
      </c>
      <c r="M689" s="8">
        <f>IF(B689&lt;&gt;"",TODAY(),"")</f>
        <v/>
      </c>
      <c r="N689" s="8">
        <f>IF(F689&lt;&gt;"",IFERROR(IF(AND(REGEXMATCH(SUBSTITUTE(TRIM(F689)," ",""),"^-?\d+(\.\d+)?,-?\d+(\.\d+)?$"),VALUE(REGEXEXTRACT(SUBSTITUTE(TRIM(F689)," ",""),"^-?\d+(\.\d+)?"))&gt;=-90,VALUE(REGEXEXTRACT(SUBSTITUTE(TRIM(F689)," ",""),"^-?\d+(\.\d+)?"))&lt;=90,VALUE(REGEXEXTRACT(SUBSTITUTE(TRIM(F689)," ",""),"-?\d+(\.\d+)?$"))&gt;=-180,VALUE(REGEXEXTRACT(SUBSTITUTE(TRIM(F689)," ",""),"-?\d+(\.\d+)?$"))&lt;=180),"OK","REVISAR"),"REVISAR"),"")</f>
        <v/>
      </c>
      <c r="O689">
        <f>IF(A689&lt;&gt;"","https://direcciones507.github.io/direcciones507/panel.html?codigo="&amp;A689&amp;"&amp;nombre="&amp;ENCODEURL(B689)&amp;"&amp;telefono="&amp;SUBSTITUTE(C689,"-","")&amp;"&amp;referencia="&amp;ENCODEURL(E689)&amp;"&amp;lat="&amp;IZQUIERDA(SUBSTITUTE(F689," ",""),ENCONTRAR(",",SUBSTITUTE(F689," ",""))-1)&amp;"&amp;lng="&amp;DERECHA(SUBSTITUTE(F689," ",""),LARGO(SUBSTITUTE(F689," ",""))-ENCONTRAR(",",SUBSTITUTE(F689," ",""))),"")</f>
        <v/>
      </c>
    </row>
    <row r="690" ht="15.75" customHeight="1" s="10">
      <c r="A690" s="8">
        <f>CONCAT("AD507-",TEXT(ROW()-2,"0000"))</f>
        <v/>
      </c>
      <c r="C690" s="8" t="n"/>
      <c r="F690" s="8" t="n"/>
      <c r="G690" s="8">
        <f>IF(F690&lt;&gt;"",HYPERLINK("https://www.google.com/maps/search/?api=1&amp;query="&amp;SUBSTITUTE(F690," ",""),"🗺 Google Maps"),"")</f>
        <v/>
      </c>
      <c r="H690" s="8">
        <f>IF(F690&lt;&gt;"",HYPERLINK("https://waze.com/ul?ll="&amp;SUBSTITUTE(F690," ","")&amp;"&amp;navigate=yes","🚗 Waze"),"")</f>
        <v/>
      </c>
      <c r="I690" s="8">
        <f>IF(F690&lt;&gt;"",HYPERLINK("https://m.uber.com/ul/?action=setPickup&amp;pickup=my_location&amp;dropoff[latitude]="&amp;LEFT(SUBSTITUTE(F690," ",""),FIND(",",SUBSTITUTE(F690," ",""))-1)&amp;"&amp;dropoff[longitude]="&amp;MID(SUBSTITUTE(F690," ",""),FIND(",",SUBSTITUTE(F690," ",""))+1,99),"🚕 Uber"),"")</f>
        <v/>
      </c>
      <c r="J690" s="8">
        <f>IF(F690&lt;&gt;"","https://api.qrserver.com/v1/create-qr-code/?size=200x200&amp;data="&amp;ENCODEURL("https://www.google.com/maps/search/?api=1&amp;query="&amp;SUBSTITUTE(F690," ","")),"")</f>
        <v/>
      </c>
      <c r="K690" s="8">
        <f>IF(C690&lt;&gt;"",HYPERLINK("https://wa.me/507"&amp;REGEXREPLACE(C690,"[^0-9]","")&amp;"?text="&amp;ENCODEURL("Ya llegue. Codigo: "&amp;A690&amp;". Ubicacion: "&amp;"https://www.google.com/maps/search/?api=1&amp;query="&amp;SUBSTITUTE(F690," ","")),"📲 Avisar al cliente"),"")</f>
        <v/>
      </c>
      <c r="L690" s="8">
        <f>IF(C690&lt;&gt;"","https://api.qrserver.com/v1/create-qr-code/?size=200x200&amp;data="&amp;ENCODEURL("https://wa.me/507"&amp;REGEXREPLACE(C690,"[^0-9]","")&amp;"?text="&amp;ENCODEURL("Ya llegue. Codigo: "&amp;A690&amp;". Ubicacion: "&amp;"https://www.google.com/maps/search/?api=1&amp;query="&amp;SUBSTITUTE(F690," ",""))),"")</f>
        <v/>
      </c>
      <c r="M690" s="8">
        <f>IF(B690&lt;&gt;"",TODAY(),"")</f>
        <v/>
      </c>
      <c r="N690" s="8">
        <f>IF(F690&lt;&gt;"",IFERROR(IF(AND(REGEXMATCH(SUBSTITUTE(TRIM(F690)," ",""),"^-?\d+(\.\d+)?,-?\d+(\.\d+)?$"),VALUE(REGEXEXTRACT(SUBSTITUTE(TRIM(F690)," ",""),"^-?\d+(\.\d+)?"))&gt;=-90,VALUE(REGEXEXTRACT(SUBSTITUTE(TRIM(F690)," ",""),"^-?\d+(\.\d+)?"))&lt;=90,VALUE(REGEXEXTRACT(SUBSTITUTE(TRIM(F690)," ",""),"-?\d+(\.\d+)?$"))&gt;=-180,VALUE(REGEXEXTRACT(SUBSTITUTE(TRIM(F690)," ",""),"-?\d+(\.\d+)?$"))&lt;=180),"OK","REVISAR"),"REVISAR"),"")</f>
        <v/>
      </c>
      <c r="O690">
        <f>IF(A690&lt;&gt;"","https://direcciones507.github.io/direcciones507/panel.html?codigo="&amp;A690&amp;"&amp;nombre="&amp;ENCODEURL(B690)&amp;"&amp;telefono="&amp;SUBSTITUTE(C690,"-","")&amp;"&amp;referencia="&amp;ENCODEURL(E690)&amp;"&amp;lat="&amp;IZQUIERDA(SUBSTITUTE(F690," ",""),ENCONTRAR(",",SUBSTITUTE(F690," ",""))-1)&amp;"&amp;lng="&amp;DERECHA(SUBSTITUTE(F690," ",""),LARGO(SUBSTITUTE(F690," ",""))-ENCONTRAR(",",SUBSTITUTE(F690," ",""))),"")</f>
        <v/>
      </c>
    </row>
    <row r="691" ht="15.75" customHeight="1" s="10">
      <c r="A691" s="8">
        <f>CONCAT("AD507-",TEXT(ROW()-2,"0000"))</f>
        <v/>
      </c>
      <c r="C691" s="8" t="n"/>
      <c r="F691" s="8" t="n"/>
      <c r="G691" s="8">
        <f>IF(F691&lt;&gt;"",HYPERLINK("https://www.google.com/maps/search/?api=1&amp;query="&amp;SUBSTITUTE(F691," ",""),"🗺 Google Maps"),"")</f>
        <v/>
      </c>
      <c r="H691" s="8">
        <f>IF(F691&lt;&gt;"",HYPERLINK("https://waze.com/ul?ll="&amp;SUBSTITUTE(F691," ","")&amp;"&amp;navigate=yes","🚗 Waze"),"")</f>
        <v/>
      </c>
      <c r="I691" s="8">
        <f>IF(F691&lt;&gt;"",HYPERLINK("https://m.uber.com/ul/?action=setPickup&amp;pickup=my_location&amp;dropoff[latitude]="&amp;LEFT(SUBSTITUTE(F691," ",""),FIND(",",SUBSTITUTE(F691," ",""))-1)&amp;"&amp;dropoff[longitude]="&amp;MID(SUBSTITUTE(F691," ",""),FIND(",",SUBSTITUTE(F691," ",""))+1,99),"🚕 Uber"),"")</f>
        <v/>
      </c>
      <c r="J691" s="8">
        <f>IF(F691&lt;&gt;"","https://api.qrserver.com/v1/create-qr-code/?size=200x200&amp;data="&amp;ENCODEURL("https://www.google.com/maps/search/?api=1&amp;query="&amp;SUBSTITUTE(F691," ","")),"")</f>
        <v/>
      </c>
      <c r="K691" s="8">
        <f>IF(C691&lt;&gt;"",HYPERLINK("https://wa.me/507"&amp;REGEXREPLACE(C691,"[^0-9]","")&amp;"?text="&amp;ENCODEURL("Ya llegue. Codigo: "&amp;A691&amp;". Ubicacion: "&amp;"https://www.google.com/maps/search/?api=1&amp;query="&amp;SUBSTITUTE(F691," ","")),"📲 Avisar al cliente"),"")</f>
        <v/>
      </c>
      <c r="L691" s="8">
        <f>IF(C691&lt;&gt;"","https://api.qrserver.com/v1/create-qr-code/?size=200x200&amp;data="&amp;ENCODEURL("https://wa.me/507"&amp;REGEXREPLACE(C691,"[^0-9]","")&amp;"?text="&amp;ENCODEURL("Ya llegue. Codigo: "&amp;A691&amp;". Ubicacion: "&amp;"https://www.google.com/maps/search/?api=1&amp;query="&amp;SUBSTITUTE(F691," ",""))),"")</f>
        <v/>
      </c>
      <c r="M691" s="8">
        <f>IF(B691&lt;&gt;"",TODAY(),"")</f>
        <v/>
      </c>
      <c r="N691" s="8">
        <f>IF(F691&lt;&gt;"",IFERROR(IF(AND(REGEXMATCH(SUBSTITUTE(TRIM(F691)," ",""),"^-?\d+(\.\d+)?,-?\d+(\.\d+)?$"),VALUE(REGEXEXTRACT(SUBSTITUTE(TRIM(F691)," ",""),"^-?\d+(\.\d+)?"))&gt;=-90,VALUE(REGEXEXTRACT(SUBSTITUTE(TRIM(F691)," ",""),"^-?\d+(\.\d+)?"))&lt;=90,VALUE(REGEXEXTRACT(SUBSTITUTE(TRIM(F691)," ",""),"-?\d+(\.\d+)?$"))&gt;=-180,VALUE(REGEXEXTRACT(SUBSTITUTE(TRIM(F691)," ",""),"-?\d+(\.\d+)?$"))&lt;=180),"OK","REVISAR"),"REVISAR"),"")</f>
        <v/>
      </c>
      <c r="O691">
        <f>IF(A691&lt;&gt;"","https://direcciones507.github.io/direcciones507/panel.html?codigo="&amp;A691&amp;"&amp;nombre="&amp;ENCODEURL(B691)&amp;"&amp;telefono="&amp;SUBSTITUTE(C691,"-","")&amp;"&amp;referencia="&amp;ENCODEURL(E691)&amp;"&amp;lat="&amp;IZQUIERDA(SUBSTITUTE(F691," ",""),ENCONTRAR(",",SUBSTITUTE(F691," ",""))-1)&amp;"&amp;lng="&amp;DERECHA(SUBSTITUTE(F691," ",""),LARGO(SUBSTITUTE(F691," ",""))-ENCONTRAR(",",SUBSTITUTE(F691," ",""))),"")</f>
        <v/>
      </c>
    </row>
    <row r="692" ht="15.75" customHeight="1" s="10">
      <c r="A692" s="8">
        <f>CONCAT("AD507-",TEXT(ROW()-2,"0000"))</f>
        <v/>
      </c>
      <c r="C692" s="8" t="n"/>
      <c r="F692" s="8" t="n"/>
      <c r="G692" s="8">
        <f>IF(F692&lt;&gt;"",HYPERLINK("https://www.google.com/maps/search/?api=1&amp;query="&amp;SUBSTITUTE(F692," ",""),"🗺 Google Maps"),"")</f>
        <v/>
      </c>
      <c r="H692" s="8">
        <f>IF(F692&lt;&gt;"",HYPERLINK("https://waze.com/ul?ll="&amp;SUBSTITUTE(F692," ","")&amp;"&amp;navigate=yes","🚗 Waze"),"")</f>
        <v/>
      </c>
      <c r="I692" s="8">
        <f>IF(F692&lt;&gt;"",HYPERLINK("https://m.uber.com/ul/?action=setPickup&amp;pickup=my_location&amp;dropoff[latitude]="&amp;LEFT(SUBSTITUTE(F692," ",""),FIND(",",SUBSTITUTE(F692," ",""))-1)&amp;"&amp;dropoff[longitude]="&amp;MID(SUBSTITUTE(F692," ",""),FIND(",",SUBSTITUTE(F692," ",""))+1,99),"🚕 Uber"),"")</f>
        <v/>
      </c>
      <c r="J692" s="8">
        <f>IF(F692&lt;&gt;"","https://api.qrserver.com/v1/create-qr-code/?size=200x200&amp;data="&amp;ENCODEURL("https://www.google.com/maps/search/?api=1&amp;query="&amp;SUBSTITUTE(F692," ","")),"")</f>
        <v/>
      </c>
      <c r="K692" s="8">
        <f>IF(C692&lt;&gt;"",HYPERLINK("https://wa.me/507"&amp;REGEXREPLACE(C692,"[^0-9]","")&amp;"?text="&amp;ENCODEURL("Ya llegue. Codigo: "&amp;A692&amp;". Ubicacion: "&amp;"https://www.google.com/maps/search/?api=1&amp;query="&amp;SUBSTITUTE(F692," ","")),"📲 Avisar al cliente"),"")</f>
        <v/>
      </c>
      <c r="L692" s="8">
        <f>IF(C692&lt;&gt;"","https://api.qrserver.com/v1/create-qr-code/?size=200x200&amp;data="&amp;ENCODEURL("https://wa.me/507"&amp;REGEXREPLACE(C692,"[^0-9]","")&amp;"?text="&amp;ENCODEURL("Ya llegue. Codigo: "&amp;A692&amp;". Ubicacion: "&amp;"https://www.google.com/maps/search/?api=1&amp;query="&amp;SUBSTITUTE(F692," ",""))),"")</f>
        <v/>
      </c>
      <c r="M692" s="8">
        <f>IF(B692&lt;&gt;"",TODAY(),"")</f>
        <v/>
      </c>
      <c r="N692" s="8">
        <f>IF(F692&lt;&gt;"",IFERROR(IF(AND(REGEXMATCH(SUBSTITUTE(TRIM(F692)," ",""),"^-?\d+(\.\d+)?,-?\d+(\.\d+)?$"),VALUE(REGEXEXTRACT(SUBSTITUTE(TRIM(F692)," ",""),"^-?\d+(\.\d+)?"))&gt;=-90,VALUE(REGEXEXTRACT(SUBSTITUTE(TRIM(F692)," ",""),"^-?\d+(\.\d+)?"))&lt;=90,VALUE(REGEXEXTRACT(SUBSTITUTE(TRIM(F692)," ",""),"-?\d+(\.\d+)?$"))&gt;=-180,VALUE(REGEXEXTRACT(SUBSTITUTE(TRIM(F692)," ",""),"-?\d+(\.\d+)?$"))&lt;=180),"OK","REVISAR"),"REVISAR"),"")</f>
        <v/>
      </c>
      <c r="O692">
        <f>IF(A692&lt;&gt;"","https://direcciones507.github.io/direcciones507/panel.html?codigo="&amp;A692&amp;"&amp;nombre="&amp;ENCODEURL(B692)&amp;"&amp;telefono="&amp;SUBSTITUTE(C692,"-","")&amp;"&amp;referencia="&amp;ENCODEURL(E692)&amp;"&amp;lat="&amp;IZQUIERDA(SUBSTITUTE(F692," ",""),ENCONTRAR(",",SUBSTITUTE(F692," ",""))-1)&amp;"&amp;lng="&amp;DERECHA(SUBSTITUTE(F692," ",""),LARGO(SUBSTITUTE(F692," ",""))-ENCONTRAR(",",SUBSTITUTE(F692," ",""))),"")</f>
        <v/>
      </c>
    </row>
    <row r="693" ht="15.75" customHeight="1" s="10">
      <c r="A693" s="8">
        <f>CONCAT("AD507-",TEXT(ROW()-2,"0000"))</f>
        <v/>
      </c>
      <c r="C693" s="8" t="n"/>
      <c r="F693" s="8" t="n"/>
      <c r="G693" s="8">
        <f>IF(F693&lt;&gt;"",HYPERLINK("https://www.google.com/maps/search/?api=1&amp;query="&amp;SUBSTITUTE(F693," ",""),"🗺 Google Maps"),"")</f>
        <v/>
      </c>
      <c r="H693" s="8">
        <f>IF(F693&lt;&gt;"",HYPERLINK("https://waze.com/ul?ll="&amp;SUBSTITUTE(F693," ","")&amp;"&amp;navigate=yes","🚗 Waze"),"")</f>
        <v/>
      </c>
      <c r="I693" s="8">
        <f>IF(F693&lt;&gt;"",HYPERLINK("https://m.uber.com/ul/?action=setPickup&amp;pickup=my_location&amp;dropoff[latitude]="&amp;LEFT(SUBSTITUTE(F693," ",""),FIND(",",SUBSTITUTE(F693," ",""))-1)&amp;"&amp;dropoff[longitude]="&amp;MID(SUBSTITUTE(F693," ",""),FIND(",",SUBSTITUTE(F693," ",""))+1,99),"🚕 Uber"),"")</f>
        <v/>
      </c>
      <c r="J693" s="8">
        <f>IF(F693&lt;&gt;"","https://api.qrserver.com/v1/create-qr-code/?size=200x200&amp;data="&amp;ENCODEURL("https://www.google.com/maps/search/?api=1&amp;query="&amp;SUBSTITUTE(F693," ","")),"")</f>
        <v/>
      </c>
      <c r="K693" s="8">
        <f>IF(C693&lt;&gt;"",HYPERLINK("https://wa.me/507"&amp;REGEXREPLACE(C693,"[^0-9]","")&amp;"?text="&amp;ENCODEURL("Ya llegue. Codigo: "&amp;A693&amp;". Ubicacion: "&amp;"https://www.google.com/maps/search/?api=1&amp;query="&amp;SUBSTITUTE(F693," ","")),"📲 Avisar al cliente"),"")</f>
        <v/>
      </c>
      <c r="L693" s="8">
        <f>IF(C693&lt;&gt;"","https://api.qrserver.com/v1/create-qr-code/?size=200x200&amp;data="&amp;ENCODEURL("https://wa.me/507"&amp;REGEXREPLACE(C693,"[^0-9]","")&amp;"?text="&amp;ENCODEURL("Ya llegue. Codigo: "&amp;A693&amp;". Ubicacion: "&amp;"https://www.google.com/maps/search/?api=1&amp;query="&amp;SUBSTITUTE(F693," ",""))),"")</f>
        <v/>
      </c>
      <c r="M693" s="8">
        <f>IF(B693&lt;&gt;"",TODAY(),"")</f>
        <v/>
      </c>
      <c r="N693" s="8">
        <f>IF(F693&lt;&gt;"",IFERROR(IF(AND(REGEXMATCH(SUBSTITUTE(TRIM(F693)," ",""),"^-?\d+(\.\d+)?,-?\d+(\.\d+)?$"),VALUE(REGEXEXTRACT(SUBSTITUTE(TRIM(F693)," ",""),"^-?\d+(\.\d+)?"))&gt;=-90,VALUE(REGEXEXTRACT(SUBSTITUTE(TRIM(F693)," ",""),"^-?\d+(\.\d+)?"))&lt;=90,VALUE(REGEXEXTRACT(SUBSTITUTE(TRIM(F693)," ",""),"-?\d+(\.\d+)?$"))&gt;=-180,VALUE(REGEXEXTRACT(SUBSTITUTE(TRIM(F693)," ",""),"-?\d+(\.\d+)?$"))&lt;=180),"OK","REVISAR"),"REVISAR"),"")</f>
        <v/>
      </c>
      <c r="O693">
        <f>IF(A693&lt;&gt;"","https://direcciones507.github.io/direcciones507/panel.html?codigo="&amp;A693&amp;"&amp;nombre="&amp;ENCODEURL(B693)&amp;"&amp;telefono="&amp;SUBSTITUTE(C693,"-","")&amp;"&amp;referencia="&amp;ENCODEURL(E693)&amp;"&amp;lat="&amp;IZQUIERDA(SUBSTITUTE(F693," ",""),ENCONTRAR(",",SUBSTITUTE(F693," ",""))-1)&amp;"&amp;lng="&amp;DERECHA(SUBSTITUTE(F693," ",""),LARGO(SUBSTITUTE(F693," ",""))-ENCONTRAR(",",SUBSTITUTE(F693," ",""))),"")</f>
        <v/>
      </c>
    </row>
    <row r="694" ht="15.75" customHeight="1" s="10">
      <c r="A694" s="8">
        <f>CONCAT("AD507-",TEXT(ROW()-2,"0000"))</f>
        <v/>
      </c>
      <c r="C694" s="8" t="n"/>
      <c r="F694" s="8" t="n"/>
      <c r="G694" s="8">
        <f>IF(F694&lt;&gt;"",HYPERLINK("https://www.google.com/maps/search/?api=1&amp;query="&amp;SUBSTITUTE(F694," ",""),"🗺 Google Maps"),"")</f>
        <v/>
      </c>
      <c r="H694" s="8">
        <f>IF(F694&lt;&gt;"",HYPERLINK("https://waze.com/ul?ll="&amp;SUBSTITUTE(F694," ","")&amp;"&amp;navigate=yes","🚗 Waze"),"")</f>
        <v/>
      </c>
      <c r="I694" s="8">
        <f>IF(F694&lt;&gt;"",HYPERLINK("https://m.uber.com/ul/?action=setPickup&amp;pickup=my_location&amp;dropoff[latitude]="&amp;LEFT(SUBSTITUTE(F694," ",""),FIND(",",SUBSTITUTE(F694," ",""))-1)&amp;"&amp;dropoff[longitude]="&amp;MID(SUBSTITUTE(F694," ",""),FIND(",",SUBSTITUTE(F694," ",""))+1,99),"🚕 Uber"),"")</f>
        <v/>
      </c>
      <c r="J694" s="8">
        <f>IF(F694&lt;&gt;"","https://api.qrserver.com/v1/create-qr-code/?size=200x200&amp;data="&amp;ENCODEURL("https://www.google.com/maps/search/?api=1&amp;query="&amp;SUBSTITUTE(F694," ","")),"")</f>
        <v/>
      </c>
      <c r="K694" s="8">
        <f>IF(C694&lt;&gt;"",HYPERLINK("https://wa.me/507"&amp;REGEXREPLACE(C694,"[^0-9]","")&amp;"?text="&amp;ENCODEURL("Ya llegue. Codigo: "&amp;A694&amp;". Ubicacion: "&amp;"https://www.google.com/maps/search/?api=1&amp;query="&amp;SUBSTITUTE(F694," ","")),"📲 Avisar al cliente"),"")</f>
        <v/>
      </c>
      <c r="L694" s="8">
        <f>IF(C694&lt;&gt;"","https://api.qrserver.com/v1/create-qr-code/?size=200x200&amp;data="&amp;ENCODEURL("https://wa.me/507"&amp;REGEXREPLACE(C694,"[^0-9]","")&amp;"?text="&amp;ENCODEURL("Ya llegue. Codigo: "&amp;A694&amp;". Ubicacion: "&amp;"https://www.google.com/maps/search/?api=1&amp;query="&amp;SUBSTITUTE(F694," ",""))),"")</f>
        <v/>
      </c>
      <c r="M694" s="8">
        <f>IF(B694&lt;&gt;"",TODAY(),"")</f>
        <v/>
      </c>
      <c r="N694" s="8">
        <f>IF(F694&lt;&gt;"",IFERROR(IF(AND(REGEXMATCH(SUBSTITUTE(TRIM(F694)," ",""),"^-?\d+(\.\d+)?,-?\d+(\.\d+)?$"),VALUE(REGEXEXTRACT(SUBSTITUTE(TRIM(F694)," ",""),"^-?\d+(\.\d+)?"))&gt;=-90,VALUE(REGEXEXTRACT(SUBSTITUTE(TRIM(F694)," ",""),"^-?\d+(\.\d+)?"))&lt;=90,VALUE(REGEXEXTRACT(SUBSTITUTE(TRIM(F694)," ",""),"-?\d+(\.\d+)?$"))&gt;=-180,VALUE(REGEXEXTRACT(SUBSTITUTE(TRIM(F694)," ",""),"-?\d+(\.\d+)?$"))&lt;=180),"OK","REVISAR"),"REVISAR"),"")</f>
        <v/>
      </c>
      <c r="O694">
        <f>IF(A694&lt;&gt;"","https://direcciones507.github.io/direcciones507/panel.html?codigo="&amp;A694&amp;"&amp;nombre="&amp;ENCODEURL(B694)&amp;"&amp;telefono="&amp;SUBSTITUTE(C694,"-","")&amp;"&amp;referencia="&amp;ENCODEURL(E694)&amp;"&amp;lat="&amp;IZQUIERDA(SUBSTITUTE(F694," ",""),ENCONTRAR(",",SUBSTITUTE(F694," ",""))-1)&amp;"&amp;lng="&amp;DERECHA(SUBSTITUTE(F694," ",""),LARGO(SUBSTITUTE(F694," ",""))-ENCONTRAR(",",SUBSTITUTE(F694," ",""))),"")</f>
        <v/>
      </c>
    </row>
    <row r="695" ht="15.75" customHeight="1" s="10">
      <c r="A695" s="8">
        <f>CONCAT("AD507-",TEXT(ROW()-2,"0000"))</f>
        <v/>
      </c>
      <c r="C695" s="8" t="n"/>
      <c r="F695" s="8" t="n"/>
      <c r="G695" s="8">
        <f>IF(F695&lt;&gt;"",HYPERLINK("https://www.google.com/maps/search/?api=1&amp;query="&amp;SUBSTITUTE(F695," ",""),"🗺 Google Maps"),"")</f>
        <v/>
      </c>
      <c r="H695" s="8">
        <f>IF(F695&lt;&gt;"",HYPERLINK("https://waze.com/ul?ll="&amp;SUBSTITUTE(F695," ","")&amp;"&amp;navigate=yes","🚗 Waze"),"")</f>
        <v/>
      </c>
      <c r="I695" s="8">
        <f>IF(F695&lt;&gt;"",HYPERLINK("https://m.uber.com/ul/?action=setPickup&amp;pickup=my_location&amp;dropoff[latitude]="&amp;LEFT(SUBSTITUTE(F695," ",""),FIND(",",SUBSTITUTE(F695," ",""))-1)&amp;"&amp;dropoff[longitude]="&amp;MID(SUBSTITUTE(F695," ",""),FIND(",",SUBSTITUTE(F695," ",""))+1,99),"🚕 Uber"),"")</f>
        <v/>
      </c>
      <c r="J695" s="8">
        <f>IF(F695&lt;&gt;"","https://api.qrserver.com/v1/create-qr-code/?size=200x200&amp;data="&amp;ENCODEURL("https://www.google.com/maps/search/?api=1&amp;query="&amp;SUBSTITUTE(F695," ","")),"")</f>
        <v/>
      </c>
      <c r="K695" s="8">
        <f>IF(C695&lt;&gt;"",HYPERLINK("https://wa.me/507"&amp;REGEXREPLACE(C695,"[^0-9]","")&amp;"?text="&amp;ENCODEURL("Ya llegue. Codigo: "&amp;A695&amp;". Ubicacion: "&amp;"https://www.google.com/maps/search/?api=1&amp;query="&amp;SUBSTITUTE(F695," ","")),"📲 Avisar al cliente"),"")</f>
        <v/>
      </c>
      <c r="L695" s="8">
        <f>IF(C695&lt;&gt;"","https://api.qrserver.com/v1/create-qr-code/?size=200x200&amp;data="&amp;ENCODEURL("https://wa.me/507"&amp;REGEXREPLACE(C695,"[^0-9]","")&amp;"?text="&amp;ENCODEURL("Ya llegue. Codigo: "&amp;A695&amp;". Ubicacion: "&amp;"https://www.google.com/maps/search/?api=1&amp;query="&amp;SUBSTITUTE(F695," ",""))),"")</f>
        <v/>
      </c>
      <c r="M695" s="8">
        <f>IF(B695&lt;&gt;"",TODAY(),"")</f>
        <v/>
      </c>
      <c r="N695" s="8">
        <f>IF(F695&lt;&gt;"",IFERROR(IF(AND(REGEXMATCH(SUBSTITUTE(TRIM(F695)," ",""),"^-?\d+(\.\d+)?,-?\d+(\.\d+)?$"),VALUE(REGEXEXTRACT(SUBSTITUTE(TRIM(F695)," ",""),"^-?\d+(\.\d+)?"))&gt;=-90,VALUE(REGEXEXTRACT(SUBSTITUTE(TRIM(F695)," ",""),"^-?\d+(\.\d+)?"))&lt;=90,VALUE(REGEXEXTRACT(SUBSTITUTE(TRIM(F695)," ",""),"-?\d+(\.\d+)?$"))&gt;=-180,VALUE(REGEXEXTRACT(SUBSTITUTE(TRIM(F695)," ",""),"-?\d+(\.\d+)?$"))&lt;=180),"OK","REVISAR"),"REVISAR"),"")</f>
        <v/>
      </c>
      <c r="O695">
        <f>IF(A695&lt;&gt;"","https://direcciones507.github.io/direcciones507/panel.html?codigo="&amp;A695&amp;"&amp;nombre="&amp;ENCODEURL(B695)&amp;"&amp;telefono="&amp;SUBSTITUTE(C695,"-","")&amp;"&amp;referencia="&amp;ENCODEURL(E695)&amp;"&amp;lat="&amp;IZQUIERDA(SUBSTITUTE(F695," ",""),ENCONTRAR(",",SUBSTITUTE(F695," ",""))-1)&amp;"&amp;lng="&amp;DERECHA(SUBSTITUTE(F695," ",""),LARGO(SUBSTITUTE(F695," ",""))-ENCONTRAR(",",SUBSTITUTE(F695," ",""))),"")</f>
        <v/>
      </c>
    </row>
    <row r="696" ht="15.75" customHeight="1" s="10">
      <c r="A696" s="8">
        <f>CONCAT("AD507-",TEXT(ROW()-2,"0000"))</f>
        <v/>
      </c>
      <c r="C696" s="8" t="n"/>
      <c r="F696" s="8" t="n"/>
      <c r="G696" s="8">
        <f>IF(F696&lt;&gt;"",HYPERLINK("https://www.google.com/maps/search/?api=1&amp;query="&amp;SUBSTITUTE(F696," ",""),"🗺 Google Maps"),"")</f>
        <v/>
      </c>
      <c r="H696" s="8">
        <f>IF(F696&lt;&gt;"",HYPERLINK("https://waze.com/ul?ll="&amp;SUBSTITUTE(F696," ","")&amp;"&amp;navigate=yes","🚗 Waze"),"")</f>
        <v/>
      </c>
      <c r="I696" s="8">
        <f>IF(F696&lt;&gt;"",HYPERLINK("https://m.uber.com/ul/?action=setPickup&amp;pickup=my_location&amp;dropoff[latitude]="&amp;LEFT(SUBSTITUTE(F696," ",""),FIND(",",SUBSTITUTE(F696," ",""))-1)&amp;"&amp;dropoff[longitude]="&amp;MID(SUBSTITUTE(F696," ",""),FIND(",",SUBSTITUTE(F696," ",""))+1,99),"🚕 Uber"),"")</f>
        <v/>
      </c>
      <c r="J696" s="8">
        <f>IF(F696&lt;&gt;"","https://api.qrserver.com/v1/create-qr-code/?size=200x200&amp;data="&amp;ENCODEURL("https://www.google.com/maps/search/?api=1&amp;query="&amp;SUBSTITUTE(F696," ","")),"")</f>
        <v/>
      </c>
      <c r="K696" s="8">
        <f>IF(C696&lt;&gt;"",HYPERLINK("https://wa.me/507"&amp;REGEXREPLACE(C696,"[^0-9]","")&amp;"?text="&amp;ENCODEURL("Ya llegue. Codigo: "&amp;A696&amp;". Ubicacion: "&amp;"https://www.google.com/maps/search/?api=1&amp;query="&amp;SUBSTITUTE(F696," ","")),"📲 Avisar al cliente"),"")</f>
        <v/>
      </c>
      <c r="L696" s="8">
        <f>IF(C696&lt;&gt;"","https://api.qrserver.com/v1/create-qr-code/?size=200x200&amp;data="&amp;ENCODEURL("https://wa.me/507"&amp;REGEXREPLACE(C696,"[^0-9]","")&amp;"?text="&amp;ENCODEURL("Ya llegue. Codigo: "&amp;A696&amp;". Ubicacion: "&amp;"https://www.google.com/maps/search/?api=1&amp;query="&amp;SUBSTITUTE(F696," ",""))),"")</f>
        <v/>
      </c>
      <c r="M696" s="8">
        <f>IF(B696&lt;&gt;"",TODAY(),"")</f>
        <v/>
      </c>
      <c r="N696" s="8">
        <f>IF(F696&lt;&gt;"",IFERROR(IF(AND(REGEXMATCH(SUBSTITUTE(TRIM(F696)," ",""),"^-?\d+(\.\d+)?,-?\d+(\.\d+)?$"),VALUE(REGEXEXTRACT(SUBSTITUTE(TRIM(F696)," ",""),"^-?\d+(\.\d+)?"))&gt;=-90,VALUE(REGEXEXTRACT(SUBSTITUTE(TRIM(F696)," ",""),"^-?\d+(\.\d+)?"))&lt;=90,VALUE(REGEXEXTRACT(SUBSTITUTE(TRIM(F696)," ",""),"-?\d+(\.\d+)?$"))&gt;=-180,VALUE(REGEXEXTRACT(SUBSTITUTE(TRIM(F696)," ",""),"-?\d+(\.\d+)?$"))&lt;=180),"OK","REVISAR"),"REVISAR"),"")</f>
        <v/>
      </c>
      <c r="O696">
        <f>IF(A696&lt;&gt;"","https://direcciones507.github.io/direcciones507/panel.html?codigo="&amp;A696&amp;"&amp;nombre="&amp;ENCODEURL(B696)&amp;"&amp;telefono="&amp;SUBSTITUTE(C696,"-","")&amp;"&amp;referencia="&amp;ENCODEURL(E696)&amp;"&amp;lat="&amp;IZQUIERDA(SUBSTITUTE(F696," ",""),ENCONTRAR(",",SUBSTITUTE(F696," ",""))-1)&amp;"&amp;lng="&amp;DERECHA(SUBSTITUTE(F696," ",""),LARGO(SUBSTITUTE(F696," ",""))-ENCONTRAR(",",SUBSTITUTE(F696," ",""))),"")</f>
        <v/>
      </c>
    </row>
    <row r="697" ht="15.75" customHeight="1" s="10">
      <c r="A697" s="8">
        <f>CONCAT("AD507-",TEXT(ROW()-2,"0000"))</f>
        <v/>
      </c>
      <c r="C697" s="8" t="n"/>
      <c r="F697" s="8" t="n"/>
      <c r="G697" s="8">
        <f>IF(F697&lt;&gt;"",HYPERLINK("https://www.google.com/maps/search/?api=1&amp;query="&amp;SUBSTITUTE(F697," ",""),"🗺 Google Maps"),"")</f>
        <v/>
      </c>
      <c r="H697" s="8">
        <f>IF(F697&lt;&gt;"",HYPERLINK("https://waze.com/ul?ll="&amp;SUBSTITUTE(F697," ","")&amp;"&amp;navigate=yes","🚗 Waze"),"")</f>
        <v/>
      </c>
      <c r="I697" s="8">
        <f>IF(F697&lt;&gt;"",HYPERLINK("https://m.uber.com/ul/?action=setPickup&amp;pickup=my_location&amp;dropoff[latitude]="&amp;LEFT(SUBSTITUTE(F697," ",""),FIND(",",SUBSTITUTE(F697," ",""))-1)&amp;"&amp;dropoff[longitude]="&amp;MID(SUBSTITUTE(F697," ",""),FIND(",",SUBSTITUTE(F697," ",""))+1,99),"🚕 Uber"),"")</f>
        <v/>
      </c>
      <c r="J697" s="8">
        <f>IF(F697&lt;&gt;"","https://api.qrserver.com/v1/create-qr-code/?size=200x200&amp;data="&amp;ENCODEURL("https://www.google.com/maps/search/?api=1&amp;query="&amp;SUBSTITUTE(F697," ","")),"")</f>
        <v/>
      </c>
      <c r="K697" s="8">
        <f>IF(C697&lt;&gt;"",HYPERLINK("https://wa.me/507"&amp;REGEXREPLACE(C697,"[^0-9]","")&amp;"?text="&amp;ENCODEURL("Ya llegue. Codigo: "&amp;A697&amp;". Ubicacion: "&amp;"https://www.google.com/maps/search/?api=1&amp;query="&amp;SUBSTITUTE(F697," ","")),"📲 Avisar al cliente"),"")</f>
        <v/>
      </c>
      <c r="L697" s="8">
        <f>IF(C697&lt;&gt;"","https://api.qrserver.com/v1/create-qr-code/?size=200x200&amp;data="&amp;ENCODEURL("https://wa.me/507"&amp;REGEXREPLACE(C697,"[^0-9]","")&amp;"?text="&amp;ENCODEURL("Ya llegue. Codigo: "&amp;A697&amp;". Ubicacion: "&amp;"https://www.google.com/maps/search/?api=1&amp;query="&amp;SUBSTITUTE(F697," ",""))),"")</f>
        <v/>
      </c>
      <c r="M697" s="8">
        <f>IF(B697&lt;&gt;"",TODAY(),"")</f>
        <v/>
      </c>
      <c r="N697" s="8">
        <f>IF(F697&lt;&gt;"",IFERROR(IF(AND(REGEXMATCH(SUBSTITUTE(TRIM(F697)," ",""),"^-?\d+(\.\d+)?,-?\d+(\.\d+)?$"),VALUE(REGEXEXTRACT(SUBSTITUTE(TRIM(F697)," ",""),"^-?\d+(\.\d+)?"))&gt;=-90,VALUE(REGEXEXTRACT(SUBSTITUTE(TRIM(F697)," ",""),"^-?\d+(\.\d+)?"))&lt;=90,VALUE(REGEXEXTRACT(SUBSTITUTE(TRIM(F697)," ",""),"-?\d+(\.\d+)?$"))&gt;=-180,VALUE(REGEXEXTRACT(SUBSTITUTE(TRIM(F697)," ",""),"-?\d+(\.\d+)?$"))&lt;=180),"OK","REVISAR"),"REVISAR"),"")</f>
        <v/>
      </c>
      <c r="O697">
        <f>IF(A697&lt;&gt;"","https://direcciones507.github.io/direcciones507/panel.html?codigo="&amp;A697&amp;"&amp;nombre="&amp;ENCODEURL(B697)&amp;"&amp;telefono="&amp;SUBSTITUTE(C697,"-","")&amp;"&amp;referencia="&amp;ENCODEURL(E697)&amp;"&amp;lat="&amp;IZQUIERDA(SUBSTITUTE(F697," ",""),ENCONTRAR(",",SUBSTITUTE(F697," ",""))-1)&amp;"&amp;lng="&amp;DERECHA(SUBSTITUTE(F697," ",""),LARGO(SUBSTITUTE(F697," ",""))-ENCONTRAR(",",SUBSTITUTE(F697," ",""))),"")</f>
        <v/>
      </c>
    </row>
    <row r="698" ht="15.75" customHeight="1" s="10">
      <c r="A698" s="8">
        <f>CONCAT("AD507-",TEXT(ROW()-2,"0000"))</f>
        <v/>
      </c>
      <c r="C698" s="8" t="n"/>
      <c r="F698" s="8" t="n"/>
      <c r="G698" s="8">
        <f>IF(F698&lt;&gt;"",HYPERLINK("https://www.google.com/maps/search/?api=1&amp;query="&amp;SUBSTITUTE(F698," ",""),"🗺 Google Maps"),"")</f>
        <v/>
      </c>
      <c r="H698" s="8">
        <f>IF(F698&lt;&gt;"",HYPERLINK("https://waze.com/ul?ll="&amp;SUBSTITUTE(F698," ","")&amp;"&amp;navigate=yes","🚗 Waze"),"")</f>
        <v/>
      </c>
      <c r="I698" s="8">
        <f>IF(F698&lt;&gt;"",HYPERLINK("https://m.uber.com/ul/?action=setPickup&amp;pickup=my_location&amp;dropoff[latitude]="&amp;LEFT(SUBSTITUTE(F698," ",""),FIND(",",SUBSTITUTE(F698," ",""))-1)&amp;"&amp;dropoff[longitude]="&amp;MID(SUBSTITUTE(F698," ",""),FIND(",",SUBSTITUTE(F698," ",""))+1,99),"🚕 Uber"),"")</f>
        <v/>
      </c>
      <c r="J698" s="8">
        <f>IF(F698&lt;&gt;"","https://api.qrserver.com/v1/create-qr-code/?size=200x200&amp;data="&amp;ENCODEURL("https://www.google.com/maps/search/?api=1&amp;query="&amp;SUBSTITUTE(F698," ","")),"")</f>
        <v/>
      </c>
      <c r="K698" s="8">
        <f>IF(C698&lt;&gt;"",HYPERLINK("https://wa.me/507"&amp;REGEXREPLACE(C698,"[^0-9]","")&amp;"?text="&amp;ENCODEURL("Ya llegue. Codigo: "&amp;A698&amp;". Ubicacion: "&amp;"https://www.google.com/maps/search/?api=1&amp;query="&amp;SUBSTITUTE(F698," ","")),"📲 Avisar al cliente"),"")</f>
        <v/>
      </c>
      <c r="L698" s="8">
        <f>IF(C698&lt;&gt;"","https://api.qrserver.com/v1/create-qr-code/?size=200x200&amp;data="&amp;ENCODEURL("https://wa.me/507"&amp;REGEXREPLACE(C698,"[^0-9]","")&amp;"?text="&amp;ENCODEURL("Ya llegue. Codigo: "&amp;A698&amp;". Ubicacion: "&amp;"https://www.google.com/maps/search/?api=1&amp;query="&amp;SUBSTITUTE(F698," ",""))),"")</f>
        <v/>
      </c>
      <c r="M698" s="8">
        <f>IF(B698&lt;&gt;"",TODAY(),"")</f>
        <v/>
      </c>
      <c r="N698" s="8">
        <f>IF(F698&lt;&gt;"",IFERROR(IF(AND(REGEXMATCH(SUBSTITUTE(TRIM(F698)," ",""),"^-?\d+(\.\d+)?,-?\d+(\.\d+)?$"),VALUE(REGEXEXTRACT(SUBSTITUTE(TRIM(F698)," ",""),"^-?\d+(\.\d+)?"))&gt;=-90,VALUE(REGEXEXTRACT(SUBSTITUTE(TRIM(F698)," ",""),"^-?\d+(\.\d+)?"))&lt;=90,VALUE(REGEXEXTRACT(SUBSTITUTE(TRIM(F698)," ",""),"-?\d+(\.\d+)?$"))&gt;=-180,VALUE(REGEXEXTRACT(SUBSTITUTE(TRIM(F698)," ",""),"-?\d+(\.\d+)?$"))&lt;=180),"OK","REVISAR"),"REVISAR"),"")</f>
        <v/>
      </c>
      <c r="O698">
        <f>IF(A698&lt;&gt;"","https://direcciones507.github.io/direcciones507/panel.html?codigo="&amp;A698&amp;"&amp;nombre="&amp;ENCODEURL(B698)&amp;"&amp;telefono="&amp;SUBSTITUTE(C698,"-","")&amp;"&amp;referencia="&amp;ENCODEURL(E698)&amp;"&amp;lat="&amp;IZQUIERDA(SUBSTITUTE(F698," ",""),ENCONTRAR(",",SUBSTITUTE(F698," ",""))-1)&amp;"&amp;lng="&amp;DERECHA(SUBSTITUTE(F698," ",""),LARGO(SUBSTITUTE(F698," ",""))-ENCONTRAR(",",SUBSTITUTE(F698," ",""))),"")</f>
        <v/>
      </c>
    </row>
    <row r="699" ht="15.75" customHeight="1" s="10">
      <c r="A699" s="8">
        <f>CONCAT("AD507-",TEXT(ROW()-2,"0000"))</f>
        <v/>
      </c>
      <c r="C699" s="8" t="n"/>
      <c r="F699" s="8" t="n"/>
      <c r="G699" s="8">
        <f>IF(F699&lt;&gt;"",HYPERLINK("https://www.google.com/maps/search/?api=1&amp;query="&amp;SUBSTITUTE(F699," ",""),"🗺 Google Maps"),"")</f>
        <v/>
      </c>
      <c r="H699" s="8">
        <f>IF(F699&lt;&gt;"",HYPERLINK("https://waze.com/ul?ll="&amp;SUBSTITUTE(F699," ","")&amp;"&amp;navigate=yes","🚗 Waze"),"")</f>
        <v/>
      </c>
      <c r="I699" s="8">
        <f>IF(F699&lt;&gt;"",HYPERLINK("https://m.uber.com/ul/?action=setPickup&amp;pickup=my_location&amp;dropoff[latitude]="&amp;LEFT(SUBSTITUTE(F699," ",""),FIND(",",SUBSTITUTE(F699," ",""))-1)&amp;"&amp;dropoff[longitude]="&amp;MID(SUBSTITUTE(F699," ",""),FIND(",",SUBSTITUTE(F699," ",""))+1,99),"🚕 Uber"),"")</f>
        <v/>
      </c>
      <c r="J699" s="8">
        <f>IF(F699&lt;&gt;"","https://api.qrserver.com/v1/create-qr-code/?size=200x200&amp;data="&amp;ENCODEURL("https://www.google.com/maps/search/?api=1&amp;query="&amp;SUBSTITUTE(F699," ","")),"")</f>
        <v/>
      </c>
      <c r="K699" s="8">
        <f>IF(C699&lt;&gt;"",HYPERLINK("https://wa.me/507"&amp;REGEXREPLACE(C699,"[^0-9]","")&amp;"?text="&amp;ENCODEURL("Ya llegue. Codigo: "&amp;A699&amp;". Ubicacion: "&amp;"https://www.google.com/maps/search/?api=1&amp;query="&amp;SUBSTITUTE(F699," ","")),"📲 Avisar al cliente"),"")</f>
        <v/>
      </c>
      <c r="L699" s="8">
        <f>IF(C699&lt;&gt;"","https://api.qrserver.com/v1/create-qr-code/?size=200x200&amp;data="&amp;ENCODEURL("https://wa.me/507"&amp;REGEXREPLACE(C699,"[^0-9]","")&amp;"?text="&amp;ENCODEURL("Ya llegue. Codigo: "&amp;A699&amp;". Ubicacion: "&amp;"https://www.google.com/maps/search/?api=1&amp;query="&amp;SUBSTITUTE(F699," ",""))),"")</f>
        <v/>
      </c>
      <c r="M699" s="8">
        <f>IF(B699&lt;&gt;"",TODAY(),"")</f>
        <v/>
      </c>
      <c r="N699" s="8">
        <f>IF(F699&lt;&gt;"",IFERROR(IF(AND(REGEXMATCH(SUBSTITUTE(TRIM(F699)," ",""),"^-?\d+(\.\d+)?,-?\d+(\.\d+)?$"),VALUE(REGEXEXTRACT(SUBSTITUTE(TRIM(F699)," ",""),"^-?\d+(\.\d+)?"))&gt;=-90,VALUE(REGEXEXTRACT(SUBSTITUTE(TRIM(F699)," ",""),"^-?\d+(\.\d+)?"))&lt;=90,VALUE(REGEXEXTRACT(SUBSTITUTE(TRIM(F699)," ",""),"-?\d+(\.\d+)?$"))&gt;=-180,VALUE(REGEXEXTRACT(SUBSTITUTE(TRIM(F699)," ",""),"-?\d+(\.\d+)?$"))&lt;=180),"OK","REVISAR"),"REVISAR"),"")</f>
        <v/>
      </c>
      <c r="O699">
        <f>IF(A699&lt;&gt;"","https://direcciones507.github.io/direcciones507/panel.html?codigo="&amp;A699&amp;"&amp;nombre="&amp;ENCODEURL(B699)&amp;"&amp;telefono="&amp;SUBSTITUTE(C699,"-","")&amp;"&amp;referencia="&amp;ENCODEURL(E699)&amp;"&amp;lat="&amp;IZQUIERDA(SUBSTITUTE(F699," ",""),ENCONTRAR(",",SUBSTITUTE(F699," ",""))-1)&amp;"&amp;lng="&amp;DERECHA(SUBSTITUTE(F699," ",""),LARGO(SUBSTITUTE(F699," ",""))-ENCONTRAR(",",SUBSTITUTE(F699," ",""))),"")</f>
        <v/>
      </c>
    </row>
    <row r="700" ht="15.75" customHeight="1" s="10">
      <c r="A700" s="8">
        <f>CONCAT("AD507-",TEXT(ROW()-2,"0000"))</f>
        <v/>
      </c>
      <c r="C700" s="8" t="n"/>
      <c r="F700" s="8" t="n"/>
      <c r="G700" s="8">
        <f>IF(F700&lt;&gt;"",HYPERLINK("https://www.google.com/maps/search/?api=1&amp;query="&amp;SUBSTITUTE(F700," ",""),"🗺 Google Maps"),"")</f>
        <v/>
      </c>
      <c r="H700" s="8">
        <f>IF(F700&lt;&gt;"",HYPERLINK("https://waze.com/ul?ll="&amp;SUBSTITUTE(F700," ","")&amp;"&amp;navigate=yes","🚗 Waze"),"")</f>
        <v/>
      </c>
      <c r="I700" s="8">
        <f>IF(F700&lt;&gt;"",HYPERLINK("https://m.uber.com/ul/?action=setPickup&amp;pickup=my_location&amp;dropoff[latitude]="&amp;LEFT(SUBSTITUTE(F700," ",""),FIND(",",SUBSTITUTE(F700," ",""))-1)&amp;"&amp;dropoff[longitude]="&amp;MID(SUBSTITUTE(F700," ",""),FIND(",",SUBSTITUTE(F700," ",""))+1,99),"🚕 Uber"),"")</f>
        <v/>
      </c>
      <c r="J700" s="8">
        <f>IF(F700&lt;&gt;"","https://api.qrserver.com/v1/create-qr-code/?size=200x200&amp;data="&amp;ENCODEURL("https://www.google.com/maps/search/?api=1&amp;query="&amp;SUBSTITUTE(F700," ","")),"")</f>
        <v/>
      </c>
      <c r="K700" s="8">
        <f>IF(C700&lt;&gt;"",HYPERLINK("https://wa.me/507"&amp;REGEXREPLACE(C700,"[^0-9]","")&amp;"?text="&amp;ENCODEURL("Ya llegue. Codigo: "&amp;A700&amp;". Ubicacion: "&amp;"https://www.google.com/maps/search/?api=1&amp;query="&amp;SUBSTITUTE(F700," ","")),"📲 Avisar al cliente"),"")</f>
        <v/>
      </c>
      <c r="L700" s="8">
        <f>IF(C700&lt;&gt;"","https://api.qrserver.com/v1/create-qr-code/?size=200x200&amp;data="&amp;ENCODEURL("https://wa.me/507"&amp;REGEXREPLACE(C700,"[^0-9]","")&amp;"?text="&amp;ENCODEURL("Ya llegue. Codigo: "&amp;A700&amp;". Ubicacion: "&amp;"https://www.google.com/maps/search/?api=1&amp;query="&amp;SUBSTITUTE(F700," ",""))),"")</f>
        <v/>
      </c>
      <c r="M700" s="8">
        <f>IF(B700&lt;&gt;"",TODAY(),"")</f>
        <v/>
      </c>
      <c r="N700" s="8">
        <f>IF(F700&lt;&gt;"",IFERROR(IF(AND(REGEXMATCH(SUBSTITUTE(TRIM(F700)," ",""),"^-?\d+(\.\d+)?,-?\d+(\.\d+)?$"),VALUE(REGEXEXTRACT(SUBSTITUTE(TRIM(F700)," ",""),"^-?\d+(\.\d+)?"))&gt;=-90,VALUE(REGEXEXTRACT(SUBSTITUTE(TRIM(F700)," ",""),"^-?\d+(\.\d+)?"))&lt;=90,VALUE(REGEXEXTRACT(SUBSTITUTE(TRIM(F700)," ",""),"-?\d+(\.\d+)?$"))&gt;=-180,VALUE(REGEXEXTRACT(SUBSTITUTE(TRIM(F700)," ",""),"-?\d+(\.\d+)?$"))&lt;=180),"OK","REVISAR"),"REVISAR"),"")</f>
        <v/>
      </c>
      <c r="O700">
        <f>IF(A700&lt;&gt;"","https://direcciones507.github.io/direcciones507/panel.html?codigo="&amp;A700&amp;"&amp;nombre="&amp;ENCODEURL(B700)&amp;"&amp;telefono="&amp;SUBSTITUTE(C700,"-","")&amp;"&amp;referencia="&amp;ENCODEURL(E700)&amp;"&amp;lat="&amp;IZQUIERDA(SUBSTITUTE(F700," ",""),ENCONTRAR(",",SUBSTITUTE(F700," ",""))-1)&amp;"&amp;lng="&amp;DERECHA(SUBSTITUTE(F700," ",""),LARGO(SUBSTITUTE(F700," ",""))-ENCONTRAR(",",SUBSTITUTE(F700," ",""))),"")</f>
        <v/>
      </c>
    </row>
    <row r="701" ht="15.75" customHeight="1" s="10">
      <c r="A701" s="8">
        <f>CONCAT("AD507-",TEXT(ROW()-2,"0000"))</f>
        <v/>
      </c>
      <c r="C701" s="8" t="n"/>
      <c r="F701" s="8" t="n"/>
      <c r="G701" s="8">
        <f>IF(F701&lt;&gt;"",HYPERLINK("https://www.google.com/maps/search/?api=1&amp;query="&amp;SUBSTITUTE(F701," ",""),"🗺 Google Maps"),"")</f>
        <v/>
      </c>
      <c r="H701" s="8">
        <f>IF(F701&lt;&gt;"",HYPERLINK("https://waze.com/ul?ll="&amp;SUBSTITUTE(F701," ","")&amp;"&amp;navigate=yes","🚗 Waze"),"")</f>
        <v/>
      </c>
      <c r="I701" s="8">
        <f>IF(F701&lt;&gt;"",HYPERLINK("https://m.uber.com/ul/?action=setPickup&amp;pickup=my_location&amp;dropoff[latitude]="&amp;LEFT(SUBSTITUTE(F701," ",""),FIND(",",SUBSTITUTE(F701," ",""))-1)&amp;"&amp;dropoff[longitude]="&amp;MID(SUBSTITUTE(F701," ",""),FIND(",",SUBSTITUTE(F701," ",""))+1,99),"🚕 Uber"),"")</f>
        <v/>
      </c>
      <c r="J701" s="8">
        <f>IF(F701&lt;&gt;"","https://api.qrserver.com/v1/create-qr-code/?size=200x200&amp;data="&amp;ENCODEURL("https://www.google.com/maps/search/?api=1&amp;query="&amp;SUBSTITUTE(F701," ","")),"")</f>
        <v/>
      </c>
      <c r="K701" s="8">
        <f>IF(C701&lt;&gt;"",HYPERLINK("https://wa.me/507"&amp;REGEXREPLACE(C701,"[^0-9]","")&amp;"?text="&amp;ENCODEURL("Ya llegue. Codigo: "&amp;A701&amp;". Ubicacion: "&amp;"https://www.google.com/maps/search/?api=1&amp;query="&amp;SUBSTITUTE(F701," ","")),"📲 Avisar al cliente"),"")</f>
        <v/>
      </c>
      <c r="L701" s="8">
        <f>IF(C701&lt;&gt;"","https://api.qrserver.com/v1/create-qr-code/?size=200x200&amp;data="&amp;ENCODEURL("https://wa.me/507"&amp;REGEXREPLACE(C701,"[^0-9]","")&amp;"?text="&amp;ENCODEURL("Ya llegue. Codigo: "&amp;A701&amp;". Ubicacion: "&amp;"https://www.google.com/maps/search/?api=1&amp;query="&amp;SUBSTITUTE(F701," ",""))),"")</f>
        <v/>
      </c>
      <c r="M701" s="8">
        <f>IF(B701&lt;&gt;"",TODAY(),"")</f>
        <v/>
      </c>
      <c r="N701" s="8">
        <f>IF(F701&lt;&gt;"",IFERROR(IF(AND(REGEXMATCH(SUBSTITUTE(TRIM(F701)," ",""),"^-?\d+(\.\d+)?,-?\d+(\.\d+)?$"),VALUE(REGEXEXTRACT(SUBSTITUTE(TRIM(F701)," ",""),"^-?\d+(\.\d+)?"))&gt;=-90,VALUE(REGEXEXTRACT(SUBSTITUTE(TRIM(F701)," ",""),"^-?\d+(\.\d+)?"))&lt;=90,VALUE(REGEXEXTRACT(SUBSTITUTE(TRIM(F701)," ",""),"-?\d+(\.\d+)?$"))&gt;=-180,VALUE(REGEXEXTRACT(SUBSTITUTE(TRIM(F701)," ",""),"-?\d+(\.\d+)?$"))&lt;=180),"OK","REVISAR"),"REVISAR"),"")</f>
        <v/>
      </c>
      <c r="O701">
        <f>IF(A701&lt;&gt;"","https://direcciones507.github.io/direcciones507/panel.html?codigo="&amp;A701&amp;"&amp;nombre="&amp;ENCODEURL(B701)&amp;"&amp;telefono="&amp;SUBSTITUTE(C701,"-","")&amp;"&amp;referencia="&amp;ENCODEURL(E701)&amp;"&amp;lat="&amp;IZQUIERDA(SUBSTITUTE(F701," ",""),ENCONTRAR(",",SUBSTITUTE(F701," ",""))-1)&amp;"&amp;lng="&amp;DERECHA(SUBSTITUTE(F701," ",""),LARGO(SUBSTITUTE(F701," ",""))-ENCONTRAR(",",SUBSTITUTE(F701," ",""))),"")</f>
        <v/>
      </c>
    </row>
    <row r="702" ht="15.75" customHeight="1" s="10">
      <c r="A702" s="8">
        <f>CONCAT("AD507-",TEXT(ROW()-2,"0000"))</f>
        <v/>
      </c>
      <c r="C702" s="8" t="n"/>
      <c r="F702" s="8" t="n"/>
      <c r="G702" s="8">
        <f>IF(F702&lt;&gt;"",HYPERLINK("https://www.google.com/maps/search/?api=1&amp;query="&amp;SUBSTITUTE(F702," ",""),"🗺 Google Maps"),"")</f>
        <v/>
      </c>
      <c r="H702" s="8">
        <f>IF(F702&lt;&gt;"",HYPERLINK("https://waze.com/ul?ll="&amp;SUBSTITUTE(F702," ","")&amp;"&amp;navigate=yes","🚗 Waze"),"")</f>
        <v/>
      </c>
      <c r="I702" s="8">
        <f>IF(F702&lt;&gt;"",HYPERLINK("https://m.uber.com/ul/?action=setPickup&amp;pickup=my_location&amp;dropoff[latitude]="&amp;LEFT(SUBSTITUTE(F702," ",""),FIND(",",SUBSTITUTE(F702," ",""))-1)&amp;"&amp;dropoff[longitude]="&amp;MID(SUBSTITUTE(F702," ",""),FIND(",",SUBSTITUTE(F702," ",""))+1,99),"🚕 Uber"),"")</f>
        <v/>
      </c>
      <c r="J702" s="8">
        <f>IF(F702&lt;&gt;"","https://api.qrserver.com/v1/create-qr-code/?size=200x200&amp;data="&amp;ENCODEURL("https://www.google.com/maps/search/?api=1&amp;query="&amp;SUBSTITUTE(F702," ","")),"")</f>
        <v/>
      </c>
      <c r="K702" s="8">
        <f>IF(C702&lt;&gt;"",HYPERLINK("https://wa.me/507"&amp;REGEXREPLACE(C702,"[^0-9]","")&amp;"?text="&amp;ENCODEURL("Ya llegue. Codigo: "&amp;A702&amp;". Ubicacion: "&amp;"https://www.google.com/maps/search/?api=1&amp;query="&amp;SUBSTITUTE(F702," ","")),"📲 Avisar al cliente"),"")</f>
        <v/>
      </c>
      <c r="L702" s="8">
        <f>IF(C702&lt;&gt;"","https://api.qrserver.com/v1/create-qr-code/?size=200x200&amp;data="&amp;ENCODEURL("https://wa.me/507"&amp;REGEXREPLACE(C702,"[^0-9]","")&amp;"?text="&amp;ENCODEURL("Ya llegue. Codigo: "&amp;A702&amp;". Ubicacion: "&amp;"https://www.google.com/maps/search/?api=1&amp;query="&amp;SUBSTITUTE(F702," ",""))),"")</f>
        <v/>
      </c>
      <c r="M702" s="8">
        <f>IF(B702&lt;&gt;"",TODAY(),"")</f>
        <v/>
      </c>
      <c r="N702" s="8">
        <f>IF(F702&lt;&gt;"",IFERROR(IF(AND(REGEXMATCH(SUBSTITUTE(TRIM(F702)," ",""),"^-?\d+(\.\d+)?,-?\d+(\.\d+)?$"),VALUE(REGEXEXTRACT(SUBSTITUTE(TRIM(F702)," ",""),"^-?\d+(\.\d+)?"))&gt;=-90,VALUE(REGEXEXTRACT(SUBSTITUTE(TRIM(F702)," ",""),"^-?\d+(\.\d+)?"))&lt;=90,VALUE(REGEXEXTRACT(SUBSTITUTE(TRIM(F702)," ",""),"-?\d+(\.\d+)?$"))&gt;=-180,VALUE(REGEXEXTRACT(SUBSTITUTE(TRIM(F702)," ",""),"-?\d+(\.\d+)?$"))&lt;=180),"OK","REVISAR"),"REVISAR"),"")</f>
        <v/>
      </c>
      <c r="O702">
        <f>IF(A702&lt;&gt;"","https://direcciones507.github.io/direcciones507/panel.html?codigo="&amp;A702&amp;"&amp;nombre="&amp;ENCODEURL(B702)&amp;"&amp;telefono="&amp;SUBSTITUTE(C702,"-","")&amp;"&amp;referencia="&amp;ENCODEURL(E702)&amp;"&amp;lat="&amp;IZQUIERDA(SUBSTITUTE(F702," ",""),ENCONTRAR(",",SUBSTITUTE(F702," ",""))-1)&amp;"&amp;lng="&amp;DERECHA(SUBSTITUTE(F702," ",""),LARGO(SUBSTITUTE(F702," ",""))-ENCONTRAR(",",SUBSTITUTE(F702," ",""))),"")</f>
        <v/>
      </c>
    </row>
    <row r="703" ht="15.75" customHeight="1" s="10">
      <c r="A703" s="8">
        <f>CONCAT("AD507-",TEXT(ROW()-2,"0000"))</f>
        <v/>
      </c>
      <c r="C703" s="8" t="n"/>
      <c r="F703" s="8" t="n"/>
      <c r="G703" s="8">
        <f>IF(F703&lt;&gt;"",HYPERLINK("https://www.google.com/maps/search/?api=1&amp;query="&amp;SUBSTITUTE(F703," ",""),"🗺 Google Maps"),"")</f>
        <v/>
      </c>
      <c r="H703" s="8">
        <f>IF(F703&lt;&gt;"",HYPERLINK("https://waze.com/ul?ll="&amp;SUBSTITUTE(F703," ","")&amp;"&amp;navigate=yes","🚗 Waze"),"")</f>
        <v/>
      </c>
      <c r="I703" s="8">
        <f>IF(F703&lt;&gt;"",HYPERLINK("https://m.uber.com/ul/?action=setPickup&amp;pickup=my_location&amp;dropoff[latitude]="&amp;LEFT(SUBSTITUTE(F703," ",""),FIND(",",SUBSTITUTE(F703," ",""))-1)&amp;"&amp;dropoff[longitude]="&amp;MID(SUBSTITUTE(F703," ",""),FIND(",",SUBSTITUTE(F703," ",""))+1,99),"🚕 Uber"),"")</f>
        <v/>
      </c>
      <c r="J703" s="8">
        <f>IF(F703&lt;&gt;"","https://api.qrserver.com/v1/create-qr-code/?size=200x200&amp;data="&amp;ENCODEURL("https://www.google.com/maps/search/?api=1&amp;query="&amp;SUBSTITUTE(F703," ","")),"")</f>
        <v/>
      </c>
      <c r="K703" s="8">
        <f>IF(C703&lt;&gt;"",HYPERLINK("https://wa.me/507"&amp;REGEXREPLACE(C703,"[^0-9]","")&amp;"?text="&amp;ENCODEURL("Ya llegue. Codigo: "&amp;A703&amp;". Ubicacion: "&amp;"https://www.google.com/maps/search/?api=1&amp;query="&amp;SUBSTITUTE(F703," ","")),"📲 Avisar al cliente"),"")</f>
        <v/>
      </c>
      <c r="L703" s="8">
        <f>IF(C703&lt;&gt;"","https://api.qrserver.com/v1/create-qr-code/?size=200x200&amp;data="&amp;ENCODEURL("https://wa.me/507"&amp;REGEXREPLACE(C703,"[^0-9]","")&amp;"?text="&amp;ENCODEURL("Ya llegue. Codigo: "&amp;A703&amp;". Ubicacion: "&amp;"https://www.google.com/maps/search/?api=1&amp;query="&amp;SUBSTITUTE(F703," ",""))),"")</f>
        <v/>
      </c>
      <c r="M703" s="8">
        <f>IF(B703&lt;&gt;"",TODAY(),"")</f>
        <v/>
      </c>
      <c r="N703" s="8">
        <f>IF(F703&lt;&gt;"",IFERROR(IF(AND(REGEXMATCH(SUBSTITUTE(TRIM(F703)," ",""),"^-?\d+(\.\d+)?,-?\d+(\.\d+)?$"),VALUE(REGEXEXTRACT(SUBSTITUTE(TRIM(F703)," ",""),"^-?\d+(\.\d+)?"))&gt;=-90,VALUE(REGEXEXTRACT(SUBSTITUTE(TRIM(F703)," ",""),"^-?\d+(\.\d+)?"))&lt;=90,VALUE(REGEXEXTRACT(SUBSTITUTE(TRIM(F703)," ",""),"-?\d+(\.\d+)?$"))&gt;=-180,VALUE(REGEXEXTRACT(SUBSTITUTE(TRIM(F703)," ",""),"-?\d+(\.\d+)?$"))&lt;=180),"OK","REVISAR"),"REVISAR"),"")</f>
        <v/>
      </c>
      <c r="O703">
        <f>IF(A703&lt;&gt;"","https://direcciones507.github.io/direcciones507/panel.html?codigo="&amp;A703&amp;"&amp;nombre="&amp;ENCODEURL(B703)&amp;"&amp;telefono="&amp;SUBSTITUTE(C703,"-","")&amp;"&amp;referencia="&amp;ENCODEURL(E703)&amp;"&amp;lat="&amp;IZQUIERDA(SUBSTITUTE(F703," ",""),ENCONTRAR(",",SUBSTITUTE(F703," ",""))-1)&amp;"&amp;lng="&amp;DERECHA(SUBSTITUTE(F703," ",""),LARGO(SUBSTITUTE(F703," ",""))-ENCONTRAR(",",SUBSTITUTE(F703," ",""))),"")</f>
        <v/>
      </c>
    </row>
    <row r="704" ht="15.75" customHeight="1" s="10">
      <c r="A704" s="8">
        <f>CONCAT("AD507-",TEXT(ROW()-2,"0000"))</f>
        <v/>
      </c>
      <c r="C704" s="8" t="n"/>
      <c r="F704" s="8" t="n"/>
      <c r="G704" s="8">
        <f>IF(F704&lt;&gt;"",HYPERLINK("https://www.google.com/maps/search/?api=1&amp;query="&amp;SUBSTITUTE(F704," ",""),"🗺 Google Maps"),"")</f>
        <v/>
      </c>
      <c r="H704" s="8">
        <f>IF(F704&lt;&gt;"",HYPERLINK("https://waze.com/ul?ll="&amp;SUBSTITUTE(F704," ","")&amp;"&amp;navigate=yes","🚗 Waze"),"")</f>
        <v/>
      </c>
      <c r="I704" s="8">
        <f>IF(F704&lt;&gt;"",HYPERLINK("https://m.uber.com/ul/?action=setPickup&amp;pickup=my_location&amp;dropoff[latitude]="&amp;LEFT(SUBSTITUTE(F704," ",""),FIND(",",SUBSTITUTE(F704," ",""))-1)&amp;"&amp;dropoff[longitude]="&amp;MID(SUBSTITUTE(F704," ",""),FIND(",",SUBSTITUTE(F704," ",""))+1,99),"🚕 Uber"),"")</f>
        <v/>
      </c>
      <c r="J704" s="8">
        <f>IF(F704&lt;&gt;"","https://api.qrserver.com/v1/create-qr-code/?size=200x200&amp;data="&amp;ENCODEURL("https://www.google.com/maps/search/?api=1&amp;query="&amp;SUBSTITUTE(F704," ","")),"")</f>
        <v/>
      </c>
      <c r="K704" s="8">
        <f>IF(C704&lt;&gt;"",HYPERLINK("https://wa.me/507"&amp;REGEXREPLACE(C704,"[^0-9]","")&amp;"?text="&amp;ENCODEURL("Ya llegue. Codigo: "&amp;A704&amp;". Ubicacion: "&amp;"https://www.google.com/maps/search/?api=1&amp;query="&amp;SUBSTITUTE(F704," ","")),"📲 Avisar al cliente"),"")</f>
        <v/>
      </c>
      <c r="L704" s="8">
        <f>IF(C704&lt;&gt;"","https://api.qrserver.com/v1/create-qr-code/?size=200x200&amp;data="&amp;ENCODEURL("https://wa.me/507"&amp;REGEXREPLACE(C704,"[^0-9]","")&amp;"?text="&amp;ENCODEURL("Ya llegue. Codigo: "&amp;A704&amp;". Ubicacion: "&amp;"https://www.google.com/maps/search/?api=1&amp;query="&amp;SUBSTITUTE(F704," ",""))),"")</f>
        <v/>
      </c>
      <c r="M704" s="8">
        <f>IF(B704&lt;&gt;"",TODAY(),"")</f>
        <v/>
      </c>
      <c r="N704" s="8">
        <f>IF(F704&lt;&gt;"",IFERROR(IF(AND(REGEXMATCH(SUBSTITUTE(TRIM(F704)," ",""),"^-?\d+(\.\d+)?,-?\d+(\.\d+)?$"),VALUE(REGEXEXTRACT(SUBSTITUTE(TRIM(F704)," ",""),"^-?\d+(\.\d+)?"))&gt;=-90,VALUE(REGEXEXTRACT(SUBSTITUTE(TRIM(F704)," ",""),"^-?\d+(\.\d+)?"))&lt;=90,VALUE(REGEXEXTRACT(SUBSTITUTE(TRIM(F704)," ",""),"-?\d+(\.\d+)?$"))&gt;=-180,VALUE(REGEXEXTRACT(SUBSTITUTE(TRIM(F704)," ",""),"-?\d+(\.\d+)?$"))&lt;=180),"OK","REVISAR"),"REVISAR"),"")</f>
        <v/>
      </c>
      <c r="O704">
        <f>IF(A704&lt;&gt;"","https://direcciones507.github.io/direcciones507/panel.html?codigo="&amp;A704&amp;"&amp;nombre="&amp;ENCODEURL(B704)&amp;"&amp;telefono="&amp;SUBSTITUTE(C704,"-","")&amp;"&amp;referencia="&amp;ENCODEURL(E704)&amp;"&amp;lat="&amp;IZQUIERDA(SUBSTITUTE(F704," ",""),ENCONTRAR(",",SUBSTITUTE(F704," ",""))-1)&amp;"&amp;lng="&amp;DERECHA(SUBSTITUTE(F704," ",""),LARGO(SUBSTITUTE(F704," ",""))-ENCONTRAR(",",SUBSTITUTE(F704," ",""))),"")</f>
        <v/>
      </c>
    </row>
    <row r="705" ht="15.75" customHeight="1" s="10">
      <c r="A705" s="8">
        <f>CONCAT("AD507-",TEXT(ROW()-2,"0000"))</f>
        <v/>
      </c>
      <c r="C705" s="8" t="n"/>
      <c r="F705" s="8" t="n"/>
      <c r="G705" s="8">
        <f>IF(F705&lt;&gt;"",HYPERLINK("https://www.google.com/maps/search/?api=1&amp;query="&amp;SUBSTITUTE(F705," ",""),"🗺 Google Maps"),"")</f>
        <v/>
      </c>
      <c r="H705" s="8">
        <f>IF(F705&lt;&gt;"",HYPERLINK("https://waze.com/ul?ll="&amp;SUBSTITUTE(F705," ","")&amp;"&amp;navigate=yes","🚗 Waze"),"")</f>
        <v/>
      </c>
      <c r="I705" s="8">
        <f>IF(F705&lt;&gt;"",HYPERLINK("https://m.uber.com/ul/?action=setPickup&amp;pickup=my_location&amp;dropoff[latitude]="&amp;LEFT(SUBSTITUTE(F705," ",""),FIND(",",SUBSTITUTE(F705," ",""))-1)&amp;"&amp;dropoff[longitude]="&amp;MID(SUBSTITUTE(F705," ",""),FIND(",",SUBSTITUTE(F705," ",""))+1,99),"🚕 Uber"),"")</f>
        <v/>
      </c>
      <c r="J705" s="8">
        <f>IF(F705&lt;&gt;"","https://api.qrserver.com/v1/create-qr-code/?size=200x200&amp;data="&amp;ENCODEURL("https://www.google.com/maps/search/?api=1&amp;query="&amp;SUBSTITUTE(F705," ","")),"")</f>
        <v/>
      </c>
      <c r="K705" s="8">
        <f>IF(C705&lt;&gt;"",HYPERLINK("https://wa.me/507"&amp;REGEXREPLACE(C705,"[^0-9]","")&amp;"?text="&amp;ENCODEURL("Ya llegue. Codigo: "&amp;A705&amp;". Ubicacion: "&amp;"https://www.google.com/maps/search/?api=1&amp;query="&amp;SUBSTITUTE(F705," ","")),"📲 Avisar al cliente"),"")</f>
        <v/>
      </c>
      <c r="L705" s="8">
        <f>IF(C705&lt;&gt;"","https://api.qrserver.com/v1/create-qr-code/?size=200x200&amp;data="&amp;ENCODEURL("https://wa.me/507"&amp;REGEXREPLACE(C705,"[^0-9]","")&amp;"?text="&amp;ENCODEURL("Ya llegue. Codigo: "&amp;A705&amp;". Ubicacion: "&amp;"https://www.google.com/maps/search/?api=1&amp;query="&amp;SUBSTITUTE(F705," ",""))),"")</f>
        <v/>
      </c>
      <c r="M705" s="8">
        <f>IF(B705&lt;&gt;"",TODAY(),"")</f>
        <v/>
      </c>
      <c r="N705" s="8">
        <f>IF(F705&lt;&gt;"",IFERROR(IF(AND(REGEXMATCH(SUBSTITUTE(TRIM(F705)," ",""),"^-?\d+(\.\d+)?,-?\d+(\.\d+)?$"),VALUE(REGEXEXTRACT(SUBSTITUTE(TRIM(F705)," ",""),"^-?\d+(\.\d+)?"))&gt;=-90,VALUE(REGEXEXTRACT(SUBSTITUTE(TRIM(F705)," ",""),"^-?\d+(\.\d+)?"))&lt;=90,VALUE(REGEXEXTRACT(SUBSTITUTE(TRIM(F705)," ",""),"-?\d+(\.\d+)?$"))&gt;=-180,VALUE(REGEXEXTRACT(SUBSTITUTE(TRIM(F705)," ",""),"-?\d+(\.\d+)?$"))&lt;=180),"OK","REVISAR"),"REVISAR"),"")</f>
        <v/>
      </c>
      <c r="O705">
        <f>IF(A705&lt;&gt;"","https://direcciones507.github.io/direcciones507/panel.html?codigo="&amp;A705&amp;"&amp;nombre="&amp;ENCODEURL(B705)&amp;"&amp;telefono="&amp;SUBSTITUTE(C705,"-","")&amp;"&amp;referencia="&amp;ENCODEURL(E705)&amp;"&amp;lat="&amp;IZQUIERDA(SUBSTITUTE(F705," ",""),ENCONTRAR(",",SUBSTITUTE(F705," ",""))-1)&amp;"&amp;lng="&amp;DERECHA(SUBSTITUTE(F705," ",""),LARGO(SUBSTITUTE(F705," ",""))-ENCONTRAR(",",SUBSTITUTE(F705," ",""))),"")</f>
        <v/>
      </c>
    </row>
    <row r="706" ht="15.75" customHeight="1" s="10">
      <c r="A706" s="8">
        <f>CONCAT("AD507-",TEXT(ROW()-2,"0000"))</f>
        <v/>
      </c>
      <c r="C706" s="8" t="n"/>
      <c r="F706" s="8" t="n"/>
      <c r="G706" s="8">
        <f>IF(F706&lt;&gt;"",HYPERLINK("https://www.google.com/maps/search/?api=1&amp;query="&amp;SUBSTITUTE(F706," ",""),"🗺 Google Maps"),"")</f>
        <v/>
      </c>
      <c r="H706" s="8">
        <f>IF(F706&lt;&gt;"",HYPERLINK("https://waze.com/ul?ll="&amp;SUBSTITUTE(F706," ","")&amp;"&amp;navigate=yes","🚗 Waze"),"")</f>
        <v/>
      </c>
      <c r="I706" s="8">
        <f>IF(F706&lt;&gt;"",HYPERLINK("https://m.uber.com/ul/?action=setPickup&amp;pickup=my_location&amp;dropoff[latitude]="&amp;LEFT(SUBSTITUTE(F706," ",""),FIND(",",SUBSTITUTE(F706," ",""))-1)&amp;"&amp;dropoff[longitude]="&amp;MID(SUBSTITUTE(F706," ",""),FIND(",",SUBSTITUTE(F706," ",""))+1,99),"🚕 Uber"),"")</f>
        <v/>
      </c>
      <c r="J706" s="8">
        <f>IF(F706&lt;&gt;"","https://api.qrserver.com/v1/create-qr-code/?size=200x200&amp;data="&amp;ENCODEURL("https://www.google.com/maps/search/?api=1&amp;query="&amp;SUBSTITUTE(F706," ","")),"")</f>
        <v/>
      </c>
      <c r="K706" s="8">
        <f>IF(C706&lt;&gt;"",HYPERLINK("https://wa.me/507"&amp;REGEXREPLACE(C706,"[^0-9]","")&amp;"?text="&amp;ENCODEURL("Ya llegue. Codigo: "&amp;A706&amp;". Ubicacion: "&amp;"https://www.google.com/maps/search/?api=1&amp;query="&amp;SUBSTITUTE(F706," ","")),"📲 Avisar al cliente"),"")</f>
        <v/>
      </c>
      <c r="L706" s="8">
        <f>IF(C706&lt;&gt;"","https://api.qrserver.com/v1/create-qr-code/?size=200x200&amp;data="&amp;ENCODEURL("https://wa.me/507"&amp;REGEXREPLACE(C706,"[^0-9]","")&amp;"?text="&amp;ENCODEURL("Ya llegue. Codigo: "&amp;A706&amp;". Ubicacion: "&amp;"https://www.google.com/maps/search/?api=1&amp;query="&amp;SUBSTITUTE(F706," ",""))),"")</f>
        <v/>
      </c>
      <c r="M706" s="8">
        <f>IF(B706&lt;&gt;"",TODAY(),"")</f>
        <v/>
      </c>
      <c r="N706" s="8">
        <f>IF(F706&lt;&gt;"",IFERROR(IF(AND(REGEXMATCH(SUBSTITUTE(TRIM(F706)," ",""),"^-?\d+(\.\d+)?,-?\d+(\.\d+)?$"),VALUE(REGEXEXTRACT(SUBSTITUTE(TRIM(F706)," ",""),"^-?\d+(\.\d+)?"))&gt;=-90,VALUE(REGEXEXTRACT(SUBSTITUTE(TRIM(F706)," ",""),"^-?\d+(\.\d+)?"))&lt;=90,VALUE(REGEXEXTRACT(SUBSTITUTE(TRIM(F706)," ",""),"-?\d+(\.\d+)?$"))&gt;=-180,VALUE(REGEXEXTRACT(SUBSTITUTE(TRIM(F706)," ",""),"-?\d+(\.\d+)?$"))&lt;=180),"OK","REVISAR"),"REVISAR"),"")</f>
        <v/>
      </c>
      <c r="O706">
        <f>IF(A706&lt;&gt;"","https://direcciones507.github.io/direcciones507/panel.html?codigo="&amp;A706&amp;"&amp;nombre="&amp;ENCODEURL(B706)&amp;"&amp;telefono="&amp;SUBSTITUTE(C706,"-","")&amp;"&amp;referencia="&amp;ENCODEURL(E706)&amp;"&amp;lat="&amp;IZQUIERDA(SUBSTITUTE(F706," ",""),ENCONTRAR(",",SUBSTITUTE(F706," ",""))-1)&amp;"&amp;lng="&amp;DERECHA(SUBSTITUTE(F706," ",""),LARGO(SUBSTITUTE(F706," ",""))-ENCONTRAR(",",SUBSTITUTE(F706," ",""))),"")</f>
        <v/>
      </c>
    </row>
    <row r="707" ht="15.75" customHeight="1" s="10">
      <c r="A707" s="8">
        <f>CONCAT("AD507-",TEXT(ROW()-2,"0000"))</f>
        <v/>
      </c>
      <c r="C707" s="8" t="n"/>
      <c r="F707" s="8" t="n"/>
      <c r="G707" s="8">
        <f>IF(F707&lt;&gt;"",HYPERLINK("https://www.google.com/maps/search/?api=1&amp;query="&amp;SUBSTITUTE(F707," ",""),"🗺 Google Maps"),"")</f>
        <v/>
      </c>
      <c r="H707" s="8">
        <f>IF(F707&lt;&gt;"",HYPERLINK("https://waze.com/ul?ll="&amp;SUBSTITUTE(F707," ","")&amp;"&amp;navigate=yes","🚗 Waze"),"")</f>
        <v/>
      </c>
      <c r="I707" s="8">
        <f>IF(F707&lt;&gt;"",HYPERLINK("https://m.uber.com/ul/?action=setPickup&amp;pickup=my_location&amp;dropoff[latitude]="&amp;LEFT(SUBSTITUTE(F707," ",""),FIND(",",SUBSTITUTE(F707," ",""))-1)&amp;"&amp;dropoff[longitude]="&amp;MID(SUBSTITUTE(F707," ",""),FIND(",",SUBSTITUTE(F707," ",""))+1,99),"🚕 Uber"),"")</f>
        <v/>
      </c>
      <c r="J707" s="8">
        <f>IF(F707&lt;&gt;"","https://api.qrserver.com/v1/create-qr-code/?size=200x200&amp;data="&amp;ENCODEURL("https://www.google.com/maps/search/?api=1&amp;query="&amp;SUBSTITUTE(F707," ","")),"")</f>
        <v/>
      </c>
      <c r="K707" s="8">
        <f>IF(C707&lt;&gt;"",HYPERLINK("https://wa.me/507"&amp;REGEXREPLACE(C707,"[^0-9]","")&amp;"?text="&amp;ENCODEURL("Ya llegue. Codigo: "&amp;A707&amp;". Ubicacion: "&amp;"https://www.google.com/maps/search/?api=1&amp;query="&amp;SUBSTITUTE(F707," ","")),"📲 Avisar al cliente"),"")</f>
        <v/>
      </c>
      <c r="L707" s="8">
        <f>IF(C707&lt;&gt;"","https://api.qrserver.com/v1/create-qr-code/?size=200x200&amp;data="&amp;ENCODEURL("https://wa.me/507"&amp;REGEXREPLACE(C707,"[^0-9]","")&amp;"?text="&amp;ENCODEURL("Ya llegue. Codigo: "&amp;A707&amp;". Ubicacion: "&amp;"https://www.google.com/maps/search/?api=1&amp;query="&amp;SUBSTITUTE(F707," ",""))),"")</f>
        <v/>
      </c>
      <c r="M707" s="8">
        <f>IF(B707&lt;&gt;"",TODAY(),"")</f>
        <v/>
      </c>
      <c r="N707" s="8">
        <f>IF(F707&lt;&gt;"",IFERROR(IF(AND(REGEXMATCH(SUBSTITUTE(TRIM(F707)," ",""),"^-?\d+(\.\d+)?,-?\d+(\.\d+)?$"),VALUE(REGEXEXTRACT(SUBSTITUTE(TRIM(F707)," ",""),"^-?\d+(\.\d+)?"))&gt;=-90,VALUE(REGEXEXTRACT(SUBSTITUTE(TRIM(F707)," ",""),"^-?\d+(\.\d+)?"))&lt;=90,VALUE(REGEXEXTRACT(SUBSTITUTE(TRIM(F707)," ",""),"-?\d+(\.\d+)?$"))&gt;=-180,VALUE(REGEXEXTRACT(SUBSTITUTE(TRIM(F707)," ",""),"-?\d+(\.\d+)?$"))&lt;=180),"OK","REVISAR"),"REVISAR"),"")</f>
        <v/>
      </c>
      <c r="O707">
        <f>IF(A707&lt;&gt;"","https://direcciones507.github.io/direcciones507/panel.html?codigo="&amp;A707&amp;"&amp;nombre="&amp;ENCODEURL(B707)&amp;"&amp;telefono="&amp;SUBSTITUTE(C707,"-","")&amp;"&amp;referencia="&amp;ENCODEURL(E707)&amp;"&amp;lat="&amp;IZQUIERDA(SUBSTITUTE(F707," ",""),ENCONTRAR(",",SUBSTITUTE(F707," ",""))-1)&amp;"&amp;lng="&amp;DERECHA(SUBSTITUTE(F707," ",""),LARGO(SUBSTITUTE(F707," ",""))-ENCONTRAR(",",SUBSTITUTE(F707," ",""))),"")</f>
        <v/>
      </c>
    </row>
    <row r="708" ht="15.75" customHeight="1" s="10">
      <c r="A708" s="8">
        <f>CONCAT("AD507-",TEXT(ROW()-2,"0000"))</f>
        <v/>
      </c>
      <c r="C708" s="8" t="n"/>
      <c r="F708" s="8" t="n"/>
      <c r="G708" s="8">
        <f>IF(F708&lt;&gt;"",HYPERLINK("https://www.google.com/maps/search/?api=1&amp;query="&amp;SUBSTITUTE(F708," ",""),"🗺 Google Maps"),"")</f>
        <v/>
      </c>
      <c r="H708" s="8">
        <f>IF(F708&lt;&gt;"",HYPERLINK("https://waze.com/ul?ll="&amp;SUBSTITUTE(F708," ","")&amp;"&amp;navigate=yes","🚗 Waze"),"")</f>
        <v/>
      </c>
      <c r="I708" s="8">
        <f>IF(F708&lt;&gt;"",HYPERLINK("https://m.uber.com/ul/?action=setPickup&amp;pickup=my_location&amp;dropoff[latitude]="&amp;LEFT(SUBSTITUTE(F708," ",""),FIND(",",SUBSTITUTE(F708," ",""))-1)&amp;"&amp;dropoff[longitude]="&amp;MID(SUBSTITUTE(F708," ",""),FIND(",",SUBSTITUTE(F708," ",""))+1,99),"🚕 Uber"),"")</f>
        <v/>
      </c>
      <c r="J708" s="8">
        <f>IF(F708&lt;&gt;"","https://api.qrserver.com/v1/create-qr-code/?size=200x200&amp;data="&amp;ENCODEURL("https://www.google.com/maps/search/?api=1&amp;query="&amp;SUBSTITUTE(F708," ","")),"")</f>
        <v/>
      </c>
      <c r="K708" s="8">
        <f>IF(C708&lt;&gt;"",HYPERLINK("https://wa.me/507"&amp;REGEXREPLACE(C708,"[^0-9]","")&amp;"?text="&amp;ENCODEURL("Ya llegue. Codigo: "&amp;A708&amp;". Ubicacion: "&amp;"https://www.google.com/maps/search/?api=1&amp;query="&amp;SUBSTITUTE(F708," ","")),"📲 Avisar al cliente"),"")</f>
        <v/>
      </c>
      <c r="L708" s="8">
        <f>IF(C708&lt;&gt;"","https://api.qrserver.com/v1/create-qr-code/?size=200x200&amp;data="&amp;ENCODEURL("https://wa.me/507"&amp;REGEXREPLACE(C708,"[^0-9]","")&amp;"?text="&amp;ENCODEURL("Ya llegue. Codigo: "&amp;A708&amp;". Ubicacion: "&amp;"https://www.google.com/maps/search/?api=1&amp;query="&amp;SUBSTITUTE(F708," ",""))),"")</f>
        <v/>
      </c>
      <c r="M708" s="8">
        <f>IF(B708&lt;&gt;"",TODAY(),"")</f>
        <v/>
      </c>
      <c r="N708" s="8">
        <f>IF(F708&lt;&gt;"",IFERROR(IF(AND(REGEXMATCH(SUBSTITUTE(TRIM(F708)," ",""),"^-?\d+(\.\d+)?,-?\d+(\.\d+)?$"),VALUE(REGEXEXTRACT(SUBSTITUTE(TRIM(F708)," ",""),"^-?\d+(\.\d+)?"))&gt;=-90,VALUE(REGEXEXTRACT(SUBSTITUTE(TRIM(F708)," ",""),"^-?\d+(\.\d+)?"))&lt;=90,VALUE(REGEXEXTRACT(SUBSTITUTE(TRIM(F708)," ",""),"-?\d+(\.\d+)?$"))&gt;=-180,VALUE(REGEXEXTRACT(SUBSTITUTE(TRIM(F708)," ",""),"-?\d+(\.\d+)?$"))&lt;=180),"OK","REVISAR"),"REVISAR"),"")</f>
        <v/>
      </c>
      <c r="O708">
        <f>IF(A708&lt;&gt;"","https://direcciones507.github.io/direcciones507/panel.html?codigo="&amp;A708&amp;"&amp;nombre="&amp;ENCODEURL(B708)&amp;"&amp;telefono="&amp;SUBSTITUTE(C708,"-","")&amp;"&amp;referencia="&amp;ENCODEURL(E708)&amp;"&amp;lat="&amp;IZQUIERDA(SUBSTITUTE(F708," ",""),ENCONTRAR(",",SUBSTITUTE(F708," ",""))-1)&amp;"&amp;lng="&amp;DERECHA(SUBSTITUTE(F708," ",""),LARGO(SUBSTITUTE(F708," ",""))-ENCONTRAR(",",SUBSTITUTE(F708," ",""))),"")</f>
        <v/>
      </c>
    </row>
    <row r="709" ht="15.75" customHeight="1" s="10">
      <c r="A709" s="8">
        <f>CONCAT("AD507-",TEXT(ROW()-2,"0000"))</f>
        <v/>
      </c>
      <c r="C709" s="8" t="n"/>
      <c r="F709" s="8" t="n"/>
      <c r="G709" s="8">
        <f>IF(F709&lt;&gt;"",HYPERLINK("https://www.google.com/maps/search/?api=1&amp;query="&amp;SUBSTITUTE(F709," ",""),"🗺 Google Maps"),"")</f>
        <v/>
      </c>
      <c r="H709" s="8">
        <f>IF(F709&lt;&gt;"",HYPERLINK("https://waze.com/ul?ll="&amp;SUBSTITUTE(F709," ","")&amp;"&amp;navigate=yes","🚗 Waze"),"")</f>
        <v/>
      </c>
      <c r="I709" s="8">
        <f>IF(F709&lt;&gt;"",HYPERLINK("https://m.uber.com/ul/?action=setPickup&amp;pickup=my_location&amp;dropoff[latitude]="&amp;LEFT(SUBSTITUTE(F709," ",""),FIND(",",SUBSTITUTE(F709," ",""))-1)&amp;"&amp;dropoff[longitude]="&amp;MID(SUBSTITUTE(F709," ",""),FIND(",",SUBSTITUTE(F709," ",""))+1,99),"🚕 Uber"),"")</f>
        <v/>
      </c>
      <c r="J709" s="8">
        <f>IF(F709&lt;&gt;"","https://api.qrserver.com/v1/create-qr-code/?size=200x200&amp;data="&amp;ENCODEURL("https://www.google.com/maps/search/?api=1&amp;query="&amp;SUBSTITUTE(F709," ","")),"")</f>
        <v/>
      </c>
      <c r="K709" s="8">
        <f>IF(C709&lt;&gt;"",HYPERLINK("https://wa.me/507"&amp;REGEXREPLACE(C709,"[^0-9]","")&amp;"?text="&amp;ENCODEURL("Ya llegue. Codigo: "&amp;A709&amp;". Ubicacion: "&amp;"https://www.google.com/maps/search/?api=1&amp;query="&amp;SUBSTITUTE(F709," ","")),"📲 Avisar al cliente"),"")</f>
        <v/>
      </c>
      <c r="L709" s="8">
        <f>IF(C709&lt;&gt;"","https://api.qrserver.com/v1/create-qr-code/?size=200x200&amp;data="&amp;ENCODEURL("https://wa.me/507"&amp;REGEXREPLACE(C709,"[^0-9]","")&amp;"?text="&amp;ENCODEURL("Ya llegue. Codigo: "&amp;A709&amp;". Ubicacion: "&amp;"https://www.google.com/maps/search/?api=1&amp;query="&amp;SUBSTITUTE(F709," ",""))),"")</f>
        <v/>
      </c>
      <c r="M709" s="8">
        <f>IF(B709&lt;&gt;"",TODAY(),"")</f>
        <v/>
      </c>
      <c r="N709" s="8">
        <f>IF(F709&lt;&gt;"",IFERROR(IF(AND(REGEXMATCH(SUBSTITUTE(TRIM(F709)," ",""),"^-?\d+(\.\d+)?,-?\d+(\.\d+)?$"),VALUE(REGEXEXTRACT(SUBSTITUTE(TRIM(F709)," ",""),"^-?\d+(\.\d+)?"))&gt;=-90,VALUE(REGEXEXTRACT(SUBSTITUTE(TRIM(F709)," ",""),"^-?\d+(\.\d+)?"))&lt;=90,VALUE(REGEXEXTRACT(SUBSTITUTE(TRIM(F709)," ",""),"-?\d+(\.\d+)?$"))&gt;=-180,VALUE(REGEXEXTRACT(SUBSTITUTE(TRIM(F709)," ",""),"-?\d+(\.\d+)?$"))&lt;=180),"OK","REVISAR"),"REVISAR"),"")</f>
        <v/>
      </c>
      <c r="O709">
        <f>IF(A709&lt;&gt;"","https://direcciones507.github.io/direcciones507/panel.html?codigo="&amp;A709&amp;"&amp;nombre="&amp;ENCODEURL(B709)&amp;"&amp;telefono="&amp;SUBSTITUTE(C709,"-","")&amp;"&amp;referencia="&amp;ENCODEURL(E709)&amp;"&amp;lat="&amp;IZQUIERDA(SUBSTITUTE(F709," ",""),ENCONTRAR(",",SUBSTITUTE(F709," ",""))-1)&amp;"&amp;lng="&amp;DERECHA(SUBSTITUTE(F709," ",""),LARGO(SUBSTITUTE(F709," ",""))-ENCONTRAR(",",SUBSTITUTE(F709," ",""))),"")</f>
        <v/>
      </c>
    </row>
    <row r="710" ht="15.75" customHeight="1" s="10">
      <c r="A710" s="8">
        <f>CONCAT("AD507-",TEXT(ROW()-2,"0000"))</f>
        <v/>
      </c>
      <c r="C710" s="8" t="n"/>
      <c r="F710" s="8" t="n"/>
      <c r="G710" s="8">
        <f>IF(F710&lt;&gt;"",HYPERLINK("https://www.google.com/maps/search/?api=1&amp;query="&amp;SUBSTITUTE(F710," ",""),"🗺 Google Maps"),"")</f>
        <v/>
      </c>
      <c r="H710" s="8">
        <f>IF(F710&lt;&gt;"",HYPERLINK("https://waze.com/ul?ll="&amp;SUBSTITUTE(F710," ","")&amp;"&amp;navigate=yes","🚗 Waze"),"")</f>
        <v/>
      </c>
      <c r="I710" s="8">
        <f>IF(F710&lt;&gt;"",HYPERLINK("https://m.uber.com/ul/?action=setPickup&amp;pickup=my_location&amp;dropoff[latitude]="&amp;LEFT(SUBSTITUTE(F710," ",""),FIND(",",SUBSTITUTE(F710," ",""))-1)&amp;"&amp;dropoff[longitude]="&amp;MID(SUBSTITUTE(F710," ",""),FIND(",",SUBSTITUTE(F710," ",""))+1,99),"🚕 Uber"),"")</f>
        <v/>
      </c>
      <c r="J710" s="8">
        <f>IF(F710&lt;&gt;"","https://api.qrserver.com/v1/create-qr-code/?size=200x200&amp;data="&amp;ENCODEURL("https://www.google.com/maps/search/?api=1&amp;query="&amp;SUBSTITUTE(F710," ","")),"")</f>
        <v/>
      </c>
      <c r="K710" s="8">
        <f>IF(C710&lt;&gt;"",HYPERLINK("https://wa.me/507"&amp;REGEXREPLACE(C710,"[^0-9]","")&amp;"?text="&amp;ENCODEURL("Ya llegue. Codigo: "&amp;A710&amp;". Ubicacion: "&amp;"https://www.google.com/maps/search/?api=1&amp;query="&amp;SUBSTITUTE(F710," ","")),"📲 Avisar al cliente"),"")</f>
        <v/>
      </c>
      <c r="L710" s="8">
        <f>IF(C710&lt;&gt;"","https://api.qrserver.com/v1/create-qr-code/?size=200x200&amp;data="&amp;ENCODEURL("https://wa.me/507"&amp;REGEXREPLACE(C710,"[^0-9]","")&amp;"?text="&amp;ENCODEURL("Ya llegue. Codigo: "&amp;A710&amp;". Ubicacion: "&amp;"https://www.google.com/maps/search/?api=1&amp;query="&amp;SUBSTITUTE(F710," ",""))),"")</f>
        <v/>
      </c>
      <c r="M710" s="8">
        <f>IF(B710&lt;&gt;"",TODAY(),"")</f>
        <v/>
      </c>
      <c r="N710" s="8">
        <f>IF(F710&lt;&gt;"",IFERROR(IF(AND(REGEXMATCH(SUBSTITUTE(TRIM(F710)," ",""),"^-?\d+(\.\d+)?,-?\d+(\.\d+)?$"),VALUE(REGEXEXTRACT(SUBSTITUTE(TRIM(F710)," ",""),"^-?\d+(\.\d+)?"))&gt;=-90,VALUE(REGEXEXTRACT(SUBSTITUTE(TRIM(F710)," ",""),"^-?\d+(\.\d+)?"))&lt;=90,VALUE(REGEXEXTRACT(SUBSTITUTE(TRIM(F710)," ",""),"-?\d+(\.\d+)?$"))&gt;=-180,VALUE(REGEXEXTRACT(SUBSTITUTE(TRIM(F710)," ",""),"-?\d+(\.\d+)?$"))&lt;=180),"OK","REVISAR"),"REVISAR"),"")</f>
        <v/>
      </c>
      <c r="O710">
        <f>IF(A710&lt;&gt;"","https://direcciones507.github.io/direcciones507/panel.html?codigo="&amp;A710&amp;"&amp;nombre="&amp;ENCODEURL(B710)&amp;"&amp;telefono="&amp;SUBSTITUTE(C710,"-","")&amp;"&amp;referencia="&amp;ENCODEURL(E710)&amp;"&amp;lat="&amp;IZQUIERDA(SUBSTITUTE(F710," ",""),ENCONTRAR(",",SUBSTITUTE(F710," ",""))-1)&amp;"&amp;lng="&amp;DERECHA(SUBSTITUTE(F710," ",""),LARGO(SUBSTITUTE(F710," ",""))-ENCONTRAR(",",SUBSTITUTE(F710," ",""))),"")</f>
        <v/>
      </c>
    </row>
    <row r="711" ht="15.75" customHeight="1" s="10">
      <c r="A711" s="8">
        <f>CONCAT("AD507-",TEXT(ROW()-2,"0000"))</f>
        <v/>
      </c>
      <c r="C711" s="8" t="n"/>
      <c r="F711" s="8" t="n"/>
      <c r="G711" s="8">
        <f>IF(F711&lt;&gt;"",HYPERLINK("https://www.google.com/maps/search/?api=1&amp;query="&amp;SUBSTITUTE(F711," ",""),"🗺 Google Maps"),"")</f>
        <v/>
      </c>
      <c r="H711" s="8">
        <f>IF(F711&lt;&gt;"",HYPERLINK("https://waze.com/ul?ll="&amp;SUBSTITUTE(F711," ","")&amp;"&amp;navigate=yes","🚗 Waze"),"")</f>
        <v/>
      </c>
      <c r="I711" s="8">
        <f>IF(F711&lt;&gt;"",HYPERLINK("https://m.uber.com/ul/?action=setPickup&amp;pickup=my_location&amp;dropoff[latitude]="&amp;LEFT(SUBSTITUTE(F711," ",""),FIND(",",SUBSTITUTE(F711," ",""))-1)&amp;"&amp;dropoff[longitude]="&amp;MID(SUBSTITUTE(F711," ",""),FIND(",",SUBSTITUTE(F711," ",""))+1,99),"🚕 Uber"),"")</f>
        <v/>
      </c>
      <c r="J711" s="8">
        <f>IF(F711&lt;&gt;"","https://api.qrserver.com/v1/create-qr-code/?size=200x200&amp;data="&amp;ENCODEURL("https://www.google.com/maps/search/?api=1&amp;query="&amp;SUBSTITUTE(F711," ","")),"")</f>
        <v/>
      </c>
      <c r="K711" s="8">
        <f>IF(C711&lt;&gt;"",HYPERLINK("https://wa.me/507"&amp;REGEXREPLACE(C711,"[^0-9]","")&amp;"?text="&amp;ENCODEURL("Ya llegue. Codigo: "&amp;A711&amp;". Ubicacion: "&amp;"https://www.google.com/maps/search/?api=1&amp;query="&amp;SUBSTITUTE(F711," ","")),"📲 Avisar al cliente"),"")</f>
        <v/>
      </c>
      <c r="L711" s="8">
        <f>IF(C711&lt;&gt;"","https://api.qrserver.com/v1/create-qr-code/?size=200x200&amp;data="&amp;ENCODEURL("https://wa.me/507"&amp;REGEXREPLACE(C711,"[^0-9]","")&amp;"?text="&amp;ENCODEURL("Ya llegue. Codigo: "&amp;A711&amp;". Ubicacion: "&amp;"https://www.google.com/maps/search/?api=1&amp;query="&amp;SUBSTITUTE(F711," ",""))),"")</f>
        <v/>
      </c>
      <c r="M711" s="8">
        <f>IF(B711&lt;&gt;"",TODAY(),"")</f>
        <v/>
      </c>
      <c r="N711" s="8">
        <f>IF(F711&lt;&gt;"",IFERROR(IF(AND(REGEXMATCH(SUBSTITUTE(TRIM(F711)," ",""),"^-?\d+(\.\d+)?,-?\d+(\.\d+)?$"),VALUE(REGEXEXTRACT(SUBSTITUTE(TRIM(F711)," ",""),"^-?\d+(\.\d+)?"))&gt;=-90,VALUE(REGEXEXTRACT(SUBSTITUTE(TRIM(F711)," ",""),"^-?\d+(\.\d+)?"))&lt;=90,VALUE(REGEXEXTRACT(SUBSTITUTE(TRIM(F711)," ",""),"-?\d+(\.\d+)?$"))&gt;=-180,VALUE(REGEXEXTRACT(SUBSTITUTE(TRIM(F711)," ",""),"-?\d+(\.\d+)?$"))&lt;=180),"OK","REVISAR"),"REVISAR"),"")</f>
        <v/>
      </c>
      <c r="O711">
        <f>IF(A711&lt;&gt;"","https://direcciones507.github.io/direcciones507/panel.html?codigo="&amp;A711&amp;"&amp;nombre="&amp;ENCODEURL(B711)&amp;"&amp;telefono="&amp;SUBSTITUTE(C711,"-","")&amp;"&amp;referencia="&amp;ENCODEURL(E711)&amp;"&amp;lat="&amp;IZQUIERDA(SUBSTITUTE(F711," ",""),ENCONTRAR(",",SUBSTITUTE(F711," ",""))-1)&amp;"&amp;lng="&amp;DERECHA(SUBSTITUTE(F711," ",""),LARGO(SUBSTITUTE(F711," ",""))-ENCONTRAR(",",SUBSTITUTE(F711," ",""))),"")</f>
        <v/>
      </c>
    </row>
    <row r="712" ht="15.75" customHeight="1" s="10">
      <c r="A712" s="8">
        <f>CONCAT("AD507-",TEXT(ROW()-2,"0000"))</f>
        <v/>
      </c>
      <c r="C712" s="8" t="n"/>
      <c r="F712" s="8" t="n"/>
      <c r="G712" s="8">
        <f>IF(F712&lt;&gt;"",HYPERLINK("https://www.google.com/maps/search/?api=1&amp;query="&amp;SUBSTITUTE(F712," ",""),"🗺 Google Maps"),"")</f>
        <v/>
      </c>
      <c r="H712" s="8">
        <f>IF(F712&lt;&gt;"",HYPERLINK("https://waze.com/ul?ll="&amp;SUBSTITUTE(F712," ","")&amp;"&amp;navigate=yes","🚗 Waze"),"")</f>
        <v/>
      </c>
      <c r="I712" s="8">
        <f>IF(F712&lt;&gt;"",HYPERLINK("https://m.uber.com/ul/?action=setPickup&amp;pickup=my_location&amp;dropoff[latitude]="&amp;LEFT(SUBSTITUTE(F712," ",""),FIND(",",SUBSTITUTE(F712," ",""))-1)&amp;"&amp;dropoff[longitude]="&amp;MID(SUBSTITUTE(F712," ",""),FIND(",",SUBSTITUTE(F712," ",""))+1,99),"🚕 Uber"),"")</f>
        <v/>
      </c>
      <c r="J712" s="8">
        <f>IF(F712&lt;&gt;"","https://api.qrserver.com/v1/create-qr-code/?size=200x200&amp;data="&amp;ENCODEURL("https://www.google.com/maps/search/?api=1&amp;query="&amp;SUBSTITUTE(F712," ","")),"")</f>
        <v/>
      </c>
      <c r="K712" s="8">
        <f>IF(C712&lt;&gt;"",HYPERLINK("https://wa.me/507"&amp;REGEXREPLACE(C712,"[^0-9]","")&amp;"?text="&amp;ENCODEURL("Ya llegue. Codigo: "&amp;A712&amp;". Ubicacion: "&amp;"https://www.google.com/maps/search/?api=1&amp;query="&amp;SUBSTITUTE(F712," ","")),"📲 Avisar al cliente"),"")</f>
        <v/>
      </c>
      <c r="L712" s="8">
        <f>IF(C712&lt;&gt;"","https://api.qrserver.com/v1/create-qr-code/?size=200x200&amp;data="&amp;ENCODEURL("https://wa.me/507"&amp;REGEXREPLACE(C712,"[^0-9]","")&amp;"?text="&amp;ENCODEURL("Ya llegue. Codigo: "&amp;A712&amp;". Ubicacion: "&amp;"https://www.google.com/maps/search/?api=1&amp;query="&amp;SUBSTITUTE(F712," ",""))),"")</f>
        <v/>
      </c>
      <c r="M712" s="8">
        <f>IF(B712&lt;&gt;"",TODAY(),"")</f>
        <v/>
      </c>
      <c r="N712" s="8">
        <f>IF(F712&lt;&gt;"",IFERROR(IF(AND(REGEXMATCH(SUBSTITUTE(TRIM(F712)," ",""),"^-?\d+(\.\d+)?,-?\d+(\.\d+)?$"),VALUE(REGEXEXTRACT(SUBSTITUTE(TRIM(F712)," ",""),"^-?\d+(\.\d+)?"))&gt;=-90,VALUE(REGEXEXTRACT(SUBSTITUTE(TRIM(F712)," ",""),"^-?\d+(\.\d+)?"))&lt;=90,VALUE(REGEXEXTRACT(SUBSTITUTE(TRIM(F712)," ",""),"-?\d+(\.\d+)?$"))&gt;=-180,VALUE(REGEXEXTRACT(SUBSTITUTE(TRIM(F712)," ",""),"-?\d+(\.\d+)?$"))&lt;=180),"OK","REVISAR"),"REVISAR"),"")</f>
        <v/>
      </c>
      <c r="O712">
        <f>IF(A712&lt;&gt;"","https://direcciones507.github.io/direcciones507/panel.html?codigo="&amp;A712&amp;"&amp;nombre="&amp;ENCODEURL(B712)&amp;"&amp;telefono="&amp;SUBSTITUTE(C712,"-","")&amp;"&amp;referencia="&amp;ENCODEURL(E712)&amp;"&amp;lat="&amp;IZQUIERDA(SUBSTITUTE(F712," ",""),ENCONTRAR(",",SUBSTITUTE(F712," ",""))-1)&amp;"&amp;lng="&amp;DERECHA(SUBSTITUTE(F712," ",""),LARGO(SUBSTITUTE(F712," ",""))-ENCONTRAR(",",SUBSTITUTE(F712," ",""))),"")</f>
        <v/>
      </c>
    </row>
    <row r="713" ht="15.75" customHeight="1" s="10">
      <c r="A713" s="8">
        <f>CONCAT("AD507-",TEXT(ROW()-2,"0000"))</f>
        <v/>
      </c>
      <c r="C713" s="8" t="n"/>
      <c r="F713" s="8" t="n"/>
      <c r="G713" s="8">
        <f>IF(F713&lt;&gt;"",HYPERLINK("https://www.google.com/maps/search/?api=1&amp;query="&amp;SUBSTITUTE(F713," ",""),"🗺 Google Maps"),"")</f>
        <v/>
      </c>
      <c r="H713" s="8">
        <f>IF(F713&lt;&gt;"",HYPERLINK("https://waze.com/ul?ll="&amp;SUBSTITUTE(F713," ","")&amp;"&amp;navigate=yes","🚗 Waze"),"")</f>
        <v/>
      </c>
      <c r="I713" s="8">
        <f>IF(F713&lt;&gt;"",HYPERLINK("https://m.uber.com/ul/?action=setPickup&amp;pickup=my_location&amp;dropoff[latitude]="&amp;LEFT(SUBSTITUTE(F713," ",""),FIND(",",SUBSTITUTE(F713," ",""))-1)&amp;"&amp;dropoff[longitude]="&amp;MID(SUBSTITUTE(F713," ",""),FIND(",",SUBSTITUTE(F713," ",""))+1,99),"🚕 Uber"),"")</f>
        <v/>
      </c>
      <c r="J713" s="8">
        <f>IF(F713&lt;&gt;"","https://api.qrserver.com/v1/create-qr-code/?size=200x200&amp;data="&amp;ENCODEURL("https://www.google.com/maps/search/?api=1&amp;query="&amp;SUBSTITUTE(F713," ","")),"")</f>
        <v/>
      </c>
      <c r="K713" s="8">
        <f>IF(C713&lt;&gt;"",HYPERLINK("https://wa.me/507"&amp;REGEXREPLACE(C713,"[^0-9]","")&amp;"?text="&amp;ENCODEURL("Ya llegue. Codigo: "&amp;A713&amp;". Ubicacion: "&amp;"https://www.google.com/maps/search/?api=1&amp;query="&amp;SUBSTITUTE(F713," ","")),"📲 Avisar al cliente"),"")</f>
        <v/>
      </c>
      <c r="L713" s="8">
        <f>IF(C713&lt;&gt;"","https://api.qrserver.com/v1/create-qr-code/?size=200x200&amp;data="&amp;ENCODEURL("https://wa.me/507"&amp;REGEXREPLACE(C713,"[^0-9]","")&amp;"?text="&amp;ENCODEURL("Ya llegue. Codigo: "&amp;A713&amp;". Ubicacion: "&amp;"https://www.google.com/maps/search/?api=1&amp;query="&amp;SUBSTITUTE(F713," ",""))),"")</f>
        <v/>
      </c>
      <c r="M713" s="8">
        <f>IF(B713&lt;&gt;"",TODAY(),"")</f>
        <v/>
      </c>
      <c r="N713" s="8">
        <f>IF(F713&lt;&gt;"",IFERROR(IF(AND(REGEXMATCH(SUBSTITUTE(TRIM(F713)," ",""),"^-?\d+(\.\d+)?,-?\d+(\.\d+)?$"),VALUE(REGEXEXTRACT(SUBSTITUTE(TRIM(F713)," ",""),"^-?\d+(\.\d+)?"))&gt;=-90,VALUE(REGEXEXTRACT(SUBSTITUTE(TRIM(F713)," ",""),"^-?\d+(\.\d+)?"))&lt;=90,VALUE(REGEXEXTRACT(SUBSTITUTE(TRIM(F713)," ",""),"-?\d+(\.\d+)?$"))&gt;=-180,VALUE(REGEXEXTRACT(SUBSTITUTE(TRIM(F713)," ",""),"-?\d+(\.\d+)?$"))&lt;=180),"OK","REVISAR"),"REVISAR"),"")</f>
        <v/>
      </c>
      <c r="O713">
        <f>IF(A713&lt;&gt;"","https://direcciones507.github.io/direcciones507/panel.html?codigo="&amp;A713&amp;"&amp;nombre="&amp;ENCODEURL(B713)&amp;"&amp;telefono="&amp;SUBSTITUTE(C713,"-","")&amp;"&amp;referencia="&amp;ENCODEURL(E713)&amp;"&amp;lat="&amp;IZQUIERDA(SUBSTITUTE(F713," ",""),ENCONTRAR(",",SUBSTITUTE(F713," ",""))-1)&amp;"&amp;lng="&amp;DERECHA(SUBSTITUTE(F713," ",""),LARGO(SUBSTITUTE(F713," ",""))-ENCONTRAR(",",SUBSTITUTE(F713," ",""))),"")</f>
        <v/>
      </c>
    </row>
    <row r="714" ht="15.75" customHeight="1" s="10">
      <c r="A714" s="8">
        <f>CONCAT("AD507-",TEXT(ROW()-2,"0000"))</f>
        <v/>
      </c>
      <c r="C714" s="8" t="n"/>
      <c r="F714" s="8" t="n"/>
      <c r="G714" s="8">
        <f>IF(F714&lt;&gt;"",HYPERLINK("https://www.google.com/maps/search/?api=1&amp;query="&amp;SUBSTITUTE(F714," ",""),"🗺 Google Maps"),"")</f>
        <v/>
      </c>
      <c r="H714" s="8">
        <f>IF(F714&lt;&gt;"",HYPERLINK("https://waze.com/ul?ll="&amp;SUBSTITUTE(F714," ","")&amp;"&amp;navigate=yes","🚗 Waze"),"")</f>
        <v/>
      </c>
      <c r="I714" s="8">
        <f>IF(F714&lt;&gt;"",HYPERLINK("https://m.uber.com/ul/?action=setPickup&amp;pickup=my_location&amp;dropoff[latitude]="&amp;LEFT(SUBSTITUTE(F714," ",""),FIND(",",SUBSTITUTE(F714," ",""))-1)&amp;"&amp;dropoff[longitude]="&amp;MID(SUBSTITUTE(F714," ",""),FIND(",",SUBSTITUTE(F714," ",""))+1,99),"🚕 Uber"),"")</f>
        <v/>
      </c>
      <c r="J714" s="8">
        <f>IF(F714&lt;&gt;"","https://api.qrserver.com/v1/create-qr-code/?size=200x200&amp;data="&amp;ENCODEURL("https://www.google.com/maps/search/?api=1&amp;query="&amp;SUBSTITUTE(F714," ","")),"")</f>
        <v/>
      </c>
      <c r="K714" s="8">
        <f>IF(C714&lt;&gt;"",HYPERLINK("https://wa.me/507"&amp;REGEXREPLACE(C714,"[^0-9]","")&amp;"?text="&amp;ENCODEURL("Ya llegue. Codigo: "&amp;A714&amp;". Ubicacion: "&amp;"https://www.google.com/maps/search/?api=1&amp;query="&amp;SUBSTITUTE(F714," ","")),"📲 Avisar al cliente"),"")</f>
        <v/>
      </c>
      <c r="L714" s="8">
        <f>IF(C714&lt;&gt;"","https://api.qrserver.com/v1/create-qr-code/?size=200x200&amp;data="&amp;ENCODEURL("https://wa.me/507"&amp;REGEXREPLACE(C714,"[^0-9]","")&amp;"?text="&amp;ENCODEURL("Ya llegue. Codigo: "&amp;A714&amp;". Ubicacion: "&amp;"https://www.google.com/maps/search/?api=1&amp;query="&amp;SUBSTITUTE(F714," ",""))),"")</f>
        <v/>
      </c>
      <c r="M714" s="8">
        <f>IF(B714&lt;&gt;"",TODAY(),"")</f>
        <v/>
      </c>
      <c r="N714" s="8">
        <f>IF(F714&lt;&gt;"",IFERROR(IF(AND(REGEXMATCH(SUBSTITUTE(TRIM(F714)," ",""),"^-?\d+(\.\d+)?,-?\d+(\.\d+)?$"),VALUE(REGEXEXTRACT(SUBSTITUTE(TRIM(F714)," ",""),"^-?\d+(\.\d+)?"))&gt;=-90,VALUE(REGEXEXTRACT(SUBSTITUTE(TRIM(F714)," ",""),"^-?\d+(\.\d+)?"))&lt;=90,VALUE(REGEXEXTRACT(SUBSTITUTE(TRIM(F714)," ",""),"-?\d+(\.\d+)?$"))&gt;=-180,VALUE(REGEXEXTRACT(SUBSTITUTE(TRIM(F714)," ",""),"-?\d+(\.\d+)?$"))&lt;=180),"OK","REVISAR"),"REVISAR"),"")</f>
        <v/>
      </c>
      <c r="O714">
        <f>IF(A714&lt;&gt;"","https://direcciones507.github.io/direcciones507/panel.html?codigo="&amp;A714&amp;"&amp;nombre="&amp;ENCODEURL(B714)&amp;"&amp;telefono="&amp;SUBSTITUTE(C714,"-","")&amp;"&amp;referencia="&amp;ENCODEURL(E714)&amp;"&amp;lat="&amp;IZQUIERDA(SUBSTITUTE(F714," ",""),ENCONTRAR(",",SUBSTITUTE(F714," ",""))-1)&amp;"&amp;lng="&amp;DERECHA(SUBSTITUTE(F714," ",""),LARGO(SUBSTITUTE(F714," ",""))-ENCONTRAR(",",SUBSTITUTE(F714," ",""))),"")</f>
        <v/>
      </c>
    </row>
    <row r="715" ht="15.75" customHeight="1" s="10">
      <c r="A715" s="8">
        <f>CONCAT("AD507-",TEXT(ROW()-2,"0000"))</f>
        <v/>
      </c>
      <c r="C715" s="8" t="n"/>
      <c r="F715" s="8" t="n"/>
      <c r="G715" s="8">
        <f>IF(F715&lt;&gt;"",HYPERLINK("https://www.google.com/maps/search/?api=1&amp;query="&amp;SUBSTITUTE(F715," ",""),"🗺 Google Maps"),"")</f>
        <v/>
      </c>
      <c r="H715" s="8">
        <f>IF(F715&lt;&gt;"",HYPERLINK("https://waze.com/ul?ll="&amp;SUBSTITUTE(F715," ","")&amp;"&amp;navigate=yes","🚗 Waze"),"")</f>
        <v/>
      </c>
      <c r="I715" s="8">
        <f>IF(F715&lt;&gt;"",HYPERLINK("https://m.uber.com/ul/?action=setPickup&amp;pickup=my_location&amp;dropoff[latitude]="&amp;LEFT(SUBSTITUTE(F715," ",""),FIND(",",SUBSTITUTE(F715," ",""))-1)&amp;"&amp;dropoff[longitude]="&amp;MID(SUBSTITUTE(F715," ",""),FIND(",",SUBSTITUTE(F715," ",""))+1,99),"🚕 Uber"),"")</f>
        <v/>
      </c>
      <c r="J715" s="8">
        <f>IF(F715&lt;&gt;"","https://api.qrserver.com/v1/create-qr-code/?size=200x200&amp;data="&amp;ENCODEURL("https://www.google.com/maps/search/?api=1&amp;query="&amp;SUBSTITUTE(F715," ","")),"")</f>
        <v/>
      </c>
      <c r="K715" s="8">
        <f>IF(C715&lt;&gt;"",HYPERLINK("https://wa.me/507"&amp;REGEXREPLACE(C715,"[^0-9]","")&amp;"?text="&amp;ENCODEURL("Ya llegue. Codigo: "&amp;A715&amp;". Ubicacion: "&amp;"https://www.google.com/maps/search/?api=1&amp;query="&amp;SUBSTITUTE(F715," ","")),"📲 Avisar al cliente"),"")</f>
        <v/>
      </c>
      <c r="L715" s="8">
        <f>IF(C715&lt;&gt;"","https://api.qrserver.com/v1/create-qr-code/?size=200x200&amp;data="&amp;ENCODEURL("https://wa.me/507"&amp;REGEXREPLACE(C715,"[^0-9]","")&amp;"?text="&amp;ENCODEURL("Ya llegue. Codigo: "&amp;A715&amp;". Ubicacion: "&amp;"https://www.google.com/maps/search/?api=1&amp;query="&amp;SUBSTITUTE(F715," ",""))),"")</f>
        <v/>
      </c>
      <c r="M715" s="8">
        <f>IF(B715&lt;&gt;"",TODAY(),"")</f>
        <v/>
      </c>
      <c r="N715" s="8">
        <f>IF(F715&lt;&gt;"",IFERROR(IF(AND(REGEXMATCH(SUBSTITUTE(TRIM(F715)," ",""),"^-?\d+(\.\d+)?,-?\d+(\.\d+)?$"),VALUE(REGEXEXTRACT(SUBSTITUTE(TRIM(F715)," ",""),"^-?\d+(\.\d+)?"))&gt;=-90,VALUE(REGEXEXTRACT(SUBSTITUTE(TRIM(F715)," ",""),"^-?\d+(\.\d+)?"))&lt;=90,VALUE(REGEXEXTRACT(SUBSTITUTE(TRIM(F715)," ",""),"-?\d+(\.\d+)?$"))&gt;=-180,VALUE(REGEXEXTRACT(SUBSTITUTE(TRIM(F715)," ",""),"-?\d+(\.\d+)?$"))&lt;=180),"OK","REVISAR"),"REVISAR"),"")</f>
        <v/>
      </c>
      <c r="O715">
        <f>IF(A715&lt;&gt;"","https://direcciones507.github.io/direcciones507/panel.html?codigo="&amp;A715&amp;"&amp;nombre="&amp;ENCODEURL(B715)&amp;"&amp;telefono="&amp;SUBSTITUTE(C715,"-","")&amp;"&amp;referencia="&amp;ENCODEURL(E715)&amp;"&amp;lat="&amp;IZQUIERDA(SUBSTITUTE(F715," ",""),ENCONTRAR(",",SUBSTITUTE(F715," ",""))-1)&amp;"&amp;lng="&amp;DERECHA(SUBSTITUTE(F715," ",""),LARGO(SUBSTITUTE(F715," ",""))-ENCONTRAR(",",SUBSTITUTE(F715," ",""))),"")</f>
        <v/>
      </c>
    </row>
    <row r="716" ht="15.75" customHeight="1" s="10">
      <c r="A716" s="8">
        <f>CONCAT("AD507-",TEXT(ROW()-2,"0000"))</f>
        <v/>
      </c>
      <c r="C716" s="8" t="n"/>
      <c r="F716" s="8" t="n"/>
      <c r="G716" s="8">
        <f>IF(F716&lt;&gt;"",HYPERLINK("https://www.google.com/maps/search/?api=1&amp;query="&amp;SUBSTITUTE(F716," ",""),"🗺 Google Maps"),"")</f>
        <v/>
      </c>
      <c r="H716" s="8">
        <f>IF(F716&lt;&gt;"",HYPERLINK("https://waze.com/ul?ll="&amp;SUBSTITUTE(F716," ","")&amp;"&amp;navigate=yes","🚗 Waze"),"")</f>
        <v/>
      </c>
      <c r="I716" s="8">
        <f>IF(F716&lt;&gt;"",HYPERLINK("https://m.uber.com/ul/?action=setPickup&amp;pickup=my_location&amp;dropoff[latitude]="&amp;LEFT(SUBSTITUTE(F716," ",""),FIND(",",SUBSTITUTE(F716," ",""))-1)&amp;"&amp;dropoff[longitude]="&amp;MID(SUBSTITUTE(F716," ",""),FIND(",",SUBSTITUTE(F716," ",""))+1,99),"🚕 Uber"),"")</f>
        <v/>
      </c>
      <c r="J716" s="8">
        <f>IF(F716&lt;&gt;"","https://api.qrserver.com/v1/create-qr-code/?size=200x200&amp;data="&amp;ENCODEURL("https://www.google.com/maps/search/?api=1&amp;query="&amp;SUBSTITUTE(F716," ","")),"")</f>
        <v/>
      </c>
      <c r="K716" s="8">
        <f>IF(C716&lt;&gt;"",HYPERLINK("https://wa.me/507"&amp;REGEXREPLACE(C716,"[^0-9]","")&amp;"?text="&amp;ENCODEURL("Ya llegue. Codigo: "&amp;A716&amp;". Ubicacion: "&amp;"https://www.google.com/maps/search/?api=1&amp;query="&amp;SUBSTITUTE(F716," ","")),"📲 Avisar al cliente"),"")</f>
        <v/>
      </c>
      <c r="L716" s="8">
        <f>IF(C716&lt;&gt;"","https://api.qrserver.com/v1/create-qr-code/?size=200x200&amp;data="&amp;ENCODEURL("https://wa.me/507"&amp;REGEXREPLACE(C716,"[^0-9]","")&amp;"?text="&amp;ENCODEURL("Ya llegue. Codigo: "&amp;A716&amp;". Ubicacion: "&amp;"https://www.google.com/maps/search/?api=1&amp;query="&amp;SUBSTITUTE(F716," ",""))),"")</f>
        <v/>
      </c>
      <c r="M716" s="8">
        <f>IF(B716&lt;&gt;"",TODAY(),"")</f>
        <v/>
      </c>
      <c r="N716" s="8">
        <f>IF(F716&lt;&gt;"",IFERROR(IF(AND(REGEXMATCH(SUBSTITUTE(TRIM(F716)," ",""),"^-?\d+(\.\d+)?,-?\d+(\.\d+)?$"),VALUE(REGEXEXTRACT(SUBSTITUTE(TRIM(F716)," ",""),"^-?\d+(\.\d+)?"))&gt;=-90,VALUE(REGEXEXTRACT(SUBSTITUTE(TRIM(F716)," ",""),"^-?\d+(\.\d+)?"))&lt;=90,VALUE(REGEXEXTRACT(SUBSTITUTE(TRIM(F716)," ",""),"-?\d+(\.\d+)?$"))&gt;=-180,VALUE(REGEXEXTRACT(SUBSTITUTE(TRIM(F716)," ",""),"-?\d+(\.\d+)?$"))&lt;=180),"OK","REVISAR"),"REVISAR"),"")</f>
        <v/>
      </c>
      <c r="O716">
        <f>IF(A716&lt;&gt;"","https://direcciones507.github.io/direcciones507/panel.html?codigo="&amp;A716&amp;"&amp;nombre="&amp;ENCODEURL(B716)&amp;"&amp;telefono="&amp;SUBSTITUTE(C716,"-","")&amp;"&amp;referencia="&amp;ENCODEURL(E716)&amp;"&amp;lat="&amp;IZQUIERDA(SUBSTITUTE(F716," ",""),ENCONTRAR(",",SUBSTITUTE(F716," ",""))-1)&amp;"&amp;lng="&amp;DERECHA(SUBSTITUTE(F716," ",""),LARGO(SUBSTITUTE(F716," ",""))-ENCONTRAR(",",SUBSTITUTE(F716," ",""))),"")</f>
        <v/>
      </c>
    </row>
    <row r="717" ht="15.75" customHeight="1" s="10">
      <c r="A717" s="8">
        <f>CONCAT("AD507-",TEXT(ROW()-2,"0000"))</f>
        <v/>
      </c>
      <c r="C717" s="8" t="n"/>
      <c r="F717" s="8" t="n"/>
      <c r="G717" s="8">
        <f>IF(F717&lt;&gt;"",HYPERLINK("https://www.google.com/maps/search/?api=1&amp;query="&amp;SUBSTITUTE(F717," ",""),"🗺 Google Maps"),"")</f>
        <v/>
      </c>
      <c r="H717" s="8">
        <f>IF(F717&lt;&gt;"",HYPERLINK("https://waze.com/ul?ll="&amp;SUBSTITUTE(F717," ","")&amp;"&amp;navigate=yes","🚗 Waze"),"")</f>
        <v/>
      </c>
      <c r="I717" s="8">
        <f>IF(F717&lt;&gt;"",HYPERLINK("https://m.uber.com/ul/?action=setPickup&amp;pickup=my_location&amp;dropoff[latitude]="&amp;LEFT(SUBSTITUTE(F717," ",""),FIND(",",SUBSTITUTE(F717," ",""))-1)&amp;"&amp;dropoff[longitude]="&amp;MID(SUBSTITUTE(F717," ",""),FIND(",",SUBSTITUTE(F717," ",""))+1,99),"🚕 Uber"),"")</f>
        <v/>
      </c>
      <c r="J717" s="8">
        <f>IF(F717&lt;&gt;"","https://api.qrserver.com/v1/create-qr-code/?size=200x200&amp;data="&amp;ENCODEURL("https://www.google.com/maps/search/?api=1&amp;query="&amp;SUBSTITUTE(F717," ","")),"")</f>
        <v/>
      </c>
      <c r="K717" s="8">
        <f>IF(C717&lt;&gt;"",HYPERLINK("https://wa.me/507"&amp;REGEXREPLACE(C717,"[^0-9]","")&amp;"?text="&amp;ENCODEURL("Ya llegue. Codigo: "&amp;A717&amp;". Ubicacion: "&amp;"https://www.google.com/maps/search/?api=1&amp;query="&amp;SUBSTITUTE(F717," ","")),"📲 Avisar al cliente"),"")</f>
        <v/>
      </c>
      <c r="L717" s="8">
        <f>IF(C717&lt;&gt;"","https://api.qrserver.com/v1/create-qr-code/?size=200x200&amp;data="&amp;ENCODEURL("https://wa.me/507"&amp;REGEXREPLACE(C717,"[^0-9]","")&amp;"?text="&amp;ENCODEURL("Ya llegue. Codigo: "&amp;A717&amp;". Ubicacion: "&amp;"https://www.google.com/maps/search/?api=1&amp;query="&amp;SUBSTITUTE(F717," ",""))),"")</f>
        <v/>
      </c>
      <c r="M717" s="8">
        <f>IF(B717&lt;&gt;"",TODAY(),"")</f>
        <v/>
      </c>
      <c r="N717" s="8">
        <f>IF(F717&lt;&gt;"",IFERROR(IF(AND(REGEXMATCH(SUBSTITUTE(TRIM(F717)," ",""),"^-?\d+(\.\d+)?,-?\d+(\.\d+)?$"),VALUE(REGEXEXTRACT(SUBSTITUTE(TRIM(F717)," ",""),"^-?\d+(\.\d+)?"))&gt;=-90,VALUE(REGEXEXTRACT(SUBSTITUTE(TRIM(F717)," ",""),"^-?\d+(\.\d+)?"))&lt;=90,VALUE(REGEXEXTRACT(SUBSTITUTE(TRIM(F717)," ",""),"-?\d+(\.\d+)?$"))&gt;=-180,VALUE(REGEXEXTRACT(SUBSTITUTE(TRIM(F717)," ",""),"-?\d+(\.\d+)?$"))&lt;=180),"OK","REVISAR"),"REVISAR"),"")</f>
        <v/>
      </c>
      <c r="O717">
        <f>IF(A717&lt;&gt;"","https://direcciones507.github.io/direcciones507/panel.html?codigo="&amp;A717&amp;"&amp;nombre="&amp;ENCODEURL(B717)&amp;"&amp;telefono="&amp;SUBSTITUTE(C717,"-","")&amp;"&amp;referencia="&amp;ENCODEURL(E717)&amp;"&amp;lat="&amp;IZQUIERDA(SUBSTITUTE(F717," ",""),ENCONTRAR(",",SUBSTITUTE(F717," ",""))-1)&amp;"&amp;lng="&amp;DERECHA(SUBSTITUTE(F717," ",""),LARGO(SUBSTITUTE(F717," ",""))-ENCONTRAR(",",SUBSTITUTE(F717," ",""))),"")</f>
        <v/>
      </c>
    </row>
    <row r="718" ht="15.75" customHeight="1" s="10">
      <c r="A718" s="8">
        <f>CONCAT("AD507-",TEXT(ROW()-2,"0000"))</f>
        <v/>
      </c>
      <c r="C718" s="8" t="n"/>
      <c r="F718" s="8" t="n"/>
      <c r="G718" s="8">
        <f>IF(F718&lt;&gt;"",HYPERLINK("https://www.google.com/maps/search/?api=1&amp;query="&amp;SUBSTITUTE(F718," ",""),"🗺 Google Maps"),"")</f>
        <v/>
      </c>
      <c r="H718" s="8">
        <f>IF(F718&lt;&gt;"",HYPERLINK("https://waze.com/ul?ll="&amp;SUBSTITUTE(F718," ","")&amp;"&amp;navigate=yes","🚗 Waze"),"")</f>
        <v/>
      </c>
      <c r="I718" s="8">
        <f>IF(F718&lt;&gt;"",HYPERLINK("https://m.uber.com/ul/?action=setPickup&amp;pickup=my_location&amp;dropoff[latitude]="&amp;LEFT(SUBSTITUTE(F718," ",""),FIND(",",SUBSTITUTE(F718," ",""))-1)&amp;"&amp;dropoff[longitude]="&amp;MID(SUBSTITUTE(F718," ",""),FIND(",",SUBSTITUTE(F718," ",""))+1,99),"🚕 Uber"),"")</f>
        <v/>
      </c>
      <c r="J718" s="8">
        <f>IF(F718&lt;&gt;"","https://api.qrserver.com/v1/create-qr-code/?size=200x200&amp;data="&amp;ENCODEURL("https://www.google.com/maps/search/?api=1&amp;query="&amp;SUBSTITUTE(F718," ","")),"")</f>
        <v/>
      </c>
      <c r="K718" s="8">
        <f>IF(C718&lt;&gt;"",HYPERLINK("https://wa.me/507"&amp;REGEXREPLACE(C718,"[^0-9]","")&amp;"?text="&amp;ENCODEURL("Ya llegue. Codigo: "&amp;A718&amp;". Ubicacion: "&amp;"https://www.google.com/maps/search/?api=1&amp;query="&amp;SUBSTITUTE(F718," ","")),"📲 Avisar al cliente"),"")</f>
        <v/>
      </c>
      <c r="L718" s="8">
        <f>IF(C718&lt;&gt;"","https://api.qrserver.com/v1/create-qr-code/?size=200x200&amp;data="&amp;ENCODEURL("https://wa.me/507"&amp;REGEXREPLACE(C718,"[^0-9]","")&amp;"?text="&amp;ENCODEURL("Ya llegue. Codigo: "&amp;A718&amp;". Ubicacion: "&amp;"https://www.google.com/maps/search/?api=1&amp;query="&amp;SUBSTITUTE(F718," ",""))),"")</f>
        <v/>
      </c>
      <c r="M718" s="8">
        <f>IF(B718&lt;&gt;"",TODAY(),"")</f>
        <v/>
      </c>
      <c r="N718" s="8">
        <f>IF(F718&lt;&gt;"",IFERROR(IF(AND(REGEXMATCH(SUBSTITUTE(TRIM(F718)," ",""),"^-?\d+(\.\d+)?,-?\d+(\.\d+)?$"),VALUE(REGEXEXTRACT(SUBSTITUTE(TRIM(F718)," ",""),"^-?\d+(\.\d+)?"))&gt;=-90,VALUE(REGEXEXTRACT(SUBSTITUTE(TRIM(F718)," ",""),"^-?\d+(\.\d+)?"))&lt;=90,VALUE(REGEXEXTRACT(SUBSTITUTE(TRIM(F718)," ",""),"-?\d+(\.\d+)?$"))&gt;=-180,VALUE(REGEXEXTRACT(SUBSTITUTE(TRIM(F718)," ",""),"-?\d+(\.\d+)?$"))&lt;=180),"OK","REVISAR"),"REVISAR"),"")</f>
        <v/>
      </c>
      <c r="O718">
        <f>IF(A718&lt;&gt;"","https://direcciones507.github.io/direcciones507/panel.html?codigo="&amp;A718&amp;"&amp;nombre="&amp;ENCODEURL(B718)&amp;"&amp;telefono="&amp;SUBSTITUTE(C718,"-","")&amp;"&amp;referencia="&amp;ENCODEURL(E718)&amp;"&amp;lat="&amp;IZQUIERDA(SUBSTITUTE(F718," ",""),ENCONTRAR(",",SUBSTITUTE(F718," ",""))-1)&amp;"&amp;lng="&amp;DERECHA(SUBSTITUTE(F718," ",""),LARGO(SUBSTITUTE(F718," ",""))-ENCONTRAR(",",SUBSTITUTE(F718," ",""))),"")</f>
        <v/>
      </c>
    </row>
    <row r="719" ht="15.75" customHeight="1" s="10">
      <c r="A719" s="8">
        <f>CONCAT("AD507-",TEXT(ROW()-2,"0000"))</f>
        <v/>
      </c>
      <c r="C719" s="8" t="n"/>
      <c r="F719" s="8" t="n"/>
      <c r="G719" s="8">
        <f>IF(F719&lt;&gt;"",HYPERLINK("https://www.google.com/maps/search/?api=1&amp;query="&amp;SUBSTITUTE(F719," ",""),"🗺 Google Maps"),"")</f>
        <v/>
      </c>
      <c r="H719" s="8">
        <f>IF(F719&lt;&gt;"",HYPERLINK("https://waze.com/ul?ll="&amp;SUBSTITUTE(F719," ","")&amp;"&amp;navigate=yes","🚗 Waze"),"")</f>
        <v/>
      </c>
      <c r="I719" s="8">
        <f>IF(F719&lt;&gt;"",HYPERLINK("https://m.uber.com/ul/?action=setPickup&amp;pickup=my_location&amp;dropoff[latitude]="&amp;LEFT(SUBSTITUTE(F719," ",""),FIND(",",SUBSTITUTE(F719," ",""))-1)&amp;"&amp;dropoff[longitude]="&amp;MID(SUBSTITUTE(F719," ",""),FIND(",",SUBSTITUTE(F719," ",""))+1,99),"🚕 Uber"),"")</f>
        <v/>
      </c>
      <c r="J719" s="8">
        <f>IF(F719&lt;&gt;"","https://api.qrserver.com/v1/create-qr-code/?size=200x200&amp;data="&amp;ENCODEURL("https://www.google.com/maps/search/?api=1&amp;query="&amp;SUBSTITUTE(F719," ","")),"")</f>
        <v/>
      </c>
      <c r="K719" s="8">
        <f>IF(C719&lt;&gt;"",HYPERLINK("https://wa.me/507"&amp;REGEXREPLACE(C719,"[^0-9]","")&amp;"?text="&amp;ENCODEURL("Ya llegue. Codigo: "&amp;A719&amp;". Ubicacion: "&amp;"https://www.google.com/maps/search/?api=1&amp;query="&amp;SUBSTITUTE(F719," ","")),"📲 Avisar al cliente"),"")</f>
        <v/>
      </c>
      <c r="L719" s="8">
        <f>IF(C719&lt;&gt;"","https://api.qrserver.com/v1/create-qr-code/?size=200x200&amp;data="&amp;ENCODEURL("https://wa.me/507"&amp;REGEXREPLACE(C719,"[^0-9]","")&amp;"?text="&amp;ENCODEURL("Ya llegue. Codigo: "&amp;A719&amp;". Ubicacion: "&amp;"https://www.google.com/maps/search/?api=1&amp;query="&amp;SUBSTITUTE(F719," ",""))),"")</f>
        <v/>
      </c>
      <c r="M719" s="8">
        <f>IF(B719&lt;&gt;"",TODAY(),"")</f>
        <v/>
      </c>
      <c r="N719" s="8">
        <f>IF(F719&lt;&gt;"",IFERROR(IF(AND(REGEXMATCH(SUBSTITUTE(TRIM(F719)," ",""),"^-?\d+(\.\d+)?,-?\d+(\.\d+)?$"),VALUE(REGEXEXTRACT(SUBSTITUTE(TRIM(F719)," ",""),"^-?\d+(\.\d+)?"))&gt;=-90,VALUE(REGEXEXTRACT(SUBSTITUTE(TRIM(F719)," ",""),"^-?\d+(\.\d+)?"))&lt;=90,VALUE(REGEXEXTRACT(SUBSTITUTE(TRIM(F719)," ",""),"-?\d+(\.\d+)?$"))&gt;=-180,VALUE(REGEXEXTRACT(SUBSTITUTE(TRIM(F719)," ",""),"-?\d+(\.\d+)?$"))&lt;=180),"OK","REVISAR"),"REVISAR"),"")</f>
        <v/>
      </c>
      <c r="O719">
        <f>IF(A719&lt;&gt;"","https://direcciones507.github.io/direcciones507/panel.html?codigo="&amp;A719&amp;"&amp;nombre="&amp;ENCODEURL(B719)&amp;"&amp;telefono="&amp;SUBSTITUTE(C719,"-","")&amp;"&amp;referencia="&amp;ENCODEURL(E719)&amp;"&amp;lat="&amp;IZQUIERDA(SUBSTITUTE(F719," ",""),ENCONTRAR(",",SUBSTITUTE(F719," ",""))-1)&amp;"&amp;lng="&amp;DERECHA(SUBSTITUTE(F719," ",""),LARGO(SUBSTITUTE(F719," ",""))-ENCONTRAR(",",SUBSTITUTE(F719," ",""))),"")</f>
        <v/>
      </c>
    </row>
    <row r="720" ht="15.75" customHeight="1" s="10">
      <c r="A720" s="8">
        <f>CONCAT("AD507-",TEXT(ROW()-2,"0000"))</f>
        <v/>
      </c>
      <c r="C720" s="8" t="n"/>
      <c r="F720" s="8" t="n"/>
      <c r="G720" s="8">
        <f>IF(F720&lt;&gt;"",HYPERLINK("https://www.google.com/maps/search/?api=1&amp;query="&amp;SUBSTITUTE(F720," ",""),"🗺 Google Maps"),"")</f>
        <v/>
      </c>
      <c r="H720" s="8">
        <f>IF(F720&lt;&gt;"",HYPERLINK("https://waze.com/ul?ll="&amp;SUBSTITUTE(F720," ","")&amp;"&amp;navigate=yes","🚗 Waze"),"")</f>
        <v/>
      </c>
      <c r="I720" s="8">
        <f>IF(F720&lt;&gt;"",HYPERLINK("https://m.uber.com/ul/?action=setPickup&amp;pickup=my_location&amp;dropoff[latitude]="&amp;LEFT(SUBSTITUTE(F720," ",""),FIND(",",SUBSTITUTE(F720," ",""))-1)&amp;"&amp;dropoff[longitude]="&amp;MID(SUBSTITUTE(F720," ",""),FIND(",",SUBSTITUTE(F720," ",""))+1,99),"🚕 Uber"),"")</f>
        <v/>
      </c>
      <c r="J720" s="8">
        <f>IF(F720&lt;&gt;"","https://api.qrserver.com/v1/create-qr-code/?size=200x200&amp;data="&amp;ENCODEURL("https://www.google.com/maps/search/?api=1&amp;query="&amp;SUBSTITUTE(F720," ","")),"")</f>
        <v/>
      </c>
      <c r="K720" s="8">
        <f>IF(C720&lt;&gt;"",HYPERLINK("https://wa.me/507"&amp;REGEXREPLACE(C720,"[^0-9]","")&amp;"?text="&amp;ENCODEURL("Ya llegue. Codigo: "&amp;A720&amp;". Ubicacion: "&amp;"https://www.google.com/maps/search/?api=1&amp;query="&amp;SUBSTITUTE(F720," ","")),"📲 Avisar al cliente"),"")</f>
        <v/>
      </c>
      <c r="L720" s="8">
        <f>IF(C720&lt;&gt;"","https://api.qrserver.com/v1/create-qr-code/?size=200x200&amp;data="&amp;ENCODEURL("https://wa.me/507"&amp;REGEXREPLACE(C720,"[^0-9]","")&amp;"?text="&amp;ENCODEURL("Ya llegue. Codigo: "&amp;A720&amp;". Ubicacion: "&amp;"https://www.google.com/maps/search/?api=1&amp;query="&amp;SUBSTITUTE(F720," ",""))),"")</f>
        <v/>
      </c>
      <c r="M720" s="8">
        <f>IF(B720&lt;&gt;"",TODAY(),"")</f>
        <v/>
      </c>
      <c r="N720" s="8">
        <f>IF(F720&lt;&gt;"",IFERROR(IF(AND(REGEXMATCH(SUBSTITUTE(TRIM(F720)," ",""),"^-?\d+(\.\d+)?,-?\d+(\.\d+)?$"),VALUE(REGEXEXTRACT(SUBSTITUTE(TRIM(F720)," ",""),"^-?\d+(\.\d+)?"))&gt;=-90,VALUE(REGEXEXTRACT(SUBSTITUTE(TRIM(F720)," ",""),"^-?\d+(\.\d+)?"))&lt;=90,VALUE(REGEXEXTRACT(SUBSTITUTE(TRIM(F720)," ",""),"-?\d+(\.\d+)?$"))&gt;=-180,VALUE(REGEXEXTRACT(SUBSTITUTE(TRIM(F720)," ",""),"-?\d+(\.\d+)?$"))&lt;=180),"OK","REVISAR"),"REVISAR"),"")</f>
        <v/>
      </c>
      <c r="O720">
        <f>IF(A720&lt;&gt;"","https://direcciones507.github.io/direcciones507/panel.html?codigo="&amp;A720&amp;"&amp;nombre="&amp;ENCODEURL(B720)&amp;"&amp;telefono="&amp;SUBSTITUTE(C720,"-","")&amp;"&amp;referencia="&amp;ENCODEURL(E720)&amp;"&amp;lat="&amp;IZQUIERDA(SUBSTITUTE(F720," ",""),ENCONTRAR(",",SUBSTITUTE(F720," ",""))-1)&amp;"&amp;lng="&amp;DERECHA(SUBSTITUTE(F720," ",""),LARGO(SUBSTITUTE(F720," ",""))-ENCONTRAR(",",SUBSTITUTE(F720," ",""))),"")</f>
        <v/>
      </c>
    </row>
    <row r="721" ht="15.75" customHeight="1" s="10">
      <c r="A721" s="8">
        <f>CONCAT("AD507-",TEXT(ROW()-2,"0000"))</f>
        <v/>
      </c>
      <c r="C721" s="8" t="n"/>
      <c r="F721" s="8" t="n"/>
      <c r="G721" s="8">
        <f>IF(F721&lt;&gt;"",HYPERLINK("https://www.google.com/maps/search/?api=1&amp;query="&amp;SUBSTITUTE(F721," ",""),"🗺 Google Maps"),"")</f>
        <v/>
      </c>
      <c r="H721" s="8">
        <f>IF(F721&lt;&gt;"",HYPERLINK("https://waze.com/ul?ll="&amp;SUBSTITUTE(F721," ","")&amp;"&amp;navigate=yes","🚗 Waze"),"")</f>
        <v/>
      </c>
      <c r="I721" s="8">
        <f>IF(F721&lt;&gt;"",HYPERLINK("https://m.uber.com/ul/?action=setPickup&amp;pickup=my_location&amp;dropoff[latitude]="&amp;LEFT(SUBSTITUTE(F721," ",""),FIND(",",SUBSTITUTE(F721," ",""))-1)&amp;"&amp;dropoff[longitude]="&amp;MID(SUBSTITUTE(F721," ",""),FIND(",",SUBSTITUTE(F721," ",""))+1,99),"🚕 Uber"),"")</f>
        <v/>
      </c>
      <c r="J721" s="8">
        <f>IF(F721&lt;&gt;"","https://api.qrserver.com/v1/create-qr-code/?size=200x200&amp;data="&amp;ENCODEURL("https://www.google.com/maps/search/?api=1&amp;query="&amp;SUBSTITUTE(F721," ","")),"")</f>
        <v/>
      </c>
      <c r="K721" s="8">
        <f>IF(C721&lt;&gt;"",HYPERLINK("https://wa.me/507"&amp;REGEXREPLACE(C721,"[^0-9]","")&amp;"?text="&amp;ENCODEURL("Ya llegue. Codigo: "&amp;A721&amp;". Ubicacion: "&amp;"https://www.google.com/maps/search/?api=1&amp;query="&amp;SUBSTITUTE(F721," ","")),"📲 Avisar al cliente"),"")</f>
        <v/>
      </c>
      <c r="L721" s="8">
        <f>IF(C721&lt;&gt;"","https://api.qrserver.com/v1/create-qr-code/?size=200x200&amp;data="&amp;ENCODEURL("https://wa.me/507"&amp;REGEXREPLACE(C721,"[^0-9]","")&amp;"?text="&amp;ENCODEURL("Ya llegue. Codigo: "&amp;A721&amp;". Ubicacion: "&amp;"https://www.google.com/maps/search/?api=1&amp;query="&amp;SUBSTITUTE(F721," ",""))),"")</f>
        <v/>
      </c>
      <c r="M721" s="8">
        <f>IF(B721&lt;&gt;"",TODAY(),"")</f>
        <v/>
      </c>
      <c r="N721" s="8">
        <f>IF(F721&lt;&gt;"",IFERROR(IF(AND(REGEXMATCH(SUBSTITUTE(TRIM(F721)," ",""),"^-?\d+(\.\d+)?,-?\d+(\.\d+)?$"),VALUE(REGEXEXTRACT(SUBSTITUTE(TRIM(F721)," ",""),"^-?\d+(\.\d+)?"))&gt;=-90,VALUE(REGEXEXTRACT(SUBSTITUTE(TRIM(F721)," ",""),"^-?\d+(\.\d+)?"))&lt;=90,VALUE(REGEXEXTRACT(SUBSTITUTE(TRIM(F721)," ",""),"-?\d+(\.\d+)?$"))&gt;=-180,VALUE(REGEXEXTRACT(SUBSTITUTE(TRIM(F721)," ",""),"-?\d+(\.\d+)?$"))&lt;=180),"OK","REVISAR"),"REVISAR"),"")</f>
        <v/>
      </c>
      <c r="O721">
        <f>IF(A721&lt;&gt;"","https://direcciones507.github.io/direcciones507/panel.html?codigo="&amp;A721&amp;"&amp;nombre="&amp;ENCODEURL(B721)&amp;"&amp;telefono="&amp;SUBSTITUTE(C721,"-","")&amp;"&amp;referencia="&amp;ENCODEURL(E721)&amp;"&amp;lat="&amp;IZQUIERDA(SUBSTITUTE(F721," ",""),ENCONTRAR(",",SUBSTITUTE(F721," ",""))-1)&amp;"&amp;lng="&amp;DERECHA(SUBSTITUTE(F721," ",""),LARGO(SUBSTITUTE(F721," ",""))-ENCONTRAR(",",SUBSTITUTE(F721," ",""))),"")</f>
        <v/>
      </c>
    </row>
    <row r="722" ht="15.75" customHeight="1" s="10">
      <c r="A722" s="8">
        <f>CONCAT("AD507-",TEXT(ROW()-2,"0000"))</f>
        <v/>
      </c>
      <c r="C722" s="8" t="n"/>
      <c r="F722" s="8" t="n"/>
      <c r="G722" s="8">
        <f>IF(F722&lt;&gt;"",HYPERLINK("https://www.google.com/maps/search/?api=1&amp;query="&amp;SUBSTITUTE(F722," ",""),"🗺 Google Maps"),"")</f>
        <v/>
      </c>
      <c r="H722" s="8">
        <f>IF(F722&lt;&gt;"",HYPERLINK("https://waze.com/ul?ll="&amp;SUBSTITUTE(F722," ","")&amp;"&amp;navigate=yes","🚗 Waze"),"")</f>
        <v/>
      </c>
      <c r="I722" s="8">
        <f>IF(F722&lt;&gt;"",HYPERLINK("https://m.uber.com/ul/?action=setPickup&amp;pickup=my_location&amp;dropoff[latitude]="&amp;LEFT(SUBSTITUTE(F722," ",""),FIND(",",SUBSTITUTE(F722," ",""))-1)&amp;"&amp;dropoff[longitude]="&amp;MID(SUBSTITUTE(F722," ",""),FIND(",",SUBSTITUTE(F722," ",""))+1,99),"🚕 Uber"),"")</f>
        <v/>
      </c>
      <c r="J722" s="8">
        <f>IF(F722&lt;&gt;"","https://api.qrserver.com/v1/create-qr-code/?size=200x200&amp;data="&amp;ENCODEURL("https://www.google.com/maps/search/?api=1&amp;query="&amp;SUBSTITUTE(F722," ","")),"")</f>
        <v/>
      </c>
      <c r="K722" s="8">
        <f>IF(C722&lt;&gt;"",HYPERLINK("https://wa.me/507"&amp;REGEXREPLACE(C722,"[^0-9]","")&amp;"?text="&amp;ENCODEURL("Ya llegue. Codigo: "&amp;A722&amp;". Ubicacion: "&amp;"https://www.google.com/maps/search/?api=1&amp;query="&amp;SUBSTITUTE(F722," ","")),"📲 Avisar al cliente"),"")</f>
        <v/>
      </c>
      <c r="L722" s="8">
        <f>IF(C722&lt;&gt;"","https://api.qrserver.com/v1/create-qr-code/?size=200x200&amp;data="&amp;ENCODEURL("https://wa.me/507"&amp;REGEXREPLACE(C722,"[^0-9]","")&amp;"?text="&amp;ENCODEURL("Ya llegue. Codigo: "&amp;A722&amp;". Ubicacion: "&amp;"https://www.google.com/maps/search/?api=1&amp;query="&amp;SUBSTITUTE(F722," ",""))),"")</f>
        <v/>
      </c>
      <c r="M722" s="8">
        <f>IF(B722&lt;&gt;"",TODAY(),"")</f>
        <v/>
      </c>
      <c r="N722" s="8">
        <f>IF(F722&lt;&gt;"",IFERROR(IF(AND(REGEXMATCH(SUBSTITUTE(TRIM(F722)," ",""),"^-?\d+(\.\d+)?,-?\d+(\.\d+)?$"),VALUE(REGEXEXTRACT(SUBSTITUTE(TRIM(F722)," ",""),"^-?\d+(\.\d+)?"))&gt;=-90,VALUE(REGEXEXTRACT(SUBSTITUTE(TRIM(F722)," ",""),"^-?\d+(\.\d+)?"))&lt;=90,VALUE(REGEXEXTRACT(SUBSTITUTE(TRIM(F722)," ",""),"-?\d+(\.\d+)?$"))&gt;=-180,VALUE(REGEXEXTRACT(SUBSTITUTE(TRIM(F722)," ",""),"-?\d+(\.\d+)?$"))&lt;=180),"OK","REVISAR"),"REVISAR"),"")</f>
        <v/>
      </c>
      <c r="O722">
        <f>IF(A722&lt;&gt;"","https://direcciones507.github.io/direcciones507/panel.html?codigo="&amp;A722&amp;"&amp;nombre="&amp;ENCODEURL(B722)&amp;"&amp;telefono="&amp;SUBSTITUTE(C722,"-","")&amp;"&amp;referencia="&amp;ENCODEURL(E722)&amp;"&amp;lat="&amp;IZQUIERDA(SUBSTITUTE(F722," ",""),ENCONTRAR(",",SUBSTITUTE(F722," ",""))-1)&amp;"&amp;lng="&amp;DERECHA(SUBSTITUTE(F722," ",""),LARGO(SUBSTITUTE(F722," ",""))-ENCONTRAR(",",SUBSTITUTE(F722," ",""))),"")</f>
        <v/>
      </c>
    </row>
    <row r="723" ht="15.75" customHeight="1" s="10">
      <c r="A723" s="8">
        <f>CONCAT("AD507-",TEXT(ROW()-2,"0000"))</f>
        <v/>
      </c>
      <c r="C723" s="8" t="n"/>
      <c r="F723" s="8" t="n"/>
      <c r="G723" s="8">
        <f>IF(F723&lt;&gt;"",HYPERLINK("https://www.google.com/maps/search/?api=1&amp;query="&amp;SUBSTITUTE(F723," ",""),"🗺 Google Maps"),"")</f>
        <v/>
      </c>
      <c r="H723" s="8">
        <f>IF(F723&lt;&gt;"",HYPERLINK("https://waze.com/ul?ll="&amp;SUBSTITUTE(F723," ","")&amp;"&amp;navigate=yes","🚗 Waze"),"")</f>
        <v/>
      </c>
      <c r="I723" s="8">
        <f>IF(F723&lt;&gt;"",HYPERLINK("https://m.uber.com/ul/?action=setPickup&amp;pickup=my_location&amp;dropoff[latitude]="&amp;LEFT(SUBSTITUTE(F723," ",""),FIND(",",SUBSTITUTE(F723," ",""))-1)&amp;"&amp;dropoff[longitude]="&amp;MID(SUBSTITUTE(F723," ",""),FIND(",",SUBSTITUTE(F723," ",""))+1,99),"🚕 Uber"),"")</f>
        <v/>
      </c>
      <c r="J723" s="8">
        <f>IF(F723&lt;&gt;"","https://api.qrserver.com/v1/create-qr-code/?size=200x200&amp;data="&amp;ENCODEURL("https://www.google.com/maps/search/?api=1&amp;query="&amp;SUBSTITUTE(F723," ","")),"")</f>
        <v/>
      </c>
      <c r="K723" s="8">
        <f>IF(C723&lt;&gt;"",HYPERLINK("https://wa.me/507"&amp;REGEXREPLACE(C723,"[^0-9]","")&amp;"?text="&amp;ENCODEURL("Ya llegue. Codigo: "&amp;A723&amp;". Ubicacion: "&amp;"https://www.google.com/maps/search/?api=1&amp;query="&amp;SUBSTITUTE(F723," ","")),"📲 Avisar al cliente"),"")</f>
        <v/>
      </c>
      <c r="L723" s="8">
        <f>IF(C723&lt;&gt;"","https://api.qrserver.com/v1/create-qr-code/?size=200x200&amp;data="&amp;ENCODEURL("https://wa.me/507"&amp;REGEXREPLACE(C723,"[^0-9]","")&amp;"?text="&amp;ENCODEURL("Ya llegue. Codigo: "&amp;A723&amp;". Ubicacion: "&amp;"https://www.google.com/maps/search/?api=1&amp;query="&amp;SUBSTITUTE(F723," ",""))),"")</f>
        <v/>
      </c>
      <c r="M723" s="8">
        <f>IF(B723&lt;&gt;"",TODAY(),"")</f>
        <v/>
      </c>
      <c r="N723" s="8">
        <f>IF(F723&lt;&gt;"",IFERROR(IF(AND(REGEXMATCH(SUBSTITUTE(TRIM(F723)," ",""),"^-?\d+(\.\d+)?,-?\d+(\.\d+)?$"),VALUE(REGEXEXTRACT(SUBSTITUTE(TRIM(F723)," ",""),"^-?\d+(\.\d+)?"))&gt;=-90,VALUE(REGEXEXTRACT(SUBSTITUTE(TRIM(F723)," ",""),"^-?\d+(\.\d+)?"))&lt;=90,VALUE(REGEXEXTRACT(SUBSTITUTE(TRIM(F723)," ",""),"-?\d+(\.\d+)?$"))&gt;=-180,VALUE(REGEXEXTRACT(SUBSTITUTE(TRIM(F723)," ",""),"-?\d+(\.\d+)?$"))&lt;=180),"OK","REVISAR"),"REVISAR"),"")</f>
        <v/>
      </c>
      <c r="O723">
        <f>IF(A723&lt;&gt;"","https://direcciones507.github.io/direcciones507/panel.html?codigo="&amp;A723&amp;"&amp;nombre="&amp;ENCODEURL(B723)&amp;"&amp;telefono="&amp;SUBSTITUTE(C723,"-","")&amp;"&amp;referencia="&amp;ENCODEURL(E723)&amp;"&amp;lat="&amp;IZQUIERDA(SUBSTITUTE(F723," ",""),ENCONTRAR(",",SUBSTITUTE(F723," ",""))-1)&amp;"&amp;lng="&amp;DERECHA(SUBSTITUTE(F723," ",""),LARGO(SUBSTITUTE(F723," ",""))-ENCONTRAR(",",SUBSTITUTE(F723," ",""))),"")</f>
        <v/>
      </c>
    </row>
    <row r="724" ht="15.75" customHeight="1" s="10">
      <c r="A724" s="8">
        <f>CONCAT("AD507-",TEXT(ROW()-2,"0000"))</f>
        <v/>
      </c>
      <c r="C724" s="8" t="n"/>
      <c r="F724" s="8" t="n"/>
      <c r="G724" s="8">
        <f>IF(F724&lt;&gt;"",HYPERLINK("https://www.google.com/maps/search/?api=1&amp;query="&amp;SUBSTITUTE(F724," ",""),"🗺 Google Maps"),"")</f>
        <v/>
      </c>
      <c r="H724" s="8">
        <f>IF(F724&lt;&gt;"",HYPERLINK("https://waze.com/ul?ll="&amp;SUBSTITUTE(F724," ","")&amp;"&amp;navigate=yes","🚗 Waze"),"")</f>
        <v/>
      </c>
      <c r="I724" s="8">
        <f>IF(F724&lt;&gt;"",HYPERLINK("https://m.uber.com/ul/?action=setPickup&amp;pickup=my_location&amp;dropoff[latitude]="&amp;LEFT(SUBSTITUTE(F724," ",""),FIND(",",SUBSTITUTE(F724," ",""))-1)&amp;"&amp;dropoff[longitude]="&amp;MID(SUBSTITUTE(F724," ",""),FIND(",",SUBSTITUTE(F724," ",""))+1,99),"🚕 Uber"),"")</f>
        <v/>
      </c>
      <c r="J724" s="8">
        <f>IF(F724&lt;&gt;"","https://api.qrserver.com/v1/create-qr-code/?size=200x200&amp;data="&amp;ENCODEURL("https://www.google.com/maps/search/?api=1&amp;query="&amp;SUBSTITUTE(F724," ","")),"")</f>
        <v/>
      </c>
      <c r="K724" s="8">
        <f>IF(C724&lt;&gt;"",HYPERLINK("https://wa.me/507"&amp;REGEXREPLACE(C724,"[^0-9]","")&amp;"?text="&amp;ENCODEURL("Ya llegue. Codigo: "&amp;A724&amp;". Ubicacion: "&amp;"https://www.google.com/maps/search/?api=1&amp;query="&amp;SUBSTITUTE(F724," ","")),"📲 Avisar al cliente"),"")</f>
        <v/>
      </c>
      <c r="L724" s="8">
        <f>IF(C724&lt;&gt;"","https://api.qrserver.com/v1/create-qr-code/?size=200x200&amp;data="&amp;ENCODEURL("https://wa.me/507"&amp;REGEXREPLACE(C724,"[^0-9]","")&amp;"?text="&amp;ENCODEURL("Ya llegue. Codigo: "&amp;A724&amp;". Ubicacion: "&amp;"https://www.google.com/maps/search/?api=1&amp;query="&amp;SUBSTITUTE(F724," ",""))),"")</f>
        <v/>
      </c>
      <c r="M724" s="8">
        <f>IF(B724&lt;&gt;"",TODAY(),"")</f>
        <v/>
      </c>
      <c r="N724" s="8">
        <f>IF(F724&lt;&gt;"",IFERROR(IF(AND(REGEXMATCH(SUBSTITUTE(TRIM(F724)," ",""),"^-?\d+(\.\d+)?,-?\d+(\.\d+)?$"),VALUE(REGEXEXTRACT(SUBSTITUTE(TRIM(F724)," ",""),"^-?\d+(\.\d+)?"))&gt;=-90,VALUE(REGEXEXTRACT(SUBSTITUTE(TRIM(F724)," ",""),"^-?\d+(\.\d+)?"))&lt;=90,VALUE(REGEXEXTRACT(SUBSTITUTE(TRIM(F724)," ",""),"-?\d+(\.\d+)?$"))&gt;=-180,VALUE(REGEXEXTRACT(SUBSTITUTE(TRIM(F724)," ",""),"-?\d+(\.\d+)?$"))&lt;=180),"OK","REVISAR"),"REVISAR"),"")</f>
        <v/>
      </c>
      <c r="O724">
        <f>IF(A724&lt;&gt;"","https://direcciones507.github.io/direcciones507/panel.html?codigo="&amp;A724&amp;"&amp;nombre="&amp;ENCODEURL(B724)&amp;"&amp;telefono="&amp;SUBSTITUTE(C724,"-","")&amp;"&amp;referencia="&amp;ENCODEURL(E724)&amp;"&amp;lat="&amp;IZQUIERDA(SUBSTITUTE(F724," ",""),ENCONTRAR(",",SUBSTITUTE(F724," ",""))-1)&amp;"&amp;lng="&amp;DERECHA(SUBSTITUTE(F724," ",""),LARGO(SUBSTITUTE(F724," ",""))-ENCONTRAR(",",SUBSTITUTE(F724," ",""))),"")</f>
        <v/>
      </c>
    </row>
    <row r="725" ht="15.75" customHeight="1" s="10">
      <c r="A725" s="8">
        <f>CONCAT("AD507-",TEXT(ROW()-2,"0000"))</f>
        <v/>
      </c>
      <c r="C725" s="8" t="n"/>
      <c r="F725" s="8" t="n"/>
      <c r="G725" s="8">
        <f>IF(F725&lt;&gt;"",HYPERLINK("https://www.google.com/maps/search/?api=1&amp;query="&amp;SUBSTITUTE(F725," ",""),"🗺 Google Maps"),"")</f>
        <v/>
      </c>
      <c r="H725" s="8">
        <f>IF(F725&lt;&gt;"",HYPERLINK("https://waze.com/ul?ll="&amp;SUBSTITUTE(F725," ","")&amp;"&amp;navigate=yes","🚗 Waze"),"")</f>
        <v/>
      </c>
      <c r="I725" s="8">
        <f>IF(F725&lt;&gt;"",HYPERLINK("https://m.uber.com/ul/?action=setPickup&amp;pickup=my_location&amp;dropoff[latitude]="&amp;LEFT(SUBSTITUTE(F725," ",""),FIND(",",SUBSTITUTE(F725," ",""))-1)&amp;"&amp;dropoff[longitude]="&amp;MID(SUBSTITUTE(F725," ",""),FIND(",",SUBSTITUTE(F725," ",""))+1,99),"🚕 Uber"),"")</f>
        <v/>
      </c>
      <c r="J725" s="8">
        <f>IF(F725&lt;&gt;"","https://api.qrserver.com/v1/create-qr-code/?size=200x200&amp;data="&amp;ENCODEURL("https://www.google.com/maps/search/?api=1&amp;query="&amp;SUBSTITUTE(F725," ","")),"")</f>
        <v/>
      </c>
      <c r="K725" s="8">
        <f>IF(C725&lt;&gt;"",HYPERLINK("https://wa.me/507"&amp;REGEXREPLACE(C725,"[^0-9]","")&amp;"?text="&amp;ENCODEURL("Ya llegue. Codigo: "&amp;A725&amp;". Ubicacion: "&amp;"https://www.google.com/maps/search/?api=1&amp;query="&amp;SUBSTITUTE(F725," ","")),"📲 Avisar al cliente"),"")</f>
        <v/>
      </c>
      <c r="L725" s="8">
        <f>IF(C725&lt;&gt;"","https://api.qrserver.com/v1/create-qr-code/?size=200x200&amp;data="&amp;ENCODEURL("https://wa.me/507"&amp;REGEXREPLACE(C725,"[^0-9]","")&amp;"?text="&amp;ENCODEURL("Ya llegue. Codigo: "&amp;A725&amp;". Ubicacion: "&amp;"https://www.google.com/maps/search/?api=1&amp;query="&amp;SUBSTITUTE(F725," ",""))),"")</f>
        <v/>
      </c>
      <c r="M725" s="8">
        <f>IF(B725&lt;&gt;"",TODAY(),"")</f>
        <v/>
      </c>
      <c r="N725" s="8">
        <f>IF(F725&lt;&gt;"",IFERROR(IF(AND(REGEXMATCH(SUBSTITUTE(TRIM(F725)," ",""),"^-?\d+(\.\d+)?,-?\d+(\.\d+)?$"),VALUE(REGEXEXTRACT(SUBSTITUTE(TRIM(F725)," ",""),"^-?\d+(\.\d+)?"))&gt;=-90,VALUE(REGEXEXTRACT(SUBSTITUTE(TRIM(F725)," ",""),"^-?\d+(\.\d+)?"))&lt;=90,VALUE(REGEXEXTRACT(SUBSTITUTE(TRIM(F725)," ",""),"-?\d+(\.\d+)?$"))&gt;=-180,VALUE(REGEXEXTRACT(SUBSTITUTE(TRIM(F725)," ",""),"-?\d+(\.\d+)?$"))&lt;=180),"OK","REVISAR"),"REVISAR"),"")</f>
        <v/>
      </c>
      <c r="O725">
        <f>IF(A725&lt;&gt;"","https://direcciones507.github.io/direcciones507/panel.html?codigo="&amp;A725&amp;"&amp;nombre="&amp;ENCODEURL(B725)&amp;"&amp;telefono="&amp;SUBSTITUTE(C725,"-","")&amp;"&amp;referencia="&amp;ENCODEURL(E725)&amp;"&amp;lat="&amp;IZQUIERDA(SUBSTITUTE(F725," ",""),ENCONTRAR(",",SUBSTITUTE(F725," ",""))-1)&amp;"&amp;lng="&amp;DERECHA(SUBSTITUTE(F725," ",""),LARGO(SUBSTITUTE(F725," ",""))-ENCONTRAR(",",SUBSTITUTE(F725," ",""))),"")</f>
        <v/>
      </c>
    </row>
    <row r="726" ht="15.75" customHeight="1" s="10">
      <c r="A726" s="8">
        <f>CONCAT("AD507-",TEXT(ROW()-2,"0000"))</f>
        <v/>
      </c>
      <c r="C726" s="8" t="n"/>
      <c r="F726" s="8" t="n"/>
      <c r="G726" s="8">
        <f>IF(F726&lt;&gt;"",HYPERLINK("https://www.google.com/maps/search/?api=1&amp;query="&amp;SUBSTITUTE(F726," ",""),"🗺 Google Maps"),"")</f>
        <v/>
      </c>
      <c r="H726" s="8">
        <f>IF(F726&lt;&gt;"",HYPERLINK("https://waze.com/ul?ll="&amp;SUBSTITUTE(F726," ","")&amp;"&amp;navigate=yes","🚗 Waze"),"")</f>
        <v/>
      </c>
      <c r="I726" s="8">
        <f>IF(F726&lt;&gt;"",HYPERLINK("https://m.uber.com/ul/?action=setPickup&amp;pickup=my_location&amp;dropoff[latitude]="&amp;LEFT(SUBSTITUTE(F726," ",""),FIND(",",SUBSTITUTE(F726," ",""))-1)&amp;"&amp;dropoff[longitude]="&amp;MID(SUBSTITUTE(F726," ",""),FIND(",",SUBSTITUTE(F726," ",""))+1,99),"🚕 Uber"),"")</f>
        <v/>
      </c>
      <c r="J726" s="8">
        <f>IF(F726&lt;&gt;"","https://api.qrserver.com/v1/create-qr-code/?size=200x200&amp;data="&amp;ENCODEURL("https://www.google.com/maps/search/?api=1&amp;query="&amp;SUBSTITUTE(F726," ","")),"")</f>
        <v/>
      </c>
      <c r="K726" s="8">
        <f>IF(C726&lt;&gt;"",HYPERLINK("https://wa.me/507"&amp;REGEXREPLACE(C726,"[^0-9]","")&amp;"?text="&amp;ENCODEURL("Ya llegue. Codigo: "&amp;A726&amp;". Ubicacion: "&amp;"https://www.google.com/maps/search/?api=1&amp;query="&amp;SUBSTITUTE(F726," ","")),"📲 Avisar al cliente"),"")</f>
        <v/>
      </c>
      <c r="L726" s="8">
        <f>IF(C726&lt;&gt;"","https://api.qrserver.com/v1/create-qr-code/?size=200x200&amp;data="&amp;ENCODEURL("https://wa.me/507"&amp;REGEXREPLACE(C726,"[^0-9]","")&amp;"?text="&amp;ENCODEURL("Ya llegue. Codigo: "&amp;A726&amp;". Ubicacion: "&amp;"https://www.google.com/maps/search/?api=1&amp;query="&amp;SUBSTITUTE(F726," ",""))),"")</f>
        <v/>
      </c>
      <c r="M726" s="8">
        <f>IF(B726&lt;&gt;"",TODAY(),"")</f>
        <v/>
      </c>
      <c r="N726" s="8">
        <f>IF(F726&lt;&gt;"",IFERROR(IF(AND(REGEXMATCH(SUBSTITUTE(TRIM(F726)," ",""),"^-?\d+(\.\d+)?,-?\d+(\.\d+)?$"),VALUE(REGEXEXTRACT(SUBSTITUTE(TRIM(F726)," ",""),"^-?\d+(\.\d+)?"))&gt;=-90,VALUE(REGEXEXTRACT(SUBSTITUTE(TRIM(F726)," ",""),"^-?\d+(\.\d+)?"))&lt;=90,VALUE(REGEXEXTRACT(SUBSTITUTE(TRIM(F726)," ",""),"-?\d+(\.\d+)?$"))&gt;=-180,VALUE(REGEXEXTRACT(SUBSTITUTE(TRIM(F726)," ",""),"-?\d+(\.\d+)?$"))&lt;=180),"OK","REVISAR"),"REVISAR"),"")</f>
        <v/>
      </c>
      <c r="O726">
        <f>IF(A726&lt;&gt;"","https://direcciones507.github.io/direcciones507/panel.html?codigo="&amp;A726&amp;"&amp;nombre="&amp;ENCODEURL(B726)&amp;"&amp;telefono="&amp;SUBSTITUTE(C726,"-","")&amp;"&amp;referencia="&amp;ENCODEURL(E726)&amp;"&amp;lat="&amp;IZQUIERDA(SUBSTITUTE(F726," ",""),ENCONTRAR(",",SUBSTITUTE(F726," ",""))-1)&amp;"&amp;lng="&amp;DERECHA(SUBSTITUTE(F726," ",""),LARGO(SUBSTITUTE(F726," ",""))-ENCONTRAR(",",SUBSTITUTE(F726," ",""))),"")</f>
        <v/>
      </c>
    </row>
    <row r="727" ht="15.75" customHeight="1" s="10">
      <c r="A727" s="8">
        <f>CONCAT("AD507-",TEXT(ROW()-2,"0000"))</f>
        <v/>
      </c>
      <c r="C727" s="8" t="n"/>
      <c r="F727" s="8" t="n"/>
      <c r="G727" s="8">
        <f>IF(F727&lt;&gt;"",HYPERLINK("https://www.google.com/maps/search/?api=1&amp;query="&amp;SUBSTITUTE(F727," ",""),"🗺 Google Maps"),"")</f>
        <v/>
      </c>
      <c r="H727" s="8">
        <f>IF(F727&lt;&gt;"",HYPERLINK("https://waze.com/ul?ll="&amp;SUBSTITUTE(F727," ","")&amp;"&amp;navigate=yes","🚗 Waze"),"")</f>
        <v/>
      </c>
      <c r="I727" s="8">
        <f>IF(F727&lt;&gt;"",HYPERLINK("https://m.uber.com/ul/?action=setPickup&amp;pickup=my_location&amp;dropoff[latitude]="&amp;LEFT(SUBSTITUTE(F727," ",""),FIND(",",SUBSTITUTE(F727," ",""))-1)&amp;"&amp;dropoff[longitude]="&amp;MID(SUBSTITUTE(F727," ",""),FIND(",",SUBSTITUTE(F727," ",""))+1,99),"🚕 Uber"),"")</f>
        <v/>
      </c>
      <c r="J727" s="8">
        <f>IF(F727&lt;&gt;"","https://api.qrserver.com/v1/create-qr-code/?size=200x200&amp;data="&amp;ENCODEURL("https://www.google.com/maps/search/?api=1&amp;query="&amp;SUBSTITUTE(F727," ","")),"")</f>
        <v/>
      </c>
      <c r="K727" s="8">
        <f>IF(C727&lt;&gt;"",HYPERLINK("https://wa.me/507"&amp;REGEXREPLACE(C727,"[^0-9]","")&amp;"?text="&amp;ENCODEURL("Ya llegue. Codigo: "&amp;A727&amp;". Ubicacion: "&amp;"https://www.google.com/maps/search/?api=1&amp;query="&amp;SUBSTITUTE(F727," ","")),"📲 Avisar al cliente"),"")</f>
        <v/>
      </c>
      <c r="L727" s="8">
        <f>IF(C727&lt;&gt;"","https://api.qrserver.com/v1/create-qr-code/?size=200x200&amp;data="&amp;ENCODEURL("https://wa.me/507"&amp;REGEXREPLACE(C727,"[^0-9]","")&amp;"?text="&amp;ENCODEURL("Ya llegue. Codigo: "&amp;A727&amp;". Ubicacion: "&amp;"https://www.google.com/maps/search/?api=1&amp;query="&amp;SUBSTITUTE(F727," ",""))),"")</f>
        <v/>
      </c>
      <c r="M727" s="8">
        <f>IF(B727&lt;&gt;"",TODAY(),"")</f>
        <v/>
      </c>
      <c r="N727" s="8">
        <f>IF(F727&lt;&gt;"",IFERROR(IF(AND(REGEXMATCH(SUBSTITUTE(TRIM(F727)," ",""),"^-?\d+(\.\d+)?,-?\d+(\.\d+)?$"),VALUE(REGEXEXTRACT(SUBSTITUTE(TRIM(F727)," ",""),"^-?\d+(\.\d+)?"))&gt;=-90,VALUE(REGEXEXTRACT(SUBSTITUTE(TRIM(F727)," ",""),"^-?\d+(\.\d+)?"))&lt;=90,VALUE(REGEXEXTRACT(SUBSTITUTE(TRIM(F727)," ",""),"-?\d+(\.\d+)?$"))&gt;=-180,VALUE(REGEXEXTRACT(SUBSTITUTE(TRIM(F727)," ",""),"-?\d+(\.\d+)?$"))&lt;=180),"OK","REVISAR"),"REVISAR"),"")</f>
        <v/>
      </c>
      <c r="O727">
        <f>IF(A727&lt;&gt;"","https://direcciones507.github.io/direcciones507/panel.html?codigo="&amp;A727&amp;"&amp;nombre="&amp;ENCODEURL(B727)&amp;"&amp;telefono="&amp;SUBSTITUTE(C727,"-","")&amp;"&amp;referencia="&amp;ENCODEURL(E727)&amp;"&amp;lat="&amp;IZQUIERDA(SUBSTITUTE(F727," ",""),ENCONTRAR(",",SUBSTITUTE(F727," ",""))-1)&amp;"&amp;lng="&amp;DERECHA(SUBSTITUTE(F727," ",""),LARGO(SUBSTITUTE(F727," ",""))-ENCONTRAR(",",SUBSTITUTE(F727," ",""))),"")</f>
        <v/>
      </c>
    </row>
    <row r="728" ht="15.75" customHeight="1" s="10">
      <c r="A728" s="8">
        <f>CONCAT("AD507-",TEXT(ROW()-2,"0000"))</f>
        <v/>
      </c>
      <c r="C728" s="8" t="n"/>
      <c r="F728" s="8" t="n"/>
      <c r="G728" s="8">
        <f>IF(F728&lt;&gt;"",HYPERLINK("https://www.google.com/maps/search/?api=1&amp;query="&amp;SUBSTITUTE(F728," ",""),"🗺 Google Maps"),"")</f>
        <v/>
      </c>
      <c r="H728" s="8">
        <f>IF(F728&lt;&gt;"",HYPERLINK("https://waze.com/ul?ll="&amp;SUBSTITUTE(F728," ","")&amp;"&amp;navigate=yes","🚗 Waze"),"")</f>
        <v/>
      </c>
      <c r="I728" s="8">
        <f>IF(F728&lt;&gt;"",HYPERLINK("https://m.uber.com/ul/?action=setPickup&amp;pickup=my_location&amp;dropoff[latitude]="&amp;LEFT(SUBSTITUTE(F728," ",""),FIND(",",SUBSTITUTE(F728," ",""))-1)&amp;"&amp;dropoff[longitude]="&amp;MID(SUBSTITUTE(F728," ",""),FIND(",",SUBSTITUTE(F728," ",""))+1,99),"🚕 Uber"),"")</f>
        <v/>
      </c>
      <c r="J728" s="8">
        <f>IF(F728&lt;&gt;"","https://api.qrserver.com/v1/create-qr-code/?size=200x200&amp;data="&amp;ENCODEURL("https://www.google.com/maps/search/?api=1&amp;query="&amp;SUBSTITUTE(F728," ","")),"")</f>
        <v/>
      </c>
      <c r="K728" s="8">
        <f>IF(C728&lt;&gt;"",HYPERLINK("https://wa.me/507"&amp;REGEXREPLACE(C728,"[^0-9]","")&amp;"?text="&amp;ENCODEURL("Ya llegue. Codigo: "&amp;A728&amp;". Ubicacion: "&amp;"https://www.google.com/maps/search/?api=1&amp;query="&amp;SUBSTITUTE(F728," ","")),"📲 Avisar al cliente"),"")</f>
        <v/>
      </c>
      <c r="L728" s="8">
        <f>IF(C728&lt;&gt;"","https://api.qrserver.com/v1/create-qr-code/?size=200x200&amp;data="&amp;ENCODEURL("https://wa.me/507"&amp;REGEXREPLACE(C728,"[^0-9]","")&amp;"?text="&amp;ENCODEURL("Ya llegue. Codigo: "&amp;A728&amp;". Ubicacion: "&amp;"https://www.google.com/maps/search/?api=1&amp;query="&amp;SUBSTITUTE(F728," ",""))),"")</f>
        <v/>
      </c>
      <c r="M728" s="8">
        <f>IF(B728&lt;&gt;"",TODAY(),"")</f>
        <v/>
      </c>
      <c r="N728" s="8">
        <f>IF(F728&lt;&gt;"",IFERROR(IF(AND(REGEXMATCH(SUBSTITUTE(TRIM(F728)," ",""),"^-?\d+(\.\d+)?,-?\d+(\.\d+)?$"),VALUE(REGEXEXTRACT(SUBSTITUTE(TRIM(F728)," ",""),"^-?\d+(\.\d+)?"))&gt;=-90,VALUE(REGEXEXTRACT(SUBSTITUTE(TRIM(F728)," ",""),"^-?\d+(\.\d+)?"))&lt;=90,VALUE(REGEXEXTRACT(SUBSTITUTE(TRIM(F728)," ",""),"-?\d+(\.\d+)?$"))&gt;=-180,VALUE(REGEXEXTRACT(SUBSTITUTE(TRIM(F728)," ",""),"-?\d+(\.\d+)?$"))&lt;=180),"OK","REVISAR"),"REVISAR"),"")</f>
        <v/>
      </c>
      <c r="O728">
        <f>IF(A728&lt;&gt;"","https://direcciones507.github.io/direcciones507/panel.html?codigo="&amp;A728&amp;"&amp;nombre="&amp;ENCODEURL(B728)&amp;"&amp;telefono="&amp;SUBSTITUTE(C728,"-","")&amp;"&amp;referencia="&amp;ENCODEURL(E728)&amp;"&amp;lat="&amp;IZQUIERDA(SUBSTITUTE(F728," ",""),ENCONTRAR(",",SUBSTITUTE(F728," ",""))-1)&amp;"&amp;lng="&amp;DERECHA(SUBSTITUTE(F728," ",""),LARGO(SUBSTITUTE(F728," ",""))-ENCONTRAR(",",SUBSTITUTE(F728," ",""))),"")</f>
        <v/>
      </c>
    </row>
    <row r="729" ht="15.75" customHeight="1" s="10">
      <c r="A729" s="8">
        <f>CONCAT("AD507-",TEXT(ROW()-2,"0000"))</f>
        <v/>
      </c>
      <c r="C729" s="8" t="n"/>
      <c r="F729" s="8" t="n"/>
      <c r="G729" s="8">
        <f>IF(F729&lt;&gt;"",HYPERLINK("https://www.google.com/maps/search/?api=1&amp;query="&amp;SUBSTITUTE(F729," ",""),"🗺 Google Maps"),"")</f>
        <v/>
      </c>
      <c r="H729" s="8">
        <f>IF(F729&lt;&gt;"",HYPERLINK("https://waze.com/ul?ll="&amp;SUBSTITUTE(F729," ","")&amp;"&amp;navigate=yes","🚗 Waze"),"")</f>
        <v/>
      </c>
      <c r="I729" s="8">
        <f>IF(F729&lt;&gt;"",HYPERLINK("https://m.uber.com/ul/?action=setPickup&amp;pickup=my_location&amp;dropoff[latitude]="&amp;LEFT(SUBSTITUTE(F729," ",""),FIND(",",SUBSTITUTE(F729," ",""))-1)&amp;"&amp;dropoff[longitude]="&amp;MID(SUBSTITUTE(F729," ",""),FIND(",",SUBSTITUTE(F729," ",""))+1,99),"🚕 Uber"),"")</f>
        <v/>
      </c>
      <c r="J729" s="8">
        <f>IF(F729&lt;&gt;"","https://api.qrserver.com/v1/create-qr-code/?size=200x200&amp;data="&amp;ENCODEURL("https://www.google.com/maps/search/?api=1&amp;query="&amp;SUBSTITUTE(F729," ","")),"")</f>
        <v/>
      </c>
      <c r="K729" s="8">
        <f>IF(C729&lt;&gt;"",HYPERLINK("https://wa.me/507"&amp;REGEXREPLACE(C729,"[^0-9]","")&amp;"?text="&amp;ENCODEURL("Ya llegue. Codigo: "&amp;A729&amp;". Ubicacion: "&amp;"https://www.google.com/maps/search/?api=1&amp;query="&amp;SUBSTITUTE(F729," ","")),"📲 Avisar al cliente"),"")</f>
        <v/>
      </c>
      <c r="L729" s="8">
        <f>IF(C729&lt;&gt;"","https://api.qrserver.com/v1/create-qr-code/?size=200x200&amp;data="&amp;ENCODEURL("https://wa.me/507"&amp;REGEXREPLACE(C729,"[^0-9]","")&amp;"?text="&amp;ENCODEURL("Ya llegue. Codigo: "&amp;A729&amp;". Ubicacion: "&amp;"https://www.google.com/maps/search/?api=1&amp;query="&amp;SUBSTITUTE(F729," ",""))),"")</f>
        <v/>
      </c>
      <c r="M729" s="8">
        <f>IF(B729&lt;&gt;"",TODAY(),"")</f>
        <v/>
      </c>
      <c r="N729" s="8">
        <f>IF(F729&lt;&gt;"",IFERROR(IF(AND(REGEXMATCH(SUBSTITUTE(TRIM(F729)," ",""),"^-?\d+(\.\d+)?,-?\d+(\.\d+)?$"),VALUE(REGEXEXTRACT(SUBSTITUTE(TRIM(F729)," ",""),"^-?\d+(\.\d+)?"))&gt;=-90,VALUE(REGEXEXTRACT(SUBSTITUTE(TRIM(F729)," ",""),"^-?\d+(\.\d+)?"))&lt;=90,VALUE(REGEXEXTRACT(SUBSTITUTE(TRIM(F729)," ",""),"-?\d+(\.\d+)?$"))&gt;=-180,VALUE(REGEXEXTRACT(SUBSTITUTE(TRIM(F729)," ",""),"-?\d+(\.\d+)?$"))&lt;=180),"OK","REVISAR"),"REVISAR"),"")</f>
        <v/>
      </c>
      <c r="O729">
        <f>IF(A729&lt;&gt;"","https://direcciones507.github.io/direcciones507/panel.html?codigo="&amp;A729&amp;"&amp;nombre="&amp;ENCODEURL(B729)&amp;"&amp;telefono="&amp;SUBSTITUTE(C729,"-","")&amp;"&amp;referencia="&amp;ENCODEURL(E729)&amp;"&amp;lat="&amp;IZQUIERDA(SUBSTITUTE(F729," ",""),ENCONTRAR(",",SUBSTITUTE(F729," ",""))-1)&amp;"&amp;lng="&amp;DERECHA(SUBSTITUTE(F729," ",""),LARGO(SUBSTITUTE(F729," ",""))-ENCONTRAR(",",SUBSTITUTE(F729," ",""))),"")</f>
        <v/>
      </c>
    </row>
    <row r="730" ht="15.75" customHeight="1" s="10">
      <c r="A730" s="8">
        <f>CONCAT("AD507-",TEXT(ROW()-2,"0000"))</f>
        <v/>
      </c>
      <c r="C730" s="8" t="n"/>
      <c r="F730" s="8" t="n"/>
      <c r="G730" s="8">
        <f>IF(F730&lt;&gt;"",HYPERLINK("https://www.google.com/maps/search/?api=1&amp;query="&amp;SUBSTITUTE(F730," ",""),"🗺 Google Maps"),"")</f>
        <v/>
      </c>
      <c r="H730" s="8">
        <f>IF(F730&lt;&gt;"",HYPERLINK("https://waze.com/ul?ll="&amp;SUBSTITUTE(F730," ","")&amp;"&amp;navigate=yes","🚗 Waze"),"")</f>
        <v/>
      </c>
      <c r="I730" s="8">
        <f>IF(F730&lt;&gt;"",HYPERLINK("https://m.uber.com/ul/?action=setPickup&amp;pickup=my_location&amp;dropoff[latitude]="&amp;LEFT(SUBSTITUTE(F730," ",""),FIND(",",SUBSTITUTE(F730," ",""))-1)&amp;"&amp;dropoff[longitude]="&amp;MID(SUBSTITUTE(F730," ",""),FIND(",",SUBSTITUTE(F730," ",""))+1,99),"🚕 Uber"),"")</f>
        <v/>
      </c>
      <c r="J730" s="8">
        <f>IF(F730&lt;&gt;"","https://api.qrserver.com/v1/create-qr-code/?size=200x200&amp;data="&amp;ENCODEURL("https://www.google.com/maps/search/?api=1&amp;query="&amp;SUBSTITUTE(F730," ","")),"")</f>
        <v/>
      </c>
      <c r="K730" s="8">
        <f>IF(C730&lt;&gt;"",HYPERLINK("https://wa.me/507"&amp;REGEXREPLACE(C730,"[^0-9]","")&amp;"?text="&amp;ENCODEURL("Ya llegue. Codigo: "&amp;A730&amp;". Ubicacion: "&amp;"https://www.google.com/maps/search/?api=1&amp;query="&amp;SUBSTITUTE(F730," ","")),"📲 Avisar al cliente"),"")</f>
        <v/>
      </c>
      <c r="L730" s="8">
        <f>IF(C730&lt;&gt;"","https://api.qrserver.com/v1/create-qr-code/?size=200x200&amp;data="&amp;ENCODEURL("https://wa.me/507"&amp;REGEXREPLACE(C730,"[^0-9]","")&amp;"?text="&amp;ENCODEURL("Ya llegue. Codigo: "&amp;A730&amp;". Ubicacion: "&amp;"https://www.google.com/maps/search/?api=1&amp;query="&amp;SUBSTITUTE(F730," ",""))),"")</f>
        <v/>
      </c>
      <c r="M730" s="8">
        <f>IF(B730&lt;&gt;"",TODAY(),"")</f>
        <v/>
      </c>
      <c r="N730" s="8">
        <f>IF(F730&lt;&gt;"",IFERROR(IF(AND(REGEXMATCH(SUBSTITUTE(TRIM(F730)," ",""),"^-?\d+(\.\d+)?,-?\d+(\.\d+)?$"),VALUE(REGEXEXTRACT(SUBSTITUTE(TRIM(F730)," ",""),"^-?\d+(\.\d+)?"))&gt;=-90,VALUE(REGEXEXTRACT(SUBSTITUTE(TRIM(F730)," ",""),"^-?\d+(\.\d+)?"))&lt;=90,VALUE(REGEXEXTRACT(SUBSTITUTE(TRIM(F730)," ",""),"-?\d+(\.\d+)?$"))&gt;=-180,VALUE(REGEXEXTRACT(SUBSTITUTE(TRIM(F730)," ",""),"-?\d+(\.\d+)?$"))&lt;=180),"OK","REVISAR"),"REVISAR"),"")</f>
        <v/>
      </c>
      <c r="O730">
        <f>IF(A730&lt;&gt;"","https://direcciones507.github.io/direcciones507/panel.html?codigo="&amp;A730&amp;"&amp;nombre="&amp;ENCODEURL(B730)&amp;"&amp;telefono="&amp;SUBSTITUTE(C730,"-","")&amp;"&amp;referencia="&amp;ENCODEURL(E730)&amp;"&amp;lat="&amp;IZQUIERDA(SUBSTITUTE(F730," ",""),ENCONTRAR(",",SUBSTITUTE(F730," ",""))-1)&amp;"&amp;lng="&amp;DERECHA(SUBSTITUTE(F730," ",""),LARGO(SUBSTITUTE(F730," ",""))-ENCONTRAR(",",SUBSTITUTE(F730," ",""))),"")</f>
        <v/>
      </c>
    </row>
    <row r="731" ht="15.75" customHeight="1" s="10">
      <c r="A731" s="8">
        <f>CONCAT("AD507-",TEXT(ROW()-2,"0000"))</f>
        <v/>
      </c>
      <c r="C731" s="8" t="n"/>
      <c r="F731" s="8" t="n"/>
      <c r="G731" s="8">
        <f>IF(F731&lt;&gt;"",HYPERLINK("https://www.google.com/maps/search/?api=1&amp;query="&amp;SUBSTITUTE(F731," ",""),"🗺 Google Maps"),"")</f>
        <v/>
      </c>
      <c r="H731" s="8">
        <f>IF(F731&lt;&gt;"",HYPERLINK("https://waze.com/ul?ll="&amp;SUBSTITUTE(F731," ","")&amp;"&amp;navigate=yes","🚗 Waze"),"")</f>
        <v/>
      </c>
      <c r="I731" s="8">
        <f>IF(F731&lt;&gt;"",HYPERLINK("https://m.uber.com/ul/?action=setPickup&amp;pickup=my_location&amp;dropoff[latitude]="&amp;LEFT(SUBSTITUTE(F731," ",""),FIND(",",SUBSTITUTE(F731," ",""))-1)&amp;"&amp;dropoff[longitude]="&amp;MID(SUBSTITUTE(F731," ",""),FIND(",",SUBSTITUTE(F731," ",""))+1,99),"🚕 Uber"),"")</f>
        <v/>
      </c>
      <c r="J731" s="8">
        <f>IF(F731&lt;&gt;"","https://api.qrserver.com/v1/create-qr-code/?size=200x200&amp;data="&amp;ENCODEURL("https://www.google.com/maps/search/?api=1&amp;query="&amp;SUBSTITUTE(F731," ","")),"")</f>
        <v/>
      </c>
      <c r="K731" s="8">
        <f>IF(C731&lt;&gt;"",HYPERLINK("https://wa.me/507"&amp;REGEXREPLACE(C731,"[^0-9]","")&amp;"?text="&amp;ENCODEURL("Ya llegue. Codigo: "&amp;A731&amp;". Ubicacion: "&amp;"https://www.google.com/maps/search/?api=1&amp;query="&amp;SUBSTITUTE(F731," ","")),"📲 Avisar al cliente"),"")</f>
        <v/>
      </c>
      <c r="L731" s="8">
        <f>IF(C731&lt;&gt;"","https://api.qrserver.com/v1/create-qr-code/?size=200x200&amp;data="&amp;ENCODEURL("https://wa.me/507"&amp;REGEXREPLACE(C731,"[^0-9]","")&amp;"?text="&amp;ENCODEURL("Ya llegue. Codigo: "&amp;A731&amp;". Ubicacion: "&amp;"https://www.google.com/maps/search/?api=1&amp;query="&amp;SUBSTITUTE(F731," ",""))),"")</f>
        <v/>
      </c>
      <c r="M731" s="8">
        <f>IF(B731&lt;&gt;"",TODAY(),"")</f>
        <v/>
      </c>
      <c r="N731" s="8">
        <f>IF(F731&lt;&gt;"",IFERROR(IF(AND(REGEXMATCH(SUBSTITUTE(TRIM(F731)," ",""),"^-?\d+(\.\d+)?,-?\d+(\.\d+)?$"),VALUE(REGEXEXTRACT(SUBSTITUTE(TRIM(F731)," ",""),"^-?\d+(\.\d+)?"))&gt;=-90,VALUE(REGEXEXTRACT(SUBSTITUTE(TRIM(F731)," ",""),"^-?\d+(\.\d+)?"))&lt;=90,VALUE(REGEXEXTRACT(SUBSTITUTE(TRIM(F731)," ",""),"-?\d+(\.\d+)?$"))&gt;=-180,VALUE(REGEXEXTRACT(SUBSTITUTE(TRIM(F731)," ",""),"-?\d+(\.\d+)?$"))&lt;=180),"OK","REVISAR"),"REVISAR"),"")</f>
        <v/>
      </c>
      <c r="O731">
        <f>IF(A731&lt;&gt;"","https://direcciones507.github.io/direcciones507/panel.html?codigo="&amp;A731&amp;"&amp;nombre="&amp;ENCODEURL(B731)&amp;"&amp;telefono="&amp;SUBSTITUTE(C731,"-","")&amp;"&amp;referencia="&amp;ENCODEURL(E731)&amp;"&amp;lat="&amp;IZQUIERDA(SUBSTITUTE(F731," ",""),ENCONTRAR(",",SUBSTITUTE(F731," ",""))-1)&amp;"&amp;lng="&amp;DERECHA(SUBSTITUTE(F731," ",""),LARGO(SUBSTITUTE(F731," ",""))-ENCONTRAR(",",SUBSTITUTE(F731," ",""))),"")</f>
        <v/>
      </c>
    </row>
    <row r="732" ht="15.75" customHeight="1" s="10">
      <c r="A732" s="8">
        <f>CONCAT("AD507-",TEXT(ROW()-2,"0000"))</f>
        <v/>
      </c>
      <c r="C732" s="8" t="n"/>
      <c r="F732" s="8" t="n"/>
      <c r="G732" s="8">
        <f>IF(F732&lt;&gt;"",HYPERLINK("https://www.google.com/maps/search/?api=1&amp;query="&amp;SUBSTITUTE(F732," ",""),"🗺 Google Maps"),"")</f>
        <v/>
      </c>
      <c r="H732" s="8">
        <f>IF(F732&lt;&gt;"",HYPERLINK("https://waze.com/ul?ll="&amp;SUBSTITUTE(F732," ","")&amp;"&amp;navigate=yes","🚗 Waze"),"")</f>
        <v/>
      </c>
      <c r="I732" s="8">
        <f>IF(F732&lt;&gt;"",HYPERLINK("https://m.uber.com/ul/?action=setPickup&amp;pickup=my_location&amp;dropoff[latitude]="&amp;LEFT(SUBSTITUTE(F732," ",""),FIND(",",SUBSTITUTE(F732," ",""))-1)&amp;"&amp;dropoff[longitude]="&amp;MID(SUBSTITUTE(F732," ",""),FIND(",",SUBSTITUTE(F732," ",""))+1,99),"🚕 Uber"),"")</f>
        <v/>
      </c>
      <c r="J732" s="8">
        <f>IF(F732&lt;&gt;"","https://api.qrserver.com/v1/create-qr-code/?size=200x200&amp;data="&amp;ENCODEURL("https://www.google.com/maps/search/?api=1&amp;query="&amp;SUBSTITUTE(F732," ","")),"")</f>
        <v/>
      </c>
      <c r="K732" s="8">
        <f>IF(C732&lt;&gt;"",HYPERLINK("https://wa.me/507"&amp;REGEXREPLACE(C732,"[^0-9]","")&amp;"?text="&amp;ENCODEURL("Ya llegue. Codigo: "&amp;A732&amp;". Ubicacion: "&amp;"https://www.google.com/maps/search/?api=1&amp;query="&amp;SUBSTITUTE(F732," ","")),"📲 Avisar al cliente"),"")</f>
        <v/>
      </c>
      <c r="L732" s="8">
        <f>IF(C732&lt;&gt;"","https://api.qrserver.com/v1/create-qr-code/?size=200x200&amp;data="&amp;ENCODEURL("https://wa.me/507"&amp;REGEXREPLACE(C732,"[^0-9]","")&amp;"?text="&amp;ENCODEURL("Ya llegue. Codigo: "&amp;A732&amp;". Ubicacion: "&amp;"https://www.google.com/maps/search/?api=1&amp;query="&amp;SUBSTITUTE(F732," ",""))),"")</f>
        <v/>
      </c>
      <c r="M732" s="8">
        <f>IF(B732&lt;&gt;"",TODAY(),"")</f>
        <v/>
      </c>
      <c r="N732" s="8">
        <f>IF(F732&lt;&gt;"",IFERROR(IF(AND(REGEXMATCH(SUBSTITUTE(TRIM(F732)," ",""),"^-?\d+(\.\d+)?,-?\d+(\.\d+)?$"),VALUE(REGEXEXTRACT(SUBSTITUTE(TRIM(F732)," ",""),"^-?\d+(\.\d+)?"))&gt;=-90,VALUE(REGEXEXTRACT(SUBSTITUTE(TRIM(F732)," ",""),"^-?\d+(\.\d+)?"))&lt;=90,VALUE(REGEXEXTRACT(SUBSTITUTE(TRIM(F732)," ",""),"-?\d+(\.\d+)?$"))&gt;=-180,VALUE(REGEXEXTRACT(SUBSTITUTE(TRIM(F732)," ",""),"-?\d+(\.\d+)?$"))&lt;=180),"OK","REVISAR"),"REVISAR"),"")</f>
        <v/>
      </c>
      <c r="O732">
        <f>IF(A732&lt;&gt;"","https://direcciones507.github.io/direcciones507/panel.html?codigo="&amp;A732&amp;"&amp;nombre="&amp;ENCODEURL(B732)&amp;"&amp;telefono="&amp;SUBSTITUTE(C732,"-","")&amp;"&amp;referencia="&amp;ENCODEURL(E732)&amp;"&amp;lat="&amp;IZQUIERDA(SUBSTITUTE(F732," ",""),ENCONTRAR(",",SUBSTITUTE(F732," ",""))-1)&amp;"&amp;lng="&amp;DERECHA(SUBSTITUTE(F732," ",""),LARGO(SUBSTITUTE(F732," ",""))-ENCONTRAR(",",SUBSTITUTE(F732," ",""))),"")</f>
        <v/>
      </c>
    </row>
    <row r="733" ht="15.75" customHeight="1" s="10">
      <c r="A733" s="8">
        <f>CONCAT("AD507-",TEXT(ROW()-2,"0000"))</f>
        <v/>
      </c>
      <c r="C733" s="8" t="n"/>
      <c r="F733" s="8" t="n"/>
      <c r="G733" s="8">
        <f>IF(F733&lt;&gt;"",HYPERLINK("https://www.google.com/maps/search/?api=1&amp;query="&amp;SUBSTITUTE(F733," ",""),"🗺 Google Maps"),"")</f>
        <v/>
      </c>
      <c r="H733" s="8">
        <f>IF(F733&lt;&gt;"",HYPERLINK("https://waze.com/ul?ll="&amp;SUBSTITUTE(F733," ","")&amp;"&amp;navigate=yes","🚗 Waze"),"")</f>
        <v/>
      </c>
      <c r="I733" s="8">
        <f>IF(F733&lt;&gt;"",HYPERLINK("https://m.uber.com/ul/?action=setPickup&amp;pickup=my_location&amp;dropoff[latitude]="&amp;LEFT(SUBSTITUTE(F733," ",""),FIND(",",SUBSTITUTE(F733," ",""))-1)&amp;"&amp;dropoff[longitude]="&amp;MID(SUBSTITUTE(F733," ",""),FIND(",",SUBSTITUTE(F733," ",""))+1,99),"🚕 Uber"),"")</f>
        <v/>
      </c>
      <c r="J733" s="8">
        <f>IF(F733&lt;&gt;"","https://api.qrserver.com/v1/create-qr-code/?size=200x200&amp;data="&amp;ENCODEURL("https://www.google.com/maps/search/?api=1&amp;query="&amp;SUBSTITUTE(F733," ","")),"")</f>
        <v/>
      </c>
      <c r="K733" s="8">
        <f>IF(C733&lt;&gt;"",HYPERLINK("https://wa.me/507"&amp;REGEXREPLACE(C733,"[^0-9]","")&amp;"?text="&amp;ENCODEURL("Ya llegue. Codigo: "&amp;A733&amp;". Ubicacion: "&amp;"https://www.google.com/maps/search/?api=1&amp;query="&amp;SUBSTITUTE(F733," ","")),"📲 Avisar al cliente"),"")</f>
        <v/>
      </c>
      <c r="L733" s="8">
        <f>IF(C733&lt;&gt;"","https://api.qrserver.com/v1/create-qr-code/?size=200x200&amp;data="&amp;ENCODEURL("https://wa.me/507"&amp;REGEXREPLACE(C733,"[^0-9]","")&amp;"?text="&amp;ENCODEURL("Ya llegue. Codigo: "&amp;A733&amp;". Ubicacion: "&amp;"https://www.google.com/maps/search/?api=1&amp;query="&amp;SUBSTITUTE(F733," ",""))),"")</f>
        <v/>
      </c>
      <c r="M733" s="8">
        <f>IF(B733&lt;&gt;"",TODAY(),"")</f>
        <v/>
      </c>
      <c r="N733" s="8">
        <f>IF(F733&lt;&gt;"",IFERROR(IF(AND(REGEXMATCH(SUBSTITUTE(TRIM(F733)," ",""),"^-?\d+(\.\d+)?,-?\d+(\.\d+)?$"),VALUE(REGEXEXTRACT(SUBSTITUTE(TRIM(F733)," ",""),"^-?\d+(\.\d+)?"))&gt;=-90,VALUE(REGEXEXTRACT(SUBSTITUTE(TRIM(F733)," ",""),"^-?\d+(\.\d+)?"))&lt;=90,VALUE(REGEXEXTRACT(SUBSTITUTE(TRIM(F733)," ",""),"-?\d+(\.\d+)?$"))&gt;=-180,VALUE(REGEXEXTRACT(SUBSTITUTE(TRIM(F733)," ",""),"-?\d+(\.\d+)?$"))&lt;=180),"OK","REVISAR"),"REVISAR"),"")</f>
        <v/>
      </c>
      <c r="O733">
        <f>IF(A733&lt;&gt;"","https://direcciones507.github.io/direcciones507/panel.html?codigo="&amp;A733&amp;"&amp;nombre="&amp;ENCODEURL(B733)&amp;"&amp;telefono="&amp;SUBSTITUTE(C733,"-","")&amp;"&amp;referencia="&amp;ENCODEURL(E733)&amp;"&amp;lat="&amp;IZQUIERDA(SUBSTITUTE(F733," ",""),ENCONTRAR(",",SUBSTITUTE(F733," ",""))-1)&amp;"&amp;lng="&amp;DERECHA(SUBSTITUTE(F733," ",""),LARGO(SUBSTITUTE(F733," ",""))-ENCONTRAR(",",SUBSTITUTE(F733," ",""))),"")</f>
        <v/>
      </c>
    </row>
    <row r="734" ht="15.75" customHeight="1" s="10">
      <c r="A734" s="8">
        <f>CONCAT("AD507-",TEXT(ROW()-2,"0000"))</f>
        <v/>
      </c>
      <c r="C734" s="8" t="n"/>
      <c r="F734" s="8" t="n"/>
      <c r="G734" s="8">
        <f>IF(F734&lt;&gt;"",HYPERLINK("https://www.google.com/maps/search/?api=1&amp;query="&amp;SUBSTITUTE(F734," ",""),"🗺 Google Maps"),"")</f>
        <v/>
      </c>
      <c r="H734" s="8">
        <f>IF(F734&lt;&gt;"",HYPERLINK("https://waze.com/ul?ll="&amp;SUBSTITUTE(F734," ","")&amp;"&amp;navigate=yes","🚗 Waze"),"")</f>
        <v/>
      </c>
      <c r="I734" s="8">
        <f>IF(F734&lt;&gt;"",HYPERLINK("https://m.uber.com/ul/?action=setPickup&amp;pickup=my_location&amp;dropoff[latitude]="&amp;LEFT(SUBSTITUTE(F734," ",""),FIND(",",SUBSTITUTE(F734," ",""))-1)&amp;"&amp;dropoff[longitude]="&amp;MID(SUBSTITUTE(F734," ",""),FIND(",",SUBSTITUTE(F734," ",""))+1,99),"🚕 Uber"),"")</f>
        <v/>
      </c>
      <c r="J734" s="8">
        <f>IF(F734&lt;&gt;"","https://api.qrserver.com/v1/create-qr-code/?size=200x200&amp;data="&amp;ENCODEURL("https://www.google.com/maps/search/?api=1&amp;query="&amp;SUBSTITUTE(F734," ","")),"")</f>
        <v/>
      </c>
      <c r="K734" s="8">
        <f>IF(C734&lt;&gt;"",HYPERLINK("https://wa.me/507"&amp;REGEXREPLACE(C734,"[^0-9]","")&amp;"?text="&amp;ENCODEURL("Ya llegue. Codigo: "&amp;A734&amp;". Ubicacion: "&amp;"https://www.google.com/maps/search/?api=1&amp;query="&amp;SUBSTITUTE(F734," ","")),"📲 Avisar al cliente"),"")</f>
        <v/>
      </c>
      <c r="L734" s="8">
        <f>IF(C734&lt;&gt;"","https://api.qrserver.com/v1/create-qr-code/?size=200x200&amp;data="&amp;ENCODEURL("https://wa.me/507"&amp;REGEXREPLACE(C734,"[^0-9]","")&amp;"?text="&amp;ENCODEURL("Ya llegue. Codigo: "&amp;A734&amp;". Ubicacion: "&amp;"https://www.google.com/maps/search/?api=1&amp;query="&amp;SUBSTITUTE(F734," ",""))),"")</f>
        <v/>
      </c>
      <c r="M734" s="8">
        <f>IF(B734&lt;&gt;"",TODAY(),"")</f>
        <v/>
      </c>
      <c r="N734" s="8">
        <f>IF(F734&lt;&gt;"",IFERROR(IF(AND(REGEXMATCH(SUBSTITUTE(TRIM(F734)," ",""),"^-?\d+(\.\d+)?,-?\d+(\.\d+)?$"),VALUE(REGEXEXTRACT(SUBSTITUTE(TRIM(F734)," ",""),"^-?\d+(\.\d+)?"))&gt;=-90,VALUE(REGEXEXTRACT(SUBSTITUTE(TRIM(F734)," ",""),"^-?\d+(\.\d+)?"))&lt;=90,VALUE(REGEXEXTRACT(SUBSTITUTE(TRIM(F734)," ",""),"-?\d+(\.\d+)?$"))&gt;=-180,VALUE(REGEXEXTRACT(SUBSTITUTE(TRIM(F734)," ",""),"-?\d+(\.\d+)?$"))&lt;=180),"OK","REVISAR"),"REVISAR"),"")</f>
        <v/>
      </c>
      <c r="O734">
        <f>IF(A734&lt;&gt;"","https://direcciones507.github.io/direcciones507/panel.html?codigo="&amp;A734&amp;"&amp;nombre="&amp;ENCODEURL(B734)&amp;"&amp;telefono="&amp;SUBSTITUTE(C734,"-","")&amp;"&amp;referencia="&amp;ENCODEURL(E734)&amp;"&amp;lat="&amp;IZQUIERDA(SUBSTITUTE(F734," ",""),ENCONTRAR(",",SUBSTITUTE(F734," ",""))-1)&amp;"&amp;lng="&amp;DERECHA(SUBSTITUTE(F734," ",""),LARGO(SUBSTITUTE(F734," ",""))-ENCONTRAR(",",SUBSTITUTE(F734," ",""))),"")</f>
        <v/>
      </c>
    </row>
    <row r="735" ht="15.75" customHeight="1" s="10">
      <c r="A735" s="8">
        <f>CONCAT("AD507-",TEXT(ROW()-2,"0000"))</f>
        <v/>
      </c>
      <c r="C735" s="8" t="n"/>
      <c r="F735" s="8" t="n"/>
      <c r="G735" s="8">
        <f>IF(F735&lt;&gt;"",HYPERLINK("https://www.google.com/maps/search/?api=1&amp;query="&amp;SUBSTITUTE(F735," ",""),"🗺 Google Maps"),"")</f>
        <v/>
      </c>
      <c r="H735" s="8">
        <f>IF(F735&lt;&gt;"",HYPERLINK("https://waze.com/ul?ll="&amp;SUBSTITUTE(F735," ","")&amp;"&amp;navigate=yes","🚗 Waze"),"")</f>
        <v/>
      </c>
      <c r="I735" s="8">
        <f>IF(F735&lt;&gt;"",HYPERLINK("https://m.uber.com/ul/?action=setPickup&amp;pickup=my_location&amp;dropoff[latitude]="&amp;LEFT(SUBSTITUTE(F735," ",""),FIND(",",SUBSTITUTE(F735," ",""))-1)&amp;"&amp;dropoff[longitude]="&amp;MID(SUBSTITUTE(F735," ",""),FIND(",",SUBSTITUTE(F735," ",""))+1,99),"🚕 Uber"),"")</f>
        <v/>
      </c>
      <c r="J735" s="8">
        <f>IF(F735&lt;&gt;"","https://api.qrserver.com/v1/create-qr-code/?size=200x200&amp;data="&amp;ENCODEURL("https://www.google.com/maps/search/?api=1&amp;query="&amp;SUBSTITUTE(F735," ","")),"")</f>
        <v/>
      </c>
      <c r="K735" s="8">
        <f>IF(C735&lt;&gt;"",HYPERLINK("https://wa.me/507"&amp;REGEXREPLACE(C735,"[^0-9]","")&amp;"?text="&amp;ENCODEURL("Ya llegue. Codigo: "&amp;A735&amp;". Ubicacion: "&amp;"https://www.google.com/maps/search/?api=1&amp;query="&amp;SUBSTITUTE(F735," ","")),"📲 Avisar al cliente"),"")</f>
        <v/>
      </c>
      <c r="L735" s="8">
        <f>IF(C735&lt;&gt;"","https://api.qrserver.com/v1/create-qr-code/?size=200x200&amp;data="&amp;ENCODEURL("https://wa.me/507"&amp;REGEXREPLACE(C735,"[^0-9]","")&amp;"?text="&amp;ENCODEURL("Ya llegue. Codigo: "&amp;A735&amp;". Ubicacion: "&amp;"https://www.google.com/maps/search/?api=1&amp;query="&amp;SUBSTITUTE(F735," ",""))),"")</f>
        <v/>
      </c>
      <c r="M735" s="8">
        <f>IF(B735&lt;&gt;"",TODAY(),"")</f>
        <v/>
      </c>
      <c r="N735" s="8">
        <f>IF(F735&lt;&gt;"",IFERROR(IF(AND(REGEXMATCH(SUBSTITUTE(TRIM(F735)," ",""),"^-?\d+(\.\d+)?,-?\d+(\.\d+)?$"),VALUE(REGEXEXTRACT(SUBSTITUTE(TRIM(F735)," ",""),"^-?\d+(\.\d+)?"))&gt;=-90,VALUE(REGEXEXTRACT(SUBSTITUTE(TRIM(F735)," ",""),"^-?\d+(\.\d+)?"))&lt;=90,VALUE(REGEXEXTRACT(SUBSTITUTE(TRIM(F735)," ",""),"-?\d+(\.\d+)?$"))&gt;=-180,VALUE(REGEXEXTRACT(SUBSTITUTE(TRIM(F735)," ",""),"-?\d+(\.\d+)?$"))&lt;=180),"OK","REVISAR"),"REVISAR"),"")</f>
        <v/>
      </c>
      <c r="O735">
        <f>IF(A735&lt;&gt;"","https://direcciones507.github.io/direcciones507/panel.html?codigo="&amp;A735&amp;"&amp;nombre="&amp;ENCODEURL(B735)&amp;"&amp;telefono="&amp;SUBSTITUTE(C735,"-","")&amp;"&amp;referencia="&amp;ENCODEURL(E735)&amp;"&amp;lat="&amp;IZQUIERDA(SUBSTITUTE(F735," ",""),ENCONTRAR(",",SUBSTITUTE(F735," ",""))-1)&amp;"&amp;lng="&amp;DERECHA(SUBSTITUTE(F735," ",""),LARGO(SUBSTITUTE(F735," ",""))-ENCONTRAR(",",SUBSTITUTE(F735," ",""))),"")</f>
        <v/>
      </c>
    </row>
    <row r="736" ht="15.75" customHeight="1" s="10">
      <c r="A736" s="8">
        <f>CONCAT("AD507-",TEXT(ROW()-2,"0000"))</f>
        <v/>
      </c>
      <c r="C736" s="8" t="n"/>
      <c r="F736" s="8" t="n"/>
      <c r="G736" s="8">
        <f>IF(F736&lt;&gt;"",HYPERLINK("https://www.google.com/maps/search/?api=1&amp;query="&amp;SUBSTITUTE(F736," ",""),"🗺 Google Maps"),"")</f>
        <v/>
      </c>
      <c r="H736" s="8">
        <f>IF(F736&lt;&gt;"",HYPERLINK("https://waze.com/ul?ll="&amp;SUBSTITUTE(F736," ","")&amp;"&amp;navigate=yes","🚗 Waze"),"")</f>
        <v/>
      </c>
      <c r="I736" s="8">
        <f>IF(F736&lt;&gt;"",HYPERLINK("https://m.uber.com/ul/?action=setPickup&amp;pickup=my_location&amp;dropoff[latitude]="&amp;LEFT(SUBSTITUTE(F736," ",""),FIND(",",SUBSTITUTE(F736," ",""))-1)&amp;"&amp;dropoff[longitude]="&amp;MID(SUBSTITUTE(F736," ",""),FIND(",",SUBSTITUTE(F736," ",""))+1,99),"🚕 Uber"),"")</f>
        <v/>
      </c>
      <c r="J736" s="8">
        <f>IF(F736&lt;&gt;"","https://api.qrserver.com/v1/create-qr-code/?size=200x200&amp;data="&amp;ENCODEURL("https://www.google.com/maps/search/?api=1&amp;query="&amp;SUBSTITUTE(F736," ","")),"")</f>
        <v/>
      </c>
      <c r="K736" s="8">
        <f>IF(C736&lt;&gt;"",HYPERLINK("https://wa.me/507"&amp;REGEXREPLACE(C736,"[^0-9]","")&amp;"?text="&amp;ENCODEURL("Ya llegue. Codigo: "&amp;A736&amp;". Ubicacion: "&amp;"https://www.google.com/maps/search/?api=1&amp;query="&amp;SUBSTITUTE(F736," ","")),"📲 Avisar al cliente"),"")</f>
        <v/>
      </c>
      <c r="L736" s="8">
        <f>IF(C736&lt;&gt;"","https://api.qrserver.com/v1/create-qr-code/?size=200x200&amp;data="&amp;ENCODEURL("https://wa.me/507"&amp;REGEXREPLACE(C736,"[^0-9]","")&amp;"?text="&amp;ENCODEURL("Ya llegue. Codigo: "&amp;A736&amp;". Ubicacion: "&amp;"https://www.google.com/maps/search/?api=1&amp;query="&amp;SUBSTITUTE(F736," ",""))),"")</f>
        <v/>
      </c>
      <c r="M736" s="8">
        <f>IF(B736&lt;&gt;"",TODAY(),"")</f>
        <v/>
      </c>
      <c r="N736" s="8">
        <f>IF(F736&lt;&gt;"",IFERROR(IF(AND(REGEXMATCH(SUBSTITUTE(TRIM(F736)," ",""),"^-?\d+(\.\d+)?,-?\d+(\.\d+)?$"),VALUE(REGEXEXTRACT(SUBSTITUTE(TRIM(F736)," ",""),"^-?\d+(\.\d+)?"))&gt;=-90,VALUE(REGEXEXTRACT(SUBSTITUTE(TRIM(F736)," ",""),"^-?\d+(\.\d+)?"))&lt;=90,VALUE(REGEXEXTRACT(SUBSTITUTE(TRIM(F736)," ",""),"-?\d+(\.\d+)?$"))&gt;=-180,VALUE(REGEXEXTRACT(SUBSTITUTE(TRIM(F736)," ",""),"-?\d+(\.\d+)?$"))&lt;=180),"OK","REVISAR"),"REVISAR"),"")</f>
        <v/>
      </c>
      <c r="O736">
        <f>IF(A736&lt;&gt;"","https://direcciones507.github.io/direcciones507/panel.html?codigo="&amp;A736&amp;"&amp;nombre="&amp;ENCODEURL(B736)&amp;"&amp;telefono="&amp;SUBSTITUTE(C736,"-","")&amp;"&amp;referencia="&amp;ENCODEURL(E736)&amp;"&amp;lat="&amp;IZQUIERDA(SUBSTITUTE(F736," ",""),ENCONTRAR(",",SUBSTITUTE(F736," ",""))-1)&amp;"&amp;lng="&amp;DERECHA(SUBSTITUTE(F736," ",""),LARGO(SUBSTITUTE(F736," ",""))-ENCONTRAR(",",SUBSTITUTE(F736," ",""))),"")</f>
        <v/>
      </c>
    </row>
    <row r="737" ht="15.75" customHeight="1" s="10">
      <c r="A737" s="8">
        <f>CONCAT("AD507-",TEXT(ROW()-2,"0000"))</f>
        <v/>
      </c>
      <c r="C737" s="8" t="n"/>
      <c r="F737" s="8" t="n"/>
      <c r="G737" s="8">
        <f>IF(F737&lt;&gt;"",HYPERLINK("https://www.google.com/maps/search/?api=1&amp;query="&amp;SUBSTITUTE(F737," ",""),"🗺 Google Maps"),"")</f>
        <v/>
      </c>
      <c r="H737" s="8">
        <f>IF(F737&lt;&gt;"",HYPERLINK("https://waze.com/ul?ll="&amp;SUBSTITUTE(F737," ","")&amp;"&amp;navigate=yes","🚗 Waze"),"")</f>
        <v/>
      </c>
      <c r="I737" s="8">
        <f>IF(F737&lt;&gt;"",HYPERLINK("https://m.uber.com/ul/?action=setPickup&amp;pickup=my_location&amp;dropoff[latitude]="&amp;LEFT(SUBSTITUTE(F737," ",""),FIND(",",SUBSTITUTE(F737," ",""))-1)&amp;"&amp;dropoff[longitude]="&amp;MID(SUBSTITUTE(F737," ",""),FIND(",",SUBSTITUTE(F737," ",""))+1,99),"🚕 Uber"),"")</f>
        <v/>
      </c>
      <c r="J737" s="8">
        <f>IF(F737&lt;&gt;"","https://api.qrserver.com/v1/create-qr-code/?size=200x200&amp;data="&amp;ENCODEURL("https://www.google.com/maps/search/?api=1&amp;query="&amp;SUBSTITUTE(F737," ","")),"")</f>
        <v/>
      </c>
      <c r="K737" s="8">
        <f>IF(C737&lt;&gt;"",HYPERLINK("https://wa.me/507"&amp;REGEXREPLACE(C737,"[^0-9]","")&amp;"?text="&amp;ENCODEURL("Ya llegue. Codigo: "&amp;A737&amp;". Ubicacion: "&amp;"https://www.google.com/maps/search/?api=1&amp;query="&amp;SUBSTITUTE(F737," ","")),"📲 Avisar al cliente"),"")</f>
        <v/>
      </c>
      <c r="L737" s="8">
        <f>IF(C737&lt;&gt;"","https://api.qrserver.com/v1/create-qr-code/?size=200x200&amp;data="&amp;ENCODEURL("https://wa.me/507"&amp;REGEXREPLACE(C737,"[^0-9]","")&amp;"?text="&amp;ENCODEURL("Ya llegue. Codigo: "&amp;A737&amp;". Ubicacion: "&amp;"https://www.google.com/maps/search/?api=1&amp;query="&amp;SUBSTITUTE(F737," ",""))),"")</f>
        <v/>
      </c>
      <c r="M737" s="8">
        <f>IF(B737&lt;&gt;"",TODAY(),"")</f>
        <v/>
      </c>
      <c r="N737" s="8">
        <f>IF(F737&lt;&gt;"",IFERROR(IF(AND(REGEXMATCH(SUBSTITUTE(TRIM(F737)," ",""),"^-?\d+(\.\d+)?,-?\d+(\.\d+)?$"),VALUE(REGEXEXTRACT(SUBSTITUTE(TRIM(F737)," ",""),"^-?\d+(\.\d+)?"))&gt;=-90,VALUE(REGEXEXTRACT(SUBSTITUTE(TRIM(F737)," ",""),"^-?\d+(\.\d+)?"))&lt;=90,VALUE(REGEXEXTRACT(SUBSTITUTE(TRIM(F737)," ",""),"-?\d+(\.\d+)?$"))&gt;=-180,VALUE(REGEXEXTRACT(SUBSTITUTE(TRIM(F737)," ",""),"-?\d+(\.\d+)?$"))&lt;=180),"OK","REVISAR"),"REVISAR"),"")</f>
        <v/>
      </c>
      <c r="O737">
        <f>IF(A737&lt;&gt;"","https://direcciones507.github.io/direcciones507/panel.html?codigo="&amp;A737&amp;"&amp;nombre="&amp;ENCODEURL(B737)&amp;"&amp;telefono="&amp;SUBSTITUTE(C737,"-","")&amp;"&amp;referencia="&amp;ENCODEURL(E737)&amp;"&amp;lat="&amp;IZQUIERDA(SUBSTITUTE(F737," ",""),ENCONTRAR(",",SUBSTITUTE(F737," ",""))-1)&amp;"&amp;lng="&amp;DERECHA(SUBSTITUTE(F737," ",""),LARGO(SUBSTITUTE(F737," ",""))-ENCONTRAR(",",SUBSTITUTE(F737," ",""))),"")</f>
        <v/>
      </c>
    </row>
    <row r="738" ht="15.75" customHeight="1" s="10">
      <c r="A738" s="8">
        <f>CONCAT("AD507-",TEXT(ROW()-2,"0000"))</f>
        <v/>
      </c>
      <c r="C738" s="8" t="n"/>
      <c r="F738" s="8" t="n"/>
      <c r="G738" s="8">
        <f>IF(F738&lt;&gt;"",HYPERLINK("https://www.google.com/maps/search/?api=1&amp;query="&amp;SUBSTITUTE(F738," ",""),"🗺 Google Maps"),"")</f>
        <v/>
      </c>
      <c r="H738" s="8">
        <f>IF(F738&lt;&gt;"",HYPERLINK("https://waze.com/ul?ll="&amp;SUBSTITUTE(F738," ","")&amp;"&amp;navigate=yes","🚗 Waze"),"")</f>
        <v/>
      </c>
      <c r="I738" s="8">
        <f>IF(F738&lt;&gt;"",HYPERLINK("https://m.uber.com/ul/?action=setPickup&amp;pickup=my_location&amp;dropoff[latitude]="&amp;LEFT(SUBSTITUTE(F738," ",""),FIND(",",SUBSTITUTE(F738," ",""))-1)&amp;"&amp;dropoff[longitude]="&amp;MID(SUBSTITUTE(F738," ",""),FIND(",",SUBSTITUTE(F738," ",""))+1,99),"🚕 Uber"),"")</f>
        <v/>
      </c>
      <c r="J738" s="8">
        <f>IF(F738&lt;&gt;"","https://api.qrserver.com/v1/create-qr-code/?size=200x200&amp;data="&amp;ENCODEURL("https://www.google.com/maps/search/?api=1&amp;query="&amp;SUBSTITUTE(F738," ","")),"")</f>
        <v/>
      </c>
      <c r="K738" s="8">
        <f>IF(C738&lt;&gt;"",HYPERLINK("https://wa.me/507"&amp;REGEXREPLACE(C738,"[^0-9]","")&amp;"?text="&amp;ENCODEURL("Ya llegue. Codigo: "&amp;A738&amp;". Ubicacion: "&amp;"https://www.google.com/maps/search/?api=1&amp;query="&amp;SUBSTITUTE(F738," ","")),"📲 Avisar al cliente"),"")</f>
        <v/>
      </c>
      <c r="L738" s="8">
        <f>IF(C738&lt;&gt;"","https://api.qrserver.com/v1/create-qr-code/?size=200x200&amp;data="&amp;ENCODEURL("https://wa.me/507"&amp;REGEXREPLACE(C738,"[^0-9]","")&amp;"?text="&amp;ENCODEURL("Ya llegue. Codigo: "&amp;A738&amp;". Ubicacion: "&amp;"https://www.google.com/maps/search/?api=1&amp;query="&amp;SUBSTITUTE(F738," ",""))),"")</f>
        <v/>
      </c>
      <c r="M738" s="8">
        <f>IF(B738&lt;&gt;"",TODAY(),"")</f>
        <v/>
      </c>
      <c r="N738" s="8">
        <f>IF(F738&lt;&gt;"",IFERROR(IF(AND(REGEXMATCH(SUBSTITUTE(TRIM(F738)," ",""),"^-?\d+(\.\d+)?,-?\d+(\.\d+)?$"),VALUE(REGEXEXTRACT(SUBSTITUTE(TRIM(F738)," ",""),"^-?\d+(\.\d+)?"))&gt;=-90,VALUE(REGEXEXTRACT(SUBSTITUTE(TRIM(F738)," ",""),"^-?\d+(\.\d+)?"))&lt;=90,VALUE(REGEXEXTRACT(SUBSTITUTE(TRIM(F738)," ",""),"-?\d+(\.\d+)?$"))&gt;=-180,VALUE(REGEXEXTRACT(SUBSTITUTE(TRIM(F738)," ",""),"-?\d+(\.\d+)?$"))&lt;=180),"OK","REVISAR"),"REVISAR"),"")</f>
        <v/>
      </c>
      <c r="O738">
        <f>IF(A738&lt;&gt;"","https://direcciones507.github.io/direcciones507/panel.html?codigo="&amp;A738&amp;"&amp;nombre="&amp;ENCODEURL(B738)&amp;"&amp;telefono="&amp;SUBSTITUTE(C738,"-","")&amp;"&amp;referencia="&amp;ENCODEURL(E738)&amp;"&amp;lat="&amp;IZQUIERDA(SUBSTITUTE(F738," ",""),ENCONTRAR(",",SUBSTITUTE(F738," ",""))-1)&amp;"&amp;lng="&amp;DERECHA(SUBSTITUTE(F738," ",""),LARGO(SUBSTITUTE(F738," ",""))-ENCONTRAR(",",SUBSTITUTE(F738," ",""))),"")</f>
        <v/>
      </c>
    </row>
    <row r="739" ht="15.75" customHeight="1" s="10">
      <c r="A739" s="8">
        <f>CONCAT("AD507-",TEXT(ROW()-2,"0000"))</f>
        <v/>
      </c>
      <c r="C739" s="8" t="n"/>
      <c r="F739" s="8" t="n"/>
      <c r="G739" s="8">
        <f>IF(F739&lt;&gt;"",HYPERLINK("https://www.google.com/maps/search/?api=1&amp;query="&amp;SUBSTITUTE(F739," ",""),"🗺 Google Maps"),"")</f>
        <v/>
      </c>
      <c r="H739" s="8">
        <f>IF(F739&lt;&gt;"",HYPERLINK("https://waze.com/ul?ll="&amp;SUBSTITUTE(F739," ","")&amp;"&amp;navigate=yes","🚗 Waze"),"")</f>
        <v/>
      </c>
      <c r="I739" s="8">
        <f>IF(F739&lt;&gt;"",HYPERLINK("https://m.uber.com/ul/?action=setPickup&amp;pickup=my_location&amp;dropoff[latitude]="&amp;LEFT(SUBSTITUTE(F739," ",""),FIND(",",SUBSTITUTE(F739," ",""))-1)&amp;"&amp;dropoff[longitude]="&amp;MID(SUBSTITUTE(F739," ",""),FIND(",",SUBSTITUTE(F739," ",""))+1,99),"🚕 Uber"),"")</f>
        <v/>
      </c>
      <c r="J739" s="8">
        <f>IF(F739&lt;&gt;"","https://api.qrserver.com/v1/create-qr-code/?size=200x200&amp;data="&amp;ENCODEURL("https://www.google.com/maps/search/?api=1&amp;query="&amp;SUBSTITUTE(F739," ","")),"")</f>
        <v/>
      </c>
      <c r="K739" s="8">
        <f>IF(C739&lt;&gt;"",HYPERLINK("https://wa.me/507"&amp;REGEXREPLACE(C739,"[^0-9]","")&amp;"?text="&amp;ENCODEURL("Ya llegue. Codigo: "&amp;A739&amp;". Ubicacion: "&amp;"https://www.google.com/maps/search/?api=1&amp;query="&amp;SUBSTITUTE(F739," ","")),"📲 Avisar al cliente"),"")</f>
        <v/>
      </c>
      <c r="L739" s="8">
        <f>IF(C739&lt;&gt;"","https://api.qrserver.com/v1/create-qr-code/?size=200x200&amp;data="&amp;ENCODEURL("https://wa.me/507"&amp;REGEXREPLACE(C739,"[^0-9]","")&amp;"?text="&amp;ENCODEURL("Ya llegue. Codigo: "&amp;A739&amp;". Ubicacion: "&amp;"https://www.google.com/maps/search/?api=1&amp;query="&amp;SUBSTITUTE(F739," ",""))),"")</f>
        <v/>
      </c>
      <c r="M739" s="8">
        <f>IF(B739&lt;&gt;"",TODAY(),"")</f>
        <v/>
      </c>
      <c r="N739" s="8">
        <f>IF(F739&lt;&gt;"",IFERROR(IF(AND(REGEXMATCH(SUBSTITUTE(TRIM(F739)," ",""),"^-?\d+(\.\d+)?,-?\d+(\.\d+)?$"),VALUE(REGEXEXTRACT(SUBSTITUTE(TRIM(F739)," ",""),"^-?\d+(\.\d+)?"))&gt;=-90,VALUE(REGEXEXTRACT(SUBSTITUTE(TRIM(F739)," ",""),"^-?\d+(\.\d+)?"))&lt;=90,VALUE(REGEXEXTRACT(SUBSTITUTE(TRIM(F739)," ",""),"-?\d+(\.\d+)?$"))&gt;=-180,VALUE(REGEXEXTRACT(SUBSTITUTE(TRIM(F739)," ",""),"-?\d+(\.\d+)?$"))&lt;=180),"OK","REVISAR"),"REVISAR"),"")</f>
        <v/>
      </c>
      <c r="O739">
        <f>IF(A739&lt;&gt;"","https://direcciones507.github.io/direcciones507/panel.html?codigo="&amp;A739&amp;"&amp;nombre="&amp;ENCODEURL(B739)&amp;"&amp;telefono="&amp;SUBSTITUTE(C739,"-","")&amp;"&amp;referencia="&amp;ENCODEURL(E739)&amp;"&amp;lat="&amp;IZQUIERDA(SUBSTITUTE(F739," ",""),ENCONTRAR(",",SUBSTITUTE(F739," ",""))-1)&amp;"&amp;lng="&amp;DERECHA(SUBSTITUTE(F739," ",""),LARGO(SUBSTITUTE(F739," ",""))-ENCONTRAR(",",SUBSTITUTE(F739," ",""))),"")</f>
        <v/>
      </c>
    </row>
    <row r="740" ht="15.75" customHeight="1" s="10">
      <c r="A740" s="8">
        <f>CONCAT("AD507-",TEXT(ROW()-2,"0000"))</f>
        <v/>
      </c>
      <c r="C740" s="8" t="n"/>
      <c r="F740" s="8" t="n"/>
      <c r="G740" s="8">
        <f>IF(F740&lt;&gt;"",HYPERLINK("https://www.google.com/maps/search/?api=1&amp;query="&amp;SUBSTITUTE(F740," ",""),"🗺 Google Maps"),"")</f>
        <v/>
      </c>
      <c r="H740" s="8">
        <f>IF(F740&lt;&gt;"",HYPERLINK("https://waze.com/ul?ll="&amp;SUBSTITUTE(F740," ","")&amp;"&amp;navigate=yes","🚗 Waze"),"")</f>
        <v/>
      </c>
      <c r="I740" s="8">
        <f>IF(F740&lt;&gt;"",HYPERLINK("https://m.uber.com/ul/?action=setPickup&amp;pickup=my_location&amp;dropoff[latitude]="&amp;LEFT(SUBSTITUTE(F740," ",""),FIND(",",SUBSTITUTE(F740," ",""))-1)&amp;"&amp;dropoff[longitude]="&amp;MID(SUBSTITUTE(F740," ",""),FIND(",",SUBSTITUTE(F740," ",""))+1,99),"🚕 Uber"),"")</f>
        <v/>
      </c>
      <c r="J740" s="8">
        <f>IF(F740&lt;&gt;"","https://api.qrserver.com/v1/create-qr-code/?size=200x200&amp;data="&amp;ENCODEURL("https://www.google.com/maps/search/?api=1&amp;query="&amp;SUBSTITUTE(F740," ","")),"")</f>
        <v/>
      </c>
      <c r="K740" s="8">
        <f>IF(C740&lt;&gt;"",HYPERLINK("https://wa.me/507"&amp;REGEXREPLACE(C740,"[^0-9]","")&amp;"?text="&amp;ENCODEURL("Ya llegue. Codigo: "&amp;A740&amp;". Ubicacion: "&amp;"https://www.google.com/maps/search/?api=1&amp;query="&amp;SUBSTITUTE(F740," ","")),"📲 Avisar al cliente"),"")</f>
        <v/>
      </c>
      <c r="L740" s="8">
        <f>IF(C740&lt;&gt;"","https://api.qrserver.com/v1/create-qr-code/?size=200x200&amp;data="&amp;ENCODEURL("https://wa.me/507"&amp;REGEXREPLACE(C740,"[^0-9]","")&amp;"?text="&amp;ENCODEURL("Ya llegue. Codigo: "&amp;A740&amp;". Ubicacion: "&amp;"https://www.google.com/maps/search/?api=1&amp;query="&amp;SUBSTITUTE(F740," ",""))),"")</f>
        <v/>
      </c>
      <c r="M740" s="8">
        <f>IF(B740&lt;&gt;"",TODAY(),"")</f>
        <v/>
      </c>
      <c r="N740" s="8">
        <f>IF(F740&lt;&gt;"",IFERROR(IF(AND(REGEXMATCH(SUBSTITUTE(TRIM(F740)," ",""),"^-?\d+(\.\d+)?,-?\d+(\.\d+)?$"),VALUE(REGEXEXTRACT(SUBSTITUTE(TRIM(F740)," ",""),"^-?\d+(\.\d+)?"))&gt;=-90,VALUE(REGEXEXTRACT(SUBSTITUTE(TRIM(F740)," ",""),"^-?\d+(\.\d+)?"))&lt;=90,VALUE(REGEXEXTRACT(SUBSTITUTE(TRIM(F740)," ",""),"-?\d+(\.\d+)?$"))&gt;=-180,VALUE(REGEXEXTRACT(SUBSTITUTE(TRIM(F740)," ",""),"-?\d+(\.\d+)?$"))&lt;=180),"OK","REVISAR"),"REVISAR"),"")</f>
        <v/>
      </c>
      <c r="O740">
        <f>IF(A740&lt;&gt;"","https://direcciones507.github.io/direcciones507/panel.html?codigo="&amp;A740&amp;"&amp;nombre="&amp;ENCODEURL(B740)&amp;"&amp;telefono="&amp;SUBSTITUTE(C740,"-","")&amp;"&amp;referencia="&amp;ENCODEURL(E740)&amp;"&amp;lat="&amp;IZQUIERDA(SUBSTITUTE(F740," ",""),ENCONTRAR(",",SUBSTITUTE(F740," ",""))-1)&amp;"&amp;lng="&amp;DERECHA(SUBSTITUTE(F740," ",""),LARGO(SUBSTITUTE(F740," ",""))-ENCONTRAR(",",SUBSTITUTE(F740," ",""))),"")</f>
        <v/>
      </c>
    </row>
    <row r="741" ht="15.75" customHeight="1" s="10">
      <c r="A741" s="8">
        <f>CONCAT("AD507-",TEXT(ROW()-2,"0000"))</f>
        <v/>
      </c>
      <c r="C741" s="8" t="n"/>
      <c r="F741" s="8" t="n"/>
      <c r="G741" s="8">
        <f>IF(F741&lt;&gt;"",HYPERLINK("https://www.google.com/maps/search/?api=1&amp;query="&amp;SUBSTITUTE(F741," ",""),"🗺 Google Maps"),"")</f>
        <v/>
      </c>
      <c r="H741" s="8">
        <f>IF(F741&lt;&gt;"",HYPERLINK("https://waze.com/ul?ll="&amp;SUBSTITUTE(F741," ","")&amp;"&amp;navigate=yes","🚗 Waze"),"")</f>
        <v/>
      </c>
      <c r="I741" s="8">
        <f>IF(F741&lt;&gt;"",HYPERLINK("https://m.uber.com/ul/?action=setPickup&amp;pickup=my_location&amp;dropoff[latitude]="&amp;LEFT(SUBSTITUTE(F741," ",""),FIND(",",SUBSTITUTE(F741," ",""))-1)&amp;"&amp;dropoff[longitude]="&amp;MID(SUBSTITUTE(F741," ",""),FIND(",",SUBSTITUTE(F741," ",""))+1,99),"🚕 Uber"),"")</f>
        <v/>
      </c>
      <c r="J741" s="8">
        <f>IF(F741&lt;&gt;"","https://api.qrserver.com/v1/create-qr-code/?size=200x200&amp;data="&amp;ENCODEURL("https://www.google.com/maps/search/?api=1&amp;query="&amp;SUBSTITUTE(F741," ","")),"")</f>
        <v/>
      </c>
      <c r="K741" s="8">
        <f>IF(C741&lt;&gt;"",HYPERLINK("https://wa.me/507"&amp;REGEXREPLACE(C741,"[^0-9]","")&amp;"?text="&amp;ENCODEURL("Ya llegue. Codigo: "&amp;A741&amp;". Ubicacion: "&amp;"https://www.google.com/maps/search/?api=1&amp;query="&amp;SUBSTITUTE(F741," ","")),"📲 Avisar al cliente"),"")</f>
        <v/>
      </c>
      <c r="L741" s="8">
        <f>IF(C741&lt;&gt;"","https://api.qrserver.com/v1/create-qr-code/?size=200x200&amp;data="&amp;ENCODEURL("https://wa.me/507"&amp;REGEXREPLACE(C741,"[^0-9]","")&amp;"?text="&amp;ENCODEURL("Ya llegue. Codigo: "&amp;A741&amp;". Ubicacion: "&amp;"https://www.google.com/maps/search/?api=1&amp;query="&amp;SUBSTITUTE(F741," ",""))),"")</f>
        <v/>
      </c>
      <c r="M741" s="8">
        <f>IF(B741&lt;&gt;"",TODAY(),"")</f>
        <v/>
      </c>
      <c r="N741" s="8">
        <f>IF(F741&lt;&gt;"",IFERROR(IF(AND(REGEXMATCH(SUBSTITUTE(TRIM(F741)," ",""),"^-?\d+(\.\d+)?,-?\d+(\.\d+)?$"),VALUE(REGEXEXTRACT(SUBSTITUTE(TRIM(F741)," ",""),"^-?\d+(\.\d+)?"))&gt;=-90,VALUE(REGEXEXTRACT(SUBSTITUTE(TRIM(F741)," ",""),"^-?\d+(\.\d+)?"))&lt;=90,VALUE(REGEXEXTRACT(SUBSTITUTE(TRIM(F741)," ",""),"-?\d+(\.\d+)?$"))&gt;=-180,VALUE(REGEXEXTRACT(SUBSTITUTE(TRIM(F741)," ",""),"-?\d+(\.\d+)?$"))&lt;=180),"OK","REVISAR"),"REVISAR"),"")</f>
        <v/>
      </c>
      <c r="O741">
        <f>IF(A741&lt;&gt;"","https://direcciones507.github.io/direcciones507/panel.html?codigo="&amp;A741&amp;"&amp;nombre="&amp;ENCODEURL(B741)&amp;"&amp;telefono="&amp;SUBSTITUTE(C741,"-","")&amp;"&amp;referencia="&amp;ENCODEURL(E741)&amp;"&amp;lat="&amp;IZQUIERDA(SUBSTITUTE(F741," ",""),ENCONTRAR(",",SUBSTITUTE(F741," ",""))-1)&amp;"&amp;lng="&amp;DERECHA(SUBSTITUTE(F741," ",""),LARGO(SUBSTITUTE(F741," ",""))-ENCONTRAR(",",SUBSTITUTE(F741," ",""))),"")</f>
        <v/>
      </c>
    </row>
    <row r="742" ht="15.75" customHeight="1" s="10">
      <c r="A742" s="8">
        <f>CONCAT("AD507-",TEXT(ROW()-2,"0000"))</f>
        <v/>
      </c>
      <c r="C742" s="8" t="n"/>
      <c r="F742" s="8" t="n"/>
      <c r="G742" s="8">
        <f>IF(F742&lt;&gt;"",HYPERLINK("https://www.google.com/maps/search/?api=1&amp;query="&amp;SUBSTITUTE(F742," ",""),"🗺 Google Maps"),"")</f>
        <v/>
      </c>
      <c r="H742" s="8">
        <f>IF(F742&lt;&gt;"",HYPERLINK("https://waze.com/ul?ll="&amp;SUBSTITUTE(F742," ","")&amp;"&amp;navigate=yes","🚗 Waze"),"")</f>
        <v/>
      </c>
      <c r="I742" s="8">
        <f>IF(F742&lt;&gt;"",HYPERLINK("https://m.uber.com/ul/?action=setPickup&amp;pickup=my_location&amp;dropoff[latitude]="&amp;LEFT(SUBSTITUTE(F742," ",""),FIND(",",SUBSTITUTE(F742," ",""))-1)&amp;"&amp;dropoff[longitude]="&amp;MID(SUBSTITUTE(F742," ",""),FIND(",",SUBSTITUTE(F742," ",""))+1,99),"🚕 Uber"),"")</f>
        <v/>
      </c>
      <c r="J742" s="8">
        <f>IF(F742&lt;&gt;"","https://api.qrserver.com/v1/create-qr-code/?size=200x200&amp;data="&amp;ENCODEURL("https://www.google.com/maps/search/?api=1&amp;query="&amp;SUBSTITUTE(F742," ","")),"")</f>
        <v/>
      </c>
      <c r="K742" s="8">
        <f>IF(C742&lt;&gt;"",HYPERLINK("https://wa.me/507"&amp;REGEXREPLACE(C742,"[^0-9]","")&amp;"?text="&amp;ENCODEURL("Ya llegue. Codigo: "&amp;A742&amp;". Ubicacion: "&amp;"https://www.google.com/maps/search/?api=1&amp;query="&amp;SUBSTITUTE(F742," ","")),"📲 Avisar al cliente"),"")</f>
        <v/>
      </c>
      <c r="L742" s="8">
        <f>IF(C742&lt;&gt;"","https://api.qrserver.com/v1/create-qr-code/?size=200x200&amp;data="&amp;ENCODEURL("https://wa.me/507"&amp;REGEXREPLACE(C742,"[^0-9]","")&amp;"?text="&amp;ENCODEURL("Ya llegue. Codigo: "&amp;A742&amp;". Ubicacion: "&amp;"https://www.google.com/maps/search/?api=1&amp;query="&amp;SUBSTITUTE(F742," ",""))),"")</f>
        <v/>
      </c>
      <c r="M742" s="8">
        <f>IF(B742&lt;&gt;"",TODAY(),"")</f>
        <v/>
      </c>
      <c r="N742" s="8">
        <f>IF(F742&lt;&gt;"",IFERROR(IF(AND(REGEXMATCH(SUBSTITUTE(TRIM(F742)," ",""),"^-?\d+(\.\d+)?,-?\d+(\.\d+)?$"),VALUE(REGEXEXTRACT(SUBSTITUTE(TRIM(F742)," ",""),"^-?\d+(\.\d+)?"))&gt;=-90,VALUE(REGEXEXTRACT(SUBSTITUTE(TRIM(F742)," ",""),"^-?\d+(\.\d+)?"))&lt;=90,VALUE(REGEXEXTRACT(SUBSTITUTE(TRIM(F742)," ",""),"-?\d+(\.\d+)?$"))&gt;=-180,VALUE(REGEXEXTRACT(SUBSTITUTE(TRIM(F742)," ",""),"-?\d+(\.\d+)?$"))&lt;=180),"OK","REVISAR"),"REVISAR"),"")</f>
        <v/>
      </c>
      <c r="O742">
        <f>IF(A742&lt;&gt;"","https://direcciones507.github.io/direcciones507/panel.html?codigo="&amp;A742&amp;"&amp;nombre="&amp;ENCODEURL(B742)&amp;"&amp;telefono="&amp;SUBSTITUTE(C742,"-","")&amp;"&amp;referencia="&amp;ENCODEURL(E742)&amp;"&amp;lat="&amp;IZQUIERDA(SUBSTITUTE(F742," ",""),ENCONTRAR(",",SUBSTITUTE(F742," ",""))-1)&amp;"&amp;lng="&amp;DERECHA(SUBSTITUTE(F742," ",""),LARGO(SUBSTITUTE(F742," ",""))-ENCONTRAR(",",SUBSTITUTE(F742," ",""))),"")</f>
        <v/>
      </c>
    </row>
    <row r="743" ht="15.75" customHeight="1" s="10">
      <c r="A743" s="8">
        <f>CONCAT("AD507-",TEXT(ROW()-2,"0000"))</f>
        <v/>
      </c>
      <c r="C743" s="8" t="n"/>
      <c r="F743" s="8" t="n"/>
      <c r="G743" s="8">
        <f>IF(F743&lt;&gt;"",HYPERLINK("https://www.google.com/maps/search/?api=1&amp;query="&amp;SUBSTITUTE(F743," ",""),"🗺 Google Maps"),"")</f>
        <v/>
      </c>
      <c r="H743" s="8">
        <f>IF(F743&lt;&gt;"",HYPERLINK("https://waze.com/ul?ll="&amp;SUBSTITUTE(F743," ","")&amp;"&amp;navigate=yes","🚗 Waze"),"")</f>
        <v/>
      </c>
      <c r="I743" s="8">
        <f>IF(F743&lt;&gt;"",HYPERLINK("https://m.uber.com/ul/?action=setPickup&amp;pickup=my_location&amp;dropoff[latitude]="&amp;LEFT(SUBSTITUTE(F743," ",""),FIND(",",SUBSTITUTE(F743," ",""))-1)&amp;"&amp;dropoff[longitude]="&amp;MID(SUBSTITUTE(F743," ",""),FIND(",",SUBSTITUTE(F743," ",""))+1,99),"🚕 Uber"),"")</f>
        <v/>
      </c>
      <c r="J743" s="8">
        <f>IF(F743&lt;&gt;"","https://api.qrserver.com/v1/create-qr-code/?size=200x200&amp;data="&amp;ENCODEURL("https://www.google.com/maps/search/?api=1&amp;query="&amp;SUBSTITUTE(F743," ","")),"")</f>
        <v/>
      </c>
      <c r="K743" s="8">
        <f>IF(C743&lt;&gt;"",HYPERLINK("https://wa.me/507"&amp;REGEXREPLACE(C743,"[^0-9]","")&amp;"?text="&amp;ENCODEURL("Ya llegue. Codigo: "&amp;A743&amp;". Ubicacion: "&amp;"https://www.google.com/maps/search/?api=1&amp;query="&amp;SUBSTITUTE(F743," ","")),"📲 Avisar al cliente"),"")</f>
        <v/>
      </c>
      <c r="L743" s="8">
        <f>IF(C743&lt;&gt;"","https://api.qrserver.com/v1/create-qr-code/?size=200x200&amp;data="&amp;ENCODEURL("https://wa.me/507"&amp;REGEXREPLACE(C743,"[^0-9]","")&amp;"?text="&amp;ENCODEURL("Ya llegue. Codigo: "&amp;A743&amp;". Ubicacion: "&amp;"https://www.google.com/maps/search/?api=1&amp;query="&amp;SUBSTITUTE(F743," ",""))),"")</f>
        <v/>
      </c>
      <c r="M743" s="8">
        <f>IF(B743&lt;&gt;"",TODAY(),"")</f>
        <v/>
      </c>
      <c r="N743" s="8">
        <f>IF(F743&lt;&gt;"",IFERROR(IF(AND(REGEXMATCH(SUBSTITUTE(TRIM(F743)," ",""),"^-?\d+(\.\d+)?,-?\d+(\.\d+)?$"),VALUE(REGEXEXTRACT(SUBSTITUTE(TRIM(F743)," ",""),"^-?\d+(\.\d+)?"))&gt;=-90,VALUE(REGEXEXTRACT(SUBSTITUTE(TRIM(F743)," ",""),"^-?\d+(\.\d+)?"))&lt;=90,VALUE(REGEXEXTRACT(SUBSTITUTE(TRIM(F743)," ",""),"-?\d+(\.\d+)?$"))&gt;=-180,VALUE(REGEXEXTRACT(SUBSTITUTE(TRIM(F743)," ",""),"-?\d+(\.\d+)?$"))&lt;=180),"OK","REVISAR"),"REVISAR"),"")</f>
        <v/>
      </c>
      <c r="O743">
        <f>IF(A743&lt;&gt;"","https://direcciones507.github.io/direcciones507/panel.html?codigo="&amp;A743&amp;"&amp;nombre="&amp;ENCODEURL(B743)&amp;"&amp;telefono="&amp;SUBSTITUTE(C743,"-","")&amp;"&amp;referencia="&amp;ENCODEURL(E743)&amp;"&amp;lat="&amp;IZQUIERDA(SUBSTITUTE(F743," ",""),ENCONTRAR(",",SUBSTITUTE(F743," ",""))-1)&amp;"&amp;lng="&amp;DERECHA(SUBSTITUTE(F743," ",""),LARGO(SUBSTITUTE(F743," ",""))-ENCONTRAR(",",SUBSTITUTE(F743," ",""))),"")</f>
        <v/>
      </c>
    </row>
    <row r="744" ht="15.75" customHeight="1" s="10">
      <c r="A744" s="8">
        <f>CONCAT("AD507-",TEXT(ROW()-2,"0000"))</f>
        <v/>
      </c>
      <c r="C744" s="8" t="n"/>
      <c r="F744" s="8" t="n"/>
      <c r="G744" s="8">
        <f>IF(F744&lt;&gt;"",HYPERLINK("https://www.google.com/maps/search/?api=1&amp;query="&amp;SUBSTITUTE(F744," ",""),"🗺 Google Maps"),"")</f>
        <v/>
      </c>
      <c r="H744" s="8">
        <f>IF(F744&lt;&gt;"",HYPERLINK("https://waze.com/ul?ll="&amp;SUBSTITUTE(F744," ","")&amp;"&amp;navigate=yes","🚗 Waze"),"")</f>
        <v/>
      </c>
      <c r="I744" s="8">
        <f>IF(F744&lt;&gt;"",HYPERLINK("https://m.uber.com/ul/?action=setPickup&amp;pickup=my_location&amp;dropoff[latitude]="&amp;LEFT(SUBSTITUTE(F744," ",""),FIND(",",SUBSTITUTE(F744," ",""))-1)&amp;"&amp;dropoff[longitude]="&amp;MID(SUBSTITUTE(F744," ",""),FIND(",",SUBSTITUTE(F744," ",""))+1,99),"🚕 Uber"),"")</f>
        <v/>
      </c>
      <c r="J744" s="8">
        <f>IF(F744&lt;&gt;"","https://api.qrserver.com/v1/create-qr-code/?size=200x200&amp;data="&amp;ENCODEURL("https://www.google.com/maps/search/?api=1&amp;query="&amp;SUBSTITUTE(F744," ","")),"")</f>
        <v/>
      </c>
      <c r="K744" s="8">
        <f>IF(C744&lt;&gt;"",HYPERLINK("https://wa.me/507"&amp;REGEXREPLACE(C744,"[^0-9]","")&amp;"?text="&amp;ENCODEURL("Ya llegue. Codigo: "&amp;A744&amp;". Ubicacion: "&amp;"https://www.google.com/maps/search/?api=1&amp;query="&amp;SUBSTITUTE(F744," ","")),"📲 Avisar al cliente"),"")</f>
        <v/>
      </c>
      <c r="L744" s="8">
        <f>IF(C744&lt;&gt;"","https://api.qrserver.com/v1/create-qr-code/?size=200x200&amp;data="&amp;ENCODEURL("https://wa.me/507"&amp;REGEXREPLACE(C744,"[^0-9]","")&amp;"?text="&amp;ENCODEURL("Ya llegue. Codigo: "&amp;A744&amp;". Ubicacion: "&amp;"https://www.google.com/maps/search/?api=1&amp;query="&amp;SUBSTITUTE(F744," ",""))),"")</f>
        <v/>
      </c>
      <c r="M744" s="8">
        <f>IF(B744&lt;&gt;"",TODAY(),"")</f>
        <v/>
      </c>
      <c r="N744" s="8">
        <f>IF(F744&lt;&gt;"",IFERROR(IF(AND(REGEXMATCH(SUBSTITUTE(TRIM(F744)," ",""),"^-?\d+(\.\d+)?,-?\d+(\.\d+)?$"),VALUE(REGEXEXTRACT(SUBSTITUTE(TRIM(F744)," ",""),"^-?\d+(\.\d+)?"))&gt;=-90,VALUE(REGEXEXTRACT(SUBSTITUTE(TRIM(F744)," ",""),"^-?\d+(\.\d+)?"))&lt;=90,VALUE(REGEXEXTRACT(SUBSTITUTE(TRIM(F744)," ",""),"-?\d+(\.\d+)?$"))&gt;=-180,VALUE(REGEXEXTRACT(SUBSTITUTE(TRIM(F744)," ",""),"-?\d+(\.\d+)?$"))&lt;=180),"OK","REVISAR"),"REVISAR"),"")</f>
        <v/>
      </c>
      <c r="O744">
        <f>IF(A744&lt;&gt;"","https://direcciones507.github.io/direcciones507/panel.html?codigo="&amp;A744&amp;"&amp;nombre="&amp;ENCODEURL(B744)&amp;"&amp;telefono="&amp;SUBSTITUTE(C744,"-","")&amp;"&amp;referencia="&amp;ENCODEURL(E744)&amp;"&amp;lat="&amp;IZQUIERDA(SUBSTITUTE(F744," ",""),ENCONTRAR(",",SUBSTITUTE(F744," ",""))-1)&amp;"&amp;lng="&amp;DERECHA(SUBSTITUTE(F744," ",""),LARGO(SUBSTITUTE(F744," ",""))-ENCONTRAR(",",SUBSTITUTE(F744," ",""))),"")</f>
        <v/>
      </c>
    </row>
    <row r="745" ht="15.75" customHeight="1" s="10">
      <c r="A745" s="8">
        <f>CONCAT("AD507-",TEXT(ROW()-2,"0000"))</f>
        <v/>
      </c>
      <c r="C745" s="8" t="n"/>
      <c r="F745" s="8" t="n"/>
      <c r="G745" s="8">
        <f>IF(F745&lt;&gt;"",HYPERLINK("https://www.google.com/maps/search/?api=1&amp;query="&amp;SUBSTITUTE(F745," ",""),"🗺 Google Maps"),"")</f>
        <v/>
      </c>
      <c r="H745" s="8">
        <f>IF(F745&lt;&gt;"",HYPERLINK("https://waze.com/ul?ll="&amp;SUBSTITUTE(F745," ","")&amp;"&amp;navigate=yes","🚗 Waze"),"")</f>
        <v/>
      </c>
      <c r="I745" s="8">
        <f>IF(F745&lt;&gt;"",HYPERLINK("https://m.uber.com/ul/?action=setPickup&amp;pickup=my_location&amp;dropoff[latitude]="&amp;LEFT(SUBSTITUTE(F745," ",""),FIND(",",SUBSTITUTE(F745," ",""))-1)&amp;"&amp;dropoff[longitude]="&amp;MID(SUBSTITUTE(F745," ",""),FIND(",",SUBSTITUTE(F745," ",""))+1,99),"🚕 Uber"),"")</f>
        <v/>
      </c>
      <c r="J745" s="8">
        <f>IF(F745&lt;&gt;"","https://api.qrserver.com/v1/create-qr-code/?size=200x200&amp;data="&amp;ENCODEURL("https://www.google.com/maps/search/?api=1&amp;query="&amp;SUBSTITUTE(F745," ","")),"")</f>
        <v/>
      </c>
      <c r="K745" s="8">
        <f>IF(C745&lt;&gt;"",HYPERLINK("https://wa.me/507"&amp;REGEXREPLACE(C745,"[^0-9]","")&amp;"?text="&amp;ENCODEURL("Ya llegue. Codigo: "&amp;A745&amp;". Ubicacion: "&amp;"https://www.google.com/maps/search/?api=1&amp;query="&amp;SUBSTITUTE(F745," ","")),"📲 Avisar al cliente"),"")</f>
        <v/>
      </c>
      <c r="L745" s="8">
        <f>IF(C745&lt;&gt;"","https://api.qrserver.com/v1/create-qr-code/?size=200x200&amp;data="&amp;ENCODEURL("https://wa.me/507"&amp;REGEXREPLACE(C745,"[^0-9]","")&amp;"?text="&amp;ENCODEURL("Ya llegue. Codigo: "&amp;A745&amp;". Ubicacion: "&amp;"https://www.google.com/maps/search/?api=1&amp;query="&amp;SUBSTITUTE(F745," ",""))),"")</f>
        <v/>
      </c>
      <c r="M745" s="8">
        <f>IF(B745&lt;&gt;"",TODAY(),"")</f>
        <v/>
      </c>
      <c r="N745" s="8">
        <f>IF(F745&lt;&gt;"",IFERROR(IF(AND(REGEXMATCH(SUBSTITUTE(TRIM(F745)," ",""),"^-?\d+(\.\d+)?,-?\d+(\.\d+)?$"),VALUE(REGEXEXTRACT(SUBSTITUTE(TRIM(F745)," ",""),"^-?\d+(\.\d+)?"))&gt;=-90,VALUE(REGEXEXTRACT(SUBSTITUTE(TRIM(F745)," ",""),"^-?\d+(\.\d+)?"))&lt;=90,VALUE(REGEXEXTRACT(SUBSTITUTE(TRIM(F745)," ",""),"-?\d+(\.\d+)?$"))&gt;=-180,VALUE(REGEXEXTRACT(SUBSTITUTE(TRIM(F745)," ",""),"-?\d+(\.\d+)?$"))&lt;=180),"OK","REVISAR"),"REVISAR"),"")</f>
        <v/>
      </c>
      <c r="O745">
        <f>IF(A745&lt;&gt;"","https://direcciones507.github.io/direcciones507/panel.html?codigo="&amp;A745&amp;"&amp;nombre="&amp;ENCODEURL(B745)&amp;"&amp;telefono="&amp;SUBSTITUTE(C745,"-","")&amp;"&amp;referencia="&amp;ENCODEURL(E745)&amp;"&amp;lat="&amp;IZQUIERDA(SUBSTITUTE(F745," ",""),ENCONTRAR(",",SUBSTITUTE(F745," ",""))-1)&amp;"&amp;lng="&amp;DERECHA(SUBSTITUTE(F745," ",""),LARGO(SUBSTITUTE(F745," ",""))-ENCONTRAR(",",SUBSTITUTE(F745," ",""))),"")</f>
        <v/>
      </c>
    </row>
    <row r="746" ht="15.75" customHeight="1" s="10">
      <c r="A746" s="8">
        <f>CONCAT("AD507-",TEXT(ROW()-2,"0000"))</f>
        <v/>
      </c>
      <c r="C746" s="8" t="n"/>
      <c r="F746" s="8" t="n"/>
      <c r="G746" s="8">
        <f>IF(F746&lt;&gt;"",HYPERLINK("https://www.google.com/maps/search/?api=1&amp;query="&amp;SUBSTITUTE(F746," ",""),"🗺 Google Maps"),"")</f>
        <v/>
      </c>
      <c r="H746" s="8">
        <f>IF(F746&lt;&gt;"",HYPERLINK("https://waze.com/ul?ll="&amp;SUBSTITUTE(F746," ","")&amp;"&amp;navigate=yes","🚗 Waze"),"")</f>
        <v/>
      </c>
      <c r="I746" s="8">
        <f>IF(F746&lt;&gt;"",HYPERLINK("https://m.uber.com/ul/?action=setPickup&amp;pickup=my_location&amp;dropoff[latitude]="&amp;LEFT(SUBSTITUTE(F746," ",""),FIND(",",SUBSTITUTE(F746," ",""))-1)&amp;"&amp;dropoff[longitude]="&amp;MID(SUBSTITUTE(F746," ",""),FIND(",",SUBSTITUTE(F746," ",""))+1,99),"🚕 Uber"),"")</f>
        <v/>
      </c>
      <c r="J746" s="8">
        <f>IF(F746&lt;&gt;"","https://api.qrserver.com/v1/create-qr-code/?size=200x200&amp;data="&amp;ENCODEURL("https://www.google.com/maps/search/?api=1&amp;query="&amp;SUBSTITUTE(F746," ","")),"")</f>
        <v/>
      </c>
      <c r="K746" s="8">
        <f>IF(C746&lt;&gt;"",HYPERLINK("https://wa.me/507"&amp;REGEXREPLACE(C746,"[^0-9]","")&amp;"?text="&amp;ENCODEURL("Ya llegue. Codigo: "&amp;A746&amp;". Ubicacion: "&amp;"https://www.google.com/maps/search/?api=1&amp;query="&amp;SUBSTITUTE(F746," ","")),"📲 Avisar al cliente"),"")</f>
        <v/>
      </c>
      <c r="L746" s="8">
        <f>IF(C746&lt;&gt;"","https://api.qrserver.com/v1/create-qr-code/?size=200x200&amp;data="&amp;ENCODEURL("https://wa.me/507"&amp;REGEXREPLACE(C746,"[^0-9]","")&amp;"?text="&amp;ENCODEURL("Ya llegue. Codigo: "&amp;A746&amp;". Ubicacion: "&amp;"https://www.google.com/maps/search/?api=1&amp;query="&amp;SUBSTITUTE(F746," ",""))),"")</f>
        <v/>
      </c>
      <c r="M746" s="8">
        <f>IF(B746&lt;&gt;"",TODAY(),"")</f>
        <v/>
      </c>
      <c r="N746" s="8">
        <f>IF(F746&lt;&gt;"",IFERROR(IF(AND(REGEXMATCH(SUBSTITUTE(TRIM(F746)," ",""),"^-?\d+(\.\d+)?,-?\d+(\.\d+)?$"),VALUE(REGEXEXTRACT(SUBSTITUTE(TRIM(F746)," ",""),"^-?\d+(\.\d+)?"))&gt;=-90,VALUE(REGEXEXTRACT(SUBSTITUTE(TRIM(F746)," ",""),"^-?\d+(\.\d+)?"))&lt;=90,VALUE(REGEXEXTRACT(SUBSTITUTE(TRIM(F746)," ",""),"-?\d+(\.\d+)?$"))&gt;=-180,VALUE(REGEXEXTRACT(SUBSTITUTE(TRIM(F746)," ",""),"-?\d+(\.\d+)?$"))&lt;=180),"OK","REVISAR"),"REVISAR"),"")</f>
        <v/>
      </c>
      <c r="O746">
        <f>IF(A746&lt;&gt;"","https://direcciones507.github.io/direcciones507/panel.html?codigo="&amp;A746&amp;"&amp;nombre="&amp;ENCODEURL(B746)&amp;"&amp;telefono="&amp;SUBSTITUTE(C746,"-","")&amp;"&amp;referencia="&amp;ENCODEURL(E746)&amp;"&amp;lat="&amp;IZQUIERDA(SUBSTITUTE(F746," ",""),ENCONTRAR(",",SUBSTITUTE(F746," ",""))-1)&amp;"&amp;lng="&amp;DERECHA(SUBSTITUTE(F746," ",""),LARGO(SUBSTITUTE(F746," ",""))-ENCONTRAR(",",SUBSTITUTE(F746," ",""))),"")</f>
        <v/>
      </c>
    </row>
    <row r="747" ht="15.75" customHeight="1" s="10">
      <c r="A747" s="8">
        <f>CONCAT("AD507-",TEXT(ROW()-2,"0000"))</f>
        <v/>
      </c>
      <c r="C747" s="8" t="n"/>
      <c r="F747" s="8" t="n"/>
      <c r="G747" s="8">
        <f>IF(F747&lt;&gt;"",HYPERLINK("https://www.google.com/maps/search/?api=1&amp;query="&amp;SUBSTITUTE(F747," ",""),"🗺 Google Maps"),"")</f>
        <v/>
      </c>
      <c r="H747" s="8">
        <f>IF(F747&lt;&gt;"",HYPERLINK("https://waze.com/ul?ll="&amp;SUBSTITUTE(F747," ","")&amp;"&amp;navigate=yes","🚗 Waze"),"")</f>
        <v/>
      </c>
      <c r="I747" s="8">
        <f>IF(F747&lt;&gt;"",HYPERLINK("https://m.uber.com/ul/?action=setPickup&amp;pickup=my_location&amp;dropoff[latitude]="&amp;LEFT(SUBSTITUTE(F747," ",""),FIND(",",SUBSTITUTE(F747," ",""))-1)&amp;"&amp;dropoff[longitude]="&amp;MID(SUBSTITUTE(F747," ",""),FIND(",",SUBSTITUTE(F747," ",""))+1,99),"🚕 Uber"),"")</f>
        <v/>
      </c>
      <c r="J747" s="8">
        <f>IF(F747&lt;&gt;"","https://api.qrserver.com/v1/create-qr-code/?size=200x200&amp;data="&amp;ENCODEURL("https://www.google.com/maps/search/?api=1&amp;query="&amp;SUBSTITUTE(F747," ","")),"")</f>
        <v/>
      </c>
      <c r="K747" s="8">
        <f>IF(C747&lt;&gt;"",HYPERLINK("https://wa.me/507"&amp;REGEXREPLACE(C747,"[^0-9]","")&amp;"?text="&amp;ENCODEURL("Ya llegue. Codigo: "&amp;A747&amp;". Ubicacion: "&amp;"https://www.google.com/maps/search/?api=1&amp;query="&amp;SUBSTITUTE(F747," ","")),"📲 Avisar al cliente"),"")</f>
        <v/>
      </c>
      <c r="L747" s="8">
        <f>IF(C747&lt;&gt;"","https://api.qrserver.com/v1/create-qr-code/?size=200x200&amp;data="&amp;ENCODEURL("https://wa.me/507"&amp;REGEXREPLACE(C747,"[^0-9]","")&amp;"?text="&amp;ENCODEURL("Ya llegue. Codigo: "&amp;A747&amp;". Ubicacion: "&amp;"https://www.google.com/maps/search/?api=1&amp;query="&amp;SUBSTITUTE(F747," ",""))),"")</f>
        <v/>
      </c>
      <c r="M747" s="8">
        <f>IF(B747&lt;&gt;"",TODAY(),"")</f>
        <v/>
      </c>
      <c r="N747" s="8">
        <f>IF(F747&lt;&gt;"",IFERROR(IF(AND(REGEXMATCH(SUBSTITUTE(TRIM(F747)," ",""),"^-?\d+(\.\d+)?,-?\d+(\.\d+)?$"),VALUE(REGEXEXTRACT(SUBSTITUTE(TRIM(F747)," ",""),"^-?\d+(\.\d+)?"))&gt;=-90,VALUE(REGEXEXTRACT(SUBSTITUTE(TRIM(F747)," ",""),"^-?\d+(\.\d+)?"))&lt;=90,VALUE(REGEXEXTRACT(SUBSTITUTE(TRIM(F747)," ",""),"-?\d+(\.\d+)?$"))&gt;=-180,VALUE(REGEXEXTRACT(SUBSTITUTE(TRIM(F747)," ",""),"-?\d+(\.\d+)?$"))&lt;=180),"OK","REVISAR"),"REVISAR"),"")</f>
        <v/>
      </c>
      <c r="O747">
        <f>IF(A747&lt;&gt;"","https://direcciones507.github.io/direcciones507/panel.html?codigo="&amp;A747&amp;"&amp;nombre="&amp;ENCODEURL(B747)&amp;"&amp;telefono="&amp;SUBSTITUTE(C747,"-","")&amp;"&amp;referencia="&amp;ENCODEURL(E747)&amp;"&amp;lat="&amp;IZQUIERDA(SUBSTITUTE(F747," ",""),ENCONTRAR(",",SUBSTITUTE(F747," ",""))-1)&amp;"&amp;lng="&amp;DERECHA(SUBSTITUTE(F747," ",""),LARGO(SUBSTITUTE(F747," ",""))-ENCONTRAR(",",SUBSTITUTE(F747," ",""))),"")</f>
        <v/>
      </c>
    </row>
    <row r="748" ht="15.75" customHeight="1" s="10">
      <c r="A748" s="8">
        <f>CONCAT("AD507-",TEXT(ROW()-2,"0000"))</f>
        <v/>
      </c>
      <c r="C748" s="8" t="n"/>
      <c r="F748" s="8" t="n"/>
      <c r="G748" s="8">
        <f>IF(F748&lt;&gt;"",HYPERLINK("https://www.google.com/maps/search/?api=1&amp;query="&amp;SUBSTITUTE(F748," ",""),"🗺 Google Maps"),"")</f>
        <v/>
      </c>
      <c r="H748" s="8">
        <f>IF(F748&lt;&gt;"",HYPERLINK("https://waze.com/ul?ll="&amp;SUBSTITUTE(F748," ","")&amp;"&amp;navigate=yes","🚗 Waze"),"")</f>
        <v/>
      </c>
      <c r="I748" s="8">
        <f>IF(F748&lt;&gt;"",HYPERLINK("https://m.uber.com/ul/?action=setPickup&amp;pickup=my_location&amp;dropoff[latitude]="&amp;LEFT(SUBSTITUTE(F748," ",""),FIND(",",SUBSTITUTE(F748," ",""))-1)&amp;"&amp;dropoff[longitude]="&amp;MID(SUBSTITUTE(F748," ",""),FIND(",",SUBSTITUTE(F748," ",""))+1,99),"🚕 Uber"),"")</f>
        <v/>
      </c>
      <c r="J748" s="8">
        <f>IF(F748&lt;&gt;"","https://api.qrserver.com/v1/create-qr-code/?size=200x200&amp;data="&amp;ENCODEURL("https://www.google.com/maps/search/?api=1&amp;query="&amp;SUBSTITUTE(F748," ","")),"")</f>
        <v/>
      </c>
      <c r="K748" s="8">
        <f>IF(C748&lt;&gt;"",HYPERLINK("https://wa.me/507"&amp;REGEXREPLACE(C748,"[^0-9]","")&amp;"?text="&amp;ENCODEURL("Ya llegue. Codigo: "&amp;A748&amp;". Ubicacion: "&amp;"https://www.google.com/maps/search/?api=1&amp;query="&amp;SUBSTITUTE(F748," ","")),"📲 Avisar al cliente"),"")</f>
        <v/>
      </c>
      <c r="L748" s="8">
        <f>IF(C748&lt;&gt;"","https://api.qrserver.com/v1/create-qr-code/?size=200x200&amp;data="&amp;ENCODEURL("https://wa.me/507"&amp;REGEXREPLACE(C748,"[^0-9]","")&amp;"?text="&amp;ENCODEURL("Ya llegue. Codigo: "&amp;A748&amp;". Ubicacion: "&amp;"https://www.google.com/maps/search/?api=1&amp;query="&amp;SUBSTITUTE(F748," ",""))),"")</f>
        <v/>
      </c>
      <c r="M748" s="8">
        <f>IF(B748&lt;&gt;"",TODAY(),"")</f>
        <v/>
      </c>
      <c r="N748" s="8">
        <f>IF(F748&lt;&gt;"",IFERROR(IF(AND(REGEXMATCH(SUBSTITUTE(TRIM(F748)," ",""),"^-?\d+(\.\d+)?,-?\d+(\.\d+)?$"),VALUE(REGEXEXTRACT(SUBSTITUTE(TRIM(F748)," ",""),"^-?\d+(\.\d+)?"))&gt;=-90,VALUE(REGEXEXTRACT(SUBSTITUTE(TRIM(F748)," ",""),"^-?\d+(\.\d+)?"))&lt;=90,VALUE(REGEXEXTRACT(SUBSTITUTE(TRIM(F748)," ",""),"-?\d+(\.\d+)?$"))&gt;=-180,VALUE(REGEXEXTRACT(SUBSTITUTE(TRIM(F748)," ",""),"-?\d+(\.\d+)?$"))&lt;=180),"OK","REVISAR"),"REVISAR"),"")</f>
        <v/>
      </c>
      <c r="O748">
        <f>IF(A748&lt;&gt;"","https://direcciones507.github.io/direcciones507/panel.html?codigo="&amp;A748&amp;"&amp;nombre="&amp;ENCODEURL(B748)&amp;"&amp;telefono="&amp;SUBSTITUTE(C748,"-","")&amp;"&amp;referencia="&amp;ENCODEURL(E748)&amp;"&amp;lat="&amp;IZQUIERDA(SUBSTITUTE(F748," ",""),ENCONTRAR(",",SUBSTITUTE(F748," ",""))-1)&amp;"&amp;lng="&amp;DERECHA(SUBSTITUTE(F748," ",""),LARGO(SUBSTITUTE(F748," ",""))-ENCONTRAR(",",SUBSTITUTE(F748," ",""))),"")</f>
        <v/>
      </c>
    </row>
    <row r="749" ht="15.75" customHeight="1" s="10">
      <c r="A749" s="8">
        <f>CONCAT("AD507-",TEXT(ROW()-2,"0000"))</f>
        <v/>
      </c>
      <c r="C749" s="8" t="n"/>
      <c r="F749" s="8" t="n"/>
      <c r="G749" s="8">
        <f>IF(F749&lt;&gt;"",HYPERLINK("https://www.google.com/maps/search/?api=1&amp;query="&amp;SUBSTITUTE(F749," ",""),"🗺 Google Maps"),"")</f>
        <v/>
      </c>
      <c r="H749" s="8">
        <f>IF(F749&lt;&gt;"",HYPERLINK("https://waze.com/ul?ll="&amp;SUBSTITUTE(F749," ","")&amp;"&amp;navigate=yes","🚗 Waze"),"")</f>
        <v/>
      </c>
      <c r="I749" s="8">
        <f>IF(F749&lt;&gt;"",HYPERLINK("https://m.uber.com/ul/?action=setPickup&amp;pickup=my_location&amp;dropoff[latitude]="&amp;LEFT(SUBSTITUTE(F749," ",""),FIND(",",SUBSTITUTE(F749," ",""))-1)&amp;"&amp;dropoff[longitude]="&amp;MID(SUBSTITUTE(F749," ",""),FIND(",",SUBSTITUTE(F749," ",""))+1,99),"🚕 Uber"),"")</f>
        <v/>
      </c>
      <c r="J749" s="8">
        <f>IF(F749&lt;&gt;"","https://api.qrserver.com/v1/create-qr-code/?size=200x200&amp;data="&amp;ENCODEURL("https://www.google.com/maps/search/?api=1&amp;query="&amp;SUBSTITUTE(F749," ","")),"")</f>
        <v/>
      </c>
      <c r="K749" s="8">
        <f>IF(C749&lt;&gt;"",HYPERLINK("https://wa.me/507"&amp;REGEXREPLACE(C749,"[^0-9]","")&amp;"?text="&amp;ENCODEURL("Ya llegue. Codigo: "&amp;A749&amp;". Ubicacion: "&amp;"https://www.google.com/maps/search/?api=1&amp;query="&amp;SUBSTITUTE(F749," ","")),"📲 Avisar al cliente"),"")</f>
        <v/>
      </c>
      <c r="L749" s="8">
        <f>IF(C749&lt;&gt;"","https://api.qrserver.com/v1/create-qr-code/?size=200x200&amp;data="&amp;ENCODEURL("https://wa.me/507"&amp;REGEXREPLACE(C749,"[^0-9]","")&amp;"?text="&amp;ENCODEURL("Ya llegue. Codigo: "&amp;A749&amp;". Ubicacion: "&amp;"https://www.google.com/maps/search/?api=1&amp;query="&amp;SUBSTITUTE(F749," ",""))),"")</f>
        <v/>
      </c>
      <c r="M749" s="8">
        <f>IF(B749&lt;&gt;"",TODAY(),"")</f>
        <v/>
      </c>
      <c r="N749" s="8">
        <f>IF(F749&lt;&gt;"",IFERROR(IF(AND(REGEXMATCH(SUBSTITUTE(TRIM(F749)," ",""),"^-?\d+(\.\d+)?,-?\d+(\.\d+)?$"),VALUE(REGEXEXTRACT(SUBSTITUTE(TRIM(F749)," ",""),"^-?\d+(\.\d+)?"))&gt;=-90,VALUE(REGEXEXTRACT(SUBSTITUTE(TRIM(F749)," ",""),"^-?\d+(\.\d+)?"))&lt;=90,VALUE(REGEXEXTRACT(SUBSTITUTE(TRIM(F749)," ",""),"-?\d+(\.\d+)?$"))&gt;=-180,VALUE(REGEXEXTRACT(SUBSTITUTE(TRIM(F749)," ",""),"-?\d+(\.\d+)?$"))&lt;=180),"OK","REVISAR"),"REVISAR"),"")</f>
        <v/>
      </c>
      <c r="O749">
        <f>IF(A749&lt;&gt;"","https://direcciones507.github.io/direcciones507/panel.html?codigo="&amp;A749&amp;"&amp;nombre="&amp;ENCODEURL(B749)&amp;"&amp;telefono="&amp;SUBSTITUTE(C749,"-","")&amp;"&amp;referencia="&amp;ENCODEURL(E749)&amp;"&amp;lat="&amp;IZQUIERDA(SUBSTITUTE(F749," ",""),ENCONTRAR(",",SUBSTITUTE(F749," ",""))-1)&amp;"&amp;lng="&amp;DERECHA(SUBSTITUTE(F749," ",""),LARGO(SUBSTITUTE(F749," ",""))-ENCONTRAR(",",SUBSTITUTE(F749," ",""))),"")</f>
        <v/>
      </c>
    </row>
    <row r="750" ht="15.75" customHeight="1" s="10">
      <c r="A750" s="8">
        <f>CONCAT("AD507-",TEXT(ROW()-2,"0000"))</f>
        <v/>
      </c>
      <c r="C750" s="8" t="n"/>
      <c r="F750" s="8" t="n"/>
      <c r="G750" s="8">
        <f>IF(F750&lt;&gt;"",HYPERLINK("https://www.google.com/maps/search/?api=1&amp;query="&amp;SUBSTITUTE(F750," ",""),"🗺 Google Maps"),"")</f>
        <v/>
      </c>
      <c r="H750" s="8">
        <f>IF(F750&lt;&gt;"",HYPERLINK("https://waze.com/ul?ll="&amp;SUBSTITUTE(F750," ","")&amp;"&amp;navigate=yes","🚗 Waze"),"")</f>
        <v/>
      </c>
      <c r="I750" s="8">
        <f>IF(F750&lt;&gt;"",HYPERLINK("https://m.uber.com/ul/?action=setPickup&amp;pickup=my_location&amp;dropoff[latitude]="&amp;LEFT(SUBSTITUTE(F750," ",""),FIND(",",SUBSTITUTE(F750," ",""))-1)&amp;"&amp;dropoff[longitude]="&amp;MID(SUBSTITUTE(F750," ",""),FIND(",",SUBSTITUTE(F750," ",""))+1,99),"🚕 Uber"),"")</f>
        <v/>
      </c>
      <c r="J750" s="8">
        <f>IF(F750&lt;&gt;"","https://api.qrserver.com/v1/create-qr-code/?size=200x200&amp;data="&amp;ENCODEURL("https://www.google.com/maps/search/?api=1&amp;query="&amp;SUBSTITUTE(F750," ","")),"")</f>
        <v/>
      </c>
      <c r="K750" s="8">
        <f>IF(C750&lt;&gt;"",HYPERLINK("https://wa.me/507"&amp;REGEXREPLACE(C750,"[^0-9]","")&amp;"?text="&amp;ENCODEURL("Ya llegue. Codigo: "&amp;A750&amp;". Ubicacion: "&amp;"https://www.google.com/maps/search/?api=1&amp;query="&amp;SUBSTITUTE(F750," ","")),"📲 Avisar al cliente"),"")</f>
        <v/>
      </c>
      <c r="L750" s="8">
        <f>IF(C750&lt;&gt;"","https://api.qrserver.com/v1/create-qr-code/?size=200x200&amp;data="&amp;ENCODEURL("https://wa.me/507"&amp;REGEXREPLACE(C750,"[^0-9]","")&amp;"?text="&amp;ENCODEURL("Ya llegue. Codigo: "&amp;A750&amp;". Ubicacion: "&amp;"https://www.google.com/maps/search/?api=1&amp;query="&amp;SUBSTITUTE(F750," ",""))),"")</f>
        <v/>
      </c>
      <c r="M750" s="8">
        <f>IF(B750&lt;&gt;"",TODAY(),"")</f>
        <v/>
      </c>
      <c r="N750" s="8">
        <f>IF(F750&lt;&gt;"",IFERROR(IF(AND(REGEXMATCH(SUBSTITUTE(TRIM(F750)," ",""),"^-?\d+(\.\d+)?,-?\d+(\.\d+)?$"),VALUE(REGEXEXTRACT(SUBSTITUTE(TRIM(F750)," ",""),"^-?\d+(\.\d+)?"))&gt;=-90,VALUE(REGEXEXTRACT(SUBSTITUTE(TRIM(F750)," ",""),"^-?\d+(\.\d+)?"))&lt;=90,VALUE(REGEXEXTRACT(SUBSTITUTE(TRIM(F750)," ",""),"-?\d+(\.\d+)?$"))&gt;=-180,VALUE(REGEXEXTRACT(SUBSTITUTE(TRIM(F750)," ",""),"-?\d+(\.\d+)?$"))&lt;=180),"OK","REVISAR"),"REVISAR"),"")</f>
        <v/>
      </c>
      <c r="O750">
        <f>IF(A750&lt;&gt;"","https://direcciones507.github.io/direcciones507/panel.html?codigo="&amp;A750&amp;"&amp;nombre="&amp;ENCODEURL(B750)&amp;"&amp;telefono="&amp;SUBSTITUTE(C750,"-","")&amp;"&amp;referencia="&amp;ENCODEURL(E750)&amp;"&amp;lat="&amp;IZQUIERDA(SUBSTITUTE(F750," ",""),ENCONTRAR(",",SUBSTITUTE(F750," ",""))-1)&amp;"&amp;lng="&amp;DERECHA(SUBSTITUTE(F750," ",""),LARGO(SUBSTITUTE(F750," ",""))-ENCONTRAR(",",SUBSTITUTE(F750," ",""))),"")</f>
        <v/>
      </c>
    </row>
    <row r="751" ht="15.75" customHeight="1" s="10">
      <c r="A751" s="8">
        <f>CONCAT("AD507-",TEXT(ROW()-2,"0000"))</f>
        <v/>
      </c>
      <c r="C751" s="8" t="n"/>
      <c r="F751" s="8" t="n"/>
      <c r="G751" s="8">
        <f>IF(F751&lt;&gt;"",HYPERLINK("https://www.google.com/maps/search/?api=1&amp;query="&amp;SUBSTITUTE(F751," ",""),"🗺 Google Maps"),"")</f>
        <v/>
      </c>
      <c r="H751" s="8">
        <f>IF(F751&lt;&gt;"",HYPERLINK("https://waze.com/ul?ll="&amp;SUBSTITUTE(F751," ","")&amp;"&amp;navigate=yes","🚗 Waze"),"")</f>
        <v/>
      </c>
      <c r="I751" s="8">
        <f>IF(F751&lt;&gt;"",HYPERLINK("https://m.uber.com/ul/?action=setPickup&amp;pickup=my_location&amp;dropoff[latitude]="&amp;LEFT(SUBSTITUTE(F751," ",""),FIND(",",SUBSTITUTE(F751," ",""))-1)&amp;"&amp;dropoff[longitude]="&amp;MID(SUBSTITUTE(F751," ",""),FIND(",",SUBSTITUTE(F751," ",""))+1,99),"🚕 Uber"),"")</f>
        <v/>
      </c>
      <c r="J751" s="8">
        <f>IF(F751&lt;&gt;"","https://api.qrserver.com/v1/create-qr-code/?size=200x200&amp;data="&amp;ENCODEURL("https://www.google.com/maps/search/?api=1&amp;query="&amp;SUBSTITUTE(F751," ","")),"")</f>
        <v/>
      </c>
      <c r="K751" s="8">
        <f>IF(C751&lt;&gt;"",HYPERLINK("https://wa.me/507"&amp;REGEXREPLACE(C751,"[^0-9]","")&amp;"?text="&amp;ENCODEURL("Ya llegue. Codigo: "&amp;A751&amp;". Ubicacion: "&amp;"https://www.google.com/maps/search/?api=1&amp;query="&amp;SUBSTITUTE(F751," ","")),"📲 Avisar al cliente"),"")</f>
        <v/>
      </c>
      <c r="L751" s="8">
        <f>IF(C751&lt;&gt;"","https://api.qrserver.com/v1/create-qr-code/?size=200x200&amp;data="&amp;ENCODEURL("https://wa.me/507"&amp;REGEXREPLACE(C751,"[^0-9]","")&amp;"?text="&amp;ENCODEURL("Ya llegue. Codigo: "&amp;A751&amp;". Ubicacion: "&amp;"https://www.google.com/maps/search/?api=1&amp;query="&amp;SUBSTITUTE(F751," ",""))),"")</f>
        <v/>
      </c>
      <c r="M751" s="8">
        <f>IF(B751&lt;&gt;"",TODAY(),"")</f>
        <v/>
      </c>
      <c r="N751" s="8">
        <f>IF(F751&lt;&gt;"",IFERROR(IF(AND(REGEXMATCH(SUBSTITUTE(TRIM(F751)," ",""),"^-?\d+(\.\d+)?,-?\d+(\.\d+)?$"),VALUE(REGEXEXTRACT(SUBSTITUTE(TRIM(F751)," ",""),"^-?\d+(\.\d+)?"))&gt;=-90,VALUE(REGEXEXTRACT(SUBSTITUTE(TRIM(F751)," ",""),"^-?\d+(\.\d+)?"))&lt;=90,VALUE(REGEXEXTRACT(SUBSTITUTE(TRIM(F751)," ",""),"-?\d+(\.\d+)?$"))&gt;=-180,VALUE(REGEXEXTRACT(SUBSTITUTE(TRIM(F751)," ",""),"-?\d+(\.\d+)?$"))&lt;=180),"OK","REVISAR"),"REVISAR"),"")</f>
        <v/>
      </c>
      <c r="O751">
        <f>IF(A751&lt;&gt;"","https://direcciones507.github.io/direcciones507/panel.html?codigo="&amp;A751&amp;"&amp;nombre="&amp;ENCODEURL(B751)&amp;"&amp;telefono="&amp;SUBSTITUTE(C751,"-","")&amp;"&amp;referencia="&amp;ENCODEURL(E751)&amp;"&amp;lat="&amp;IZQUIERDA(SUBSTITUTE(F751," ",""),ENCONTRAR(",",SUBSTITUTE(F751," ",""))-1)&amp;"&amp;lng="&amp;DERECHA(SUBSTITUTE(F751," ",""),LARGO(SUBSTITUTE(F751," ",""))-ENCONTRAR(",",SUBSTITUTE(F751," ",""))),"")</f>
        <v/>
      </c>
    </row>
    <row r="752" ht="15.75" customHeight="1" s="10">
      <c r="A752" s="8">
        <f>CONCAT("AD507-",TEXT(ROW()-2,"0000"))</f>
        <v/>
      </c>
      <c r="C752" s="8" t="n"/>
      <c r="F752" s="8" t="n"/>
      <c r="G752" s="8">
        <f>IF(F752&lt;&gt;"",HYPERLINK("https://www.google.com/maps/search/?api=1&amp;query="&amp;SUBSTITUTE(F752," ",""),"🗺 Google Maps"),"")</f>
        <v/>
      </c>
      <c r="H752" s="8">
        <f>IF(F752&lt;&gt;"",HYPERLINK("https://waze.com/ul?ll="&amp;SUBSTITUTE(F752," ","")&amp;"&amp;navigate=yes","🚗 Waze"),"")</f>
        <v/>
      </c>
      <c r="I752" s="8">
        <f>IF(F752&lt;&gt;"",HYPERLINK("https://m.uber.com/ul/?action=setPickup&amp;pickup=my_location&amp;dropoff[latitude]="&amp;LEFT(SUBSTITUTE(F752," ",""),FIND(",",SUBSTITUTE(F752," ",""))-1)&amp;"&amp;dropoff[longitude]="&amp;MID(SUBSTITUTE(F752," ",""),FIND(",",SUBSTITUTE(F752," ",""))+1,99),"🚕 Uber"),"")</f>
        <v/>
      </c>
      <c r="J752" s="8">
        <f>IF(F752&lt;&gt;"","https://api.qrserver.com/v1/create-qr-code/?size=200x200&amp;data="&amp;ENCODEURL("https://www.google.com/maps/search/?api=1&amp;query="&amp;SUBSTITUTE(F752," ","")),"")</f>
        <v/>
      </c>
      <c r="K752" s="8">
        <f>IF(C752&lt;&gt;"",HYPERLINK("https://wa.me/507"&amp;REGEXREPLACE(C752,"[^0-9]","")&amp;"?text="&amp;ENCODEURL("Ya llegue. Codigo: "&amp;A752&amp;". Ubicacion: "&amp;"https://www.google.com/maps/search/?api=1&amp;query="&amp;SUBSTITUTE(F752," ","")),"📲 Avisar al cliente"),"")</f>
        <v/>
      </c>
      <c r="L752" s="8">
        <f>IF(C752&lt;&gt;"","https://api.qrserver.com/v1/create-qr-code/?size=200x200&amp;data="&amp;ENCODEURL("https://wa.me/507"&amp;REGEXREPLACE(C752,"[^0-9]","")&amp;"?text="&amp;ENCODEURL("Ya llegue. Codigo: "&amp;A752&amp;". Ubicacion: "&amp;"https://www.google.com/maps/search/?api=1&amp;query="&amp;SUBSTITUTE(F752," ",""))),"")</f>
        <v/>
      </c>
      <c r="M752" s="8">
        <f>IF(B752&lt;&gt;"",TODAY(),"")</f>
        <v/>
      </c>
      <c r="N752" s="8">
        <f>IF(F752&lt;&gt;"",IFERROR(IF(AND(REGEXMATCH(SUBSTITUTE(TRIM(F752)," ",""),"^-?\d+(\.\d+)?,-?\d+(\.\d+)?$"),VALUE(REGEXEXTRACT(SUBSTITUTE(TRIM(F752)," ",""),"^-?\d+(\.\d+)?"))&gt;=-90,VALUE(REGEXEXTRACT(SUBSTITUTE(TRIM(F752)," ",""),"^-?\d+(\.\d+)?"))&lt;=90,VALUE(REGEXEXTRACT(SUBSTITUTE(TRIM(F752)," ",""),"-?\d+(\.\d+)?$"))&gt;=-180,VALUE(REGEXEXTRACT(SUBSTITUTE(TRIM(F752)," ",""),"-?\d+(\.\d+)?$"))&lt;=180),"OK","REVISAR"),"REVISAR"),"")</f>
        <v/>
      </c>
      <c r="O752">
        <f>IF(A752&lt;&gt;"","https://direcciones507.github.io/direcciones507/panel.html?codigo="&amp;A752&amp;"&amp;nombre="&amp;ENCODEURL(B752)&amp;"&amp;telefono="&amp;SUBSTITUTE(C752,"-","")&amp;"&amp;referencia="&amp;ENCODEURL(E752)&amp;"&amp;lat="&amp;IZQUIERDA(SUBSTITUTE(F752," ",""),ENCONTRAR(",",SUBSTITUTE(F752," ",""))-1)&amp;"&amp;lng="&amp;DERECHA(SUBSTITUTE(F752," ",""),LARGO(SUBSTITUTE(F752," ",""))-ENCONTRAR(",",SUBSTITUTE(F752," ",""))),"")</f>
        <v/>
      </c>
    </row>
    <row r="753" ht="15.75" customHeight="1" s="10">
      <c r="A753" s="8">
        <f>CONCAT("AD507-",TEXT(ROW()-2,"0000"))</f>
        <v/>
      </c>
      <c r="C753" s="8" t="n"/>
      <c r="F753" s="8" t="n"/>
      <c r="G753" s="8">
        <f>IF(F753&lt;&gt;"",HYPERLINK("https://www.google.com/maps/search/?api=1&amp;query="&amp;SUBSTITUTE(F753," ",""),"🗺 Google Maps"),"")</f>
        <v/>
      </c>
      <c r="H753" s="8">
        <f>IF(F753&lt;&gt;"",HYPERLINK("https://waze.com/ul?ll="&amp;SUBSTITUTE(F753," ","")&amp;"&amp;navigate=yes","🚗 Waze"),"")</f>
        <v/>
      </c>
      <c r="I753" s="8">
        <f>IF(F753&lt;&gt;"",HYPERLINK("https://m.uber.com/ul/?action=setPickup&amp;pickup=my_location&amp;dropoff[latitude]="&amp;LEFT(SUBSTITUTE(F753," ",""),FIND(",",SUBSTITUTE(F753," ",""))-1)&amp;"&amp;dropoff[longitude]="&amp;MID(SUBSTITUTE(F753," ",""),FIND(",",SUBSTITUTE(F753," ",""))+1,99),"🚕 Uber"),"")</f>
        <v/>
      </c>
      <c r="J753" s="8">
        <f>IF(F753&lt;&gt;"","https://api.qrserver.com/v1/create-qr-code/?size=200x200&amp;data="&amp;ENCODEURL("https://www.google.com/maps/search/?api=1&amp;query="&amp;SUBSTITUTE(F753," ","")),"")</f>
        <v/>
      </c>
      <c r="K753" s="8">
        <f>IF(C753&lt;&gt;"",HYPERLINK("https://wa.me/507"&amp;REGEXREPLACE(C753,"[^0-9]","")&amp;"?text="&amp;ENCODEURL("Ya llegue. Codigo: "&amp;A753&amp;". Ubicacion: "&amp;"https://www.google.com/maps/search/?api=1&amp;query="&amp;SUBSTITUTE(F753," ","")),"📲 Avisar al cliente"),"")</f>
        <v/>
      </c>
      <c r="L753" s="8">
        <f>IF(C753&lt;&gt;"","https://api.qrserver.com/v1/create-qr-code/?size=200x200&amp;data="&amp;ENCODEURL("https://wa.me/507"&amp;REGEXREPLACE(C753,"[^0-9]","")&amp;"?text="&amp;ENCODEURL("Ya llegue. Codigo: "&amp;A753&amp;". Ubicacion: "&amp;"https://www.google.com/maps/search/?api=1&amp;query="&amp;SUBSTITUTE(F753," ",""))),"")</f>
        <v/>
      </c>
      <c r="M753" s="8">
        <f>IF(B753&lt;&gt;"",TODAY(),"")</f>
        <v/>
      </c>
      <c r="N753" s="8">
        <f>IF(F753&lt;&gt;"",IFERROR(IF(AND(REGEXMATCH(SUBSTITUTE(TRIM(F753)," ",""),"^-?\d+(\.\d+)?,-?\d+(\.\d+)?$"),VALUE(REGEXEXTRACT(SUBSTITUTE(TRIM(F753)," ",""),"^-?\d+(\.\d+)?"))&gt;=-90,VALUE(REGEXEXTRACT(SUBSTITUTE(TRIM(F753)," ",""),"^-?\d+(\.\d+)?"))&lt;=90,VALUE(REGEXEXTRACT(SUBSTITUTE(TRIM(F753)," ",""),"-?\d+(\.\d+)?$"))&gt;=-180,VALUE(REGEXEXTRACT(SUBSTITUTE(TRIM(F753)," ",""),"-?\d+(\.\d+)?$"))&lt;=180),"OK","REVISAR"),"REVISAR"),"")</f>
        <v/>
      </c>
      <c r="O753">
        <f>IF(A753&lt;&gt;"","https://direcciones507.github.io/direcciones507/panel.html?codigo="&amp;A753&amp;"&amp;nombre="&amp;ENCODEURL(B753)&amp;"&amp;telefono="&amp;SUBSTITUTE(C753,"-","")&amp;"&amp;referencia="&amp;ENCODEURL(E753)&amp;"&amp;lat="&amp;IZQUIERDA(SUBSTITUTE(F753," ",""),ENCONTRAR(",",SUBSTITUTE(F753," ",""))-1)&amp;"&amp;lng="&amp;DERECHA(SUBSTITUTE(F753," ",""),LARGO(SUBSTITUTE(F753," ",""))-ENCONTRAR(",",SUBSTITUTE(F753," ",""))),"")</f>
        <v/>
      </c>
    </row>
    <row r="754" ht="15.75" customHeight="1" s="10">
      <c r="A754" s="8">
        <f>CONCAT("AD507-",TEXT(ROW()-2,"0000"))</f>
        <v/>
      </c>
      <c r="C754" s="8" t="n"/>
      <c r="F754" s="8" t="n"/>
      <c r="G754" s="8">
        <f>IF(F754&lt;&gt;"",HYPERLINK("https://www.google.com/maps/search/?api=1&amp;query="&amp;SUBSTITUTE(F754," ",""),"🗺 Google Maps"),"")</f>
        <v/>
      </c>
      <c r="H754" s="8">
        <f>IF(F754&lt;&gt;"",HYPERLINK("https://waze.com/ul?ll="&amp;SUBSTITUTE(F754," ","")&amp;"&amp;navigate=yes","🚗 Waze"),"")</f>
        <v/>
      </c>
      <c r="I754" s="8">
        <f>IF(F754&lt;&gt;"",HYPERLINK("https://m.uber.com/ul/?action=setPickup&amp;pickup=my_location&amp;dropoff[latitude]="&amp;LEFT(SUBSTITUTE(F754," ",""),FIND(",",SUBSTITUTE(F754," ",""))-1)&amp;"&amp;dropoff[longitude]="&amp;MID(SUBSTITUTE(F754," ",""),FIND(",",SUBSTITUTE(F754," ",""))+1,99),"🚕 Uber"),"")</f>
        <v/>
      </c>
      <c r="J754" s="8">
        <f>IF(F754&lt;&gt;"","https://api.qrserver.com/v1/create-qr-code/?size=200x200&amp;data="&amp;ENCODEURL("https://www.google.com/maps/search/?api=1&amp;query="&amp;SUBSTITUTE(F754," ","")),"")</f>
        <v/>
      </c>
      <c r="K754" s="8">
        <f>IF(C754&lt;&gt;"",HYPERLINK("https://wa.me/507"&amp;REGEXREPLACE(C754,"[^0-9]","")&amp;"?text="&amp;ENCODEURL("Ya llegue. Codigo: "&amp;A754&amp;". Ubicacion: "&amp;"https://www.google.com/maps/search/?api=1&amp;query="&amp;SUBSTITUTE(F754," ","")),"📲 Avisar al cliente"),"")</f>
        <v/>
      </c>
      <c r="L754" s="8">
        <f>IF(C754&lt;&gt;"","https://api.qrserver.com/v1/create-qr-code/?size=200x200&amp;data="&amp;ENCODEURL("https://wa.me/507"&amp;REGEXREPLACE(C754,"[^0-9]","")&amp;"?text="&amp;ENCODEURL("Ya llegue. Codigo: "&amp;A754&amp;". Ubicacion: "&amp;"https://www.google.com/maps/search/?api=1&amp;query="&amp;SUBSTITUTE(F754," ",""))),"")</f>
        <v/>
      </c>
      <c r="M754" s="8">
        <f>IF(B754&lt;&gt;"",TODAY(),"")</f>
        <v/>
      </c>
      <c r="N754" s="8">
        <f>IF(F754&lt;&gt;"",IFERROR(IF(AND(REGEXMATCH(SUBSTITUTE(TRIM(F754)," ",""),"^-?\d+(\.\d+)?,-?\d+(\.\d+)?$"),VALUE(REGEXEXTRACT(SUBSTITUTE(TRIM(F754)," ",""),"^-?\d+(\.\d+)?"))&gt;=-90,VALUE(REGEXEXTRACT(SUBSTITUTE(TRIM(F754)," ",""),"^-?\d+(\.\d+)?"))&lt;=90,VALUE(REGEXEXTRACT(SUBSTITUTE(TRIM(F754)," ",""),"-?\d+(\.\d+)?$"))&gt;=-180,VALUE(REGEXEXTRACT(SUBSTITUTE(TRIM(F754)," ",""),"-?\d+(\.\d+)?$"))&lt;=180),"OK","REVISAR"),"REVISAR"),"")</f>
        <v/>
      </c>
      <c r="O754">
        <f>IF(A754&lt;&gt;"","https://direcciones507.github.io/direcciones507/panel.html?codigo="&amp;A754&amp;"&amp;nombre="&amp;ENCODEURL(B754)&amp;"&amp;telefono="&amp;SUBSTITUTE(C754,"-","")&amp;"&amp;referencia="&amp;ENCODEURL(E754)&amp;"&amp;lat="&amp;IZQUIERDA(SUBSTITUTE(F754," ",""),ENCONTRAR(",",SUBSTITUTE(F754," ",""))-1)&amp;"&amp;lng="&amp;DERECHA(SUBSTITUTE(F754," ",""),LARGO(SUBSTITUTE(F754," ",""))-ENCONTRAR(",",SUBSTITUTE(F754," ",""))),"")</f>
        <v/>
      </c>
    </row>
    <row r="755" ht="15.75" customHeight="1" s="10">
      <c r="A755" s="8">
        <f>CONCAT("AD507-",TEXT(ROW()-2,"0000"))</f>
        <v/>
      </c>
      <c r="C755" s="8" t="n"/>
      <c r="F755" s="8" t="n"/>
      <c r="G755" s="8">
        <f>IF(F755&lt;&gt;"",HYPERLINK("https://www.google.com/maps/search/?api=1&amp;query="&amp;SUBSTITUTE(F755," ",""),"🗺 Google Maps"),"")</f>
        <v/>
      </c>
      <c r="H755" s="8">
        <f>IF(F755&lt;&gt;"",HYPERLINK("https://waze.com/ul?ll="&amp;SUBSTITUTE(F755," ","")&amp;"&amp;navigate=yes","🚗 Waze"),"")</f>
        <v/>
      </c>
      <c r="I755" s="8">
        <f>IF(F755&lt;&gt;"",HYPERLINK("https://m.uber.com/ul/?action=setPickup&amp;pickup=my_location&amp;dropoff[latitude]="&amp;LEFT(SUBSTITUTE(F755," ",""),FIND(",",SUBSTITUTE(F755," ",""))-1)&amp;"&amp;dropoff[longitude]="&amp;MID(SUBSTITUTE(F755," ",""),FIND(",",SUBSTITUTE(F755," ",""))+1,99),"🚕 Uber"),"")</f>
        <v/>
      </c>
      <c r="J755" s="8">
        <f>IF(F755&lt;&gt;"","https://api.qrserver.com/v1/create-qr-code/?size=200x200&amp;data="&amp;ENCODEURL("https://www.google.com/maps/search/?api=1&amp;query="&amp;SUBSTITUTE(F755," ","")),"")</f>
        <v/>
      </c>
      <c r="K755" s="8">
        <f>IF(C755&lt;&gt;"",HYPERLINK("https://wa.me/507"&amp;REGEXREPLACE(C755,"[^0-9]","")&amp;"?text="&amp;ENCODEURL("Ya llegue. Codigo: "&amp;A755&amp;". Ubicacion: "&amp;"https://www.google.com/maps/search/?api=1&amp;query="&amp;SUBSTITUTE(F755," ","")),"📲 Avisar al cliente"),"")</f>
        <v/>
      </c>
      <c r="L755" s="8">
        <f>IF(C755&lt;&gt;"","https://api.qrserver.com/v1/create-qr-code/?size=200x200&amp;data="&amp;ENCODEURL("https://wa.me/507"&amp;REGEXREPLACE(C755,"[^0-9]","")&amp;"?text="&amp;ENCODEURL("Ya llegue. Codigo: "&amp;A755&amp;". Ubicacion: "&amp;"https://www.google.com/maps/search/?api=1&amp;query="&amp;SUBSTITUTE(F755," ",""))),"")</f>
        <v/>
      </c>
      <c r="M755" s="8">
        <f>IF(B755&lt;&gt;"",TODAY(),"")</f>
        <v/>
      </c>
      <c r="N755" s="8">
        <f>IF(F755&lt;&gt;"",IFERROR(IF(AND(REGEXMATCH(SUBSTITUTE(TRIM(F755)," ",""),"^-?\d+(\.\d+)?,-?\d+(\.\d+)?$"),VALUE(REGEXEXTRACT(SUBSTITUTE(TRIM(F755)," ",""),"^-?\d+(\.\d+)?"))&gt;=-90,VALUE(REGEXEXTRACT(SUBSTITUTE(TRIM(F755)," ",""),"^-?\d+(\.\d+)?"))&lt;=90,VALUE(REGEXEXTRACT(SUBSTITUTE(TRIM(F755)," ",""),"-?\d+(\.\d+)?$"))&gt;=-180,VALUE(REGEXEXTRACT(SUBSTITUTE(TRIM(F755)," ",""),"-?\d+(\.\d+)?$"))&lt;=180),"OK","REVISAR"),"REVISAR"),"")</f>
        <v/>
      </c>
      <c r="O755">
        <f>IF(A755&lt;&gt;"","https://direcciones507.github.io/direcciones507/panel.html?codigo="&amp;A755&amp;"&amp;nombre="&amp;ENCODEURL(B755)&amp;"&amp;telefono="&amp;SUBSTITUTE(C755,"-","")&amp;"&amp;referencia="&amp;ENCODEURL(E755)&amp;"&amp;lat="&amp;IZQUIERDA(SUBSTITUTE(F755," ",""),ENCONTRAR(",",SUBSTITUTE(F755," ",""))-1)&amp;"&amp;lng="&amp;DERECHA(SUBSTITUTE(F755," ",""),LARGO(SUBSTITUTE(F755," ",""))-ENCONTRAR(",",SUBSTITUTE(F755," ",""))),"")</f>
        <v/>
      </c>
    </row>
    <row r="756" ht="15.75" customHeight="1" s="10">
      <c r="A756" s="8">
        <f>CONCAT("AD507-",TEXT(ROW()-2,"0000"))</f>
        <v/>
      </c>
      <c r="C756" s="8" t="n"/>
      <c r="F756" s="8" t="n"/>
      <c r="G756" s="8">
        <f>IF(F756&lt;&gt;"",HYPERLINK("https://www.google.com/maps/search/?api=1&amp;query="&amp;SUBSTITUTE(F756," ",""),"🗺 Google Maps"),"")</f>
        <v/>
      </c>
      <c r="H756" s="8">
        <f>IF(F756&lt;&gt;"",HYPERLINK("https://waze.com/ul?ll="&amp;SUBSTITUTE(F756," ","")&amp;"&amp;navigate=yes","🚗 Waze"),"")</f>
        <v/>
      </c>
      <c r="I756" s="8">
        <f>IF(F756&lt;&gt;"",HYPERLINK("https://m.uber.com/ul/?action=setPickup&amp;pickup=my_location&amp;dropoff[latitude]="&amp;LEFT(SUBSTITUTE(F756," ",""),FIND(",",SUBSTITUTE(F756," ",""))-1)&amp;"&amp;dropoff[longitude]="&amp;MID(SUBSTITUTE(F756," ",""),FIND(",",SUBSTITUTE(F756," ",""))+1,99),"🚕 Uber"),"")</f>
        <v/>
      </c>
      <c r="J756" s="8">
        <f>IF(F756&lt;&gt;"","https://api.qrserver.com/v1/create-qr-code/?size=200x200&amp;data="&amp;ENCODEURL("https://www.google.com/maps/search/?api=1&amp;query="&amp;SUBSTITUTE(F756," ","")),"")</f>
        <v/>
      </c>
      <c r="K756" s="8">
        <f>IF(C756&lt;&gt;"",HYPERLINK("https://wa.me/507"&amp;REGEXREPLACE(C756,"[^0-9]","")&amp;"?text="&amp;ENCODEURL("Ya llegue. Codigo: "&amp;A756&amp;". Ubicacion: "&amp;"https://www.google.com/maps/search/?api=1&amp;query="&amp;SUBSTITUTE(F756," ","")),"📲 Avisar al cliente"),"")</f>
        <v/>
      </c>
      <c r="L756" s="8">
        <f>IF(C756&lt;&gt;"","https://api.qrserver.com/v1/create-qr-code/?size=200x200&amp;data="&amp;ENCODEURL("https://wa.me/507"&amp;REGEXREPLACE(C756,"[^0-9]","")&amp;"?text="&amp;ENCODEURL("Ya llegue. Codigo: "&amp;A756&amp;". Ubicacion: "&amp;"https://www.google.com/maps/search/?api=1&amp;query="&amp;SUBSTITUTE(F756," ",""))),"")</f>
        <v/>
      </c>
      <c r="M756" s="8">
        <f>IF(B756&lt;&gt;"",TODAY(),"")</f>
        <v/>
      </c>
      <c r="N756" s="8">
        <f>IF(F756&lt;&gt;"",IFERROR(IF(AND(REGEXMATCH(SUBSTITUTE(TRIM(F756)," ",""),"^-?\d+(\.\d+)?,-?\d+(\.\d+)?$"),VALUE(REGEXEXTRACT(SUBSTITUTE(TRIM(F756)," ",""),"^-?\d+(\.\d+)?"))&gt;=-90,VALUE(REGEXEXTRACT(SUBSTITUTE(TRIM(F756)," ",""),"^-?\d+(\.\d+)?"))&lt;=90,VALUE(REGEXEXTRACT(SUBSTITUTE(TRIM(F756)," ",""),"-?\d+(\.\d+)?$"))&gt;=-180,VALUE(REGEXEXTRACT(SUBSTITUTE(TRIM(F756)," ",""),"-?\d+(\.\d+)?$"))&lt;=180),"OK","REVISAR"),"REVISAR"),"")</f>
        <v/>
      </c>
      <c r="O756">
        <f>IF(A756&lt;&gt;"","https://direcciones507.github.io/direcciones507/panel.html?codigo="&amp;A756&amp;"&amp;nombre="&amp;ENCODEURL(B756)&amp;"&amp;telefono="&amp;SUBSTITUTE(C756,"-","")&amp;"&amp;referencia="&amp;ENCODEURL(E756)&amp;"&amp;lat="&amp;IZQUIERDA(SUBSTITUTE(F756," ",""),ENCONTRAR(",",SUBSTITUTE(F756," ",""))-1)&amp;"&amp;lng="&amp;DERECHA(SUBSTITUTE(F756," ",""),LARGO(SUBSTITUTE(F756," ",""))-ENCONTRAR(",",SUBSTITUTE(F756," ",""))),"")</f>
        <v/>
      </c>
    </row>
    <row r="757" ht="15.75" customHeight="1" s="10">
      <c r="A757" s="8">
        <f>CONCAT("AD507-",TEXT(ROW()-2,"0000"))</f>
        <v/>
      </c>
      <c r="C757" s="8" t="n"/>
      <c r="F757" s="8" t="n"/>
      <c r="G757" s="8">
        <f>IF(F757&lt;&gt;"",HYPERLINK("https://www.google.com/maps/search/?api=1&amp;query="&amp;SUBSTITUTE(F757," ",""),"🗺 Google Maps"),"")</f>
        <v/>
      </c>
      <c r="H757" s="8">
        <f>IF(F757&lt;&gt;"",HYPERLINK("https://waze.com/ul?ll="&amp;SUBSTITUTE(F757," ","")&amp;"&amp;navigate=yes","🚗 Waze"),"")</f>
        <v/>
      </c>
      <c r="I757" s="8">
        <f>IF(F757&lt;&gt;"",HYPERLINK("https://m.uber.com/ul/?action=setPickup&amp;pickup=my_location&amp;dropoff[latitude]="&amp;LEFT(SUBSTITUTE(F757," ",""),FIND(",",SUBSTITUTE(F757," ",""))-1)&amp;"&amp;dropoff[longitude]="&amp;MID(SUBSTITUTE(F757," ",""),FIND(",",SUBSTITUTE(F757," ",""))+1,99),"🚕 Uber"),"")</f>
        <v/>
      </c>
      <c r="J757" s="8">
        <f>IF(F757&lt;&gt;"","https://api.qrserver.com/v1/create-qr-code/?size=200x200&amp;data="&amp;ENCODEURL("https://www.google.com/maps/search/?api=1&amp;query="&amp;SUBSTITUTE(F757," ","")),"")</f>
        <v/>
      </c>
      <c r="K757" s="8">
        <f>IF(C757&lt;&gt;"",HYPERLINK("https://wa.me/507"&amp;REGEXREPLACE(C757,"[^0-9]","")&amp;"?text="&amp;ENCODEURL("Ya llegue. Codigo: "&amp;A757&amp;". Ubicacion: "&amp;"https://www.google.com/maps/search/?api=1&amp;query="&amp;SUBSTITUTE(F757," ","")),"📲 Avisar al cliente"),"")</f>
        <v/>
      </c>
      <c r="L757" s="8">
        <f>IF(C757&lt;&gt;"","https://api.qrserver.com/v1/create-qr-code/?size=200x200&amp;data="&amp;ENCODEURL("https://wa.me/507"&amp;REGEXREPLACE(C757,"[^0-9]","")&amp;"?text="&amp;ENCODEURL("Ya llegue. Codigo: "&amp;A757&amp;". Ubicacion: "&amp;"https://www.google.com/maps/search/?api=1&amp;query="&amp;SUBSTITUTE(F757," ",""))),"")</f>
        <v/>
      </c>
      <c r="M757" s="8">
        <f>IF(B757&lt;&gt;"",TODAY(),"")</f>
        <v/>
      </c>
      <c r="N757" s="8">
        <f>IF(F757&lt;&gt;"",IFERROR(IF(AND(REGEXMATCH(SUBSTITUTE(TRIM(F757)," ",""),"^-?\d+(\.\d+)?,-?\d+(\.\d+)?$"),VALUE(REGEXEXTRACT(SUBSTITUTE(TRIM(F757)," ",""),"^-?\d+(\.\d+)?"))&gt;=-90,VALUE(REGEXEXTRACT(SUBSTITUTE(TRIM(F757)," ",""),"^-?\d+(\.\d+)?"))&lt;=90,VALUE(REGEXEXTRACT(SUBSTITUTE(TRIM(F757)," ",""),"-?\d+(\.\d+)?$"))&gt;=-180,VALUE(REGEXEXTRACT(SUBSTITUTE(TRIM(F757)," ",""),"-?\d+(\.\d+)?$"))&lt;=180),"OK","REVISAR"),"REVISAR"),"")</f>
        <v/>
      </c>
      <c r="O757">
        <f>IF(A757&lt;&gt;"","https://direcciones507.github.io/direcciones507/panel.html?codigo="&amp;A757&amp;"&amp;nombre="&amp;ENCODEURL(B757)&amp;"&amp;telefono="&amp;SUBSTITUTE(C757,"-","")&amp;"&amp;referencia="&amp;ENCODEURL(E757)&amp;"&amp;lat="&amp;IZQUIERDA(SUBSTITUTE(F757," ",""),ENCONTRAR(",",SUBSTITUTE(F757," ",""))-1)&amp;"&amp;lng="&amp;DERECHA(SUBSTITUTE(F757," ",""),LARGO(SUBSTITUTE(F757," ",""))-ENCONTRAR(",",SUBSTITUTE(F757," ",""))),"")</f>
        <v/>
      </c>
    </row>
    <row r="758" ht="15.75" customHeight="1" s="10">
      <c r="A758" s="8">
        <f>CONCAT("AD507-",TEXT(ROW()-2,"0000"))</f>
        <v/>
      </c>
      <c r="C758" s="8" t="n"/>
      <c r="F758" s="8" t="n"/>
      <c r="G758" s="8">
        <f>IF(F758&lt;&gt;"",HYPERLINK("https://www.google.com/maps/search/?api=1&amp;query="&amp;SUBSTITUTE(F758," ",""),"🗺 Google Maps"),"")</f>
        <v/>
      </c>
      <c r="H758" s="8">
        <f>IF(F758&lt;&gt;"",HYPERLINK("https://waze.com/ul?ll="&amp;SUBSTITUTE(F758," ","")&amp;"&amp;navigate=yes","🚗 Waze"),"")</f>
        <v/>
      </c>
      <c r="I758" s="8">
        <f>IF(F758&lt;&gt;"",HYPERLINK("https://m.uber.com/ul/?action=setPickup&amp;pickup=my_location&amp;dropoff[latitude]="&amp;LEFT(SUBSTITUTE(F758," ",""),FIND(",",SUBSTITUTE(F758," ",""))-1)&amp;"&amp;dropoff[longitude]="&amp;MID(SUBSTITUTE(F758," ",""),FIND(",",SUBSTITUTE(F758," ",""))+1,99),"🚕 Uber"),"")</f>
        <v/>
      </c>
      <c r="J758" s="8">
        <f>IF(F758&lt;&gt;"","https://api.qrserver.com/v1/create-qr-code/?size=200x200&amp;data="&amp;ENCODEURL("https://www.google.com/maps/search/?api=1&amp;query="&amp;SUBSTITUTE(F758," ","")),"")</f>
        <v/>
      </c>
      <c r="K758" s="8">
        <f>IF(C758&lt;&gt;"",HYPERLINK("https://wa.me/507"&amp;REGEXREPLACE(C758,"[^0-9]","")&amp;"?text="&amp;ENCODEURL("Ya llegue. Codigo: "&amp;A758&amp;". Ubicacion: "&amp;"https://www.google.com/maps/search/?api=1&amp;query="&amp;SUBSTITUTE(F758," ","")),"📲 Avisar al cliente"),"")</f>
        <v/>
      </c>
      <c r="L758" s="8">
        <f>IF(C758&lt;&gt;"","https://api.qrserver.com/v1/create-qr-code/?size=200x200&amp;data="&amp;ENCODEURL("https://wa.me/507"&amp;REGEXREPLACE(C758,"[^0-9]","")&amp;"?text="&amp;ENCODEURL("Ya llegue. Codigo: "&amp;A758&amp;". Ubicacion: "&amp;"https://www.google.com/maps/search/?api=1&amp;query="&amp;SUBSTITUTE(F758," ",""))),"")</f>
        <v/>
      </c>
      <c r="M758" s="8">
        <f>IF(B758&lt;&gt;"",TODAY(),"")</f>
        <v/>
      </c>
      <c r="N758" s="8">
        <f>IF(F758&lt;&gt;"",IFERROR(IF(AND(REGEXMATCH(SUBSTITUTE(TRIM(F758)," ",""),"^-?\d+(\.\d+)?,-?\d+(\.\d+)?$"),VALUE(REGEXEXTRACT(SUBSTITUTE(TRIM(F758)," ",""),"^-?\d+(\.\d+)?"))&gt;=-90,VALUE(REGEXEXTRACT(SUBSTITUTE(TRIM(F758)," ",""),"^-?\d+(\.\d+)?"))&lt;=90,VALUE(REGEXEXTRACT(SUBSTITUTE(TRIM(F758)," ",""),"-?\d+(\.\d+)?$"))&gt;=-180,VALUE(REGEXEXTRACT(SUBSTITUTE(TRIM(F758)," ",""),"-?\d+(\.\d+)?$"))&lt;=180),"OK","REVISAR"),"REVISAR"),"")</f>
        <v/>
      </c>
      <c r="O758">
        <f>IF(A758&lt;&gt;"","https://direcciones507.github.io/direcciones507/panel.html?codigo="&amp;A758&amp;"&amp;nombre="&amp;ENCODEURL(B758)&amp;"&amp;telefono="&amp;SUBSTITUTE(C758,"-","")&amp;"&amp;referencia="&amp;ENCODEURL(E758)&amp;"&amp;lat="&amp;IZQUIERDA(SUBSTITUTE(F758," ",""),ENCONTRAR(",",SUBSTITUTE(F758," ",""))-1)&amp;"&amp;lng="&amp;DERECHA(SUBSTITUTE(F758," ",""),LARGO(SUBSTITUTE(F758," ",""))-ENCONTRAR(",",SUBSTITUTE(F758," ",""))),"")</f>
        <v/>
      </c>
    </row>
    <row r="759" ht="15.75" customHeight="1" s="10">
      <c r="A759" s="8">
        <f>CONCAT("AD507-",TEXT(ROW()-2,"0000"))</f>
        <v/>
      </c>
      <c r="C759" s="8" t="n"/>
      <c r="F759" s="8" t="n"/>
      <c r="G759" s="8">
        <f>IF(F759&lt;&gt;"",HYPERLINK("https://www.google.com/maps/search/?api=1&amp;query="&amp;SUBSTITUTE(F759," ",""),"🗺 Google Maps"),"")</f>
        <v/>
      </c>
      <c r="H759" s="8">
        <f>IF(F759&lt;&gt;"",HYPERLINK("https://waze.com/ul?ll="&amp;SUBSTITUTE(F759," ","")&amp;"&amp;navigate=yes","🚗 Waze"),"")</f>
        <v/>
      </c>
      <c r="I759" s="8">
        <f>IF(F759&lt;&gt;"",HYPERLINK("https://m.uber.com/ul/?action=setPickup&amp;pickup=my_location&amp;dropoff[latitude]="&amp;LEFT(SUBSTITUTE(F759," ",""),FIND(",",SUBSTITUTE(F759," ",""))-1)&amp;"&amp;dropoff[longitude]="&amp;MID(SUBSTITUTE(F759," ",""),FIND(",",SUBSTITUTE(F759," ",""))+1,99),"🚕 Uber"),"")</f>
        <v/>
      </c>
      <c r="J759" s="8">
        <f>IF(F759&lt;&gt;"","https://api.qrserver.com/v1/create-qr-code/?size=200x200&amp;data="&amp;ENCODEURL("https://www.google.com/maps/search/?api=1&amp;query="&amp;SUBSTITUTE(F759," ","")),"")</f>
        <v/>
      </c>
      <c r="K759" s="8">
        <f>IF(C759&lt;&gt;"",HYPERLINK("https://wa.me/507"&amp;REGEXREPLACE(C759,"[^0-9]","")&amp;"?text="&amp;ENCODEURL("Ya llegue. Codigo: "&amp;A759&amp;". Ubicacion: "&amp;"https://www.google.com/maps/search/?api=1&amp;query="&amp;SUBSTITUTE(F759," ","")),"📲 Avisar al cliente"),"")</f>
        <v/>
      </c>
      <c r="L759" s="8">
        <f>IF(C759&lt;&gt;"","https://api.qrserver.com/v1/create-qr-code/?size=200x200&amp;data="&amp;ENCODEURL("https://wa.me/507"&amp;REGEXREPLACE(C759,"[^0-9]","")&amp;"?text="&amp;ENCODEURL("Ya llegue. Codigo: "&amp;A759&amp;". Ubicacion: "&amp;"https://www.google.com/maps/search/?api=1&amp;query="&amp;SUBSTITUTE(F759," ",""))),"")</f>
        <v/>
      </c>
      <c r="M759" s="8">
        <f>IF(B759&lt;&gt;"",TODAY(),"")</f>
        <v/>
      </c>
      <c r="N759" s="8">
        <f>IF(F759&lt;&gt;"",IFERROR(IF(AND(REGEXMATCH(SUBSTITUTE(TRIM(F759)," ",""),"^-?\d+(\.\d+)?,-?\d+(\.\d+)?$"),VALUE(REGEXEXTRACT(SUBSTITUTE(TRIM(F759)," ",""),"^-?\d+(\.\d+)?"))&gt;=-90,VALUE(REGEXEXTRACT(SUBSTITUTE(TRIM(F759)," ",""),"^-?\d+(\.\d+)?"))&lt;=90,VALUE(REGEXEXTRACT(SUBSTITUTE(TRIM(F759)," ",""),"-?\d+(\.\d+)?$"))&gt;=-180,VALUE(REGEXEXTRACT(SUBSTITUTE(TRIM(F759)," ",""),"-?\d+(\.\d+)?$"))&lt;=180),"OK","REVISAR"),"REVISAR"),"")</f>
        <v/>
      </c>
      <c r="O759">
        <f>IF(A759&lt;&gt;"","https://direcciones507.github.io/direcciones507/panel.html?codigo="&amp;A759&amp;"&amp;nombre="&amp;ENCODEURL(B759)&amp;"&amp;telefono="&amp;SUBSTITUTE(C759,"-","")&amp;"&amp;referencia="&amp;ENCODEURL(E759)&amp;"&amp;lat="&amp;IZQUIERDA(SUBSTITUTE(F759," ",""),ENCONTRAR(",",SUBSTITUTE(F759," ",""))-1)&amp;"&amp;lng="&amp;DERECHA(SUBSTITUTE(F759," ",""),LARGO(SUBSTITUTE(F759," ",""))-ENCONTRAR(",",SUBSTITUTE(F759," ",""))),"")</f>
        <v/>
      </c>
    </row>
    <row r="760" ht="15.75" customHeight="1" s="10">
      <c r="A760" s="8">
        <f>CONCAT("AD507-",TEXT(ROW()-2,"0000"))</f>
        <v/>
      </c>
      <c r="C760" s="8" t="n"/>
      <c r="F760" s="8" t="n"/>
      <c r="G760" s="8">
        <f>IF(F760&lt;&gt;"",HYPERLINK("https://www.google.com/maps/search/?api=1&amp;query="&amp;SUBSTITUTE(F760," ",""),"🗺 Google Maps"),"")</f>
        <v/>
      </c>
      <c r="H760" s="8">
        <f>IF(F760&lt;&gt;"",HYPERLINK("https://waze.com/ul?ll="&amp;SUBSTITUTE(F760," ","")&amp;"&amp;navigate=yes","🚗 Waze"),"")</f>
        <v/>
      </c>
      <c r="I760" s="8">
        <f>IF(F760&lt;&gt;"",HYPERLINK("https://m.uber.com/ul/?action=setPickup&amp;pickup=my_location&amp;dropoff[latitude]="&amp;LEFT(SUBSTITUTE(F760," ",""),FIND(",",SUBSTITUTE(F760," ",""))-1)&amp;"&amp;dropoff[longitude]="&amp;MID(SUBSTITUTE(F760," ",""),FIND(",",SUBSTITUTE(F760," ",""))+1,99),"🚕 Uber"),"")</f>
        <v/>
      </c>
      <c r="J760" s="8">
        <f>IF(F760&lt;&gt;"","https://api.qrserver.com/v1/create-qr-code/?size=200x200&amp;data="&amp;ENCODEURL("https://www.google.com/maps/search/?api=1&amp;query="&amp;SUBSTITUTE(F760," ","")),"")</f>
        <v/>
      </c>
      <c r="K760" s="8">
        <f>IF(C760&lt;&gt;"",HYPERLINK("https://wa.me/507"&amp;REGEXREPLACE(C760,"[^0-9]","")&amp;"?text="&amp;ENCODEURL("Ya llegue. Codigo: "&amp;A760&amp;". Ubicacion: "&amp;"https://www.google.com/maps/search/?api=1&amp;query="&amp;SUBSTITUTE(F760," ","")),"📲 Avisar al cliente"),"")</f>
        <v/>
      </c>
      <c r="L760" s="8">
        <f>IF(C760&lt;&gt;"","https://api.qrserver.com/v1/create-qr-code/?size=200x200&amp;data="&amp;ENCODEURL("https://wa.me/507"&amp;REGEXREPLACE(C760,"[^0-9]","")&amp;"?text="&amp;ENCODEURL("Ya llegue. Codigo: "&amp;A760&amp;". Ubicacion: "&amp;"https://www.google.com/maps/search/?api=1&amp;query="&amp;SUBSTITUTE(F760," ",""))),"")</f>
        <v/>
      </c>
      <c r="M760" s="8">
        <f>IF(B760&lt;&gt;"",TODAY(),"")</f>
        <v/>
      </c>
      <c r="N760" s="8">
        <f>IF(F760&lt;&gt;"",IFERROR(IF(AND(REGEXMATCH(SUBSTITUTE(TRIM(F760)," ",""),"^-?\d+(\.\d+)?,-?\d+(\.\d+)?$"),VALUE(REGEXEXTRACT(SUBSTITUTE(TRIM(F760)," ",""),"^-?\d+(\.\d+)?"))&gt;=-90,VALUE(REGEXEXTRACT(SUBSTITUTE(TRIM(F760)," ",""),"^-?\d+(\.\d+)?"))&lt;=90,VALUE(REGEXEXTRACT(SUBSTITUTE(TRIM(F760)," ",""),"-?\d+(\.\d+)?$"))&gt;=-180,VALUE(REGEXEXTRACT(SUBSTITUTE(TRIM(F760)," ",""),"-?\d+(\.\d+)?$"))&lt;=180),"OK","REVISAR"),"REVISAR"),"")</f>
        <v/>
      </c>
      <c r="O760">
        <f>IF(A760&lt;&gt;"","https://direcciones507.github.io/direcciones507/panel.html?codigo="&amp;A760&amp;"&amp;nombre="&amp;ENCODEURL(B760)&amp;"&amp;telefono="&amp;SUBSTITUTE(C760,"-","")&amp;"&amp;referencia="&amp;ENCODEURL(E760)&amp;"&amp;lat="&amp;IZQUIERDA(SUBSTITUTE(F760," ",""),ENCONTRAR(",",SUBSTITUTE(F760," ",""))-1)&amp;"&amp;lng="&amp;DERECHA(SUBSTITUTE(F760," ",""),LARGO(SUBSTITUTE(F760," ",""))-ENCONTRAR(",",SUBSTITUTE(F760," ",""))),"")</f>
        <v/>
      </c>
    </row>
    <row r="761" ht="15.75" customHeight="1" s="10">
      <c r="A761" s="8">
        <f>CONCAT("AD507-",TEXT(ROW()-2,"0000"))</f>
        <v/>
      </c>
      <c r="C761" s="8" t="n"/>
      <c r="F761" s="8" t="n"/>
      <c r="G761" s="8">
        <f>IF(F761&lt;&gt;"",HYPERLINK("https://www.google.com/maps/search/?api=1&amp;query="&amp;SUBSTITUTE(F761," ",""),"🗺 Google Maps"),"")</f>
        <v/>
      </c>
      <c r="H761" s="8">
        <f>IF(F761&lt;&gt;"",HYPERLINK("https://waze.com/ul?ll="&amp;SUBSTITUTE(F761," ","")&amp;"&amp;navigate=yes","🚗 Waze"),"")</f>
        <v/>
      </c>
      <c r="I761" s="8">
        <f>IF(F761&lt;&gt;"",HYPERLINK("https://m.uber.com/ul/?action=setPickup&amp;pickup=my_location&amp;dropoff[latitude]="&amp;LEFT(SUBSTITUTE(F761," ",""),FIND(",",SUBSTITUTE(F761," ",""))-1)&amp;"&amp;dropoff[longitude]="&amp;MID(SUBSTITUTE(F761," ",""),FIND(",",SUBSTITUTE(F761," ",""))+1,99),"🚕 Uber"),"")</f>
        <v/>
      </c>
      <c r="J761" s="8">
        <f>IF(F761&lt;&gt;"","https://api.qrserver.com/v1/create-qr-code/?size=200x200&amp;data="&amp;ENCODEURL("https://www.google.com/maps/search/?api=1&amp;query="&amp;SUBSTITUTE(F761," ","")),"")</f>
        <v/>
      </c>
      <c r="K761" s="8">
        <f>IF(C761&lt;&gt;"",HYPERLINK("https://wa.me/507"&amp;REGEXREPLACE(C761,"[^0-9]","")&amp;"?text="&amp;ENCODEURL("Ya llegue. Codigo: "&amp;A761&amp;". Ubicacion: "&amp;"https://www.google.com/maps/search/?api=1&amp;query="&amp;SUBSTITUTE(F761," ","")),"📲 Avisar al cliente"),"")</f>
        <v/>
      </c>
      <c r="L761" s="8">
        <f>IF(C761&lt;&gt;"","https://api.qrserver.com/v1/create-qr-code/?size=200x200&amp;data="&amp;ENCODEURL("https://wa.me/507"&amp;REGEXREPLACE(C761,"[^0-9]","")&amp;"?text="&amp;ENCODEURL("Ya llegue. Codigo: "&amp;A761&amp;". Ubicacion: "&amp;"https://www.google.com/maps/search/?api=1&amp;query="&amp;SUBSTITUTE(F761," ",""))),"")</f>
        <v/>
      </c>
      <c r="M761" s="8">
        <f>IF(B761&lt;&gt;"",TODAY(),"")</f>
        <v/>
      </c>
      <c r="N761" s="8">
        <f>IF(F761&lt;&gt;"",IFERROR(IF(AND(REGEXMATCH(SUBSTITUTE(TRIM(F761)," ",""),"^-?\d+(\.\d+)?,-?\d+(\.\d+)?$"),VALUE(REGEXEXTRACT(SUBSTITUTE(TRIM(F761)," ",""),"^-?\d+(\.\d+)?"))&gt;=-90,VALUE(REGEXEXTRACT(SUBSTITUTE(TRIM(F761)," ",""),"^-?\d+(\.\d+)?"))&lt;=90,VALUE(REGEXEXTRACT(SUBSTITUTE(TRIM(F761)," ",""),"-?\d+(\.\d+)?$"))&gt;=-180,VALUE(REGEXEXTRACT(SUBSTITUTE(TRIM(F761)," ",""),"-?\d+(\.\d+)?$"))&lt;=180),"OK","REVISAR"),"REVISAR"),"")</f>
        <v/>
      </c>
      <c r="O761">
        <f>IF(A761&lt;&gt;"","https://direcciones507.github.io/direcciones507/panel.html?codigo="&amp;A761&amp;"&amp;nombre="&amp;ENCODEURL(B761)&amp;"&amp;telefono="&amp;SUBSTITUTE(C761,"-","")&amp;"&amp;referencia="&amp;ENCODEURL(E761)&amp;"&amp;lat="&amp;IZQUIERDA(SUBSTITUTE(F761," ",""),ENCONTRAR(",",SUBSTITUTE(F761," ",""))-1)&amp;"&amp;lng="&amp;DERECHA(SUBSTITUTE(F761," ",""),LARGO(SUBSTITUTE(F761," ",""))-ENCONTRAR(",",SUBSTITUTE(F761," ",""))),"")</f>
        <v/>
      </c>
    </row>
    <row r="762" ht="15.75" customHeight="1" s="10">
      <c r="A762" s="8">
        <f>CONCAT("AD507-",TEXT(ROW()-2,"0000"))</f>
        <v/>
      </c>
      <c r="C762" s="8" t="n"/>
      <c r="F762" s="8" t="n"/>
      <c r="G762" s="8">
        <f>IF(F762&lt;&gt;"",HYPERLINK("https://www.google.com/maps/search/?api=1&amp;query="&amp;SUBSTITUTE(F762," ",""),"🗺 Google Maps"),"")</f>
        <v/>
      </c>
      <c r="H762" s="8">
        <f>IF(F762&lt;&gt;"",HYPERLINK("https://waze.com/ul?ll="&amp;SUBSTITUTE(F762," ","")&amp;"&amp;navigate=yes","🚗 Waze"),"")</f>
        <v/>
      </c>
      <c r="I762" s="8">
        <f>IF(F762&lt;&gt;"",HYPERLINK("https://m.uber.com/ul/?action=setPickup&amp;pickup=my_location&amp;dropoff[latitude]="&amp;LEFT(SUBSTITUTE(F762," ",""),FIND(",",SUBSTITUTE(F762," ",""))-1)&amp;"&amp;dropoff[longitude]="&amp;MID(SUBSTITUTE(F762," ",""),FIND(",",SUBSTITUTE(F762," ",""))+1,99),"🚕 Uber"),"")</f>
        <v/>
      </c>
      <c r="J762" s="8">
        <f>IF(F762&lt;&gt;"","https://api.qrserver.com/v1/create-qr-code/?size=200x200&amp;data="&amp;ENCODEURL("https://www.google.com/maps/search/?api=1&amp;query="&amp;SUBSTITUTE(F762," ","")),"")</f>
        <v/>
      </c>
      <c r="K762" s="8">
        <f>IF(C762&lt;&gt;"",HYPERLINK("https://wa.me/507"&amp;REGEXREPLACE(C762,"[^0-9]","")&amp;"?text="&amp;ENCODEURL("Ya llegue. Codigo: "&amp;A762&amp;". Ubicacion: "&amp;"https://www.google.com/maps/search/?api=1&amp;query="&amp;SUBSTITUTE(F762," ","")),"📲 Avisar al cliente"),"")</f>
        <v/>
      </c>
      <c r="L762" s="8">
        <f>IF(C762&lt;&gt;"","https://api.qrserver.com/v1/create-qr-code/?size=200x200&amp;data="&amp;ENCODEURL("https://wa.me/507"&amp;REGEXREPLACE(C762,"[^0-9]","")&amp;"?text="&amp;ENCODEURL("Ya llegue. Codigo: "&amp;A762&amp;". Ubicacion: "&amp;"https://www.google.com/maps/search/?api=1&amp;query="&amp;SUBSTITUTE(F762," ",""))),"")</f>
        <v/>
      </c>
      <c r="M762" s="8">
        <f>IF(B762&lt;&gt;"",TODAY(),"")</f>
        <v/>
      </c>
      <c r="N762" s="8">
        <f>IF(F762&lt;&gt;"",IFERROR(IF(AND(REGEXMATCH(SUBSTITUTE(TRIM(F762)," ",""),"^-?\d+(\.\d+)?,-?\d+(\.\d+)?$"),VALUE(REGEXEXTRACT(SUBSTITUTE(TRIM(F762)," ",""),"^-?\d+(\.\d+)?"))&gt;=-90,VALUE(REGEXEXTRACT(SUBSTITUTE(TRIM(F762)," ",""),"^-?\d+(\.\d+)?"))&lt;=90,VALUE(REGEXEXTRACT(SUBSTITUTE(TRIM(F762)," ",""),"-?\d+(\.\d+)?$"))&gt;=-180,VALUE(REGEXEXTRACT(SUBSTITUTE(TRIM(F762)," ",""),"-?\d+(\.\d+)?$"))&lt;=180),"OK","REVISAR"),"REVISAR"),"")</f>
        <v/>
      </c>
      <c r="O762">
        <f>IF(A762&lt;&gt;"","https://direcciones507.github.io/direcciones507/panel.html?codigo="&amp;A762&amp;"&amp;nombre="&amp;ENCODEURL(B762)&amp;"&amp;telefono="&amp;SUBSTITUTE(C762,"-","")&amp;"&amp;referencia="&amp;ENCODEURL(E762)&amp;"&amp;lat="&amp;IZQUIERDA(SUBSTITUTE(F762," ",""),ENCONTRAR(",",SUBSTITUTE(F762," ",""))-1)&amp;"&amp;lng="&amp;DERECHA(SUBSTITUTE(F762," ",""),LARGO(SUBSTITUTE(F762," ",""))-ENCONTRAR(",",SUBSTITUTE(F762," ",""))),"")</f>
        <v/>
      </c>
    </row>
    <row r="763" ht="15.75" customHeight="1" s="10">
      <c r="A763" s="8">
        <f>CONCAT("AD507-",TEXT(ROW()-2,"0000"))</f>
        <v/>
      </c>
      <c r="C763" s="8" t="n"/>
      <c r="F763" s="8" t="n"/>
      <c r="G763" s="8">
        <f>IF(F763&lt;&gt;"",HYPERLINK("https://www.google.com/maps/search/?api=1&amp;query="&amp;SUBSTITUTE(F763," ",""),"🗺 Google Maps"),"")</f>
        <v/>
      </c>
      <c r="H763" s="8">
        <f>IF(F763&lt;&gt;"",HYPERLINK("https://waze.com/ul?ll="&amp;SUBSTITUTE(F763," ","")&amp;"&amp;navigate=yes","🚗 Waze"),"")</f>
        <v/>
      </c>
      <c r="I763" s="8">
        <f>IF(F763&lt;&gt;"",HYPERLINK("https://m.uber.com/ul/?action=setPickup&amp;pickup=my_location&amp;dropoff[latitude]="&amp;LEFT(SUBSTITUTE(F763," ",""),FIND(",",SUBSTITUTE(F763," ",""))-1)&amp;"&amp;dropoff[longitude]="&amp;MID(SUBSTITUTE(F763," ",""),FIND(",",SUBSTITUTE(F763," ",""))+1,99),"🚕 Uber"),"")</f>
        <v/>
      </c>
      <c r="J763" s="8">
        <f>IF(F763&lt;&gt;"","https://api.qrserver.com/v1/create-qr-code/?size=200x200&amp;data="&amp;ENCODEURL("https://www.google.com/maps/search/?api=1&amp;query="&amp;SUBSTITUTE(F763," ","")),"")</f>
        <v/>
      </c>
      <c r="K763" s="8">
        <f>IF(C763&lt;&gt;"",HYPERLINK("https://wa.me/507"&amp;REGEXREPLACE(C763,"[^0-9]","")&amp;"?text="&amp;ENCODEURL("Ya llegue. Codigo: "&amp;A763&amp;". Ubicacion: "&amp;"https://www.google.com/maps/search/?api=1&amp;query="&amp;SUBSTITUTE(F763," ","")),"📲 Avisar al cliente"),"")</f>
        <v/>
      </c>
      <c r="L763" s="8">
        <f>IF(C763&lt;&gt;"","https://api.qrserver.com/v1/create-qr-code/?size=200x200&amp;data="&amp;ENCODEURL("https://wa.me/507"&amp;REGEXREPLACE(C763,"[^0-9]","")&amp;"?text="&amp;ENCODEURL("Ya llegue. Codigo: "&amp;A763&amp;". Ubicacion: "&amp;"https://www.google.com/maps/search/?api=1&amp;query="&amp;SUBSTITUTE(F763," ",""))),"")</f>
        <v/>
      </c>
      <c r="M763" s="8">
        <f>IF(B763&lt;&gt;"",TODAY(),"")</f>
        <v/>
      </c>
      <c r="N763" s="8">
        <f>IF(F763&lt;&gt;"",IFERROR(IF(AND(REGEXMATCH(SUBSTITUTE(TRIM(F763)," ",""),"^-?\d+(\.\d+)?,-?\d+(\.\d+)?$"),VALUE(REGEXEXTRACT(SUBSTITUTE(TRIM(F763)," ",""),"^-?\d+(\.\d+)?"))&gt;=-90,VALUE(REGEXEXTRACT(SUBSTITUTE(TRIM(F763)," ",""),"^-?\d+(\.\d+)?"))&lt;=90,VALUE(REGEXEXTRACT(SUBSTITUTE(TRIM(F763)," ",""),"-?\d+(\.\d+)?$"))&gt;=-180,VALUE(REGEXEXTRACT(SUBSTITUTE(TRIM(F763)," ",""),"-?\d+(\.\d+)?$"))&lt;=180),"OK","REVISAR"),"REVISAR"),"")</f>
        <v/>
      </c>
      <c r="O763">
        <f>IF(A763&lt;&gt;"","https://direcciones507.github.io/direcciones507/panel.html?codigo="&amp;A763&amp;"&amp;nombre="&amp;ENCODEURL(B763)&amp;"&amp;telefono="&amp;SUBSTITUTE(C763,"-","")&amp;"&amp;referencia="&amp;ENCODEURL(E763)&amp;"&amp;lat="&amp;IZQUIERDA(SUBSTITUTE(F763," ",""),ENCONTRAR(",",SUBSTITUTE(F763," ",""))-1)&amp;"&amp;lng="&amp;DERECHA(SUBSTITUTE(F763," ",""),LARGO(SUBSTITUTE(F763," ",""))-ENCONTRAR(",",SUBSTITUTE(F763," ",""))),"")</f>
        <v/>
      </c>
    </row>
    <row r="764" ht="15.75" customHeight="1" s="10">
      <c r="A764" s="8">
        <f>CONCAT("AD507-",TEXT(ROW()-2,"0000"))</f>
        <v/>
      </c>
      <c r="C764" s="8" t="n"/>
      <c r="F764" s="8" t="n"/>
      <c r="G764" s="8">
        <f>IF(F764&lt;&gt;"",HYPERLINK("https://www.google.com/maps/search/?api=1&amp;query="&amp;SUBSTITUTE(F764," ",""),"🗺 Google Maps"),"")</f>
        <v/>
      </c>
      <c r="H764" s="8">
        <f>IF(F764&lt;&gt;"",HYPERLINK("https://waze.com/ul?ll="&amp;SUBSTITUTE(F764," ","")&amp;"&amp;navigate=yes","🚗 Waze"),"")</f>
        <v/>
      </c>
      <c r="I764" s="8">
        <f>IF(F764&lt;&gt;"",HYPERLINK("https://m.uber.com/ul/?action=setPickup&amp;pickup=my_location&amp;dropoff[latitude]="&amp;LEFT(SUBSTITUTE(F764," ",""),FIND(",",SUBSTITUTE(F764," ",""))-1)&amp;"&amp;dropoff[longitude]="&amp;MID(SUBSTITUTE(F764," ",""),FIND(",",SUBSTITUTE(F764," ",""))+1,99),"🚕 Uber"),"")</f>
        <v/>
      </c>
      <c r="J764" s="8">
        <f>IF(F764&lt;&gt;"","https://api.qrserver.com/v1/create-qr-code/?size=200x200&amp;data="&amp;ENCODEURL("https://www.google.com/maps/search/?api=1&amp;query="&amp;SUBSTITUTE(F764," ","")),"")</f>
        <v/>
      </c>
      <c r="K764" s="8">
        <f>IF(C764&lt;&gt;"",HYPERLINK("https://wa.me/507"&amp;REGEXREPLACE(C764,"[^0-9]","")&amp;"?text="&amp;ENCODEURL("Ya llegue. Codigo: "&amp;A764&amp;". Ubicacion: "&amp;"https://www.google.com/maps/search/?api=1&amp;query="&amp;SUBSTITUTE(F764," ","")),"📲 Avisar al cliente"),"")</f>
        <v/>
      </c>
      <c r="L764" s="8">
        <f>IF(C764&lt;&gt;"","https://api.qrserver.com/v1/create-qr-code/?size=200x200&amp;data="&amp;ENCODEURL("https://wa.me/507"&amp;REGEXREPLACE(C764,"[^0-9]","")&amp;"?text="&amp;ENCODEURL("Ya llegue. Codigo: "&amp;A764&amp;". Ubicacion: "&amp;"https://www.google.com/maps/search/?api=1&amp;query="&amp;SUBSTITUTE(F764," ",""))),"")</f>
        <v/>
      </c>
      <c r="M764" s="8">
        <f>IF(B764&lt;&gt;"",TODAY(),"")</f>
        <v/>
      </c>
      <c r="N764" s="8">
        <f>IF(F764&lt;&gt;"",IFERROR(IF(AND(REGEXMATCH(SUBSTITUTE(TRIM(F764)," ",""),"^-?\d+(\.\d+)?,-?\d+(\.\d+)?$"),VALUE(REGEXEXTRACT(SUBSTITUTE(TRIM(F764)," ",""),"^-?\d+(\.\d+)?"))&gt;=-90,VALUE(REGEXEXTRACT(SUBSTITUTE(TRIM(F764)," ",""),"^-?\d+(\.\d+)?"))&lt;=90,VALUE(REGEXEXTRACT(SUBSTITUTE(TRIM(F764)," ",""),"-?\d+(\.\d+)?$"))&gt;=-180,VALUE(REGEXEXTRACT(SUBSTITUTE(TRIM(F764)," ",""),"-?\d+(\.\d+)?$"))&lt;=180),"OK","REVISAR"),"REVISAR"),"")</f>
        <v/>
      </c>
      <c r="O764">
        <f>IF(A764&lt;&gt;"","https://direcciones507.github.io/direcciones507/panel.html?codigo="&amp;A764&amp;"&amp;nombre="&amp;ENCODEURL(B764)&amp;"&amp;telefono="&amp;SUBSTITUTE(C764,"-","")&amp;"&amp;referencia="&amp;ENCODEURL(E764)&amp;"&amp;lat="&amp;IZQUIERDA(SUBSTITUTE(F764," ",""),ENCONTRAR(",",SUBSTITUTE(F764," ",""))-1)&amp;"&amp;lng="&amp;DERECHA(SUBSTITUTE(F764," ",""),LARGO(SUBSTITUTE(F764," ",""))-ENCONTRAR(",",SUBSTITUTE(F764," ",""))),"")</f>
        <v/>
      </c>
    </row>
    <row r="765" ht="15.75" customHeight="1" s="10">
      <c r="A765" s="8">
        <f>CONCAT("AD507-",TEXT(ROW()-2,"0000"))</f>
        <v/>
      </c>
      <c r="C765" s="8" t="n"/>
      <c r="F765" s="8" t="n"/>
      <c r="G765" s="8">
        <f>IF(F765&lt;&gt;"",HYPERLINK("https://www.google.com/maps/search/?api=1&amp;query="&amp;SUBSTITUTE(F765," ",""),"🗺 Google Maps"),"")</f>
        <v/>
      </c>
      <c r="H765" s="8">
        <f>IF(F765&lt;&gt;"",HYPERLINK("https://waze.com/ul?ll="&amp;SUBSTITUTE(F765," ","")&amp;"&amp;navigate=yes","🚗 Waze"),"")</f>
        <v/>
      </c>
      <c r="I765" s="8">
        <f>IF(F765&lt;&gt;"",HYPERLINK("https://m.uber.com/ul/?action=setPickup&amp;pickup=my_location&amp;dropoff[latitude]="&amp;LEFT(SUBSTITUTE(F765," ",""),FIND(",",SUBSTITUTE(F765," ",""))-1)&amp;"&amp;dropoff[longitude]="&amp;MID(SUBSTITUTE(F765," ",""),FIND(",",SUBSTITUTE(F765," ",""))+1,99),"🚕 Uber"),"")</f>
        <v/>
      </c>
      <c r="J765" s="8">
        <f>IF(F765&lt;&gt;"","https://api.qrserver.com/v1/create-qr-code/?size=200x200&amp;data="&amp;ENCODEURL("https://www.google.com/maps/search/?api=1&amp;query="&amp;SUBSTITUTE(F765," ","")),"")</f>
        <v/>
      </c>
      <c r="K765" s="8">
        <f>IF(C765&lt;&gt;"",HYPERLINK("https://wa.me/507"&amp;REGEXREPLACE(C765,"[^0-9]","")&amp;"?text="&amp;ENCODEURL("Ya llegue. Codigo: "&amp;A765&amp;". Ubicacion: "&amp;"https://www.google.com/maps/search/?api=1&amp;query="&amp;SUBSTITUTE(F765," ","")),"📲 Avisar al cliente"),"")</f>
        <v/>
      </c>
      <c r="L765" s="8">
        <f>IF(C765&lt;&gt;"","https://api.qrserver.com/v1/create-qr-code/?size=200x200&amp;data="&amp;ENCODEURL("https://wa.me/507"&amp;REGEXREPLACE(C765,"[^0-9]","")&amp;"?text="&amp;ENCODEURL("Ya llegue. Codigo: "&amp;A765&amp;". Ubicacion: "&amp;"https://www.google.com/maps/search/?api=1&amp;query="&amp;SUBSTITUTE(F765," ",""))),"")</f>
        <v/>
      </c>
      <c r="M765" s="8">
        <f>IF(B765&lt;&gt;"",TODAY(),"")</f>
        <v/>
      </c>
      <c r="N765" s="8">
        <f>IF(F765&lt;&gt;"",IFERROR(IF(AND(REGEXMATCH(SUBSTITUTE(TRIM(F765)," ",""),"^-?\d+(\.\d+)?,-?\d+(\.\d+)?$"),VALUE(REGEXEXTRACT(SUBSTITUTE(TRIM(F765)," ",""),"^-?\d+(\.\d+)?"))&gt;=-90,VALUE(REGEXEXTRACT(SUBSTITUTE(TRIM(F765)," ",""),"^-?\d+(\.\d+)?"))&lt;=90,VALUE(REGEXEXTRACT(SUBSTITUTE(TRIM(F765)," ",""),"-?\d+(\.\d+)?$"))&gt;=-180,VALUE(REGEXEXTRACT(SUBSTITUTE(TRIM(F765)," ",""),"-?\d+(\.\d+)?$"))&lt;=180),"OK","REVISAR"),"REVISAR"),"")</f>
        <v/>
      </c>
      <c r="O765">
        <f>IF(A765&lt;&gt;"","https://direcciones507.github.io/direcciones507/panel.html?codigo="&amp;A765&amp;"&amp;nombre="&amp;ENCODEURL(B765)&amp;"&amp;telefono="&amp;SUBSTITUTE(C765,"-","")&amp;"&amp;referencia="&amp;ENCODEURL(E765)&amp;"&amp;lat="&amp;IZQUIERDA(SUBSTITUTE(F765," ",""),ENCONTRAR(",",SUBSTITUTE(F765," ",""))-1)&amp;"&amp;lng="&amp;DERECHA(SUBSTITUTE(F765," ",""),LARGO(SUBSTITUTE(F765," ",""))-ENCONTRAR(",",SUBSTITUTE(F765," ",""))),"")</f>
        <v/>
      </c>
    </row>
    <row r="766" ht="15.75" customHeight="1" s="10">
      <c r="A766" s="8">
        <f>CONCAT("AD507-",TEXT(ROW()-2,"0000"))</f>
        <v/>
      </c>
      <c r="C766" s="8" t="n"/>
      <c r="F766" s="8" t="n"/>
      <c r="G766" s="8">
        <f>IF(F766&lt;&gt;"",HYPERLINK("https://www.google.com/maps/search/?api=1&amp;query="&amp;SUBSTITUTE(F766," ",""),"🗺 Google Maps"),"")</f>
        <v/>
      </c>
      <c r="H766" s="8">
        <f>IF(F766&lt;&gt;"",HYPERLINK("https://waze.com/ul?ll="&amp;SUBSTITUTE(F766," ","")&amp;"&amp;navigate=yes","🚗 Waze"),"")</f>
        <v/>
      </c>
      <c r="I766" s="8">
        <f>IF(F766&lt;&gt;"",HYPERLINK("https://m.uber.com/ul/?action=setPickup&amp;pickup=my_location&amp;dropoff[latitude]="&amp;LEFT(SUBSTITUTE(F766," ",""),FIND(",",SUBSTITUTE(F766," ",""))-1)&amp;"&amp;dropoff[longitude]="&amp;MID(SUBSTITUTE(F766," ",""),FIND(",",SUBSTITUTE(F766," ",""))+1,99),"🚕 Uber"),"")</f>
        <v/>
      </c>
      <c r="J766" s="8">
        <f>IF(F766&lt;&gt;"","https://api.qrserver.com/v1/create-qr-code/?size=200x200&amp;data="&amp;ENCODEURL("https://www.google.com/maps/search/?api=1&amp;query="&amp;SUBSTITUTE(F766," ","")),"")</f>
        <v/>
      </c>
      <c r="K766" s="8">
        <f>IF(C766&lt;&gt;"",HYPERLINK("https://wa.me/507"&amp;REGEXREPLACE(C766,"[^0-9]","")&amp;"?text="&amp;ENCODEURL("Ya llegue. Codigo: "&amp;A766&amp;". Ubicacion: "&amp;"https://www.google.com/maps/search/?api=1&amp;query="&amp;SUBSTITUTE(F766," ","")),"📲 Avisar al cliente"),"")</f>
        <v/>
      </c>
      <c r="L766" s="8">
        <f>IF(C766&lt;&gt;"","https://api.qrserver.com/v1/create-qr-code/?size=200x200&amp;data="&amp;ENCODEURL("https://wa.me/507"&amp;REGEXREPLACE(C766,"[^0-9]","")&amp;"?text="&amp;ENCODEURL("Ya llegue. Codigo: "&amp;A766&amp;". Ubicacion: "&amp;"https://www.google.com/maps/search/?api=1&amp;query="&amp;SUBSTITUTE(F766," ",""))),"")</f>
        <v/>
      </c>
      <c r="M766" s="8">
        <f>IF(B766&lt;&gt;"",TODAY(),"")</f>
        <v/>
      </c>
      <c r="N766" s="8">
        <f>IF(F766&lt;&gt;"",IFERROR(IF(AND(REGEXMATCH(SUBSTITUTE(TRIM(F766)," ",""),"^-?\d+(\.\d+)?,-?\d+(\.\d+)?$"),VALUE(REGEXEXTRACT(SUBSTITUTE(TRIM(F766)," ",""),"^-?\d+(\.\d+)?"))&gt;=-90,VALUE(REGEXEXTRACT(SUBSTITUTE(TRIM(F766)," ",""),"^-?\d+(\.\d+)?"))&lt;=90,VALUE(REGEXEXTRACT(SUBSTITUTE(TRIM(F766)," ",""),"-?\d+(\.\d+)?$"))&gt;=-180,VALUE(REGEXEXTRACT(SUBSTITUTE(TRIM(F766)," ",""),"-?\d+(\.\d+)?$"))&lt;=180),"OK","REVISAR"),"REVISAR"),"")</f>
        <v/>
      </c>
      <c r="O766">
        <f>IF(A766&lt;&gt;"","https://direcciones507.github.io/direcciones507/panel.html?codigo="&amp;A766&amp;"&amp;nombre="&amp;ENCODEURL(B766)&amp;"&amp;telefono="&amp;SUBSTITUTE(C766,"-","")&amp;"&amp;referencia="&amp;ENCODEURL(E766)&amp;"&amp;lat="&amp;IZQUIERDA(SUBSTITUTE(F766," ",""),ENCONTRAR(",",SUBSTITUTE(F766," ",""))-1)&amp;"&amp;lng="&amp;DERECHA(SUBSTITUTE(F766," ",""),LARGO(SUBSTITUTE(F766," ",""))-ENCONTRAR(",",SUBSTITUTE(F766," ",""))),"")</f>
        <v/>
      </c>
    </row>
    <row r="767" ht="15.75" customHeight="1" s="10">
      <c r="A767" s="8">
        <f>CONCAT("AD507-",TEXT(ROW()-2,"0000"))</f>
        <v/>
      </c>
      <c r="C767" s="8" t="n"/>
      <c r="F767" s="8" t="n"/>
      <c r="G767" s="8">
        <f>IF(F767&lt;&gt;"",HYPERLINK("https://www.google.com/maps/search/?api=1&amp;query="&amp;SUBSTITUTE(F767," ",""),"🗺 Google Maps"),"")</f>
        <v/>
      </c>
      <c r="H767" s="8">
        <f>IF(F767&lt;&gt;"",HYPERLINK("https://waze.com/ul?ll="&amp;SUBSTITUTE(F767," ","")&amp;"&amp;navigate=yes","🚗 Waze"),"")</f>
        <v/>
      </c>
      <c r="I767" s="8">
        <f>IF(F767&lt;&gt;"",HYPERLINK("https://m.uber.com/ul/?action=setPickup&amp;pickup=my_location&amp;dropoff[latitude]="&amp;LEFT(SUBSTITUTE(F767," ",""),FIND(",",SUBSTITUTE(F767," ",""))-1)&amp;"&amp;dropoff[longitude]="&amp;MID(SUBSTITUTE(F767," ",""),FIND(",",SUBSTITUTE(F767," ",""))+1,99),"🚕 Uber"),"")</f>
        <v/>
      </c>
      <c r="J767" s="8">
        <f>IF(F767&lt;&gt;"","https://api.qrserver.com/v1/create-qr-code/?size=200x200&amp;data="&amp;ENCODEURL("https://www.google.com/maps/search/?api=1&amp;query="&amp;SUBSTITUTE(F767," ","")),"")</f>
        <v/>
      </c>
      <c r="K767" s="8">
        <f>IF(C767&lt;&gt;"",HYPERLINK("https://wa.me/507"&amp;REGEXREPLACE(C767,"[^0-9]","")&amp;"?text="&amp;ENCODEURL("Ya llegue. Codigo: "&amp;A767&amp;". Ubicacion: "&amp;"https://www.google.com/maps/search/?api=1&amp;query="&amp;SUBSTITUTE(F767," ","")),"📲 Avisar al cliente"),"")</f>
        <v/>
      </c>
      <c r="L767" s="8">
        <f>IF(C767&lt;&gt;"","https://api.qrserver.com/v1/create-qr-code/?size=200x200&amp;data="&amp;ENCODEURL("https://wa.me/507"&amp;REGEXREPLACE(C767,"[^0-9]","")&amp;"?text="&amp;ENCODEURL("Ya llegue. Codigo: "&amp;A767&amp;". Ubicacion: "&amp;"https://www.google.com/maps/search/?api=1&amp;query="&amp;SUBSTITUTE(F767," ",""))),"")</f>
        <v/>
      </c>
      <c r="M767" s="8">
        <f>IF(B767&lt;&gt;"",TODAY(),"")</f>
        <v/>
      </c>
      <c r="N767" s="8">
        <f>IF(F767&lt;&gt;"",IFERROR(IF(AND(REGEXMATCH(SUBSTITUTE(TRIM(F767)," ",""),"^-?\d+(\.\d+)?,-?\d+(\.\d+)?$"),VALUE(REGEXEXTRACT(SUBSTITUTE(TRIM(F767)," ",""),"^-?\d+(\.\d+)?"))&gt;=-90,VALUE(REGEXEXTRACT(SUBSTITUTE(TRIM(F767)," ",""),"^-?\d+(\.\d+)?"))&lt;=90,VALUE(REGEXEXTRACT(SUBSTITUTE(TRIM(F767)," ",""),"-?\d+(\.\d+)?$"))&gt;=-180,VALUE(REGEXEXTRACT(SUBSTITUTE(TRIM(F767)," ",""),"-?\d+(\.\d+)?$"))&lt;=180),"OK","REVISAR"),"REVISAR"),"")</f>
        <v/>
      </c>
      <c r="O767">
        <f>IF(A767&lt;&gt;"","https://direcciones507.github.io/direcciones507/panel.html?codigo="&amp;A767&amp;"&amp;nombre="&amp;ENCODEURL(B767)&amp;"&amp;telefono="&amp;SUBSTITUTE(C767,"-","")&amp;"&amp;referencia="&amp;ENCODEURL(E767)&amp;"&amp;lat="&amp;IZQUIERDA(SUBSTITUTE(F767," ",""),ENCONTRAR(",",SUBSTITUTE(F767," ",""))-1)&amp;"&amp;lng="&amp;DERECHA(SUBSTITUTE(F767," ",""),LARGO(SUBSTITUTE(F767," ",""))-ENCONTRAR(",",SUBSTITUTE(F767," ",""))),"")</f>
        <v/>
      </c>
    </row>
    <row r="768" ht="15.75" customHeight="1" s="10">
      <c r="A768" s="8">
        <f>CONCAT("AD507-",TEXT(ROW()-2,"0000"))</f>
        <v/>
      </c>
      <c r="C768" s="8" t="n"/>
      <c r="F768" s="8" t="n"/>
      <c r="G768" s="8">
        <f>IF(F768&lt;&gt;"",HYPERLINK("https://www.google.com/maps/search/?api=1&amp;query="&amp;SUBSTITUTE(F768," ",""),"🗺 Google Maps"),"")</f>
        <v/>
      </c>
      <c r="H768" s="8">
        <f>IF(F768&lt;&gt;"",HYPERLINK("https://waze.com/ul?ll="&amp;SUBSTITUTE(F768," ","")&amp;"&amp;navigate=yes","🚗 Waze"),"")</f>
        <v/>
      </c>
      <c r="I768" s="8">
        <f>IF(F768&lt;&gt;"",HYPERLINK("https://m.uber.com/ul/?action=setPickup&amp;pickup=my_location&amp;dropoff[latitude]="&amp;LEFT(SUBSTITUTE(F768," ",""),FIND(",",SUBSTITUTE(F768," ",""))-1)&amp;"&amp;dropoff[longitude]="&amp;MID(SUBSTITUTE(F768," ",""),FIND(",",SUBSTITUTE(F768," ",""))+1,99),"🚕 Uber"),"")</f>
        <v/>
      </c>
      <c r="J768" s="8">
        <f>IF(F768&lt;&gt;"","https://api.qrserver.com/v1/create-qr-code/?size=200x200&amp;data="&amp;ENCODEURL("https://www.google.com/maps/search/?api=1&amp;query="&amp;SUBSTITUTE(F768," ","")),"")</f>
        <v/>
      </c>
      <c r="K768" s="8">
        <f>IF(C768&lt;&gt;"",HYPERLINK("https://wa.me/507"&amp;REGEXREPLACE(C768,"[^0-9]","")&amp;"?text="&amp;ENCODEURL("Ya llegue. Codigo: "&amp;A768&amp;". Ubicacion: "&amp;"https://www.google.com/maps/search/?api=1&amp;query="&amp;SUBSTITUTE(F768," ","")),"📲 Avisar al cliente"),"")</f>
        <v/>
      </c>
      <c r="L768" s="8">
        <f>IF(C768&lt;&gt;"","https://api.qrserver.com/v1/create-qr-code/?size=200x200&amp;data="&amp;ENCODEURL("https://wa.me/507"&amp;REGEXREPLACE(C768,"[^0-9]","")&amp;"?text="&amp;ENCODEURL("Ya llegue. Codigo: "&amp;A768&amp;". Ubicacion: "&amp;"https://www.google.com/maps/search/?api=1&amp;query="&amp;SUBSTITUTE(F768," ",""))),"")</f>
        <v/>
      </c>
      <c r="M768" s="8">
        <f>IF(B768&lt;&gt;"",TODAY(),"")</f>
        <v/>
      </c>
      <c r="N768" s="8">
        <f>IF(F768&lt;&gt;"",IFERROR(IF(AND(REGEXMATCH(SUBSTITUTE(TRIM(F768)," ",""),"^-?\d+(\.\d+)?,-?\d+(\.\d+)?$"),VALUE(REGEXEXTRACT(SUBSTITUTE(TRIM(F768)," ",""),"^-?\d+(\.\d+)?"))&gt;=-90,VALUE(REGEXEXTRACT(SUBSTITUTE(TRIM(F768)," ",""),"^-?\d+(\.\d+)?"))&lt;=90,VALUE(REGEXEXTRACT(SUBSTITUTE(TRIM(F768)," ",""),"-?\d+(\.\d+)?$"))&gt;=-180,VALUE(REGEXEXTRACT(SUBSTITUTE(TRIM(F768)," ",""),"-?\d+(\.\d+)?$"))&lt;=180),"OK","REVISAR"),"REVISAR"),"")</f>
        <v/>
      </c>
      <c r="O768">
        <f>IF(A768&lt;&gt;"","https://direcciones507.github.io/direcciones507/panel.html?codigo="&amp;A768&amp;"&amp;nombre="&amp;ENCODEURL(B768)&amp;"&amp;telefono="&amp;SUBSTITUTE(C768,"-","")&amp;"&amp;referencia="&amp;ENCODEURL(E768)&amp;"&amp;lat="&amp;IZQUIERDA(SUBSTITUTE(F768," ",""),ENCONTRAR(",",SUBSTITUTE(F768," ",""))-1)&amp;"&amp;lng="&amp;DERECHA(SUBSTITUTE(F768," ",""),LARGO(SUBSTITUTE(F768," ",""))-ENCONTRAR(",",SUBSTITUTE(F768," ",""))),"")</f>
        <v/>
      </c>
    </row>
    <row r="769" ht="15.75" customHeight="1" s="10">
      <c r="A769" s="8">
        <f>CONCAT("AD507-",TEXT(ROW()-2,"0000"))</f>
        <v/>
      </c>
      <c r="C769" s="8" t="n"/>
      <c r="F769" s="8" t="n"/>
      <c r="G769" s="8">
        <f>IF(F769&lt;&gt;"",HYPERLINK("https://www.google.com/maps/search/?api=1&amp;query="&amp;SUBSTITUTE(F769," ",""),"🗺 Google Maps"),"")</f>
        <v/>
      </c>
      <c r="H769" s="8">
        <f>IF(F769&lt;&gt;"",HYPERLINK("https://waze.com/ul?ll="&amp;SUBSTITUTE(F769," ","")&amp;"&amp;navigate=yes","🚗 Waze"),"")</f>
        <v/>
      </c>
      <c r="I769" s="8">
        <f>IF(F769&lt;&gt;"",HYPERLINK("https://m.uber.com/ul/?action=setPickup&amp;pickup=my_location&amp;dropoff[latitude]="&amp;LEFT(SUBSTITUTE(F769," ",""),FIND(",",SUBSTITUTE(F769," ",""))-1)&amp;"&amp;dropoff[longitude]="&amp;MID(SUBSTITUTE(F769," ",""),FIND(",",SUBSTITUTE(F769," ",""))+1,99),"🚕 Uber"),"")</f>
        <v/>
      </c>
      <c r="J769" s="8">
        <f>IF(F769&lt;&gt;"","https://api.qrserver.com/v1/create-qr-code/?size=200x200&amp;data="&amp;ENCODEURL("https://www.google.com/maps/search/?api=1&amp;query="&amp;SUBSTITUTE(F769," ","")),"")</f>
        <v/>
      </c>
      <c r="K769" s="8">
        <f>IF(C769&lt;&gt;"",HYPERLINK("https://wa.me/507"&amp;REGEXREPLACE(C769,"[^0-9]","")&amp;"?text="&amp;ENCODEURL("Ya llegue. Codigo: "&amp;A769&amp;". Ubicacion: "&amp;"https://www.google.com/maps/search/?api=1&amp;query="&amp;SUBSTITUTE(F769," ","")),"📲 Avisar al cliente"),"")</f>
        <v/>
      </c>
      <c r="L769" s="8">
        <f>IF(C769&lt;&gt;"","https://api.qrserver.com/v1/create-qr-code/?size=200x200&amp;data="&amp;ENCODEURL("https://wa.me/507"&amp;REGEXREPLACE(C769,"[^0-9]","")&amp;"?text="&amp;ENCODEURL("Ya llegue. Codigo: "&amp;A769&amp;". Ubicacion: "&amp;"https://www.google.com/maps/search/?api=1&amp;query="&amp;SUBSTITUTE(F769," ",""))),"")</f>
        <v/>
      </c>
      <c r="M769" s="8">
        <f>IF(B769&lt;&gt;"",TODAY(),"")</f>
        <v/>
      </c>
      <c r="N769" s="8">
        <f>IF(F769&lt;&gt;"",IFERROR(IF(AND(REGEXMATCH(SUBSTITUTE(TRIM(F769)," ",""),"^-?\d+(\.\d+)?,-?\d+(\.\d+)?$"),VALUE(REGEXEXTRACT(SUBSTITUTE(TRIM(F769)," ",""),"^-?\d+(\.\d+)?"))&gt;=-90,VALUE(REGEXEXTRACT(SUBSTITUTE(TRIM(F769)," ",""),"^-?\d+(\.\d+)?"))&lt;=90,VALUE(REGEXEXTRACT(SUBSTITUTE(TRIM(F769)," ",""),"-?\d+(\.\d+)?$"))&gt;=-180,VALUE(REGEXEXTRACT(SUBSTITUTE(TRIM(F769)," ",""),"-?\d+(\.\d+)?$"))&lt;=180),"OK","REVISAR"),"REVISAR"),"")</f>
        <v/>
      </c>
      <c r="O769">
        <f>IF(A769&lt;&gt;"","https://direcciones507.github.io/direcciones507/panel.html?codigo="&amp;A769&amp;"&amp;nombre="&amp;ENCODEURL(B769)&amp;"&amp;telefono="&amp;SUBSTITUTE(C769,"-","")&amp;"&amp;referencia="&amp;ENCODEURL(E769)&amp;"&amp;lat="&amp;IZQUIERDA(SUBSTITUTE(F769," ",""),ENCONTRAR(",",SUBSTITUTE(F769," ",""))-1)&amp;"&amp;lng="&amp;DERECHA(SUBSTITUTE(F769," ",""),LARGO(SUBSTITUTE(F769," ",""))-ENCONTRAR(",",SUBSTITUTE(F769," ",""))),"")</f>
        <v/>
      </c>
    </row>
    <row r="770" ht="15.75" customHeight="1" s="10">
      <c r="A770" s="8">
        <f>CONCAT("AD507-",TEXT(ROW()-2,"0000"))</f>
        <v/>
      </c>
      <c r="C770" s="8" t="n"/>
      <c r="F770" s="8" t="n"/>
      <c r="G770" s="8">
        <f>IF(F770&lt;&gt;"",HYPERLINK("https://www.google.com/maps/search/?api=1&amp;query="&amp;SUBSTITUTE(F770," ",""),"🗺 Google Maps"),"")</f>
        <v/>
      </c>
      <c r="H770" s="8">
        <f>IF(F770&lt;&gt;"",HYPERLINK("https://waze.com/ul?ll="&amp;SUBSTITUTE(F770," ","")&amp;"&amp;navigate=yes","🚗 Waze"),"")</f>
        <v/>
      </c>
      <c r="I770" s="8">
        <f>IF(F770&lt;&gt;"",HYPERLINK("https://m.uber.com/ul/?action=setPickup&amp;pickup=my_location&amp;dropoff[latitude]="&amp;LEFT(SUBSTITUTE(F770," ",""),FIND(",",SUBSTITUTE(F770," ",""))-1)&amp;"&amp;dropoff[longitude]="&amp;MID(SUBSTITUTE(F770," ",""),FIND(",",SUBSTITUTE(F770," ",""))+1,99),"🚕 Uber"),"")</f>
        <v/>
      </c>
      <c r="J770" s="8">
        <f>IF(F770&lt;&gt;"","https://api.qrserver.com/v1/create-qr-code/?size=200x200&amp;data="&amp;ENCODEURL("https://www.google.com/maps/search/?api=1&amp;query="&amp;SUBSTITUTE(F770," ","")),"")</f>
        <v/>
      </c>
      <c r="K770" s="8">
        <f>IF(C770&lt;&gt;"",HYPERLINK("https://wa.me/507"&amp;REGEXREPLACE(C770,"[^0-9]","")&amp;"?text="&amp;ENCODEURL("Ya llegue. Codigo: "&amp;A770&amp;". Ubicacion: "&amp;"https://www.google.com/maps/search/?api=1&amp;query="&amp;SUBSTITUTE(F770," ","")),"📲 Avisar al cliente"),"")</f>
        <v/>
      </c>
      <c r="L770" s="8">
        <f>IF(C770&lt;&gt;"","https://api.qrserver.com/v1/create-qr-code/?size=200x200&amp;data="&amp;ENCODEURL("https://wa.me/507"&amp;REGEXREPLACE(C770,"[^0-9]","")&amp;"?text="&amp;ENCODEURL("Ya llegue. Codigo: "&amp;A770&amp;". Ubicacion: "&amp;"https://www.google.com/maps/search/?api=1&amp;query="&amp;SUBSTITUTE(F770," ",""))),"")</f>
        <v/>
      </c>
      <c r="M770" s="8">
        <f>IF(B770&lt;&gt;"",TODAY(),"")</f>
        <v/>
      </c>
      <c r="N770" s="8">
        <f>IF(F770&lt;&gt;"",IFERROR(IF(AND(REGEXMATCH(SUBSTITUTE(TRIM(F770)," ",""),"^-?\d+(\.\d+)?,-?\d+(\.\d+)?$"),VALUE(REGEXEXTRACT(SUBSTITUTE(TRIM(F770)," ",""),"^-?\d+(\.\d+)?"))&gt;=-90,VALUE(REGEXEXTRACT(SUBSTITUTE(TRIM(F770)," ",""),"^-?\d+(\.\d+)?"))&lt;=90,VALUE(REGEXEXTRACT(SUBSTITUTE(TRIM(F770)," ",""),"-?\d+(\.\d+)?$"))&gt;=-180,VALUE(REGEXEXTRACT(SUBSTITUTE(TRIM(F770)," ",""),"-?\d+(\.\d+)?$"))&lt;=180),"OK","REVISAR"),"REVISAR"),"")</f>
        <v/>
      </c>
      <c r="O770">
        <f>IF(A770&lt;&gt;"","https://direcciones507.github.io/direcciones507/panel.html?codigo="&amp;A770&amp;"&amp;nombre="&amp;ENCODEURL(B770)&amp;"&amp;telefono="&amp;SUBSTITUTE(C770,"-","")&amp;"&amp;referencia="&amp;ENCODEURL(E770)&amp;"&amp;lat="&amp;IZQUIERDA(SUBSTITUTE(F770," ",""),ENCONTRAR(",",SUBSTITUTE(F770," ",""))-1)&amp;"&amp;lng="&amp;DERECHA(SUBSTITUTE(F770," ",""),LARGO(SUBSTITUTE(F770," ",""))-ENCONTRAR(",",SUBSTITUTE(F770," ",""))),"")</f>
        <v/>
      </c>
    </row>
    <row r="771" ht="15.75" customHeight="1" s="10">
      <c r="A771" s="8">
        <f>CONCAT("AD507-",TEXT(ROW()-2,"0000"))</f>
        <v/>
      </c>
      <c r="C771" s="8" t="n"/>
      <c r="F771" s="8" t="n"/>
      <c r="G771" s="8">
        <f>IF(F771&lt;&gt;"",HYPERLINK("https://www.google.com/maps/search/?api=1&amp;query="&amp;SUBSTITUTE(F771," ",""),"🗺 Google Maps"),"")</f>
        <v/>
      </c>
      <c r="H771" s="8">
        <f>IF(F771&lt;&gt;"",HYPERLINK("https://waze.com/ul?ll="&amp;SUBSTITUTE(F771," ","")&amp;"&amp;navigate=yes","🚗 Waze"),"")</f>
        <v/>
      </c>
      <c r="I771" s="8">
        <f>IF(F771&lt;&gt;"",HYPERLINK("https://m.uber.com/ul/?action=setPickup&amp;pickup=my_location&amp;dropoff[latitude]="&amp;LEFT(SUBSTITUTE(F771," ",""),FIND(",",SUBSTITUTE(F771," ",""))-1)&amp;"&amp;dropoff[longitude]="&amp;MID(SUBSTITUTE(F771," ",""),FIND(",",SUBSTITUTE(F771," ",""))+1,99),"🚕 Uber"),"")</f>
        <v/>
      </c>
      <c r="J771" s="8">
        <f>IF(F771&lt;&gt;"","https://api.qrserver.com/v1/create-qr-code/?size=200x200&amp;data="&amp;ENCODEURL("https://www.google.com/maps/search/?api=1&amp;query="&amp;SUBSTITUTE(F771," ","")),"")</f>
        <v/>
      </c>
      <c r="K771" s="8">
        <f>IF(C771&lt;&gt;"",HYPERLINK("https://wa.me/507"&amp;REGEXREPLACE(C771,"[^0-9]","")&amp;"?text="&amp;ENCODEURL("Ya llegue. Codigo: "&amp;A771&amp;". Ubicacion: "&amp;"https://www.google.com/maps/search/?api=1&amp;query="&amp;SUBSTITUTE(F771," ","")),"📲 Avisar al cliente"),"")</f>
        <v/>
      </c>
      <c r="L771" s="8">
        <f>IF(C771&lt;&gt;"","https://api.qrserver.com/v1/create-qr-code/?size=200x200&amp;data="&amp;ENCODEURL("https://wa.me/507"&amp;REGEXREPLACE(C771,"[^0-9]","")&amp;"?text="&amp;ENCODEURL("Ya llegue. Codigo: "&amp;A771&amp;". Ubicacion: "&amp;"https://www.google.com/maps/search/?api=1&amp;query="&amp;SUBSTITUTE(F771," ",""))),"")</f>
        <v/>
      </c>
      <c r="M771" s="8">
        <f>IF(B771&lt;&gt;"",TODAY(),"")</f>
        <v/>
      </c>
      <c r="N771" s="8">
        <f>IF(F771&lt;&gt;"",IFERROR(IF(AND(REGEXMATCH(SUBSTITUTE(TRIM(F771)," ",""),"^-?\d+(\.\d+)?,-?\d+(\.\d+)?$"),VALUE(REGEXEXTRACT(SUBSTITUTE(TRIM(F771)," ",""),"^-?\d+(\.\d+)?"))&gt;=-90,VALUE(REGEXEXTRACT(SUBSTITUTE(TRIM(F771)," ",""),"^-?\d+(\.\d+)?"))&lt;=90,VALUE(REGEXEXTRACT(SUBSTITUTE(TRIM(F771)," ",""),"-?\d+(\.\d+)?$"))&gt;=-180,VALUE(REGEXEXTRACT(SUBSTITUTE(TRIM(F771)," ",""),"-?\d+(\.\d+)?$"))&lt;=180),"OK","REVISAR"),"REVISAR"),"")</f>
        <v/>
      </c>
      <c r="O771">
        <f>IF(A771&lt;&gt;"","https://direcciones507.github.io/direcciones507/panel.html?codigo="&amp;A771&amp;"&amp;nombre="&amp;ENCODEURL(B771)&amp;"&amp;telefono="&amp;SUBSTITUTE(C771,"-","")&amp;"&amp;referencia="&amp;ENCODEURL(E771)&amp;"&amp;lat="&amp;IZQUIERDA(SUBSTITUTE(F771," ",""),ENCONTRAR(",",SUBSTITUTE(F771," ",""))-1)&amp;"&amp;lng="&amp;DERECHA(SUBSTITUTE(F771," ",""),LARGO(SUBSTITUTE(F771," ",""))-ENCONTRAR(",",SUBSTITUTE(F771," ",""))),"")</f>
        <v/>
      </c>
    </row>
    <row r="772" ht="15.75" customHeight="1" s="10">
      <c r="A772" s="8">
        <f>CONCAT("AD507-",TEXT(ROW()-2,"0000"))</f>
        <v/>
      </c>
      <c r="C772" s="8" t="n"/>
      <c r="F772" s="8" t="n"/>
      <c r="G772" s="8">
        <f>IF(F772&lt;&gt;"",HYPERLINK("https://www.google.com/maps/search/?api=1&amp;query="&amp;SUBSTITUTE(F772," ",""),"🗺 Google Maps"),"")</f>
        <v/>
      </c>
      <c r="H772" s="8">
        <f>IF(F772&lt;&gt;"",HYPERLINK("https://waze.com/ul?ll="&amp;SUBSTITUTE(F772," ","")&amp;"&amp;navigate=yes","🚗 Waze"),"")</f>
        <v/>
      </c>
      <c r="I772" s="8">
        <f>IF(F772&lt;&gt;"",HYPERLINK("https://m.uber.com/ul/?action=setPickup&amp;pickup=my_location&amp;dropoff[latitude]="&amp;LEFT(SUBSTITUTE(F772," ",""),FIND(",",SUBSTITUTE(F772," ",""))-1)&amp;"&amp;dropoff[longitude]="&amp;MID(SUBSTITUTE(F772," ",""),FIND(",",SUBSTITUTE(F772," ",""))+1,99),"🚕 Uber"),"")</f>
        <v/>
      </c>
      <c r="J772" s="8">
        <f>IF(F772&lt;&gt;"","https://api.qrserver.com/v1/create-qr-code/?size=200x200&amp;data="&amp;ENCODEURL("https://www.google.com/maps/search/?api=1&amp;query="&amp;SUBSTITUTE(F772," ","")),"")</f>
        <v/>
      </c>
      <c r="K772" s="8">
        <f>IF(C772&lt;&gt;"",HYPERLINK("https://wa.me/507"&amp;REGEXREPLACE(C772,"[^0-9]","")&amp;"?text="&amp;ENCODEURL("Ya llegue. Codigo: "&amp;A772&amp;". Ubicacion: "&amp;"https://www.google.com/maps/search/?api=1&amp;query="&amp;SUBSTITUTE(F772," ","")),"📲 Avisar al cliente"),"")</f>
        <v/>
      </c>
      <c r="L772" s="8">
        <f>IF(C772&lt;&gt;"","https://api.qrserver.com/v1/create-qr-code/?size=200x200&amp;data="&amp;ENCODEURL("https://wa.me/507"&amp;REGEXREPLACE(C772,"[^0-9]","")&amp;"?text="&amp;ENCODEURL("Ya llegue. Codigo: "&amp;A772&amp;". Ubicacion: "&amp;"https://www.google.com/maps/search/?api=1&amp;query="&amp;SUBSTITUTE(F772," ",""))),"")</f>
        <v/>
      </c>
      <c r="M772" s="8">
        <f>IF(B772&lt;&gt;"",TODAY(),"")</f>
        <v/>
      </c>
      <c r="N772" s="8">
        <f>IF(F772&lt;&gt;"",IFERROR(IF(AND(REGEXMATCH(SUBSTITUTE(TRIM(F772)," ",""),"^-?\d+(\.\d+)?,-?\d+(\.\d+)?$"),VALUE(REGEXEXTRACT(SUBSTITUTE(TRIM(F772)," ",""),"^-?\d+(\.\d+)?"))&gt;=-90,VALUE(REGEXEXTRACT(SUBSTITUTE(TRIM(F772)," ",""),"^-?\d+(\.\d+)?"))&lt;=90,VALUE(REGEXEXTRACT(SUBSTITUTE(TRIM(F772)," ",""),"-?\d+(\.\d+)?$"))&gt;=-180,VALUE(REGEXEXTRACT(SUBSTITUTE(TRIM(F772)," ",""),"-?\d+(\.\d+)?$"))&lt;=180),"OK","REVISAR"),"REVISAR"),"")</f>
        <v/>
      </c>
      <c r="O772">
        <f>IF(A772&lt;&gt;"","https://direcciones507.github.io/direcciones507/panel.html?codigo="&amp;A772&amp;"&amp;nombre="&amp;ENCODEURL(B772)&amp;"&amp;telefono="&amp;SUBSTITUTE(C772,"-","")&amp;"&amp;referencia="&amp;ENCODEURL(E772)&amp;"&amp;lat="&amp;IZQUIERDA(SUBSTITUTE(F772," ",""),ENCONTRAR(",",SUBSTITUTE(F772," ",""))-1)&amp;"&amp;lng="&amp;DERECHA(SUBSTITUTE(F772," ",""),LARGO(SUBSTITUTE(F772," ",""))-ENCONTRAR(",",SUBSTITUTE(F772," ",""))),"")</f>
        <v/>
      </c>
    </row>
    <row r="773" ht="15.75" customHeight="1" s="10">
      <c r="A773" s="8">
        <f>CONCAT("AD507-",TEXT(ROW()-2,"0000"))</f>
        <v/>
      </c>
      <c r="C773" s="8" t="n"/>
      <c r="F773" s="8" t="n"/>
      <c r="G773" s="8">
        <f>IF(F773&lt;&gt;"",HYPERLINK("https://www.google.com/maps/search/?api=1&amp;query="&amp;SUBSTITUTE(F773," ",""),"🗺 Google Maps"),"")</f>
        <v/>
      </c>
      <c r="H773" s="8">
        <f>IF(F773&lt;&gt;"",HYPERLINK("https://waze.com/ul?ll="&amp;SUBSTITUTE(F773," ","")&amp;"&amp;navigate=yes","🚗 Waze"),"")</f>
        <v/>
      </c>
      <c r="I773" s="8">
        <f>IF(F773&lt;&gt;"",HYPERLINK("https://m.uber.com/ul/?action=setPickup&amp;pickup=my_location&amp;dropoff[latitude]="&amp;LEFT(SUBSTITUTE(F773," ",""),FIND(",",SUBSTITUTE(F773," ",""))-1)&amp;"&amp;dropoff[longitude]="&amp;MID(SUBSTITUTE(F773," ",""),FIND(",",SUBSTITUTE(F773," ",""))+1,99),"🚕 Uber"),"")</f>
        <v/>
      </c>
      <c r="J773" s="8">
        <f>IF(F773&lt;&gt;"","https://api.qrserver.com/v1/create-qr-code/?size=200x200&amp;data="&amp;ENCODEURL("https://www.google.com/maps/search/?api=1&amp;query="&amp;SUBSTITUTE(F773," ","")),"")</f>
        <v/>
      </c>
      <c r="K773" s="8">
        <f>IF(C773&lt;&gt;"",HYPERLINK("https://wa.me/507"&amp;REGEXREPLACE(C773,"[^0-9]","")&amp;"?text="&amp;ENCODEURL("Ya llegue. Codigo: "&amp;A773&amp;". Ubicacion: "&amp;"https://www.google.com/maps/search/?api=1&amp;query="&amp;SUBSTITUTE(F773," ","")),"📲 Avisar al cliente"),"")</f>
        <v/>
      </c>
      <c r="L773" s="8">
        <f>IF(C773&lt;&gt;"","https://api.qrserver.com/v1/create-qr-code/?size=200x200&amp;data="&amp;ENCODEURL("https://wa.me/507"&amp;REGEXREPLACE(C773,"[^0-9]","")&amp;"?text="&amp;ENCODEURL("Ya llegue. Codigo: "&amp;A773&amp;". Ubicacion: "&amp;"https://www.google.com/maps/search/?api=1&amp;query="&amp;SUBSTITUTE(F773," ",""))),"")</f>
        <v/>
      </c>
      <c r="M773" s="8">
        <f>IF(B773&lt;&gt;"",TODAY(),"")</f>
        <v/>
      </c>
      <c r="N773" s="8">
        <f>IF(F773&lt;&gt;"",IFERROR(IF(AND(REGEXMATCH(SUBSTITUTE(TRIM(F773)," ",""),"^-?\d+(\.\d+)?,-?\d+(\.\d+)?$"),VALUE(REGEXEXTRACT(SUBSTITUTE(TRIM(F773)," ",""),"^-?\d+(\.\d+)?"))&gt;=-90,VALUE(REGEXEXTRACT(SUBSTITUTE(TRIM(F773)," ",""),"^-?\d+(\.\d+)?"))&lt;=90,VALUE(REGEXEXTRACT(SUBSTITUTE(TRIM(F773)," ",""),"-?\d+(\.\d+)?$"))&gt;=-180,VALUE(REGEXEXTRACT(SUBSTITUTE(TRIM(F773)," ",""),"-?\d+(\.\d+)?$"))&lt;=180),"OK","REVISAR"),"REVISAR"),"")</f>
        <v/>
      </c>
      <c r="O773">
        <f>IF(A773&lt;&gt;"","https://direcciones507.github.io/direcciones507/panel.html?codigo="&amp;A773&amp;"&amp;nombre="&amp;ENCODEURL(B773)&amp;"&amp;telefono="&amp;SUBSTITUTE(C773,"-","")&amp;"&amp;referencia="&amp;ENCODEURL(E773)&amp;"&amp;lat="&amp;IZQUIERDA(SUBSTITUTE(F773," ",""),ENCONTRAR(",",SUBSTITUTE(F773," ",""))-1)&amp;"&amp;lng="&amp;DERECHA(SUBSTITUTE(F773," ",""),LARGO(SUBSTITUTE(F773," ",""))-ENCONTRAR(",",SUBSTITUTE(F773," ",""))),"")</f>
        <v/>
      </c>
    </row>
    <row r="774" ht="15.75" customHeight="1" s="10">
      <c r="A774" s="8">
        <f>CONCAT("AD507-",TEXT(ROW()-2,"0000"))</f>
        <v/>
      </c>
      <c r="C774" s="8" t="n"/>
      <c r="F774" s="8" t="n"/>
      <c r="G774" s="8">
        <f>IF(F774&lt;&gt;"",HYPERLINK("https://www.google.com/maps/search/?api=1&amp;query="&amp;SUBSTITUTE(F774," ",""),"🗺 Google Maps"),"")</f>
        <v/>
      </c>
      <c r="H774" s="8">
        <f>IF(F774&lt;&gt;"",HYPERLINK("https://waze.com/ul?ll="&amp;SUBSTITUTE(F774," ","")&amp;"&amp;navigate=yes","🚗 Waze"),"")</f>
        <v/>
      </c>
      <c r="I774" s="8">
        <f>IF(F774&lt;&gt;"",HYPERLINK("https://m.uber.com/ul/?action=setPickup&amp;pickup=my_location&amp;dropoff[latitude]="&amp;LEFT(SUBSTITUTE(F774," ",""),FIND(",",SUBSTITUTE(F774," ",""))-1)&amp;"&amp;dropoff[longitude]="&amp;MID(SUBSTITUTE(F774," ",""),FIND(",",SUBSTITUTE(F774," ",""))+1,99),"🚕 Uber"),"")</f>
        <v/>
      </c>
      <c r="J774" s="8">
        <f>IF(F774&lt;&gt;"","https://api.qrserver.com/v1/create-qr-code/?size=200x200&amp;data="&amp;ENCODEURL("https://www.google.com/maps/search/?api=1&amp;query="&amp;SUBSTITUTE(F774," ","")),"")</f>
        <v/>
      </c>
      <c r="K774" s="8">
        <f>IF(C774&lt;&gt;"",HYPERLINK("https://wa.me/507"&amp;REGEXREPLACE(C774,"[^0-9]","")&amp;"?text="&amp;ENCODEURL("Ya llegue. Codigo: "&amp;A774&amp;". Ubicacion: "&amp;"https://www.google.com/maps/search/?api=1&amp;query="&amp;SUBSTITUTE(F774," ","")),"📲 Avisar al cliente"),"")</f>
        <v/>
      </c>
      <c r="L774" s="8">
        <f>IF(C774&lt;&gt;"","https://api.qrserver.com/v1/create-qr-code/?size=200x200&amp;data="&amp;ENCODEURL("https://wa.me/507"&amp;REGEXREPLACE(C774,"[^0-9]","")&amp;"?text="&amp;ENCODEURL("Ya llegue. Codigo: "&amp;A774&amp;". Ubicacion: "&amp;"https://www.google.com/maps/search/?api=1&amp;query="&amp;SUBSTITUTE(F774," ",""))),"")</f>
        <v/>
      </c>
      <c r="M774" s="8">
        <f>IF(B774&lt;&gt;"",TODAY(),"")</f>
        <v/>
      </c>
      <c r="N774" s="8">
        <f>IF(F774&lt;&gt;"",IFERROR(IF(AND(REGEXMATCH(SUBSTITUTE(TRIM(F774)," ",""),"^-?\d+(\.\d+)?,-?\d+(\.\d+)?$"),VALUE(REGEXEXTRACT(SUBSTITUTE(TRIM(F774)," ",""),"^-?\d+(\.\d+)?"))&gt;=-90,VALUE(REGEXEXTRACT(SUBSTITUTE(TRIM(F774)," ",""),"^-?\d+(\.\d+)?"))&lt;=90,VALUE(REGEXEXTRACT(SUBSTITUTE(TRIM(F774)," ",""),"-?\d+(\.\d+)?$"))&gt;=-180,VALUE(REGEXEXTRACT(SUBSTITUTE(TRIM(F774)," ",""),"-?\d+(\.\d+)?$"))&lt;=180),"OK","REVISAR"),"REVISAR"),"")</f>
        <v/>
      </c>
      <c r="O774">
        <f>IF(A774&lt;&gt;"","https://direcciones507.github.io/direcciones507/panel.html?codigo="&amp;A774&amp;"&amp;nombre="&amp;ENCODEURL(B774)&amp;"&amp;telefono="&amp;SUBSTITUTE(C774,"-","")&amp;"&amp;referencia="&amp;ENCODEURL(E774)&amp;"&amp;lat="&amp;IZQUIERDA(SUBSTITUTE(F774," ",""),ENCONTRAR(",",SUBSTITUTE(F774," ",""))-1)&amp;"&amp;lng="&amp;DERECHA(SUBSTITUTE(F774," ",""),LARGO(SUBSTITUTE(F774," ",""))-ENCONTRAR(",",SUBSTITUTE(F774," ",""))),"")</f>
        <v/>
      </c>
    </row>
    <row r="775" ht="15.75" customHeight="1" s="10">
      <c r="A775" s="8">
        <f>CONCAT("AD507-",TEXT(ROW()-2,"0000"))</f>
        <v/>
      </c>
      <c r="C775" s="8" t="n"/>
      <c r="F775" s="8" t="n"/>
      <c r="G775" s="8">
        <f>IF(F775&lt;&gt;"",HYPERLINK("https://www.google.com/maps/search/?api=1&amp;query="&amp;SUBSTITUTE(F775," ",""),"🗺 Google Maps"),"")</f>
        <v/>
      </c>
      <c r="H775" s="8">
        <f>IF(F775&lt;&gt;"",HYPERLINK("https://waze.com/ul?ll="&amp;SUBSTITUTE(F775," ","")&amp;"&amp;navigate=yes","🚗 Waze"),"")</f>
        <v/>
      </c>
      <c r="I775" s="8">
        <f>IF(F775&lt;&gt;"",HYPERLINK("https://m.uber.com/ul/?action=setPickup&amp;pickup=my_location&amp;dropoff[latitude]="&amp;LEFT(SUBSTITUTE(F775," ",""),FIND(",",SUBSTITUTE(F775," ",""))-1)&amp;"&amp;dropoff[longitude]="&amp;MID(SUBSTITUTE(F775," ",""),FIND(",",SUBSTITUTE(F775," ",""))+1,99),"🚕 Uber"),"")</f>
        <v/>
      </c>
      <c r="J775" s="8">
        <f>IF(F775&lt;&gt;"","https://api.qrserver.com/v1/create-qr-code/?size=200x200&amp;data="&amp;ENCODEURL("https://www.google.com/maps/search/?api=1&amp;query="&amp;SUBSTITUTE(F775," ","")),"")</f>
        <v/>
      </c>
      <c r="K775" s="8">
        <f>IF(C775&lt;&gt;"",HYPERLINK("https://wa.me/507"&amp;REGEXREPLACE(C775,"[^0-9]","")&amp;"?text="&amp;ENCODEURL("Ya llegue. Codigo: "&amp;A775&amp;". Ubicacion: "&amp;"https://www.google.com/maps/search/?api=1&amp;query="&amp;SUBSTITUTE(F775," ","")),"📲 Avisar al cliente"),"")</f>
        <v/>
      </c>
      <c r="L775" s="8">
        <f>IF(C775&lt;&gt;"","https://api.qrserver.com/v1/create-qr-code/?size=200x200&amp;data="&amp;ENCODEURL("https://wa.me/507"&amp;REGEXREPLACE(C775,"[^0-9]","")&amp;"?text="&amp;ENCODEURL("Ya llegue. Codigo: "&amp;A775&amp;". Ubicacion: "&amp;"https://www.google.com/maps/search/?api=1&amp;query="&amp;SUBSTITUTE(F775," ",""))),"")</f>
        <v/>
      </c>
      <c r="M775" s="8">
        <f>IF(B775&lt;&gt;"",TODAY(),"")</f>
        <v/>
      </c>
      <c r="N775" s="8">
        <f>IF(F775&lt;&gt;"",IFERROR(IF(AND(REGEXMATCH(SUBSTITUTE(TRIM(F775)," ",""),"^-?\d+(\.\d+)?,-?\d+(\.\d+)?$"),VALUE(REGEXEXTRACT(SUBSTITUTE(TRIM(F775)," ",""),"^-?\d+(\.\d+)?"))&gt;=-90,VALUE(REGEXEXTRACT(SUBSTITUTE(TRIM(F775)," ",""),"^-?\d+(\.\d+)?"))&lt;=90,VALUE(REGEXEXTRACT(SUBSTITUTE(TRIM(F775)," ",""),"-?\d+(\.\d+)?$"))&gt;=-180,VALUE(REGEXEXTRACT(SUBSTITUTE(TRIM(F775)," ",""),"-?\d+(\.\d+)?$"))&lt;=180),"OK","REVISAR"),"REVISAR"),"")</f>
        <v/>
      </c>
      <c r="O775">
        <f>IF(A775&lt;&gt;"","https://direcciones507.github.io/direcciones507/panel.html?codigo="&amp;A775&amp;"&amp;nombre="&amp;ENCODEURL(B775)&amp;"&amp;telefono="&amp;SUBSTITUTE(C775,"-","")&amp;"&amp;referencia="&amp;ENCODEURL(E775)&amp;"&amp;lat="&amp;IZQUIERDA(SUBSTITUTE(F775," ",""),ENCONTRAR(",",SUBSTITUTE(F775," ",""))-1)&amp;"&amp;lng="&amp;DERECHA(SUBSTITUTE(F775," ",""),LARGO(SUBSTITUTE(F775," ",""))-ENCONTRAR(",",SUBSTITUTE(F775," ",""))),"")</f>
        <v/>
      </c>
    </row>
    <row r="776" ht="15.75" customHeight="1" s="10">
      <c r="A776" s="8">
        <f>CONCAT("AD507-",TEXT(ROW()-2,"0000"))</f>
        <v/>
      </c>
      <c r="C776" s="8" t="n"/>
      <c r="F776" s="8" t="n"/>
      <c r="G776" s="8">
        <f>IF(F776&lt;&gt;"",HYPERLINK("https://www.google.com/maps/search/?api=1&amp;query="&amp;SUBSTITUTE(F776," ",""),"🗺 Google Maps"),"")</f>
        <v/>
      </c>
      <c r="H776" s="8">
        <f>IF(F776&lt;&gt;"",HYPERLINK("https://waze.com/ul?ll="&amp;SUBSTITUTE(F776," ","")&amp;"&amp;navigate=yes","🚗 Waze"),"")</f>
        <v/>
      </c>
      <c r="I776" s="8">
        <f>IF(F776&lt;&gt;"",HYPERLINK("https://m.uber.com/ul/?action=setPickup&amp;pickup=my_location&amp;dropoff[latitude]="&amp;LEFT(SUBSTITUTE(F776," ",""),FIND(",",SUBSTITUTE(F776," ",""))-1)&amp;"&amp;dropoff[longitude]="&amp;MID(SUBSTITUTE(F776," ",""),FIND(",",SUBSTITUTE(F776," ",""))+1,99),"🚕 Uber"),"")</f>
        <v/>
      </c>
      <c r="J776" s="8">
        <f>IF(F776&lt;&gt;"","https://api.qrserver.com/v1/create-qr-code/?size=200x200&amp;data="&amp;ENCODEURL("https://www.google.com/maps/search/?api=1&amp;query="&amp;SUBSTITUTE(F776," ","")),"")</f>
        <v/>
      </c>
      <c r="K776" s="8">
        <f>IF(C776&lt;&gt;"",HYPERLINK("https://wa.me/507"&amp;REGEXREPLACE(C776,"[^0-9]","")&amp;"?text="&amp;ENCODEURL("Ya llegue. Codigo: "&amp;A776&amp;". Ubicacion: "&amp;"https://www.google.com/maps/search/?api=1&amp;query="&amp;SUBSTITUTE(F776," ","")),"📲 Avisar al cliente"),"")</f>
        <v/>
      </c>
      <c r="L776" s="8">
        <f>IF(C776&lt;&gt;"","https://api.qrserver.com/v1/create-qr-code/?size=200x200&amp;data="&amp;ENCODEURL("https://wa.me/507"&amp;REGEXREPLACE(C776,"[^0-9]","")&amp;"?text="&amp;ENCODEURL("Ya llegue. Codigo: "&amp;A776&amp;". Ubicacion: "&amp;"https://www.google.com/maps/search/?api=1&amp;query="&amp;SUBSTITUTE(F776," ",""))),"")</f>
        <v/>
      </c>
      <c r="M776" s="8">
        <f>IF(B776&lt;&gt;"",TODAY(),"")</f>
        <v/>
      </c>
      <c r="N776" s="8">
        <f>IF(F776&lt;&gt;"",IFERROR(IF(AND(REGEXMATCH(SUBSTITUTE(TRIM(F776)," ",""),"^-?\d+(\.\d+)?,-?\d+(\.\d+)?$"),VALUE(REGEXEXTRACT(SUBSTITUTE(TRIM(F776)," ",""),"^-?\d+(\.\d+)?"))&gt;=-90,VALUE(REGEXEXTRACT(SUBSTITUTE(TRIM(F776)," ",""),"^-?\d+(\.\d+)?"))&lt;=90,VALUE(REGEXEXTRACT(SUBSTITUTE(TRIM(F776)," ",""),"-?\d+(\.\d+)?$"))&gt;=-180,VALUE(REGEXEXTRACT(SUBSTITUTE(TRIM(F776)," ",""),"-?\d+(\.\d+)?$"))&lt;=180),"OK","REVISAR"),"REVISAR"),"")</f>
        <v/>
      </c>
      <c r="O776">
        <f>IF(A776&lt;&gt;"","https://direcciones507.github.io/direcciones507/panel.html?codigo="&amp;A776&amp;"&amp;nombre="&amp;ENCODEURL(B776)&amp;"&amp;telefono="&amp;SUBSTITUTE(C776,"-","")&amp;"&amp;referencia="&amp;ENCODEURL(E776)&amp;"&amp;lat="&amp;IZQUIERDA(SUBSTITUTE(F776," ",""),ENCONTRAR(",",SUBSTITUTE(F776," ",""))-1)&amp;"&amp;lng="&amp;DERECHA(SUBSTITUTE(F776," ",""),LARGO(SUBSTITUTE(F776," ",""))-ENCONTRAR(",",SUBSTITUTE(F776," ",""))),"")</f>
        <v/>
      </c>
    </row>
    <row r="777" ht="15.75" customHeight="1" s="10">
      <c r="A777" s="8">
        <f>CONCAT("AD507-",TEXT(ROW()-2,"0000"))</f>
        <v/>
      </c>
      <c r="C777" s="8" t="n"/>
      <c r="F777" s="8" t="n"/>
      <c r="G777" s="8">
        <f>IF(F777&lt;&gt;"",HYPERLINK("https://www.google.com/maps/search/?api=1&amp;query="&amp;SUBSTITUTE(F777," ",""),"🗺 Google Maps"),"")</f>
        <v/>
      </c>
      <c r="H777" s="8">
        <f>IF(F777&lt;&gt;"",HYPERLINK("https://waze.com/ul?ll="&amp;SUBSTITUTE(F777," ","")&amp;"&amp;navigate=yes","🚗 Waze"),"")</f>
        <v/>
      </c>
      <c r="I777" s="8">
        <f>IF(F777&lt;&gt;"",HYPERLINK("https://m.uber.com/ul/?action=setPickup&amp;pickup=my_location&amp;dropoff[latitude]="&amp;LEFT(SUBSTITUTE(F777," ",""),FIND(",",SUBSTITUTE(F777," ",""))-1)&amp;"&amp;dropoff[longitude]="&amp;MID(SUBSTITUTE(F777," ",""),FIND(",",SUBSTITUTE(F777," ",""))+1,99),"🚕 Uber"),"")</f>
        <v/>
      </c>
      <c r="J777" s="8">
        <f>IF(F777&lt;&gt;"","https://api.qrserver.com/v1/create-qr-code/?size=200x200&amp;data="&amp;ENCODEURL("https://www.google.com/maps/search/?api=1&amp;query="&amp;SUBSTITUTE(F777," ","")),"")</f>
        <v/>
      </c>
      <c r="K777" s="8">
        <f>IF(C777&lt;&gt;"",HYPERLINK("https://wa.me/507"&amp;REGEXREPLACE(C777,"[^0-9]","")&amp;"?text="&amp;ENCODEURL("Ya llegue. Codigo: "&amp;A777&amp;". Ubicacion: "&amp;"https://www.google.com/maps/search/?api=1&amp;query="&amp;SUBSTITUTE(F777," ","")),"📲 Avisar al cliente"),"")</f>
        <v/>
      </c>
      <c r="L777" s="8">
        <f>IF(C777&lt;&gt;"","https://api.qrserver.com/v1/create-qr-code/?size=200x200&amp;data="&amp;ENCODEURL("https://wa.me/507"&amp;REGEXREPLACE(C777,"[^0-9]","")&amp;"?text="&amp;ENCODEURL("Ya llegue. Codigo: "&amp;A777&amp;". Ubicacion: "&amp;"https://www.google.com/maps/search/?api=1&amp;query="&amp;SUBSTITUTE(F777," ",""))),"")</f>
        <v/>
      </c>
      <c r="M777" s="8">
        <f>IF(B777&lt;&gt;"",TODAY(),"")</f>
        <v/>
      </c>
      <c r="N777" s="8">
        <f>IF(F777&lt;&gt;"",IFERROR(IF(AND(REGEXMATCH(SUBSTITUTE(TRIM(F777)," ",""),"^-?\d+(\.\d+)?,-?\d+(\.\d+)?$"),VALUE(REGEXEXTRACT(SUBSTITUTE(TRIM(F777)," ",""),"^-?\d+(\.\d+)?"))&gt;=-90,VALUE(REGEXEXTRACT(SUBSTITUTE(TRIM(F777)," ",""),"^-?\d+(\.\d+)?"))&lt;=90,VALUE(REGEXEXTRACT(SUBSTITUTE(TRIM(F777)," ",""),"-?\d+(\.\d+)?$"))&gt;=-180,VALUE(REGEXEXTRACT(SUBSTITUTE(TRIM(F777)," ",""),"-?\d+(\.\d+)?$"))&lt;=180),"OK","REVISAR"),"REVISAR"),"")</f>
        <v/>
      </c>
      <c r="O777">
        <f>IF(A777&lt;&gt;"","https://direcciones507.github.io/direcciones507/panel.html?codigo="&amp;A777&amp;"&amp;nombre="&amp;ENCODEURL(B777)&amp;"&amp;telefono="&amp;SUBSTITUTE(C777,"-","")&amp;"&amp;referencia="&amp;ENCODEURL(E777)&amp;"&amp;lat="&amp;IZQUIERDA(SUBSTITUTE(F777," ",""),ENCONTRAR(",",SUBSTITUTE(F777," ",""))-1)&amp;"&amp;lng="&amp;DERECHA(SUBSTITUTE(F777," ",""),LARGO(SUBSTITUTE(F777," ",""))-ENCONTRAR(",",SUBSTITUTE(F777," ",""))),"")</f>
        <v/>
      </c>
    </row>
    <row r="778" ht="15.75" customHeight="1" s="10">
      <c r="A778" s="8">
        <f>CONCAT("AD507-",TEXT(ROW()-2,"0000"))</f>
        <v/>
      </c>
      <c r="C778" s="8" t="n"/>
      <c r="F778" s="8" t="n"/>
      <c r="G778" s="8">
        <f>IF(F778&lt;&gt;"",HYPERLINK("https://www.google.com/maps/search/?api=1&amp;query="&amp;SUBSTITUTE(F778," ",""),"🗺 Google Maps"),"")</f>
        <v/>
      </c>
      <c r="H778" s="8">
        <f>IF(F778&lt;&gt;"",HYPERLINK("https://waze.com/ul?ll="&amp;SUBSTITUTE(F778," ","")&amp;"&amp;navigate=yes","🚗 Waze"),"")</f>
        <v/>
      </c>
      <c r="I778" s="8">
        <f>IF(F778&lt;&gt;"",HYPERLINK("https://m.uber.com/ul/?action=setPickup&amp;pickup=my_location&amp;dropoff[latitude]="&amp;LEFT(SUBSTITUTE(F778," ",""),FIND(",",SUBSTITUTE(F778," ",""))-1)&amp;"&amp;dropoff[longitude]="&amp;MID(SUBSTITUTE(F778," ",""),FIND(",",SUBSTITUTE(F778," ",""))+1,99),"🚕 Uber"),"")</f>
        <v/>
      </c>
      <c r="J778" s="8">
        <f>IF(F778&lt;&gt;"","https://api.qrserver.com/v1/create-qr-code/?size=200x200&amp;data="&amp;ENCODEURL("https://www.google.com/maps/search/?api=1&amp;query="&amp;SUBSTITUTE(F778," ","")),"")</f>
        <v/>
      </c>
      <c r="K778" s="8">
        <f>IF(C778&lt;&gt;"",HYPERLINK("https://wa.me/507"&amp;REGEXREPLACE(C778,"[^0-9]","")&amp;"?text="&amp;ENCODEURL("Ya llegue. Codigo: "&amp;A778&amp;". Ubicacion: "&amp;"https://www.google.com/maps/search/?api=1&amp;query="&amp;SUBSTITUTE(F778," ","")),"📲 Avisar al cliente"),"")</f>
        <v/>
      </c>
      <c r="L778" s="8">
        <f>IF(C778&lt;&gt;"","https://api.qrserver.com/v1/create-qr-code/?size=200x200&amp;data="&amp;ENCODEURL("https://wa.me/507"&amp;REGEXREPLACE(C778,"[^0-9]","")&amp;"?text="&amp;ENCODEURL("Ya llegue. Codigo: "&amp;A778&amp;". Ubicacion: "&amp;"https://www.google.com/maps/search/?api=1&amp;query="&amp;SUBSTITUTE(F778," ",""))),"")</f>
        <v/>
      </c>
      <c r="M778" s="8">
        <f>IF(B778&lt;&gt;"",TODAY(),"")</f>
        <v/>
      </c>
      <c r="N778" s="8">
        <f>IF(F778&lt;&gt;"",IFERROR(IF(AND(REGEXMATCH(SUBSTITUTE(TRIM(F778)," ",""),"^-?\d+(\.\d+)?,-?\d+(\.\d+)?$"),VALUE(REGEXEXTRACT(SUBSTITUTE(TRIM(F778)," ",""),"^-?\d+(\.\d+)?"))&gt;=-90,VALUE(REGEXEXTRACT(SUBSTITUTE(TRIM(F778)," ",""),"^-?\d+(\.\d+)?"))&lt;=90,VALUE(REGEXEXTRACT(SUBSTITUTE(TRIM(F778)," ",""),"-?\d+(\.\d+)?$"))&gt;=-180,VALUE(REGEXEXTRACT(SUBSTITUTE(TRIM(F778)," ",""),"-?\d+(\.\d+)?$"))&lt;=180),"OK","REVISAR"),"REVISAR"),"")</f>
        <v/>
      </c>
      <c r="O778">
        <f>IF(A778&lt;&gt;"","https://direcciones507.github.io/direcciones507/panel.html?codigo="&amp;A778&amp;"&amp;nombre="&amp;ENCODEURL(B778)&amp;"&amp;telefono="&amp;SUBSTITUTE(C778,"-","")&amp;"&amp;referencia="&amp;ENCODEURL(E778)&amp;"&amp;lat="&amp;IZQUIERDA(SUBSTITUTE(F778," ",""),ENCONTRAR(",",SUBSTITUTE(F778," ",""))-1)&amp;"&amp;lng="&amp;DERECHA(SUBSTITUTE(F778," ",""),LARGO(SUBSTITUTE(F778," ",""))-ENCONTRAR(",",SUBSTITUTE(F778," ",""))),"")</f>
        <v/>
      </c>
    </row>
    <row r="779" ht="15.75" customHeight="1" s="10">
      <c r="A779" s="8">
        <f>CONCAT("AD507-",TEXT(ROW()-2,"0000"))</f>
        <v/>
      </c>
      <c r="C779" s="8" t="n"/>
      <c r="F779" s="8" t="n"/>
      <c r="G779" s="8">
        <f>IF(F779&lt;&gt;"",HYPERLINK("https://www.google.com/maps/search/?api=1&amp;query="&amp;SUBSTITUTE(F779," ",""),"🗺 Google Maps"),"")</f>
        <v/>
      </c>
      <c r="H779" s="8">
        <f>IF(F779&lt;&gt;"",HYPERLINK("https://waze.com/ul?ll="&amp;SUBSTITUTE(F779," ","")&amp;"&amp;navigate=yes","🚗 Waze"),"")</f>
        <v/>
      </c>
      <c r="I779" s="8">
        <f>IF(F779&lt;&gt;"",HYPERLINK("https://m.uber.com/ul/?action=setPickup&amp;pickup=my_location&amp;dropoff[latitude]="&amp;LEFT(SUBSTITUTE(F779," ",""),FIND(",",SUBSTITUTE(F779," ",""))-1)&amp;"&amp;dropoff[longitude]="&amp;MID(SUBSTITUTE(F779," ",""),FIND(",",SUBSTITUTE(F779," ",""))+1,99),"🚕 Uber"),"")</f>
        <v/>
      </c>
      <c r="J779" s="8">
        <f>IF(F779&lt;&gt;"","https://api.qrserver.com/v1/create-qr-code/?size=200x200&amp;data="&amp;ENCODEURL("https://www.google.com/maps/search/?api=1&amp;query="&amp;SUBSTITUTE(F779," ","")),"")</f>
        <v/>
      </c>
      <c r="K779" s="8">
        <f>IF(C779&lt;&gt;"",HYPERLINK("https://wa.me/507"&amp;REGEXREPLACE(C779,"[^0-9]","")&amp;"?text="&amp;ENCODEURL("Ya llegue. Codigo: "&amp;A779&amp;". Ubicacion: "&amp;"https://www.google.com/maps/search/?api=1&amp;query="&amp;SUBSTITUTE(F779," ","")),"📲 Avisar al cliente"),"")</f>
        <v/>
      </c>
      <c r="L779" s="8">
        <f>IF(C779&lt;&gt;"","https://api.qrserver.com/v1/create-qr-code/?size=200x200&amp;data="&amp;ENCODEURL("https://wa.me/507"&amp;REGEXREPLACE(C779,"[^0-9]","")&amp;"?text="&amp;ENCODEURL("Ya llegue. Codigo: "&amp;A779&amp;". Ubicacion: "&amp;"https://www.google.com/maps/search/?api=1&amp;query="&amp;SUBSTITUTE(F779," ",""))),"")</f>
        <v/>
      </c>
      <c r="M779" s="8">
        <f>IF(B779&lt;&gt;"",TODAY(),"")</f>
        <v/>
      </c>
      <c r="N779" s="8">
        <f>IF(F779&lt;&gt;"",IFERROR(IF(AND(REGEXMATCH(SUBSTITUTE(TRIM(F779)," ",""),"^-?\d+(\.\d+)?,-?\d+(\.\d+)?$"),VALUE(REGEXEXTRACT(SUBSTITUTE(TRIM(F779)," ",""),"^-?\d+(\.\d+)?"))&gt;=-90,VALUE(REGEXEXTRACT(SUBSTITUTE(TRIM(F779)," ",""),"^-?\d+(\.\d+)?"))&lt;=90,VALUE(REGEXEXTRACT(SUBSTITUTE(TRIM(F779)," ",""),"-?\d+(\.\d+)?$"))&gt;=-180,VALUE(REGEXEXTRACT(SUBSTITUTE(TRIM(F779)," ",""),"-?\d+(\.\d+)?$"))&lt;=180),"OK","REVISAR"),"REVISAR"),"")</f>
        <v/>
      </c>
      <c r="O779">
        <f>IF(A779&lt;&gt;"","https://direcciones507.github.io/direcciones507/panel.html?codigo="&amp;A779&amp;"&amp;nombre="&amp;ENCODEURL(B779)&amp;"&amp;telefono="&amp;SUBSTITUTE(C779,"-","")&amp;"&amp;referencia="&amp;ENCODEURL(E779)&amp;"&amp;lat="&amp;IZQUIERDA(SUBSTITUTE(F779," ",""),ENCONTRAR(",",SUBSTITUTE(F779," ",""))-1)&amp;"&amp;lng="&amp;DERECHA(SUBSTITUTE(F779," ",""),LARGO(SUBSTITUTE(F779," ",""))-ENCONTRAR(",",SUBSTITUTE(F779," ",""))),"")</f>
        <v/>
      </c>
    </row>
    <row r="780" ht="15.75" customHeight="1" s="10">
      <c r="A780" s="8">
        <f>CONCAT("AD507-",TEXT(ROW()-2,"0000"))</f>
        <v/>
      </c>
      <c r="C780" s="8" t="n"/>
      <c r="F780" s="8" t="n"/>
      <c r="G780" s="8">
        <f>IF(F780&lt;&gt;"",HYPERLINK("https://www.google.com/maps/search/?api=1&amp;query="&amp;SUBSTITUTE(F780," ",""),"🗺 Google Maps"),"")</f>
        <v/>
      </c>
      <c r="H780" s="8">
        <f>IF(F780&lt;&gt;"",HYPERLINK("https://waze.com/ul?ll="&amp;SUBSTITUTE(F780," ","")&amp;"&amp;navigate=yes","🚗 Waze"),"")</f>
        <v/>
      </c>
      <c r="I780" s="8">
        <f>IF(F780&lt;&gt;"",HYPERLINK("https://m.uber.com/ul/?action=setPickup&amp;pickup=my_location&amp;dropoff[latitude]="&amp;LEFT(SUBSTITUTE(F780," ",""),FIND(",",SUBSTITUTE(F780," ",""))-1)&amp;"&amp;dropoff[longitude]="&amp;MID(SUBSTITUTE(F780," ",""),FIND(",",SUBSTITUTE(F780," ",""))+1,99),"🚕 Uber"),"")</f>
        <v/>
      </c>
      <c r="J780" s="8">
        <f>IF(F780&lt;&gt;"","https://api.qrserver.com/v1/create-qr-code/?size=200x200&amp;data="&amp;ENCODEURL("https://www.google.com/maps/search/?api=1&amp;query="&amp;SUBSTITUTE(F780," ","")),"")</f>
        <v/>
      </c>
      <c r="K780" s="8">
        <f>IF(C780&lt;&gt;"",HYPERLINK("https://wa.me/507"&amp;REGEXREPLACE(C780,"[^0-9]","")&amp;"?text="&amp;ENCODEURL("Ya llegue. Codigo: "&amp;A780&amp;". Ubicacion: "&amp;"https://www.google.com/maps/search/?api=1&amp;query="&amp;SUBSTITUTE(F780," ","")),"📲 Avisar al cliente"),"")</f>
        <v/>
      </c>
      <c r="L780" s="8">
        <f>IF(C780&lt;&gt;"","https://api.qrserver.com/v1/create-qr-code/?size=200x200&amp;data="&amp;ENCODEURL("https://wa.me/507"&amp;REGEXREPLACE(C780,"[^0-9]","")&amp;"?text="&amp;ENCODEURL("Ya llegue. Codigo: "&amp;A780&amp;". Ubicacion: "&amp;"https://www.google.com/maps/search/?api=1&amp;query="&amp;SUBSTITUTE(F780," ",""))),"")</f>
        <v/>
      </c>
      <c r="M780" s="8">
        <f>IF(B780&lt;&gt;"",TODAY(),"")</f>
        <v/>
      </c>
      <c r="N780" s="8">
        <f>IF(F780&lt;&gt;"",IFERROR(IF(AND(REGEXMATCH(SUBSTITUTE(TRIM(F780)," ",""),"^-?\d+(\.\d+)?,-?\d+(\.\d+)?$"),VALUE(REGEXEXTRACT(SUBSTITUTE(TRIM(F780)," ",""),"^-?\d+(\.\d+)?"))&gt;=-90,VALUE(REGEXEXTRACT(SUBSTITUTE(TRIM(F780)," ",""),"^-?\d+(\.\d+)?"))&lt;=90,VALUE(REGEXEXTRACT(SUBSTITUTE(TRIM(F780)," ",""),"-?\d+(\.\d+)?$"))&gt;=-180,VALUE(REGEXEXTRACT(SUBSTITUTE(TRIM(F780)," ",""),"-?\d+(\.\d+)?$"))&lt;=180),"OK","REVISAR"),"REVISAR"),"")</f>
        <v/>
      </c>
      <c r="O780">
        <f>IF(A780&lt;&gt;"","https://direcciones507.github.io/direcciones507/panel.html?codigo="&amp;A780&amp;"&amp;nombre="&amp;ENCODEURL(B780)&amp;"&amp;telefono="&amp;SUBSTITUTE(C780,"-","")&amp;"&amp;referencia="&amp;ENCODEURL(E780)&amp;"&amp;lat="&amp;IZQUIERDA(SUBSTITUTE(F780," ",""),ENCONTRAR(",",SUBSTITUTE(F780," ",""))-1)&amp;"&amp;lng="&amp;DERECHA(SUBSTITUTE(F780," ",""),LARGO(SUBSTITUTE(F780," ",""))-ENCONTRAR(",",SUBSTITUTE(F780," ",""))),"")</f>
        <v/>
      </c>
    </row>
    <row r="781" ht="15.75" customHeight="1" s="10">
      <c r="A781" s="8">
        <f>CONCAT("AD507-",TEXT(ROW()-2,"0000"))</f>
        <v/>
      </c>
      <c r="C781" s="8" t="n"/>
      <c r="F781" s="8" t="n"/>
      <c r="G781" s="8">
        <f>IF(F781&lt;&gt;"",HYPERLINK("https://www.google.com/maps/search/?api=1&amp;query="&amp;SUBSTITUTE(F781," ",""),"🗺 Google Maps"),"")</f>
        <v/>
      </c>
      <c r="H781" s="8">
        <f>IF(F781&lt;&gt;"",HYPERLINK("https://waze.com/ul?ll="&amp;SUBSTITUTE(F781," ","")&amp;"&amp;navigate=yes","🚗 Waze"),"")</f>
        <v/>
      </c>
      <c r="I781" s="8">
        <f>IF(F781&lt;&gt;"",HYPERLINK("https://m.uber.com/ul/?action=setPickup&amp;pickup=my_location&amp;dropoff[latitude]="&amp;LEFT(SUBSTITUTE(F781," ",""),FIND(",",SUBSTITUTE(F781," ",""))-1)&amp;"&amp;dropoff[longitude]="&amp;MID(SUBSTITUTE(F781," ",""),FIND(",",SUBSTITUTE(F781," ",""))+1,99),"🚕 Uber"),"")</f>
        <v/>
      </c>
      <c r="J781" s="8">
        <f>IF(F781&lt;&gt;"","https://api.qrserver.com/v1/create-qr-code/?size=200x200&amp;data="&amp;ENCODEURL("https://www.google.com/maps/search/?api=1&amp;query="&amp;SUBSTITUTE(F781," ","")),"")</f>
        <v/>
      </c>
      <c r="K781" s="8">
        <f>IF(C781&lt;&gt;"",HYPERLINK("https://wa.me/507"&amp;REGEXREPLACE(C781,"[^0-9]","")&amp;"?text="&amp;ENCODEURL("Ya llegue. Codigo: "&amp;A781&amp;". Ubicacion: "&amp;"https://www.google.com/maps/search/?api=1&amp;query="&amp;SUBSTITUTE(F781," ","")),"📲 Avisar al cliente"),"")</f>
        <v/>
      </c>
      <c r="L781" s="8">
        <f>IF(C781&lt;&gt;"","https://api.qrserver.com/v1/create-qr-code/?size=200x200&amp;data="&amp;ENCODEURL("https://wa.me/507"&amp;REGEXREPLACE(C781,"[^0-9]","")&amp;"?text="&amp;ENCODEURL("Ya llegue. Codigo: "&amp;A781&amp;". Ubicacion: "&amp;"https://www.google.com/maps/search/?api=1&amp;query="&amp;SUBSTITUTE(F781," ",""))),"")</f>
        <v/>
      </c>
      <c r="M781" s="8">
        <f>IF(B781&lt;&gt;"",TODAY(),"")</f>
        <v/>
      </c>
      <c r="N781" s="8">
        <f>IF(F781&lt;&gt;"",IFERROR(IF(AND(REGEXMATCH(SUBSTITUTE(TRIM(F781)," ",""),"^-?\d+(\.\d+)?,-?\d+(\.\d+)?$"),VALUE(REGEXEXTRACT(SUBSTITUTE(TRIM(F781)," ",""),"^-?\d+(\.\d+)?"))&gt;=-90,VALUE(REGEXEXTRACT(SUBSTITUTE(TRIM(F781)," ",""),"^-?\d+(\.\d+)?"))&lt;=90,VALUE(REGEXEXTRACT(SUBSTITUTE(TRIM(F781)," ",""),"-?\d+(\.\d+)?$"))&gt;=-180,VALUE(REGEXEXTRACT(SUBSTITUTE(TRIM(F781)," ",""),"-?\d+(\.\d+)?$"))&lt;=180),"OK","REVISAR"),"REVISAR"),"")</f>
        <v/>
      </c>
      <c r="O781">
        <f>IF(A781&lt;&gt;"","https://direcciones507.github.io/direcciones507/panel.html?codigo="&amp;A781&amp;"&amp;nombre="&amp;ENCODEURL(B781)&amp;"&amp;telefono="&amp;SUBSTITUTE(C781,"-","")&amp;"&amp;referencia="&amp;ENCODEURL(E781)&amp;"&amp;lat="&amp;IZQUIERDA(SUBSTITUTE(F781," ",""),ENCONTRAR(",",SUBSTITUTE(F781," ",""))-1)&amp;"&amp;lng="&amp;DERECHA(SUBSTITUTE(F781," ",""),LARGO(SUBSTITUTE(F781," ",""))-ENCONTRAR(",",SUBSTITUTE(F781," ",""))),"")</f>
        <v/>
      </c>
    </row>
    <row r="782" ht="15.75" customHeight="1" s="10">
      <c r="A782" s="8">
        <f>CONCAT("AD507-",TEXT(ROW()-2,"0000"))</f>
        <v/>
      </c>
      <c r="C782" s="8" t="n"/>
      <c r="F782" s="8" t="n"/>
      <c r="G782" s="8">
        <f>IF(F782&lt;&gt;"",HYPERLINK("https://www.google.com/maps/search/?api=1&amp;query="&amp;SUBSTITUTE(F782," ",""),"🗺 Google Maps"),"")</f>
        <v/>
      </c>
      <c r="H782" s="8">
        <f>IF(F782&lt;&gt;"",HYPERLINK("https://waze.com/ul?ll="&amp;SUBSTITUTE(F782," ","")&amp;"&amp;navigate=yes","🚗 Waze"),"")</f>
        <v/>
      </c>
      <c r="I782" s="8">
        <f>IF(F782&lt;&gt;"",HYPERLINK("https://m.uber.com/ul/?action=setPickup&amp;pickup=my_location&amp;dropoff[latitude]="&amp;LEFT(SUBSTITUTE(F782," ",""),FIND(",",SUBSTITUTE(F782," ",""))-1)&amp;"&amp;dropoff[longitude]="&amp;MID(SUBSTITUTE(F782," ",""),FIND(",",SUBSTITUTE(F782," ",""))+1,99),"🚕 Uber"),"")</f>
        <v/>
      </c>
      <c r="J782" s="8">
        <f>IF(F782&lt;&gt;"","https://api.qrserver.com/v1/create-qr-code/?size=200x200&amp;data="&amp;ENCODEURL("https://www.google.com/maps/search/?api=1&amp;query="&amp;SUBSTITUTE(F782," ","")),"")</f>
        <v/>
      </c>
      <c r="K782" s="8">
        <f>IF(C782&lt;&gt;"",HYPERLINK("https://wa.me/507"&amp;REGEXREPLACE(C782,"[^0-9]","")&amp;"?text="&amp;ENCODEURL("Ya llegue. Codigo: "&amp;A782&amp;". Ubicacion: "&amp;"https://www.google.com/maps/search/?api=1&amp;query="&amp;SUBSTITUTE(F782," ","")),"📲 Avisar al cliente"),"")</f>
        <v/>
      </c>
      <c r="L782" s="8">
        <f>IF(C782&lt;&gt;"","https://api.qrserver.com/v1/create-qr-code/?size=200x200&amp;data="&amp;ENCODEURL("https://wa.me/507"&amp;REGEXREPLACE(C782,"[^0-9]","")&amp;"?text="&amp;ENCODEURL("Ya llegue. Codigo: "&amp;A782&amp;". Ubicacion: "&amp;"https://www.google.com/maps/search/?api=1&amp;query="&amp;SUBSTITUTE(F782," ",""))),"")</f>
        <v/>
      </c>
      <c r="M782" s="8">
        <f>IF(B782&lt;&gt;"",TODAY(),"")</f>
        <v/>
      </c>
      <c r="N782" s="8">
        <f>IF(F782&lt;&gt;"",IFERROR(IF(AND(REGEXMATCH(SUBSTITUTE(TRIM(F782)," ",""),"^-?\d+(\.\d+)?,-?\d+(\.\d+)?$"),VALUE(REGEXEXTRACT(SUBSTITUTE(TRIM(F782)," ",""),"^-?\d+(\.\d+)?"))&gt;=-90,VALUE(REGEXEXTRACT(SUBSTITUTE(TRIM(F782)," ",""),"^-?\d+(\.\d+)?"))&lt;=90,VALUE(REGEXEXTRACT(SUBSTITUTE(TRIM(F782)," ",""),"-?\d+(\.\d+)?$"))&gt;=-180,VALUE(REGEXEXTRACT(SUBSTITUTE(TRIM(F782)," ",""),"-?\d+(\.\d+)?$"))&lt;=180),"OK","REVISAR"),"REVISAR"),"")</f>
        <v/>
      </c>
      <c r="O782">
        <f>IF(A782&lt;&gt;"","https://direcciones507.github.io/direcciones507/panel.html?codigo="&amp;A782&amp;"&amp;nombre="&amp;ENCODEURL(B782)&amp;"&amp;telefono="&amp;SUBSTITUTE(C782,"-","")&amp;"&amp;referencia="&amp;ENCODEURL(E782)&amp;"&amp;lat="&amp;IZQUIERDA(SUBSTITUTE(F782," ",""),ENCONTRAR(",",SUBSTITUTE(F782," ",""))-1)&amp;"&amp;lng="&amp;DERECHA(SUBSTITUTE(F782," ",""),LARGO(SUBSTITUTE(F782," ",""))-ENCONTRAR(",",SUBSTITUTE(F782," ",""))),"")</f>
        <v/>
      </c>
    </row>
    <row r="783" ht="15.75" customHeight="1" s="10">
      <c r="A783" s="8">
        <f>CONCAT("AD507-",TEXT(ROW()-2,"0000"))</f>
        <v/>
      </c>
      <c r="C783" s="8" t="n"/>
      <c r="F783" s="8" t="n"/>
      <c r="G783" s="8">
        <f>IF(F783&lt;&gt;"",HYPERLINK("https://www.google.com/maps/search/?api=1&amp;query="&amp;SUBSTITUTE(F783," ",""),"🗺 Google Maps"),"")</f>
        <v/>
      </c>
      <c r="H783" s="8">
        <f>IF(F783&lt;&gt;"",HYPERLINK("https://waze.com/ul?ll="&amp;SUBSTITUTE(F783," ","")&amp;"&amp;navigate=yes","🚗 Waze"),"")</f>
        <v/>
      </c>
      <c r="I783" s="8">
        <f>IF(F783&lt;&gt;"",HYPERLINK("https://m.uber.com/ul/?action=setPickup&amp;pickup=my_location&amp;dropoff[latitude]="&amp;LEFT(SUBSTITUTE(F783," ",""),FIND(",",SUBSTITUTE(F783," ",""))-1)&amp;"&amp;dropoff[longitude]="&amp;MID(SUBSTITUTE(F783," ",""),FIND(",",SUBSTITUTE(F783," ",""))+1,99),"🚕 Uber"),"")</f>
        <v/>
      </c>
      <c r="J783" s="8">
        <f>IF(F783&lt;&gt;"","https://api.qrserver.com/v1/create-qr-code/?size=200x200&amp;data="&amp;ENCODEURL("https://www.google.com/maps/search/?api=1&amp;query="&amp;SUBSTITUTE(F783," ","")),"")</f>
        <v/>
      </c>
      <c r="K783" s="8">
        <f>IF(C783&lt;&gt;"",HYPERLINK("https://wa.me/507"&amp;REGEXREPLACE(C783,"[^0-9]","")&amp;"?text="&amp;ENCODEURL("Ya llegue. Codigo: "&amp;A783&amp;". Ubicacion: "&amp;"https://www.google.com/maps/search/?api=1&amp;query="&amp;SUBSTITUTE(F783," ","")),"📲 Avisar al cliente"),"")</f>
        <v/>
      </c>
      <c r="L783" s="8">
        <f>IF(C783&lt;&gt;"","https://api.qrserver.com/v1/create-qr-code/?size=200x200&amp;data="&amp;ENCODEURL("https://wa.me/507"&amp;REGEXREPLACE(C783,"[^0-9]","")&amp;"?text="&amp;ENCODEURL("Ya llegue. Codigo: "&amp;A783&amp;". Ubicacion: "&amp;"https://www.google.com/maps/search/?api=1&amp;query="&amp;SUBSTITUTE(F783," ",""))),"")</f>
        <v/>
      </c>
      <c r="M783" s="8">
        <f>IF(B783&lt;&gt;"",TODAY(),"")</f>
        <v/>
      </c>
      <c r="N783" s="8">
        <f>IF(F783&lt;&gt;"",IFERROR(IF(AND(REGEXMATCH(SUBSTITUTE(TRIM(F783)," ",""),"^-?\d+(\.\d+)?,-?\d+(\.\d+)?$"),VALUE(REGEXEXTRACT(SUBSTITUTE(TRIM(F783)," ",""),"^-?\d+(\.\d+)?"))&gt;=-90,VALUE(REGEXEXTRACT(SUBSTITUTE(TRIM(F783)," ",""),"^-?\d+(\.\d+)?"))&lt;=90,VALUE(REGEXEXTRACT(SUBSTITUTE(TRIM(F783)," ",""),"-?\d+(\.\d+)?$"))&gt;=-180,VALUE(REGEXEXTRACT(SUBSTITUTE(TRIM(F783)," ",""),"-?\d+(\.\d+)?$"))&lt;=180),"OK","REVISAR"),"REVISAR"),"")</f>
        <v/>
      </c>
      <c r="O783">
        <f>IF(A783&lt;&gt;"","https://direcciones507.github.io/direcciones507/panel.html?codigo="&amp;A783&amp;"&amp;nombre="&amp;ENCODEURL(B783)&amp;"&amp;telefono="&amp;SUBSTITUTE(C783,"-","")&amp;"&amp;referencia="&amp;ENCODEURL(E783)&amp;"&amp;lat="&amp;IZQUIERDA(SUBSTITUTE(F783," ",""),ENCONTRAR(",",SUBSTITUTE(F783," ",""))-1)&amp;"&amp;lng="&amp;DERECHA(SUBSTITUTE(F783," ",""),LARGO(SUBSTITUTE(F783," ",""))-ENCONTRAR(",",SUBSTITUTE(F783," ",""))),"")</f>
        <v/>
      </c>
    </row>
    <row r="784" ht="15.75" customHeight="1" s="10">
      <c r="A784" s="8">
        <f>CONCAT("AD507-",TEXT(ROW()-2,"0000"))</f>
        <v/>
      </c>
      <c r="C784" s="8" t="n"/>
      <c r="F784" s="8" t="n"/>
      <c r="G784" s="8">
        <f>IF(F784&lt;&gt;"",HYPERLINK("https://www.google.com/maps/search/?api=1&amp;query="&amp;SUBSTITUTE(F784," ",""),"🗺 Google Maps"),"")</f>
        <v/>
      </c>
      <c r="H784" s="8">
        <f>IF(F784&lt;&gt;"",HYPERLINK("https://waze.com/ul?ll="&amp;SUBSTITUTE(F784," ","")&amp;"&amp;navigate=yes","🚗 Waze"),"")</f>
        <v/>
      </c>
      <c r="I784" s="8">
        <f>IF(F784&lt;&gt;"",HYPERLINK("https://m.uber.com/ul/?action=setPickup&amp;pickup=my_location&amp;dropoff[latitude]="&amp;LEFT(SUBSTITUTE(F784," ",""),FIND(",",SUBSTITUTE(F784," ",""))-1)&amp;"&amp;dropoff[longitude]="&amp;MID(SUBSTITUTE(F784," ",""),FIND(",",SUBSTITUTE(F784," ",""))+1,99),"🚕 Uber"),"")</f>
        <v/>
      </c>
      <c r="J784" s="8">
        <f>IF(F784&lt;&gt;"","https://api.qrserver.com/v1/create-qr-code/?size=200x200&amp;data="&amp;ENCODEURL("https://www.google.com/maps/search/?api=1&amp;query="&amp;SUBSTITUTE(F784," ","")),"")</f>
        <v/>
      </c>
      <c r="K784" s="8">
        <f>IF(C784&lt;&gt;"",HYPERLINK("https://wa.me/507"&amp;REGEXREPLACE(C784,"[^0-9]","")&amp;"?text="&amp;ENCODEURL("Ya llegue. Codigo: "&amp;A784&amp;". Ubicacion: "&amp;"https://www.google.com/maps/search/?api=1&amp;query="&amp;SUBSTITUTE(F784," ","")),"📲 Avisar al cliente"),"")</f>
        <v/>
      </c>
      <c r="L784" s="8">
        <f>IF(C784&lt;&gt;"","https://api.qrserver.com/v1/create-qr-code/?size=200x200&amp;data="&amp;ENCODEURL("https://wa.me/507"&amp;REGEXREPLACE(C784,"[^0-9]","")&amp;"?text="&amp;ENCODEURL("Ya llegue. Codigo: "&amp;A784&amp;". Ubicacion: "&amp;"https://www.google.com/maps/search/?api=1&amp;query="&amp;SUBSTITUTE(F784," ",""))),"")</f>
        <v/>
      </c>
      <c r="M784" s="8">
        <f>IF(B784&lt;&gt;"",TODAY(),"")</f>
        <v/>
      </c>
      <c r="N784" s="8">
        <f>IF(F784&lt;&gt;"",IFERROR(IF(AND(REGEXMATCH(SUBSTITUTE(TRIM(F784)," ",""),"^-?\d+(\.\d+)?,-?\d+(\.\d+)?$"),VALUE(REGEXEXTRACT(SUBSTITUTE(TRIM(F784)," ",""),"^-?\d+(\.\d+)?"))&gt;=-90,VALUE(REGEXEXTRACT(SUBSTITUTE(TRIM(F784)," ",""),"^-?\d+(\.\d+)?"))&lt;=90,VALUE(REGEXEXTRACT(SUBSTITUTE(TRIM(F784)," ",""),"-?\d+(\.\d+)?$"))&gt;=-180,VALUE(REGEXEXTRACT(SUBSTITUTE(TRIM(F784)," ",""),"-?\d+(\.\d+)?$"))&lt;=180),"OK","REVISAR"),"REVISAR"),"")</f>
        <v/>
      </c>
      <c r="O784">
        <f>IF(A784&lt;&gt;"","https://direcciones507.github.io/direcciones507/panel.html?codigo="&amp;A784&amp;"&amp;nombre="&amp;ENCODEURL(B784)&amp;"&amp;telefono="&amp;SUBSTITUTE(C784,"-","")&amp;"&amp;referencia="&amp;ENCODEURL(E784)&amp;"&amp;lat="&amp;IZQUIERDA(SUBSTITUTE(F784," ",""),ENCONTRAR(",",SUBSTITUTE(F784," ",""))-1)&amp;"&amp;lng="&amp;DERECHA(SUBSTITUTE(F784," ",""),LARGO(SUBSTITUTE(F784," ",""))-ENCONTRAR(",",SUBSTITUTE(F784," ",""))),"")</f>
        <v/>
      </c>
    </row>
    <row r="785" ht="15.75" customHeight="1" s="10">
      <c r="A785" s="8">
        <f>CONCAT("AD507-",TEXT(ROW()-2,"0000"))</f>
        <v/>
      </c>
      <c r="C785" s="8" t="n"/>
      <c r="F785" s="8" t="n"/>
      <c r="G785" s="8">
        <f>IF(F785&lt;&gt;"",HYPERLINK("https://www.google.com/maps/search/?api=1&amp;query="&amp;SUBSTITUTE(F785," ",""),"🗺 Google Maps"),"")</f>
        <v/>
      </c>
      <c r="H785" s="8">
        <f>IF(F785&lt;&gt;"",HYPERLINK("https://waze.com/ul?ll="&amp;SUBSTITUTE(F785," ","")&amp;"&amp;navigate=yes","🚗 Waze"),"")</f>
        <v/>
      </c>
      <c r="I785" s="8">
        <f>IF(F785&lt;&gt;"",HYPERLINK("https://m.uber.com/ul/?action=setPickup&amp;pickup=my_location&amp;dropoff[latitude]="&amp;LEFT(SUBSTITUTE(F785," ",""),FIND(",",SUBSTITUTE(F785," ",""))-1)&amp;"&amp;dropoff[longitude]="&amp;MID(SUBSTITUTE(F785," ",""),FIND(",",SUBSTITUTE(F785," ",""))+1,99),"🚕 Uber"),"")</f>
        <v/>
      </c>
      <c r="J785" s="8">
        <f>IF(F785&lt;&gt;"","https://api.qrserver.com/v1/create-qr-code/?size=200x200&amp;data="&amp;ENCODEURL("https://www.google.com/maps/search/?api=1&amp;query="&amp;SUBSTITUTE(F785," ","")),"")</f>
        <v/>
      </c>
      <c r="K785" s="8">
        <f>IF(C785&lt;&gt;"",HYPERLINK("https://wa.me/507"&amp;REGEXREPLACE(C785,"[^0-9]","")&amp;"?text="&amp;ENCODEURL("Ya llegue. Codigo: "&amp;A785&amp;". Ubicacion: "&amp;"https://www.google.com/maps/search/?api=1&amp;query="&amp;SUBSTITUTE(F785," ","")),"📲 Avisar al cliente"),"")</f>
        <v/>
      </c>
      <c r="L785" s="8">
        <f>IF(C785&lt;&gt;"","https://api.qrserver.com/v1/create-qr-code/?size=200x200&amp;data="&amp;ENCODEURL("https://wa.me/507"&amp;REGEXREPLACE(C785,"[^0-9]","")&amp;"?text="&amp;ENCODEURL("Ya llegue. Codigo: "&amp;A785&amp;". Ubicacion: "&amp;"https://www.google.com/maps/search/?api=1&amp;query="&amp;SUBSTITUTE(F785," ",""))),"")</f>
        <v/>
      </c>
      <c r="M785" s="8">
        <f>IF(B785&lt;&gt;"",TODAY(),"")</f>
        <v/>
      </c>
      <c r="N785" s="8">
        <f>IF(F785&lt;&gt;"",IFERROR(IF(AND(REGEXMATCH(SUBSTITUTE(TRIM(F785)," ",""),"^-?\d+(\.\d+)?,-?\d+(\.\d+)?$"),VALUE(REGEXEXTRACT(SUBSTITUTE(TRIM(F785)," ",""),"^-?\d+(\.\d+)?"))&gt;=-90,VALUE(REGEXEXTRACT(SUBSTITUTE(TRIM(F785)," ",""),"^-?\d+(\.\d+)?"))&lt;=90,VALUE(REGEXEXTRACT(SUBSTITUTE(TRIM(F785)," ",""),"-?\d+(\.\d+)?$"))&gt;=-180,VALUE(REGEXEXTRACT(SUBSTITUTE(TRIM(F785)," ",""),"-?\d+(\.\d+)?$"))&lt;=180),"OK","REVISAR"),"REVISAR"),"")</f>
        <v/>
      </c>
      <c r="O785">
        <f>IF(A785&lt;&gt;"","https://direcciones507.github.io/direcciones507/panel.html?codigo="&amp;A785&amp;"&amp;nombre="&amp;ENCODEURL(B785)&amp;"&amp;telefono="&amp;SUBSTITUTE(C785,"-","")&amp;"&amp;referencia="&amp;ENCODEURL(E785)&amp;"&amp;lat="&amp;IZQUIERDA(SUBSTITUTE(F785," ",""),ENCONTRAR(",",SUBSTITUTE(F785," ",""))-1)&amp;"&amp;lng="&amp;DERECHA(SUBSTITUTE(F785," ",""),LARGO(SUBSTITUTE(F785," ",""))-ENCONTRAR(",",SUBSTITUTE(F785," ",""))),"")</f>
        <v/>
      </c>
    </row>
    <row r="786" ht="15.75" customHeight="1" s="10">
      <c r="A786" s="8">
        <f>CONCAT("AD507-",TEXT(ROW()-2,"0000"))</f>
        <v/>
      </c>
      <c r="C786" s="8" t="n"/>
      <c r="F786" s="8" t="n"/>
      <c r="G786" s="8">
        <f>IF(F786&lt;&gt;"",HYPERLINK("https://www.google.com/maps/search/?api=1&amp;query="&amp;SUBSTITUTE(F786," ",""),"🗺 Google Maps"),"")</f>
        <v/>
      </c>
      <c r="H786" s="8">
        <f>IF(F786&lt;&gt;"",HYPERLINK("https://waze.com/ul?ll="&amp;SUBSTITUTE(F786," ","")&amp;"&amp;navigate=yes","🚗 Waze"),"")</f>
        <v/>
      </c>
      <c r="I786" s="8">
        <f>IF(F786&lt;&gt;"",HYPERLINK("https://m.uber.com/ul/?action=setPickup&amp;pickup=my_location&amp;dropoff[latitude]="&amp;LEFT(SUBSTITUTE(F786," ",""),FIND(",",SUBSTITUTE(F786," ",""))-1)&amp;"&amp;dropoff[longitude]="&amp;MID(SUBSTITUTE(F786," ",""),FIND(",",SUBSTITUTE(F786," ",""))+1,99),"🚕 Uber"),"")</f>
        <v/>
      </c>
      <c r="J786" s="8">
        <f>IF(F786&lt;&gt;"","https://api.qrserver.com/v1/create-qr-code/?size=200x200&amp;data="&amp;ENCODEURL("https://www.google.com/maps/search/?api=1&amp;query="&amp;SUBSTITUTE(F786," ","")),"")</f>
        <v/>
      </c>
      <c r="K786" s="8">
        <f>IF(C786&lt;&gt;"",HYPERLINK("https://wa.me/507"&amp;REGEXREPLACE(C786,"[^0-9]","")&amp;"?text="&amp;ENCODEURL("Ya llegue. Codigo: "&amp;A786&amp;". Ubicacion: "&amp;"https://www.google.com/maps/search/?api=1&amp;query="&amp;SUBSTITUTE(F786," ","")),"📲 Avisar al cliente"),"")</f>
        <v/>
      </c>
      <c r="L786" s="8">
        <f>IF(C786&lt;&gt;"","https://api.qrserver.com/v1/create-qr-code/?size=200x200&amp;data="&amp;ENCODEURL("https://wa.me/507"&amp;REGEXREPLACE(C786,"[^0-9]","")&amp;"?text="&amp;ENCODEURL("Ya llegue. Codigo: "&amp;A786&amp;". Ubicacion: "&amp;"https://www.google.com/maps/search/?api=1&amp;query="&amp;SUBSTITUTE(F786," ",""))),"")</f>
        <v/>
      </c>
      <c r="M786" s="8">
        <f>IF(B786&lt;&gt;"",TODAY(),"")</f>
        <v/>
      </c>
      <c r="N786" s="8">
        <f>IF(F786&lt;&gt;"",IFERROR(IF(AND(REGEXMATCH(SUBSTITUTE(TRIM(F786)," ",""),"^-?\d+(\.\d+)?,-?\d+(\.\d+)?$"),VALUE(REGEXEXTRACT(SUBSTITUTE(TRIM(F786)," ",""),"^-?\d+(\.\d+)?"))&gt;=-90,VALUE(REGEXEXTRACT(SUBSTITUTE(TRIM(F786)," ",""),"^-?\d+(\.\d+)?"))&lt;=90,VALUE(REGEXEXTRACT(SUBSTITUTE(TRIM(F786)," ",""),"-?\d+(\.\d+)?$"))&gt;=-180,VALUE(REGEXEXTRACT(SUBSTITUTE(TRIM(F786)," ",""),"-?\d+(\.\d+)?$"))&lt;=180),"OK","REVISAR"),"REVISAR"),"")</f>
        <v/>
      </c>
      <c r="O786">
        <f>IF(A786&lt;&gt;"","https://direcciones507.github.io/direcciones507/panel.html?codigo="&amp;A786&amp;"&amp;nombre="&amp;ENCODEURL(B786)&amp;"&amp;telefono="&amp;SUBSTITUTE(C786,"-","")&amp;"&amp;referencia="&amp;ENCODEURL(E786)&amp;"&amp;lat="&amp;IZQUIERDA(SUBSTITUTE(F786," ",""),ENCONTRAR(",",SUBSTITUTE(F786," ",""))-1)&amp;"&amp;lng="&amp;DERECHA(SUBSTITUTE(F786," ",""),LARGO(SUBSTITUTE(F786," ",""))-ENCONTRAR(",",SUBSTITUTE(F786," ",""))),"")</f>
        <v/>
      </c>
    </row>
    <row r="787" ht="15.75" customHeight="1" s="10">
      <c r="A787" s="8">
        <f>CONCAT("AD507-",TEXT(ROW()-2,"0000"))</f>
        <v/>
      </c>
      <c r="C787" s="8" t="n"/>
      <c r="F787" s="8" t="n"/>
      <c r="G787" s="8">
        <f>IF(F787&lt;&gt;"",HYPERLINK("https://www.google.com/maps/search/?api=1&amp;query="&amp;SUBSTITUTE(F787," ",""),"🗺 Google Maps"),"")</f>
        <v/>
      </c>
      <c r="H787" s="8">
        <f>IF(F787&lt;&gt;"",HYPERLINK("https://waze.com/ul?ll="&amp;SUBSTITUTE(F787," ","")&amp;"&amp;navigate=yes","🚗 Waze"),"")</f>
        <v/>
      </c>
      <c r="I787" s="8">
        <f>IF(F787&lt;&gt;"",HYPERLINK("https://m.uber.com/ul/?action=setPickup&amp;pickup=my_location&amp;dropoff[latitude]="&amp;LEFT(SUBSTITUTE(F787," ",""),FIND(",",SUBSTITUTE(F787," ",""))-1)&amp;"&amp;dropoff[longitude]="&amp;MID(SUBSTITUTE(F787," ",""),FIND(",",SUBSTITUTE(F787," ",""))+1,99),"🚕 Uber"),"")</f>
        <v/>
      </c>
      <c r="J787" s="8">
        <f>IF(F787&lt;&gt;"","https://api.qrserver.com/v1/create-qr-code/?size=200x200&amp;data="&amp;ENCODEURL("https://www.google.com/maps/search/?api=1&amp;query="&amp;SUBSTITUTE(F787," ","")),"")</f>
        <v/>
      </c>
      <c r="K787" s="8">
        <f>IF(C787&lt;&gt;"",HYPERLINK("https://wa.me/507"&amp;REGEXREPLACE(C787,"[^0-9]","")&amp;"?text="&amp;ENCODEURL("Ya llegue. Codigo: "&amp;A787&amp;". Ubicacion: "&amp;"https://www.google.com/maps/search/?api=1&amp;query="&amp;SUBSTITUTE(F787," ","")),"📲 Avisar al cliente"),"")</f>
        <v/>
      </c>
      <c r="L787" s="8">
        <f>IF(C787&lt;&gt;"","https://api.qrserver.com/v1/create-qr-code/?size=200x200&amp;data="&amp;ENCODEURL("https://wa.me/507"&amp;REGEXREPLACE(C787,"[^0-9]","")&amp;"?text="&amp;ENCODEURL("Ya llegue. Codigo: "&amp;A787&amp;". Ubicacion: "&amp;"https://www.google.com/maps/search/?api=1&amp;query="&amp;SUBSTITUTE(F787," ",""))),"")</f>
        <v/>
      </c>
      <c r="M787" s="8">
        <f>IF(B787&lt;&gt;"",TODAY(),"")</f>
        <v/>
      </c>
      <c r="N787" s="8">
        <f>IF(F787&lt;&gt;"",IFERROR(IF(AND(REGEXMATCH(SUBSTITUTE(TRIM(F787)," ",""),"^-?\d+(\.\d+)?,-?\d+(\.\d+)?$"),VALUE(REGEXEXTRACT(SUBSTITUTE(TRIM(F787)," ",""),"^-?\d+(\.\d+)?"))&gt;=-90,VALUE(REGEXEXTRACT(SUBSTITUTE(TRIM(F787)," ",""),"^-?\d+(\.\d+)?"))&lt;=90,VALUE(REGEXEXTRACT(SUBSTITUTE(TRIM(F787)," ",""),"-?\d+(\.\d+)?$"))&gt;=-180,VALUE(REGEXEXTRACT(SUBSTITUTE(TRIM(F787)," ",""),"-?\d+(\.\d+)?$"))&lt;=180),"OK","REVISAR"),"REVISAR"),"")</f>
        <v/>
      </c>
      <c r="O787">
        <f>IF(A787&lt;&gt;"","https://direcciones507.github.io/direcciones507/panel.html?codigo="&amp;A787&amp;"&amp;nombre="&amp;ENCODEURL(B787)&amp;"&amp;telefono="&amp;SUBSTITUTE(C787,"-","")&amp;"&amp;referencia="&amp;ENCODEURL(E787)&amp;"&amp;lat="&amp;IZQUIERDA(SUBSTITUTE(F787," ",""),ENCONTRAR(",",SUBSTITUTE(F787," ",""))-1)&amp;"&amp;lng="&amp;DERECHA(SUBSTITUTE(F787," ",""),LARGO(SUBSTITUTE(F787," ",""))-ENCONTRAR(",",SUBSTITUTE(F787," ",""))),"")</f>
        <v/>
      </c>
    </row>
    <row r="788" ht="15.75" customHeight="1" s="10">
      <c r="A788" s="8">
        <f>CONCAT("AD507-",TEXT(ROW()-2,"0000"))</f>
        <v/>
      </c>
      <c r="C788" s="8" t="n"/>
      <c r="F788" s="8" t="n"/>
      <c r="G788" s="8">
        <f>IF(F788&lt;&gt;"",HYPERLINK("https://www.google.com/maps/search/?api=1&amp;query="&amp;SUBSTITUTE(F788," ",""),"🗺 Google Maps"),"")</f>
        <v/>
      </c>
      <c r="H788" s="8">
        <f>IF(F788&lt;&gt;"",HYPERLINK("https://waze.com/ul?ll="&amp;SUBSTITUTE(F788," ","")&amp;"&amp;navigate=yes","🚗 Waze"),"")</f>
        <v/>
      </c>
      <c r="I788" s="8">
        <f>IF(F788&lt;&gt;"",HYPERLINK("https://m.uber.com/ul/?action=setPickup&amp;pickup=my_location&amp;dropoff[latitude]="&amp;LEFT(SUBSTITUTE(F788," ",""),FIND(",",SUBSTITUTE(F788," ",""))-1)&amp;"&amp;dropoff[longitude]="&amp;MID(SUBSTITUTE(F788," ",""),FIND(",",SUBSTITUTE(F788," ",""))+1,99),"🚕 Uber"),"")</f>
        <v/>
      </c>
      <c r="J788" s="8">
        <f>IF(F788&lt;&gt;"","https://api.qrserver.com/v1/create-qr-code/?size=200x200&amp;data="&amp;ENCODEURL("https://www.google.com/maps/search/?api=1&amp;query="&amp;SUBSTITUTE(F788," ","")),"")</f>
        <v/>
      </c>
      <c r="K788" s="8">
        <f>IF(C788&lt;&gt;"",HYPERLINK("https://wa.me/507"&amp;REGEXREPLACE(C788,"[^0-9]","")&amp;"?text="&amp;ENCODEURL("Ya llegue. Codigo: "&amp;A788&amp;". Ubicacion: "&amp;"https://www.google.com/maps/search/?api=1&amp;query="&amp;SUBSTITUTE(F788," ","")),"📲 Avisar al cliente"),"")</f>
        <v/>
      </c>
      <c r="L788" s="8">
        <f>IF(C788&lt;&gt;"","https://api.qrserver.com/v1/create-qr-code/?size=200x200&amp;data="&amp;ENCODEURL("https://wa.me/507"&amp;REGEXREPLACE(C788,"[^0-9]","")&amp;"?text="&amp;ENCODEURL("Ya llegue. Codigo: "&amp;A788&amp;". Ubicacion: "&amp;"https://www.google.com/maps/search/?api=1&amp;query="&amp;SUBSTITUTE(F788," ",""))),"")</f>
        <v/>
      </c>
      <c r="M788" s="8">
        <f>IF(B788&lt;&gt;"",TODAY(),"")</f>
        <v/>
      </c>
      <c r="N788" s="8">
        <f>IF(F788&lt;&gt;"",IFERROR(IF(AND(REGEXMATCH(SUBSTITUTE(TRIM(F788)," ",""),"^-?\d+(\.\d+)?,-?\d+(\.\d+)?$"),VALUE(REGEXEXTRACT(SUBSTITUTE(TRIM(F788)," ",""),"^-?\d+(\.\d+)?"))&gt;=-90,VALUE(REGEXEXTRACT(SUBSTITUTE(TRIM(F788)," ",""),"^-?\d+(\.\d+)?"))&lt;=90,VALUE(REGEXEXTRACT(SUBSTITUTE(TRIM(F788)," ",""),"-?\d+(\.\d+)?$"))&gt;=-180,VALUE(REGEXEXTRACT(SUBSTITUTE(TRIM(F788)," ",""),"-?\d+(\.\d+)?$"))&lt;=180),"OK","REVISAR"),"REVISAR"),"")</f>
        <v/>
      </c>
      <c r="O788">
        <f>IF(A788&lt;&gt;"","https://direcciones507.github.io/direcciones507/panel.html?codigo="&amp;A788&amp;"&amp;nombre="&amp;ENCODEURL(B788)&amp;"&amp;telefono="&amp;SUBSTITUTE(C788,"-","")&amp;"&amp;referencia="&amp;ENCODEURL(E788)&amp;"&amp;lat="&amp;IZQUIERDA(SUBSTITUTE(F788," ",""),ENCONTRAR(",",SUBSTITUTE(F788," ",""))-1)&amp;"&amp;lng="&amp;DERECHA(SUBSTITUTE(F788," ",""),LARGO(SUBSTITUTE(F788," ",""))-ENCONTRAR(",",SUBSTITUTE(F788," ",""))),"")</f>
        <v/>
      </c>
    </row>
    <row r="789" ht="15.75" customHeight="1" s="10">
      <c r="A789" s="8">
        <f>CONCAT("AD507-",TEXT(ROW()-2,"0000"))</f>
        <v/>
      </c>
      <c r="C789" s="8" t="n"/>
      <c r="F789" s="8" t="n"/>
      <c r="G789" s="8">
        <f>IF(F789&lt;&gt;"",HYPERLINK("https://www.google.com/maps/search/?api=1&amp;query="&amp;SUBSTITUTE(F789," ",""),"🗺 Google Maps"),"")</f>
        <v/>
      </c>
      <c r="H789" s="8">
        <f>IF(F789&lt;&gt;"",HYPERLINK("https://waze.com/ul?ll="&amp;SUBSTITUTE(F789," ","")&amp;"&amp;navigate=yes","🚗 Waze"),"")</f>
        <v/>
      </c>
      <c r="I789" s="8">
        <f>IF(F789&lt;&gt;"",HYPERLINK("https://m.uber.com/ul/?action=setPickup&amp;pickup=my_location&amp;dropoff[latitude]="&amp;LEFT(SUBSTITUTE(F789," ",""),FIND(",",SUBSTITUTE(F789," ",""))-1)&amp;"&amp;dropoff[longitude]="&amp;MID(SUBSTITUTE(F789," ",""),FIND(",",SUBSTITUTE(F789," ",""))+1,99),"🚕 Uber"),"")</f>
        <v/>
      </c>
      <c r="J789" s="8">
        <f>IF(F789&lt;&gt;"","https://api.qrserver.com/v1/create-qr-code/?size=200x200&amp;data="&amp;ENCODEURL("https://www.google.com/maps/search/?api=1&amp;query="&amp;SUBSTITUTE(F789," ","")),"")</f>
        <v/>
      </c>
      <c r="K789" s="8">
        <f>IF(C789&lt;&gt;"",HYPERLINK("https://wa.me/507"&amp;REGEXREPLACE(C789,"[^0-9]","")&amp;"?text="&amp;ENCODEURL("Ya llegue. Codigo: "&amp;A789&amp;". Ubicacion: "&amp;"https://www.google.com/maps/search/?api=1&amp;query="&amp;SUBSTITUTE(F789," ","")),"📲 Avisar al cliente"),"")</f>
        <v/>
      </c>
      <c r="L789" s="8">
        <f>IF(C789&lt;&gt;"","https://api.qrserver.com/v1/create-qr-code/?size=200x200&amp;data="&amp;ENCODEURL("https://wa.me/507"&amp;REGEXREPLACE(C789,"[^0-9]","")&amp;"?text="&amp;ENCODEURL("Ya llegue. Codigo: "&amp;A789&amp;". Ubicacion: "&amp;"https://www.google.com/maps/search/?api=1&amp;query="&amp;SUBSTITUTE(F789," ",""))),"")</f>
        <v/>
      </c>
      <c r="M789" s="8">
        <f>IF(B789&lt;&gt;"",TODAY(),"")</f>
        <v/>
      </c>
      <c r="N789" s="8">
        <f>IF(F789&lt;&gt;"",IFERROR(IF(AND(REGEXMATCH(SUBSTITUTE(TRIM(F789)," ",""),"^-?\d+(\.\d+)?,-?\d+(\.\d+)?$"),VALUE(REGEXEXTRACT(SUBSTITUTE(TRIM(F789)," ",""),"^-?\d+(\.\d+)?"))&gt;=-90,VALUE(REGEXEXTRACT(SUBSTITUTE(TRIM(F789)," ",""),"^-?\d+(\.\d+)?"))&lt;=90,VALUE(REGEXEXTRACT(SUBSTITUTE(TRIM(F789)," ",""),"-?\d+(\.\d+)?$"))&gt;=-180,VALUE(REGEXEXTRACT(SUBSTITUTE(TRIM(F789)," ",""),"-?\d+(\.\d+)?$"))&lt;=180),"OK","REVISAR"),"REVISAR"),"")</f>
        <v/>
      </c>
      <c r="O789">
        <f>IF(A789&lt;&gt;"","https://direcciones507.github.io/direcciones507/panel.html?codigo="&amp;A789&amp;"&amp;nombre="&amp;ENCODEURL(B789)&amp;"&amp;telefono="&amp;SUBSTITUTE(C789,"-","")&amp;"&amp;referencia="&amp;ENCODEURL(E789)&amp;"&amp;lat="&amp;IZQUIERDA(SUBSTITUTE(F789," ",""),ENCONTRAR(",",SUBSTITUTE(F789," ",""))-1)&amp;"&amp;lng="&amp;DERECHA(SUBSTITUTE(F789," ",""),LARGO(SUBSTITUTE(F789," ",""))-ENCONTRAR(",",SUBSTITUTE(F789," ",""))),"")</f>
        <v/>
      </c>
    </row>
    <row r="790" ht="15.75" customHeight="1" s="10">
      <c r="A790" s="8">
        <f>CONCAT("AD507-",TEXT(ROW()-2,"0000"))</f>
        <v/>
      </c>
      <c r="C790" s="8" t="n"/>
      <c r="F790" s="8" t="n"/>
      <c r="G790" s="8">
        <f>IF(F790&lt;&gt;"",HYPERLINK("https://www.google.com/maps/search/?api=1&amp;query="&amp;SUBSTITUTE(F790," ",""),"🗺 Google Maps"),"")</f>
        <v/>
      </c>
      <c r="H790" s="8">
        <f>IF(F790&lt;&gt;"",HYPERLINK("https://waze.com/ul?ll="&amp;SUBSTITUTE(F790," ","")&amp;"&amp;navigate=yes","🚗 Waze"),"")</f>
        <v/>
      </c>
      <c r="I790" s="8">
        <f>IF(F790&lt;&gt;"",HYPERLINK("https://m.uber.com/ul/?action=setPickup&amp;pickup=my_location&amp;dropoff[latitude]="&amp;LEFT(SUBSTITUTE(F790," ",""),FIND(",",SUBSTITUTE(F790," ",""))-1)&amp;"&amp;dropoff[longitude]="&amp;MID(SUBSTITUTE(F790," ",""),FIND(",",SUBSTITUTE(F790," ",""))+1,99),"🚕 Uber"),"")</f>
        <v/>
      </c>
      <c r="J790" s="8">
        <f>IF(F790&lt;&gt;"","https://api.qrserver.com/v1/create-qr-code/?size=200x200&amp;data="&amp;ENCODEURL("https://www.google.com/maps/search/?api=1&amp;query="&amp;SUBSTITUTE(F790," ","")),"")</f>
        <v/>
      </c>
      <c r="K790" s="8">
        <f>IF(C790&lt;&gt;"",HYPERLINK("https://wa.me/507"&amp;REGEXREPLACE(C790,"[^0-9]","")&amp;"?text="&amp;ENCODEURL("Ya llegue. Codigo: "&amp;A790&amp;". Ubicacion: "&amp;"https://www.google.com/maps/search/?api=1&amp;query="&amp;SUBSTITUTE(F790," ","")),"📲 Avisar al cliente"),"")</f>
        <v/>
      </c>
      <c r="L790" s="8">
        <f>IF(C790&lt;&gt;"","https://api.qrserver.com/v1/create-qr-code/?size=200x200&amp;data="&amp;ENCODEURL("https://wa.me/507"&amp;REGEXREPLACE(C790,"[^0-9]","")&amp;"?text="&amp;ENCODEURL("Ya llegue. Codigo: "&amp;A790&amp;". Ubicacion: "&amp;"https://www.google.com/maps/search/?api=1&amp;query="&amp;SUBSTITUTE(F790," ",""))),"")</f>
        <v/>
      </c>
      <c r="M790" s="8">
        <f>IF(B790&lt;&gt;"",TODAY(),"")</f>
        <v/>
      </c>
      <c r="N790" s="8">
        <f>IF(F790&lt;&gt;"",IFERROR(IF(AND(REGEXMATCH(SUBSTITUTE(TRIM(F790)," ",""),"^-?\d+(\.\d+)?,-?\d+(\.\d+)?$"),VALUE(REGEXEXTRACT(SUBSTITUTE(TRIM(F790)," ",""),"^-?\d+(\.\d+)?"))&gt;=-90,VALUE(REGEXEXTRACT(SUBSTITUTE(TRIM(F790)," ",""),"^-?\d+(\.\d+)?"))&lt;=90,VALUE(REGEXEXTRACT(SUBSTITUTE(TRIM(F790)," ",""),"-?\d+(\.\d+)?$"))&gt;=-180,VALUE(REGEXEXTRACT(SUBSTITUTE(TRIM(F790)," ",""),"-?\d+(\.\d+)?$"))&lt;=180),"OK","REVISAR"),"REVISAR"),"")</f>
        <v/>
      </c>
      <c r="O790">
        <f>IF(A790&lt;&gt;"","https://direcciones507.github.io/direcciones507/panel.html?codigo="&amp;A790&amp;"&amp;nombre="&amp;ENCODEURL(B790)&amp;"&amp;telefono="&amp;SUBSTITUTE(C790,"-","")&amp;"&amp;referencia="&amp;ENCODEURL(E790)&amp;"&amp;lat="&amp;IZQUIERDA(SUBSTITUTE(F790," ",""),ENCONTRAR(",",SUBSTITUTE(F790," ",""))-1)&amp;"&amp;lng="&amp;DERECHA(SUBSTITUTE(F790," ",""),LARGO(SUBSTITUTE(F790," ",""))-ENCONTRAR(",",SUBSTITUTE(F790," ",""))),"")</f>
        <v/>
      </c>
    </row>
    <row r="791" ht="15.75" customHeight="1" s="10">
      <c r="A791" s="8">
        <f>CONCAT("AD507-",TEXT(ROW()-2,"0000"))</f>
        <v/>
      </c>
      <c r="C791" s="8" t="n"/>
      <c r="F791" s="8" t="n"/>
      <c r="G791" s="8">
        <f>IF(F791&lt;&gt;"",HYPERLINK("https://www.google.com/maps/search/?api=1&amp;query="&amp;SUBSTITUTE(F791," ",""),"🗺 Google Maps"),"")</f>
        <v/>
      </c>
      <c r="H791" s="8">
        <f>IF(F791&lt;&gt;"",HYPERLINK("https://waze.com/ul?ll="&amp;SUBSTITUTE(F791," ","")&amp;"&amp;navigate=yes","🚗 Waze"),"")</f>
        <v/>
      </c>
      <c r="I791" s="8">
        <f>IF(F791&lt;&gt;"",HYPERLINK("https://m.uber.com/ul/?action=setPickup&amp;pickup=my_location&amp;dropoff[latitude]="&amp;LEFT(SUBSTITUTE(F791," ",""),FIND(",",SUBSTITUTE(F791," ",""))-1)&amp;"&amp;dropoff[longitude]="&amp;MID(SUBSTITUTE(F791," ",""),FIND(",",SUBSTITUTE(F791," ",""))+1,99),"🚕 Uber"),"")</f>
        <v/>
      </c>
      <c r="J791" s="8">
        <f>IF(F791&lt;&gt;"","https://api.qrserver.com/v1/create-qr-code/?size=200x200&amp;data="&amp;ENCODEURL("https://www.google.com/maps/search/?api=1&amp;query="&amp;SUBSTITUTE(F791," ","")),"")</f>
        <v/>
      </c>
      <c r="K791" s="8">
        <f>IF(C791&lt;&gt;"",HYPERLINK("https://wa.me/507"&amp;REGEXREPLACE(C791,"[^0-9]","")&amp;"?text="&amp;ENCODEURL("Ya llegue. Codigo: "&amp;A791&amp;". Ubicacion: "&amp;"https://www.google.com/maps/search/?api=1&amp;query="&amp;SUBSTITUTE(F791," ","")),"📲 Avisar al cliente"),"")</f>
        <v/>
      </c>
      <c r="L791" s="8">
        <f>IF(C791&lt;&gt;"","https://api.qrserver.com/v1/create-qr-code/?size=200x200&amp;data="&amp;ENCODEURL("https://wa.me/507"&amp;REGEXREPLACE(C791,"[^0-9]","")&amp;"?text="&amp;ENCODEURL("Ya llegue. Codigo: "&amp;A791&amp;". Ubicacion: "&amp;"https://www.google.com/maps/search/?api=1&amp;query="&amp;SUBSTITUTE(F791," ",""))),"")</f>
        <v/>
      </c>
      <c r="M791" s="8">
        <f>IF(B791&lt;&gt;"",TODAY(),"")</f>
        <v/>
      </c>
      <c r="N791" s="8">
        <f>IF(F791&lt;&gt;"",IFERROR(IF(AND(REGEXMATCH(SUBSTITUTE(TRIM(F791)," ",""),"^-?\d+(\.\d+)?,-?\d+(\.\d+)?$"),VALUE(REGEXEXTRACT(SUBSTITUTE(TRIM(F791)," ",""),"^-?\d+(\.\d+)?"))&gt;=-90,VALUE(REGEXEXTRACT(SUBSTITUTE(TRIM(F791)," ",""),"^-?\d+(\.\d+)?"))&lt;=90,VALUE(REGEXEXTRACT(SUBSTITUTE(TRIM(F791)," ",""),"-?\d+(\.\d+)?$"))&gt;=-180,VALUE(REGEXEXTRACT(SUBSTITUTE(TRIM(F791)," ",""),"-?\d+(\.\d+)?$"))&lt;=180),"OK","REVISAR"),"REVISAR"),"")</f>
        <v/>
      </c>
      <c r="O791">
        <f>IF(A791&lt;&gt;"","https://direcciones507.github.io/direcciones507/panel.html?codigo="&amp;A791&amp;"&amp;nombre="&amp;ENCODEURL(B791)&amp;"&amp;telefono="&amp;SUBSTITUTE(C791,"-","")&amp;"&amp;referencia="&amp;ENCODEURL(E791)&amp;"&amp;lat="&amp;IZQUIERDA(SUBSTITUTE(F791," ",""),ENCONTRAR(",",SUBSTITUTE(F791," ",""))-1)&amp;"&amp;lng="&amp;DERECHA(SUBSTITUTE(F791," ",""),LARGO(SUBSTITUTE(F791," ",""))-ENCONTRAR(",",SUBSTITUTE(F791," ",""))),"")</f>
        <v/>
      </c>
    </row>
    <row r="792" ht="15.75" customHeight="1" s="10">
      <c r="A792" s="8">
        <f>CONCAT("AD507-",TEXT(ROW()-2,"0000"))</f>
        <v/>
      </c>
      <c r="C792" s="8" t="n"/>
      <c r="F792" s="8" t="n"/>
      <c r="G792" s="8">
        <f>IF(F792&lt;&gt;"",HYPERLINK("https://www.google.com/maps/search/?api=1&amp;query="&amp;SUBSTITUTE(F792," ",""),"🗺 Google Maps"),"")</f>
        <v/>
      </c>
      <c r="H792" s="8">
        <f>IF(F792&lt;&gt;"",HYPERLINK("https://waze.com/ul?ll="&amp;SUBSTITUTE(F792," ","")&amp;"&amp;navigate=yes","🚗 Waze"),"")</f>
        <v/>
      </c>
      <c r="I792" s="8">
        <f>IF(F792&lt;&gt;"",HYPERLINK("https://m.uber.com/ul/?action=setPickup&amp;pickup=my_location&amp;dropoff[latitude]="&amp;LEFT(SUBSTITUTE(F792," ",""),FIND(",",SUBSTITUTE(F792," ",""))-1)&amp;"&amp;dropoff[longitude]="&amp;MID(SUBSTITUTE(F792," ",""),FIND(",",SUBSTITUTE(F792," ",""))+1,99),"🚕 Uber"),"")</f>
        <v/>
      </c>
      <c r="J792" s="8">
        <f>IF(F792&lt;&gt;"","https://api.qrserver.com/v1/create-qr-code/?size=200x200&amp;data="&amp;ENCODEURL("https://www.google.com/maps/search/?api=1&amp;query="&amp;SUBSTITUTE(F792," ","")),"")</f>
        <v/>
      </c>
      <c r="K792" s="8">
        <f>IF(C792&lt;&gt;"",HYPERLINK("https://wa.me/507"&amp;REGEXREPLACE(C792,"[^0-9]","")&amp;"?text="&amp;ENCODEURL("Ya llegue. Codigo: "&amp;A792&amp;". Ubicacion: "&amp;"https://www.google.com/maps/search/?api=1&amp;query="&amp;SUBSTITUTE(F792," ","")),"📲 Avisar al cliente"),"")</f>
        <v/>
      </c>
      <c r="L792" s="8">
        <f>IF(C792&lt;&gt;"","https://api.qrserver.com/v1/create-qr-code/?size=200x200&amp;data="&amp;ENCODEURL("https://wa.me/507"&amp;REGEXREPLACE(C792,"[^0-9]","")&amp;"?text="&amp;ENCODEURL("Ya llegue. Codigo: "&amp;A792&amp;". Ubicacion: "&amp;"https://www.google.com/maps/search/?api=1&amp;query="&amp;SUBSTITUTE(F792," ",""))),"")</f>
        <v/>
      </c>
      <c r="M792" s="8">
        <f>IF(B792&lt;&gt;"",TODAY(),"")</f>
        <v/>
      </c>
      <c r="N792" s="8">
        <f>IF(F792&lt;&gt;"",IFERROR(IF(AND(REGEXMATCH(SUBSTITUTE(TRIM(F792)," ",""),"^-?\d+(\.\d+)?,-?\d+(\.\d+)?$"),VALUE(REGEXEXTRACT(SUBSTITUTE(TRIM(F792)," ",""),"^-?\d+(\.\d+)?"))&gt;=-90,VALUE(REGEXEXTRACT(SUBSTITUTE(TRIM(F792)," ",""),"^-?\d+(\.\d+)?"))&lt;=90,VALUE(REGEXEXTRACT(SUBSTITUTE(TRIM(F792)," ",""),"-?\d+(\.\d+)?$"))&gt;=-180,VALUE(REGEXEXTRACT(SUBSTITUTE(TRIM(F792)," ",""),"-?\d+(\.\d+)?$"))&lt;=180),"OK","REVISAR"),"REVISAR"),"")</f>
        <v/>
      </c>
      <c r="O792">
        <f>IF(A792&lt;&gt;"","https://direcciones507.github.io/direcciones507/panel.html?codigo="&amp;A792&amp;"&amp;nombre="&amp;ENCODEURL(B792)&amp;"&amp;telefono="&amp;SUBSTITUTE(C792,"-","")&amp;"&amp;referencia="&amp;ENCODEURL(E792)&amp;"&amp;lat="&amp;IZQUIERDA(SUBSTITUTE(F792," ",""),ENCONTRAR(",",SUBSTITUTE(F792," ",""))-1)&amp;"&amp;lng="&amp;DERECHA(SUBSTITUTE(F792," ",""),LARGO(SUBSTITUTE(F792," ",""))-ENCONTRAR(",",SUBSTITUTE(F792," ",""))),"")</f>
        <v/>
      </c>
    </row>
    <row r="793" ht="15.75" customHeight="1" s="10">
      <c r="A793" s="8">
        <f>CONCAT("AD507-",TEXT(ROW()-2,"0000"))</f>
        <v/>
      </c>
      <c r="C793" s="8" t="n"/>
      <c r="F793" s="8" t="n"/>
      <c r="G793" s="8">
        <f>IF(F793&lt;&gt;"",HYPERLINK("https://www.google.com/maps/search/?api=1&amp;query="&amp;SUBSTITUTE(F793," ",""),"🗺 Google Maps"),"")</f>
        <v/>
      </c>
      <c r="H793" s="8">
        <f>IF(F793&lt;&gt;"",HYPERLINK("https://waze.com/ul?ll="&amp;SUBSTITUTE(F793," ","")&amp;"&amp;navigate=yes","🚗 Waze"),"")</f>
        <v/>
      </c>
      <c r="I793" s="8">
        <f>IF(F793&lt;&gt;"",HYPERLINK("https://m.uber.com/ul/?action=setPickup&amp;pickup=my_location&amp;dropoff[latitude]="&amp;LEFT(SUBSTITUTE(F793," ",""),FIND(",",SUBSTITUTE(F793," ",""))-1)&amp;"&amp;dropoff[longitude]="&amp;MID(SUBSTITUTE(F793," ",""),FIND(",",SUBSTITUTE(F793," ",""))+1,99),"🚕 Uber"),"")</f>
        <v/>
      </c>
      <c r="J793" s="8">
        <f>IF(F793&lt;&gt;"","https://api.qrserver.com/v1/create-qr-code/?size=200x200&amp;data="&amp;ENCODEURL("https://www.google.com/maps/search/?api=1&amp;query="&amp;SUBSTITUTE(F793," ","")),"")</f>
        <v/>
      </c>
      <c r="K793" s="8">
        <f>IF(C793&lt;&gt;"",HYPERLINK("https://wa.me/507"&amp;REGEXREPLACE(C793,"[^0-9]","")&amp;"?text="&amp;ENCODEURL("Ya llegue. Codigo: "&amp;A793&amp;". Ubicacion: "&amp;"https://www.google.com/maps/search/?api=1&amp;query="&amp;SUBSTITUTE(F793," ","")),"📲 Avisar al cliente"),"")</f>
        <v/>
      </c>
      <c r="L793" s="8">
        <f>IF(C793&lt;&gt;"","https://api.qrserver.com/v1/create-qr-code/?size=200x200&amp;data="&amp;ENCODEURL("https://wa.me/507"&amp;REGEXREPLACE(C793,"[^0-9]","")&amp;"?text="&amp;ENCODEURL("Ya llegue. Codigo: "&amp;A793&amp;". Ubicacion: "&amp;"https://www.google.com/maps/search/?api=1&amp;query="&amp;SUBSTITUTE(F793," ",""))),"")</f>
        <v/>
      </c>
      <c r="M793" s="8">
        <f>IF(B793&lt;&gt;"",TODAY(),"")</f>
        <v/>
      </c>
      <c r="N793" s="8">
        <f>IF(F793&lt;&gt;"",IFERROR(IF(AND(REGEXMATCH(SUBSTITUTE(TRIM(F793)," ",""),"^-?\d+(\.\d+)?,-?\d+(\.\d+)?$"),VALUE(REGEXEXTRACT(SUBSTITUTE(TRIM(F793)," ",""),"^-?\d+(\.\d+)?"))&gt;=-90,VALUE(REGEXEXTRACT(SUBSTITUTE(TRIM(F793)," ",""),"^-?\d+(\.\d+)?"))&lt;=90,VALUE(REGEXEXTRACT(SUBSTITUTE(TRIM(F793)," ",""),"-?\d+(\.\d+)?$"))&gt;=-180,VALUE(REGEXEXTRACT(SUBSTITUTE(TRIM(F793)," ",""),"-?\d+(\.\d+)?$"))&lt;=180),"OK","REVISAR"),"REVISAR"),"")</f>
        <v/>
      </c>
      <c r="O793">
        <f>IF(A793&lt;&gt;"","https://direcciones507.github.io/direcciones507/panel.html?codigo="&amp;A793&amp;"&amp;nombre="&amp;ENCODEURL(B793)&amp;"&amp;telefono="&amp;SUBSTITUTE(C793,"-","")&amp;"&amp;referencia="&amp;ENCODEURL(E793)&amp;"&amp;lat="&amp;IZQUIERDA(SUBSTITUTE(F793," ",""),ENCONTRAR(",",SUBSTITUTE(F793," ",""))-1)&amp;"&amp;lng="&amp;DERECHA(SUBSTITUTE(F793," ",""),LARGO(SUBSTITUTE(F793," ",""))-ENCONTRAR(",",SUBSTITUTE(F793," ",""))),"")</f>
        <v/>
      </c>
    </row>
    <row r="794" ht="15.75" customHeight="1" s="10">
      <c r="A794" s="8">
        <f>CONCAT("AD507-",TEXT(ROW()-2,"0000"))</f>
        <v/>
      </c>
      <c r="C794" s="8" t="n"/>
      <c r="F794" s="8" t="n"/>
      <c r="G794" s="8">
        <f>IF(F794&lt;&gt;"",HYPERLINK("https://www.google.com/maps/search/?api=1&amp;query="&amp;SUBSTITUTE(F794," ",""),"🗺 Google Maps"),"")</f>
        <v/>
      </c>
      <c r="H794" s="8">
        <f>IF(F794&lt;&gt;"",HYPERLINK("https://waze.com/ul?ll="&amp;SUBSTITUTE(F794," ","")&amp;"&amp;navigate=yes","🚗 Waze"),"")</f>
        <v/>
      </c>
      <c r="I794" s="8">
        <f>IF(F794&lt;&gt;"",HYPERLINK("https://m.uber.com/ul/?action=setPickup&amp;pickup=my_location&amp;dropoff[latitude]="&amp;LEFT(SUBSTITUTE(F794," ",""),FIND(",",SUBSTITUTE(F794," ",""))-1)&amp;"&amp;dropoff[longitude]="&amp;MID(SUBSTITUTE(F794," ",""),FIND(",",SUBSTITUTE(F794," ",""))+1,99),"🚕 Uber"),"")</f>
        <v/>
      </c>
      <c r="J794" s="8">
        <f>IF(F794&lt;&gt;"","https://api.qrserver.com/v1/create-qr-code/?size=200x200&amp;data="&amp;ENCODEURL("https://www.google.com/maps/search/?api=1&amp;query="&amp;SUBSTITUTE(F794," ","")),"")</f>
        <v/>
      </c>
      <c r="K794" s="8">
        <f>IF(C794&lt;&gt;"",HYPERLINK("https://wa.me/507"&amp;REGEXREPLACE(C794,"[^0-9]","")&amp;"?text="&amp;ENCODEURL("Ya llegue. Codigo: "&amp;A794&amp;". Ubicacion: "&amp;"https://www.google.com/maps/search/?api=1&amp;query="&amp;SUBSTITUTE(F794," ","")),"📲 Avisar al cliente"),"")</f>
        <v/>
      </c>
      <c r="L794" s="8">
        <f>IF(C794&lt;&gt;"","https://api.qrserver.com/v1/create-qr-code/?size=200x200&amp;data="&amp;ENCODEURL("https://wa.me/507"&amp;REGEXREPLACE(C794,"[^0-9]","")&amp;"?text="&amp;ENCODEURL("Ya llegue. Codigo: "&amp;A794&amp;". Ubicacion: "&amp;"https://www.google.com/maps/search/?api=1&amp;query="&amp;SUBSTITUTE(F794," ",""))),"")</f>
        <v/>
      </c>
      <c r="M794" s="8">
        <f>IF(B794&lt;&gt;"",TODAY(),"")</f>
        <v/>
      </c>
      <c r="N794" s="8">
        <f>IF(F794&lt;&gt;"",IFERROR(IF(AND(REGEXMATCH(SUBSTITUTE(TRIM(F794)," ",""),"^-?\d+(\.\d+)?,-?\d+(\.\d+)?$"),VALUE(REGEXEXTRACT(SUBSTITUTE(TRIM(F794)," ",""),"^-?\d+(\.\d+)?"))&gt;=-90,VALUE(REGEXEXTRACT(SUBSTITUTE(TRIM(F794)," ",""),"^-?\d+(\.\d+)?"))&lt;=90,VALUE(REGEXEXTRACT(SUBSTITUTE(TRIM(F794)," ",""),"-?\d+(\.\d+)?$"))&gt;=-180,VALUE(REGEXEXTRACT(SUBSTITUTE(TRIM(F794)," ",""),"-?\d+(\.\d+)?$"))&lt;=180),"OK","REVISAR"),"REVISAR"),"")</f>
        <v/>
      </c>
      <c r="O794">
        <f>IF(A794&lt;&gt;"","https://direcciones507.github.io/direcciones507/panel.html?codigo="&amp;A794&amp;"&amp;nombre="&amp;ENCODEURL(B794)&amp;"&amp;telefono="&amp;SUBSTITUTE(C794,"-","")&amp;"&amp;referencia="&amp;ENCODEURL(E794)&amp;"&amp;lat="&amp;IZQUIERDA(SUBSTITUTE(F794," ",""),ENCONTRAR(",",SUBSTITUTE(F794," ",""))-1)&amp;"&amp;lng="&amp;DERECHA(SUBSTITUTE(F794," ",""),LARGO(SUBSTITUTE(F794," ",""))-ENCONTRAR(",",SUBSTITUTE(F794," ",""))),"")</f>
        <v/>
      </c>
    </row>
    <row r="795" ht="15.75" customHeight="1" s="10">
      <c r="A795" s="8">
        <f>CONCAT("AD507-",TEXT(ROW()-2,"0000"))</f>
        <v/>
      </c>
      <c r="C795" s="8" t="n"/>
      <c r="F795" s="8" t="n"/>
      <c r="G795" s="8">
        <f>IF(F795&lt;&gt;"",HYPERLINK("https://www.google.com/maps/search/?api=1&amp;query="&amp;SUBSTITUTE(F795," ",""),"🗺 Google Maps"),"")</f>
        <v/>
      </c>
      <c r="H795" s="8">
        <f>IF(F795&lt;&gt;"",HYPERLINK("https://waze.com/ul?ll="&amp;SUBSTITUTE(F795," ","")&amp;"&amp;navigate=yes","🚗 Waze"),"")</f>
        <v/>
      </c>
      <c r="I795" s="8">
        <f>IF(F795&lt;&gt;"",HYPERLINK("https://m.uber.com/ul/?action=setPickup&amp;pickup=my_location&amp;dropoff[latitude]="&amp;LEFT(SUBSTITUTE(F795," ",""),FIND(",",SUBSTITUTE(F795," ",""))-1)&amp;"&amp;dropoff[longitude]="&amp;MID(SUBSTITUTE(F795," ",""),FIND(",",SUBSTITUTE(F795," ",""))+1,99),"🚕 Uber"),"")</f>
        <v/>
      </c>
      <c r="J795" s="8">
        <f>IF(F795&lt;&gt;"","https://api.qrserver.com/v1/create-qr-code/?size=200x200&amp;data="&amp;ENCODEURL("https://www.google.com/maps/search/?api=1&amp;query="&amp;SUBSTITUTE(F795," ","")),"")</f>
        <v/>
      </c>
      <c r="K795" s="8">
        <f>IF(C795&lt;&gt;"",HYPERLINK("https://wa.me/507"&amp;REGEXREPLACE(C795,"[^0-9]","")&amp;"?text="&amp;ENCODEURL("Ya llegue. Codigo: "&amp;A795&amp;". Ubicacion: "&amp;"https://www.google.com/maps/search/?api=1&amp;query="&amp;SUBSTITUTE(F795," ","")),"📲 Avisar al cliente"),"")</f>
        <v/>
      </c>
      <c r="L795" s="8">
        <f>IF(C795&lt;&gt;"","https://api.qrserver.com/v1/create-qr-code/?size=200x200&amp;data="&amp;ENCODEURL("https://wa.me/507"&amp;REGEXREPLACE(C795,"[^0-9]","")&amp;"?text="&amp;ENCODEURL("Ya llegue. Codigo: "&amp;A795&amp;". Ubicacion: "&amp;"https://www.google.com/maps/search/?api=1&amp;query="&amp;SUBSTITUTE(F795," ",""))),"")</f>
        <v/>
      </c>
      <c r="M795" s="8">
        <f>IF(B795&lt;&gt;"",TODAY(),"")</f>
        <v/>
      </c>
      <c r="N795" s="8">
        <f>IF(F795&lt;&gt;"",IFERROR(IF(AND(REGEXMATCH(SUBSTITUTE(TRIM(F795)," ",""),"^-?\d+(\.\d+)?,-?\d+(\.\d+)?$"),VALUE(REGEXEXTRACT(SUBSTITUTE(TRIM(F795)," ",""),"^-?\d+(\.\d+)?"))&gt;=-90,VALUE(REGEXEXTRACT(SUBSTITUTE(TRIM(F795)," ",""),"^-?\d+(\.\d+)?"))&lt;=90,VALUE(REGEXEXTRACT(SUBSTITUTE(TRIM(F795)," ",""),"-?\d+(\.\d+)?$"))&gt;=-180,VALUE(REGEXEXTRACT(SUBSTITUTE(TRIM(F795)," ",""),"-?\d+(\.\d+)?$"))&lt;=180),"OK","REVISAR"),"REVISAR"),"")</f>
        <v/>
      </c>
      <c r="O795">
        <f>IF(A795&lt;&gt;"","https://direcciones507.github.io/direcciones507/panel.html?codigo="&amp;A795&amp;"&amp;nombre="&amp;ENCODEURL(B795)&amp;"&amp;telefono="&amp;SUBSTITUTE(C795,"-","")&amp;"&amp;referencia="&amp;ENCODEURL(E795)&amp;"&amp;lat="&amp;IZQUIERDA(SUBSTITUTE(F795," ",""),ENCONTRAR(",",SUBSTITUTE(F795," ",""))-1)&amp;"&amp;lng="&amp;DERECHA(SUBSTITUTE(F795," ",""),LARGO(SUBSTITUTE(F795," ",""))-ENCONTRAR(",",SUBSTITUTE(F795," ",""))),"")</f>
        <v/>
      </c>
    </row>
    <row r="796" ht="15.75" customHeight="1" s="10">
      <c r="A796" s="8">
        <f>CONCAT("AD507-",TEXT(ROW()-2,"0000"))</f>
        <v/>
      </c>
      <c r="C796" s="8" t="n"/>
      <c r="F796" s="8" t="n"/>
      <c r="G796" s="8">
        <f>IF(F796&lt;&gt;"",HYPERLINK("https://www.google.com/maps/search/?api=1&amp;query="&amp;SUBSTITUTE(F796," ",""),"🗺 Google Maps"),"")</f>
        <v/>
      </c>
      <c r="H796" s="8">
        <f>IF(F796&lt;&gt;"",HYPERLINK("https://waze.com/ul?ll="&amp;SUBSTITUTE(F796," ","")&amp;"&amp;navigate=yes","🚗 Waze"),"")</f>
        <v/>
      </c>
      <c r="I796" s="8">
        <f>IF(F796&lt;&gt;"",HYPERLINK("https://m.uber.com/ul/?action=setPickup&amp;pickup=my_location&amp;dropoff[latitude]="&amp;LEFT(SUBSTITUTE(F796," ",""),FIND(",",SUBSTITUTE(F796," ",""))-1)&amp;"&amp;dropoff[longitude]="&amp;MID(SUBSTITUTE(F796," ",""),FIND(",",SUBSTITUTE(F796," ",""))+1,99),"🚕 Uber"),"")</f>
        <v/>
      </c>
      <c r="J796" s="8">
        <f>IF(F796&lt;&gt;"","https://api.qrserver.com/v1/create-qr-code/?size=200x200&amp;data="&amp;ENCODEURL("https://www.google.com/maps/search/?api=1&amp;query="&amp;SUBSTITUTE(F796," ","")),"")</f>
        <v/>
      </c>
      <c r="K796" s="8">
        <f>IF(C796&lt;&gt;"",HYPERLINK("https://wa.me/507"&amp;REGEXREPLACE(C796,"[^0-9]","")&amp;"?text="&amp;ENCODEURL("Ya llegue. Codigo: "&amp;A796&amp;". Ubicacion: "&amp;"https://www.google.com/maps/search/?api=1&amp;query="&amp;SUBSTITUTE(F796," ","")),"📲 Avisar al cliente"),"")</f>
        <v/>
      </c>
      <c r="L796" s="8">
        <f>IF(C796&lt;&gt;"","https://api.qrserver.com/v1/create-qr-code/?size=200x200&amp;data="&amp;ENCODEURL("https://wa.me/507"&amp;REGEXREPLACE(C796,"[^0-9]","")&amp;"?text="&amp;ENCODEURL("Ya llegue. Codigo: "&amp;A796&amp;". Ubicacion: "&amp;"https://www.google.com/maps/search/?api=1&amp;query="&amp;SUBSTITUTE(F796," ",""))),"")</f>
        <v/>
      </c>
      <c r="M796" s="8">
        <f>IF(B796&lt;&gt;"",TODAY(),"")</f>
        <v/>
      </c>
      <c r="N796" s="8">
        <f>IF(F796&lt;&gt;"",IFERROR(IF(AND(REGEXMATCH(SUBSTITUTE(TRIM(F796)," ",""),"^-?\d+(\.\d+)?,-?\d+(\.\d+)?$"),VALUE(REGEXEXTRACT(SUBSTITUTE(TRIM(F796)," ",""),"^-?\d+(\.\d+)?"))&gt;=-90,VALUE(REGEXEXTRACT(SUBSTITUTE(TRIM(F796)," ",""),"^-?\d+(\.\d+)?"))&lt;=90,VALUE(REGEXEXTRACT(SUBSTITUTE(TRIM(F796)," ",""),"-?\d+(\.\d+)?$"))&gt;=-180,VALUE(REGEXEXTRACT(SUBSTITUTE(TRIM(F796)," ",""),"-?\d+(\.\d+)?$"))&lt;=180),"OK","REVISAR"),"REVISAR"),"")</f>
        <v/>
      </c>
      <c r="O796">
        <f>IF(A796&lt;&gt;"","https://direcciones507.github.io/direcciones507/panel.html?codigo="&amp;A796&amp;"&amp;nombre="&amp;ENCODEURL(B796)&amp;"&amp;telefono="&amp;SUBSTITUTE(C796,"-","")&amp;"&amp;referencia="&amp;ENCODEURL(E796)&amp;"&amp;lat="&amp;IZQUIERDA(SUBSTITUTE(F796," ",""),ENCONTRAR(",",SUBSTITUTE(F796," ",""))-1)&amp;"&amp;lng="&amp;DERECHA(SUBSTITUTE(F796," ",""),LARGO(SUBSTITUTE(F796," ",""))-ENCONTRAR(",",SUBSTITUTE(F796," ",""))),"")</f>
        <v/>
      </c>
    </row>
    <row r="797" ht="15.75" customHeight="1" s="10">
      <c r="A797" s="8">
        <f>CONCAT("AD507-",TEXT(ROW()-2,"0000"))</f>
        <v/>
      </c>
      <c r="C797" s="8" t="n"/>
      <c r="F797" s="8" t="n"/>
      <c r="G797" s="8">
        <f>IF(F797&lt;&gt;"",HYPERLINK("https://www.google.com/maps/search/?api=1&amp;query="&amp;SUBSTITUTE(F797," ",""),"🗺 Google Maps"),"")</f>
        <v/>
      </c>
      <c r="H797" s="8">
        <f>IF(F797&lt;&gt;"",HYPERLINK("https://waze.com/ul?ll="&amp;SUBSTITUTE(F797," ","")&amp;"&amp;navigate=yes","🚗 Waze"),"")</f>
        <v/>
      </c>
      <c r="I797" s="8">
        <f>IF(F797&lt;&gt;"",HYPERLINK("https://m.uber.com/ul/?action=setPickup&amp;pickup=my_location&amp;dropoff[latitude]="&amp;LEFT(SUBSTITUTE(F797," ",""),FIND(",",SUBSTITUTE(F797," ",""))-1)&amp;"&amp;dropoff[longitude]="&amp;MID(SUBSTITUTE(F797," ",""),FIND(",",SUBSTITUTE(F797," ",""))+1,99),"🚕 Uber"),"")</f>
        <v/>
      </c>
      <c r="J797" s="8">
        <f>IF(F797&lt;&gt;"","https://api.qrserver.com/v1/create-qr-code/?size=200x200&amp;data="&amp;ENCODEURL("https://www.google.com/maps/search/?api=1&amp;query="&amp;SUBSTITUTE(F797," ","")),"")</f>
        <v/>
      </c>
      <c r="K797" s="8">
        <f>IF(C797&lt;&gt;"",HYPERLINK("https://wa.me/507"&amp;REGEXREPLACE(C797,"[^0-9]","")&amp;"?text="&amp;ENCODEURL("Ya llegue. Codigo: "&amp;A797&amp;". Ubicacion: "&amp;"https://www.google.com/maps/search/?api=1&amp;query="&amp;SUBSTITUTE(F797," ","")),"📲 Avisar al cliente"),"")</f>
        <v/>
      </c>
      <c r="L797" s="8">
        <f>IF(C797&lt;&gt;"","https://api.qrserver.com/v1/create-qr-code/?size=200x200&amp;data="&amp;ENCODEURL("https://wa.me/507"&amp;REGEXREPLACE(C797,"[^0-9]","")&amp;"?text="&amp;ENCODEURL("Ya llegue. Codigo: "&amp;A797&amp;". Ubicacion: "&amp;"https://www.google.com/maps/search/?api=1&amp;query="&amp;SUBSTITUTE(F797," ",""))),"")</f>
        <v/>
      </c>
      <c r="M797" s="8">
        <f>IF(B797&lt;&gt;"",TODAY(),"")</f>
        <v/>
      </c>
      <c r="N797" s="8">
        <f>IF(F797&lt;&gt;"",IFERROR(IF(AND(REGEXMATCH(SUBSTITUTE(TRIM(F797)," ",""),"^-?\d+(\.\d+)?,-?\d+(\.\d+)?$"),VALUE(REGEXEXTRACT(SUBSTITUTE(TRIM(F797)," ",""),"^-?\d+(\.\d+)?"))&gt;=-90,VALUE(REGEXEXTRACT(SUBSTITUTE(TRIM(F797)," ",""),"^-?\d+(\.\d+)?"))&lt;=90,VALUE(REGEXEXTRACT(SUBSTITUTE(TRIM(F797)," ",""),"-?\d+(\.\d+)?$"))&gt;=-180,VALUE(REGEXEXTRACT(SUBSTITUTE(TRIM(F797)," ",""),"-?\d+(\.\d+)?$"))&lt;=180),"OK","REVISAR"),"REVISAR"),"")</f>
        <v/>
      </c>
      <c r="O797">
        <f>IF(A797&lt;&gt;"","https://direcciones507.github.io/direcciones507/panel.html?codigo="&amp;A797&amp;"&amp;nombre="&amp;ENCODEURL(B797)&amp;"&amp;telefono="&amp;SUBSTITUTE(C797,"-","")&amp;"&amp;referencia="&amp;ENCODEURL(E797)&amp;"&amp;lat="&amp;IZQUIERDA(SUBSTITUTE(F797," ",""),ENCONTRAR(",",SUBSTITUTE(F797," ",""))-1)&amp;"&amp;lng="&amp;DERECHA(SUBSTITUTE(F797," ",""),LARGO(SUBSTITUTE(F797," ",""))-ENCONTRAR(",",SUBSTITUTE(F797," ",""))),"")</f>
        <v/>
      </c>
    </row>
    <row r="798" ht="15.75" customHeight="1" s="10">
      <c r="A798" s="8">
        <f>CONCAT("AD507-",TEXT(ROW()-2,"0000"))</f>
        <v/>
      </c>
      <c r="C798" s="8" t="n"/>
      <c r="F798" s="8" t="n"/>
      <c r="G798" s="8">
        <f>IF(F798&lt;&gt;"",HYPERLINK("https://www.google.com/maps/search/?api=1&amp;query="&amp;SUBSTITUTE(F798," ",""),"🗺 Google Maps"),"")</f>
        <v/>
      </c>
      <c r="H798" s="8">
        <f>IF(F798&lt;&gt;"",HYPERLINK("https://waze.com/ul?ll="&amp;SUBSTITUTE(F798," ","")&amp;"&amp;navigate=yes","🚗 Waze"),"")</f>
        <v/>
      </c>
      <c r="I798" s="8">
        <f>IF(F798&lt;&gt;"",HYPERLINK("https://m.uber.com/ul/?action=setPickup&amp;pickup=my_location&amp;dropoff[latitude]="&amp;LEFT(SUBSTITUTE(F798," ",""),FIND(",",SUBSTITUTE(F798," ",""))-1)&amp;"&amp;dropoff[longitude]="&amp;MID(SUBSTITUTE(F798," ",""),FIND(",",SUBSTITUTE(F798," ",""))+1,99),"🚕 Uber"),"")</f>
        <v/>
      </c>
      <c r="J798" s="8">
        <f>IF(F798&lt;&gt;"","https://api.qrserver.com/v1/create-qr-code/?size=200x200&amp;data="&amp;ENCODEURL("https://www.google.com/maps/search/?api=1&amp;query="&amp;SUBSTITUTE(F798," ","")),"")</f>
        <v/>
      </c>
      <c r="K798" s="8">
        <f>IF(C798&lt;&gt;"",HYPERLINK("https://wa.me/507"&amp;REGEXREPLACE(C798,"[^0-9]","")&amp;"?text="&amp;ENCODEURL("Ya llegue. Codigo: "&amp;A798&amp;". Ubicacion: "&amp;"https://www.google.com/maps/search/?api=1&amp;query="&amp;SUBSTITUTE(F798," ","")),"📲 Avisar al cliente"),"")</f>
        <v/>
      </c>
      <c r="L798" s="8">
        <f>IF(C798&lt;&gt;"","https://api.qrserver.com/v1/create-qr-code/?size=200x200&amp;data="&amp;ENCODEURL("https://wa.me/507"&amp;REGEXREPLACE(C798,"[^0-9]","")&amp;"?text="&amp;ENCODEURL("Ya llegue. Codigo: "&amp;A798&amp;". Ubicacion: "&amp;"https://www.google.com/maps/search/?api=1&amp;query="&amp;SUBSTITUTE(F798," ",""))),"")</f>
        <v/>
      </c>
      <c r="M798" s="8">
        <f>IF(B798&lt;&gt;"",TODAY(),"")</f>
        <v/>
      </c>
      <c r="N798" s="8">
        <f>IF(F798&lt;&gt;"",IFERROR(IF(AND(REGEXMATCH(SUBSTITUTE(TRIM(F798)," ",""),"^-?\d+(\.\d+)?,-?\d+(\.\d+)?$"),VALUE(REGEXEXTRACT(SUBSTITUTE(TRIM(F798)," ",""),"^-?\d+(\.\d+)?"))&gt;=-90,VALUE(REGEXEXTRACT(SUBSTITUTE(TRIM(F798)," ",""),"^-?\d+(\.\d+)?"))&lt;=90,VALUE(REGEXEXTRACT(SUBSTITUTE(TRIM(F798)," ",""),"-?\d+(\.\d+)?$"))&gt;=-180,VALUE(REGEXEXTRACT(SUBSTITUTE(TRIM(F798)," ",""),"-?\d+(\.\d+)?$"))&lt;=180),"OK","REVISAR"),"REVISAR"),"")</f>
        <v/>
      </c>
      <c r="O798">
        <f>IF(A798&lt;&gt;"","https://direcciones507.github.io/direcciones507/panel.html?codigo="&amp;A798&amp;"&amp;nombre="&amp;ENCODEURL(B798)&amp;"&amp;telefono="&amp;SUBSTITUTE(C798,"-","")&amp;"&amp;referencia="&amp;ENCODEURL(E798)&amp;"&amp;lat="&amp;IZQUIERDA(SUBSTITUTE(F798," ",""),ENCONTRAR(",",SUBSTITUTE(F798," ",""))-1)&amp;"&amp;lng="&amp;DERECHA(SUBSTITUTE(F798," ",""),LARGO(SUBSTITUTE(F798," ",""))-ENCONTRAR(",",SUBSTITUTE(F798," ",""))),"")</f>
        <v/>
      </c>
    </row>
    <row r="799" ht="15.75" customHeight="1" s="10">
      <c r="A799" s="8">
        <f>CONCAT("AD507-",TEXT(ROW()-2,"0000"))</f>
        <v/>
      </c>
      <c r="C799" s="8" t="n"/>
      <c r="F799" s="8" t="n"/>
      <c r="G799" s="8">
        <f>IF(F799&lt;&gt;"",HYPERLINK("https://www.google.com/maps/search/?api=1&amp;query="&amp;SUBSTITUTE(F799," ",""),"🗺 Google Maps"),"")</f>
        <v/>
      </c>
      <c r="H799" s="8">
        <f>IF(F799&lt;&gt;"",HYPERLINK("https://waze.com/ul?ll="&amp;SUBSTITUTE(F799," ","")&amp;"&amp;navigate=yes","🚗 Waze"),"")</f>
        <v/>
      </c>
      <c r="I799" s="8">
        <f>IF(F799&lt;&gt;"",HYPERLINK("https://m.uber.com/ul/?action=setPickup&amp;pickup=my_location&amp;dropoff[latitude]="&amp;LEFT(SUBSTITUTE(F799," ",""),FIND(",",SUBSTITUTE(F799," ",""))-1)&amp;"&amp;dropoff[longitude]="&amp;MID(SUBSTITUTE(F799," ",""),FIND(",",SUBSTITUTE(F799," ",""))+1,99),"🚕 Uber"),"")</f>
        <v/>
      </c>
      <c r="J799" s="8">
        <f>IF(F799&lt;&gt;"","https://api.qrserver.com/v1/create-qr-code/?size=200x200&amp;data="&amp;ENCODEURL("https://www.google.com/maps/search/?api=1&amp;query="&amp;SUBSTITUTE(F799," ","")),"")</f>
        <v/>
      </c>
      <c r="K799" s="8">
        <f>IF(C799&lt;&gt;"",HYPERLINK("https://wa.me/507"&amp;REGEXREPLACE(C799,"[^0-9]","")&amp;"?text="&amp;ENCODEURL("Ya llegue. Codigo: "&amp;A799&amp;". Ubicacion: "&amp;"https://www.google.com/maps/search/?api=1&amp;query="&amp;SUBSTITUTE(F799," ","")),"📲 Avisar al cliente"),"")</f>
        <v/>
      </c>
      <c r="L799" s="8">
        <f>IF(C799&lt;&gt;"","https://api.qrserver.com/v1/create-qr-code/?size=200x200&amp;data="&amp;ENCODEURL("https://wa.me/507"&amp;REGEXREPLACE(C799,"[^0-9]","")&amp;"?text="&amp;ENCODEURL("Ya llegue. Codigo: "&amp;A799&amp;". Ubicacion: "&amp;"https://www.google.com/maps/search/?api=1&amp;query="&amp;SUBSTITUTE(F799," ",""))),"")</f>
        <v/>
      </c>
      <c r="M799" s="8">
        <f>IF(B799&lt;&gt;"",TODAY(),"")</f>
        <v/>
      </c>
      <c r="N799" s="8">
        <f>IF(F799&lt;&gt;"",IFERROR(IF(AND(REGEXMATCH(SUBSTITUTE(TRIM(F799)," ",""),"^-?\d+(\.\d+)?,-?\d+(\.\d+)?$"),VALUE(REGEXEXTRACT(SUBSTITUTE(TRIM(F799)," ",""),"^-?\d+(\.\d+)?"))&gt;=-90,VALUE(REGEXEXTRACT(SUBSTITUTE(TRIM(F799)," ",""),"^-?\d+(\.\d+)?"))&lt;=90,VALUE(REGEXEXTRACT(SUBSTITUTE(TRIM(F799)," ",""),"-?\d+(\.\d+)?$"))&gt;=-180,VALUE(REGEXEXTRACT(SUBSTITUTE(TRIM(F799)," ",""),"-?\d+(\.\d+)?$"))&lt;=180),"OK","REVISAR"),"REVISAR"),"")</f>
        <v/>
      </c>
      <c r="O799">
        <f>IF(A799&lt;&gt;"","https://direcciones507.github.io/direcciones507/panel.html?codigo="&amp;A799&amp;"&amp;nombre="&amp;ENCODEURL(B799)&amp;"&amp;telefono="&amp;SUBSTITUTE(C799,"-","")&amp;"&amp;referencia="&amp;ENCODEURL(E799)&amp;"&amp;lat="&amp;IZQUIERDA(SUBSTITUTE(F799," ",""),ENCONTRAR(",",SUBSTITUTE(F799," ",""))-1)&amp;"&amp;lng="&amp;DERECHA(SUBSTITUTE(F799," ",""),LARGO(SUBSTITUTE(F799," ",""))-ENCONTRAR(",",SUBSTITUTE(F799," ",""))),"")</f>
        <v/>
      </c>
    </row>
    <row r="800" ht="15.75" customHeight="1" s="10">
      <c r="A800" s="8">
        <f>CONCAT("AD507-",TEXT(ROW()-2,"0000"))</f>
        <v/>
      </c>
      <c r="C800" s="8" t="n"/>
      <c r="F800" s="8" t="n"/>
      <c r="G800" s="8">
        <f>IF(F800&lt;&gt;"",HYPERLINK("https://www.google.com/maps/search/?api=1&amp;query="&amp;SUBSTITUTE(F800," ",""),"🗺 Google Maps"),"")</f>
        <v/>
      </c>
      <c r="H800" s="8">
        <f>IF(F800&lt;&gt;"",HYPERLINK("https://waze.com/ul?ll="&amp;SUBSTITUTE(F800," ","")&amp;"&amp;navigate=yes","🚗 Waze"),"")</f>
        <v/>
      </c>
      <c r="I800" s="8">
        <f>IF(F800&lt;&gt;"",HYPERLINK("https://m.uber.com/ul/?action=setPickup&amp;pickup=my_location&amp;dropoff[latitude]="&amp;LEFT(SUBSTITUTE(F800," ",""),FIND(",",SUBSTITUTE(F800," ",""))-1)&amp;"&amp;dropoff[longitude]="&amp;MID(SUBSTITUTE(F800," ",""),FIND(",",SUBSTITUTE(F800," ",""))+1,99),"🚕 Uber"),"")</f>
        <v/>
      </c>
      <c r="J800" s="8">
        <f>IF(F800&lt;&gt;"","https://api.qrserver.com/v1/create-qr-code/?size=200x200&amp;data="&amp;ENCODEURL("https://www.google.com/maps/search/?api=1&amp;query="&amp;SUBSTITUTE(F800," ","")),"")</f>
        <v/>
      </c>
      <c r="K800" s="8">
        <f>IF(C800&lt;&gt;"",HYPERLINK("https://wa.me/507"&amp;REGEXREPLACE(C800,"[^0-9]","")&amp;"?text="&amp;ENCODEURL("Ya llegue. Codigo: "&amp;A800&amp;". Ubicacion: "&amp;"https://www.google.com/maps/search/?api=1&amp;query="&amp;SUBSTITUTE(F800," ","")),"📲 Avisar al cliente"),"")</f>
        <v/>
      </c>
      <c r="L800" s="8">
        <f>IF(C800&lt;&gt;"","https://api.qrserver.com/v1/create-qr-code/?size=200x200&amp;data="&amp;ENCODEURL("https://wa.me/507"&amp;REGEXREPLACE(C800,"[^0-9]","")&amp;"?text="&amp;ENCODEURL("Ya llegue. Codigo: "&amp;A800&amp;". Ubicacion: "&amp;"https://www.google.com/maps/search/?api=1&amp;query="&amp;SUBSTITUTE(F800," ",""))),"")</f>
        <v/>
      </c>
      <c r="M800" s="8">
        <f>IF(B800&lt;&gt;"",TODAY(),"")</f>
        <v/>
      </c>
      <c r="N800" s="8">
        <f>IF(F800&lt;&gt;"",IFERROR(IF(AND(REGEXMATCH(SUBSTITUTE(TRIM(F800)," ",""),"^-?\d+(\.\d+)?,-?\d+(\.\d+)?$"),VALUE(REGEXEXTRACT(SUBSTITUTE(TRIM(F800)," ",""),"^-?\d+(\.\d+)?"))&gt;=-90,VALUE(REGEXEXTRACT(SUBSTITUTE(TRIM(F800)," ",""),"^-?\d+(\.\d+)?"))&lt;=90,VALUE(REGEXEXTRACT(SUBSTITUTE(TRIM(F800)," ",""),"-?\d+(\.\d+)?$"))&gt;=-180,VALUE(REGEXEXTRACT(SUBSTITUTE(TRIM(F800)," ",""),"-?\d+(\.\d+)?$"))&lt;=180),"OK","REVISAR"),"REVISAR"),"")</f>
        <v/>
      </c>
      <c r="O800">
        <f>IF(A800&lt;&gt;"","https://direcciones507.github.io/direcciones507/panel.html?codigo="&amp;A800&amp;"&amp;nombre="&amp;ENCODEURL(B800)&amp;"&amp;telefono="&amp;SUBSTITUTE(C800,"-","")&amp;"&amp;referencia="&amp;ENCODEURL(E800)&amp;"&amp;lat="&amp;IZQUIERDA(SUBSTITUTE(F800," ",""),ENCONTRAR(",",SUBSTITUTE(F800," ",""))-1)&amp;"&amp;lng="&amp;DERECHA(SUBSTITUTE(F800," ",""),LARGO(SUBSTITUTE(F800," ",""))-ENCONTRAR(",",SUBSTITUTE(F800," ",""))),"")</f>
        <v/>
      </c>
    </row>
    <row r="801" ht="15.75" customHeight="1" s="10">
      <c r="A801" s="8">
        <f>CONCAT("AD507-",TEXT(ROW()-2,"0000"))</f>
        <v/>
      </c>
      <c r="C801" s="8" t="n"/>
      <c r="F801" s="8" t="n"/>
      <c r="G801" s="8">
        <f>IF(F801&lt;&gt;"",HYPERLINK("https://www.google.com/maps/search/?api=1&amp;query="&amp;SUBSTITUTE(F801," ",""),"🗺 Google Maps"),"")</f>
        <v/>
      </c>
      <c r="H801" s="8">
        <f>IF(F801&lt;&gt;"",HYPERLINK("https://waze.com/ul?ll="&amp;SUBSTITUTE(F801," ","")&amp;"&amp;navigate=yes","🚗 Waze"),"")</f>
        <v/>
      </c>
      <c r="I801" s="8">
        <f>IF(F801&lt;&gt;"",HYPERLINK("https://m.uber.com/ul/?action=setPickup&amp;pickup=my_location&amp;dropoff[latitude]="&amp;LEFT(SUBSTITUTE(F801," ",""),FIND(",",SUBSTITUTE(F801," ",""))-1)&amp;"&amp;dropoff[longitude]="&amp;MID(SUBSTITUTE(F801," ",""),FIND(",",SUBSTITUTE(F801," ",""))+1,99),"🚕 Uber"),"")</f>
        <v/>
      </c>
      <c r="J801" s="8">
        <f>IF(F801&lt;&gt;"","https://api.qrserver.com/v1/create-qr-code/?size=200x200&amp;data="&amp;ENCODEURL("https://www.google.com/maps/search/?api=1&amp;query="&amp;SUBSTITUTE(F801," ","")),"")</f>
        <v/>
      </c>
      <c r="K801" s="8">
        <f>IF(C801&lt;&gt;"",HYPERLINK("https://wa.me/507"&amp;REGEXREPLACE(C801,"[^0-9]","")&amp;"?text="&amp;ENCODEURL("Ya llegue. Codigo: "&amp;A801&amp;". Ubicacion: "&amp;"https://www.google.com/maps/search/?api=1&amp;query="&amp;SUBSTITUTE(F801," ","")),"📲 Avisar al cliente"),"")</f>
        <v/>
      </c>
      <c r="L801" s="8">
        <f>IF(C801&lt;&gt;"","https://api.qrserver.com/v1/create-qr-code/?size=200x200&amp;data="&amp;ENCODEURL("https://wa.me/507"&amp;REGEXREPLACE(C801,"[^0-9]","")&amp;"?text="&amp;ENCODEURL("Ya llegue. Codigo: "&amp;A801&amp;". Ubicacion: "&amp;"https://www.google.com/maps/search/?api=1&amp;query="&amp;SUBSTITUTE(F801," ",""))),"")</f>
        <v/>
      </c>
      <c r="M801" s="8">
        <f>IF(B801&lt;&gt;"",TODAY(),"")</f>
        <v/>
      </c>
      <c r="N801" s="8">
        <f>IF(F801&lt;&gt;"",IFERROR(IF(AND(REGEXMATCH(SUBSTITUTE(TRIM(F801)," ",""),"^-?\d+(\.\d+)?,-?\d+(\.\d+)?$"),VALUE(REGEXEXTRACT(SUBSTITUTE(TRIM(F801)," ",""),"^-?\d+(\.\d+)?"))&gt;=-90,VALUE(REGEXEXTRACT(SUBSTITUTE(TRIM(F801)," ",""),"^-?\d+(\.\d+)?"))&lt;=90,VALUE(REGEXEXTRACT(SUBSTITUTE(TRIM(F801)," ",""),"-?\d+(\.\d+)?$"))&gt;=-180,VALUE(REGEXEXTRACT(SUBSTITUTE(TRIM(F801)," ",""),"-?\d+(\.\d+)?$"))&lt;=180),"OK","REVISAR"),"REVISAR"),"")</f>
        <v/>
      </c>
      <c r="O801">
        <f>IF(A801&lt;&gt;"","https://direcciones507.github.io/direcciones507/panel.html?codigo="&amp;A801&amp;"&amp;nombre="&amp;ENCODEURL(B801)&amp;"&amp;telefono="&amp;SUBSTITUTE(C801,"-","")&amp;"&amp;referencia="&amp;ENCODEURL(E801)&amp;"&amp;lat="&amp;IZQUIERDA(SUBSTITUTE(F801," ",""),ENCONTRAR(",",SUBSTITUTE(F801," ",""))-1)&amp;"&amp;lng="&amp;DERECHA(SUBSTITUTE(F801," ",""),LARGO(SUBSTITUTE(F801," ",""))-ENCONTRAR(",",SUBSTITUTE(F801," ",""))),"")</f>
        <v/>
      </c>
    </row>
    <row r="802" ht="15.75" customHeight="1" s="10">
      <c r="A802" s="8">
        <f>CONCAT("AD507-",TEXT(ROW()-2,"0000"))</f>
        <v/>
      </c>
      <c r="C802" s="8" t="n"/>
      <c r="F802" s="8" t="n"/>
      <c r="G802" s="8">
        <f>IF(F802&lt;&gt;"",HYPERLINK("https://www.google.com/maps/search/?api=1&amp;query="&amp;SUBSTITUTE(F802," ",""),"🗺 Google Maps"),"")</f>
        <v/>
      </c>
      <c r="H802" s="8">
        <f>IF(F802&lt;&gt;"",HYPERLINK("https://waze.com/ul?ll="&amp;SUBSTITUTE(F802," ","")&amp;"&amp;navigate=yes","🚗 Waze"),"")</f>
        <v/>
      </c>
      <c r="I802" s="8">
        <f>IF(F802&lt;&gt;"",HYPERLINK("https://m.uber.com/ul/?action=setPickup&amp;pickup=my_location&amp;dropoff[latitude]="&amp;LEFT(SUBSTITUTE(F802," ",""),FIND(",",SUBSTITUTE(F802," ",""))-1)&amp;"&amp;dropoff[longitude]="&amp;MID(SUBSTITUTE(F802," ",""),FIND(",",SUBSTITUTE(F802," ",""))+1,99),"🚕 Uber"),"")</f>
        <v/>
      </c>
      <c r="J802" s="8">
        <f>IF(F802&lt;&gt;"","https://api.qrserver.com/v1/create-qr-code/?size=200x200&amp;data="&amp;ENCODEURL("https://www.google.com/maps/search/?api=1&amp;query="&amp;SUBSTITUTE(F802," ","")),"")</f>
        <v/>
      </c>
      <c r="K802" s="8">
        <f>IF(C802&lt;&gt;"",HYPERLINK("https://wa.me/507"&amp;REGEXREPLACE(C802,"[^0-9]","")&amp;"?text="&amp;ENCODEURL("Ya llegue. Codigo: "&amp;A802&amp;". Ubicacion: "&amp;"https://www.google.com/maps/search/?api=1&amp;query="&amp;SUBSTITUTE(F802," ","")),"📲 Avisar al cliente"),"")</f>
        <v/>
      </c>
      <c r="L802" s="8">
        <f>IF(C802&lt;&gt;"","https://api.qrserver.com/v1/create-qr-code/?size=200x200&amp;data="&amp;ENCODEURL("https://wa.me/507"&amp;REGEXREPLACE(C802,"[^0-9]","")&amp;"?text="&amp;ENCODEURL("Ya llegue. Codigo: "&amp;A802&amp;". Ubicacion: "&amp;"https://www.google.com/maps/search/?api=1&amp;query="&amp;SUBSTITUTE(F802," ",""))),"")</f>
        <v/>
      </c>
      <c r="M802" s="8">
        <f>IF(B802&lt;&gt;"",TODAY(),"")</f>
        <v/>
      </c>
      <c r="N802" s="8">
        <f>IF(F802&lt;&gt;"",IFERROR(IF(AND(REGEXMATCH(SUBSTITUTE(TRIM(F802)," ",""),"^-?\d+(\.\d+)?,-?\d+(\.\d+)?$"),VALUE(REGEXEXTRACT(SUBSTITUTE(TRIM(F802)," ",""),"^-?\d+(\.\d+)?"))&gt;=-90,VALUE(REGEXEXTRACT(SUBSTITUTE(TRIM(F802)," ",""),"^-?\d+(\.\d+)?"))&lt;=90,VALUE(REGEXEXTRACT(SUBSTITUTE(TRIM(F802)," ",""),"-?\d+(\.\d+)?$"))&gt;=-180,VALUE(REGEXEXTRACT(SUBSTITUTE(TRIM(F802)," ",""),"-?\d+(\.\d+)?$"))&lt;=180),"OK","REVISAR"),"REVISAR"),"")</f>
        <v/>
      </c>
      <c r="O802">
        <f>IF(A802&lt;&gt;"","https://direcciones507.github.io/direcciones507/panel.html?codigo="&amp;A802&amp;"&amp;nombre="&amp;ENCODEURL(B802)&amp;"&amp;telefono="&amp;SUBSTITUTE(C802,"-","")&amp;"&amp;referencia="&amp;ENCODEURL(E802)&amp;"&amp;lat="&amp;IZQUIERDA(SUBSTITUTE(F802," ",""),ENCONTRAR(",",SUBSTITUTE(F802," ",""))-1)&amp;"&amp;lng="&amp;DERECHA(SUBSTITUTE(F802," ",""),LARGO(SUBSTITUTE(F802," ",""))-ENCONTRAR(",",SUBSTITUTE(F802," ",""))),"")</f>
        <v/>
      </c>
    </row>
    <row r="803" ht="15.75" customHeight="1" s="10">
      <c r="A803" s="8">
        <f>CONCAT("AD507-",TEXT(ROW()-2,"0000"))</f>
        <v/>
      </c>
      <c r="C803" s="8" t="n"/>
      <c r="F803" s="8" t="n"/>
      <c r="G803" s="8">
        <f>IF(F803&lt;&gt;"",HYPERLINK("https://www.google.com/maps/search/?api=1&amp;query="&amp;SUBSTITUTE(F803," ",""),"🗺 Google Maps"),"")</f>
        <v/>
      </c>
      <c r="H803" s="8">
        <f>IF(F803&lt;&gt;"",HYPERLINK("https://waze.com/ul?ll="&amp;SUBSTITUTE(F803," ","")&amp;"&amp;navigate=yes","🚗 Waze"),"")</f>
        <v/>
      </c>
      <c r="I803" s="8">
        <f>IF(F803&lt;&gt;"",HYPERLINK("https://m.uber.com/ul/?action=setPickup&amp;pickup=my_location&amp;dropoff[latitude]="&amp;LEFT(SUBSTITUTE(F803," ",""),FIND(",",SUBSTITUTE(F803," ",""))-1)&amp;"&amp;dropoff[longitude]="&amp;MID(SUBSTITUTE(F803," ",""),FIND(",",SUBSTITUTE(F803," ",""))+1,99),"🚕 Uber"),"")</f>
        <v/>
      </c>
      <c r="J803" s="8">
        <f>IF(F803&lt;&gt;"","https://api.qrserver.com/v1/create-qr-code/?size=200x200&amp;data="&amp;ENCODEURL("https://www.google.com/maps/search/?api=1&amp;query="&amp;SUBSTITUTE(F803," ","")),"")</f>
        <v/>
      </c>
      <c r="K803" s="8">
        <f>IF(C803&lt;&gt;"",HYPERLINK("https://wa.me/507"&amp;REGEXREPLACE(C803,"[^0-9]","")&amp;"?text="&amp;ENCODEURL("Ya llegue. Codigo: "&amp;A803&amp;". Ubicacion: "&amp;"https://www.google.com/maps/search/?api=1&amp;query="&amp;SUBSTITUTE(F803," ","")),"📲 Avisar al cliente"),"")</f>
        <v/>
      </c>
      <c r="L803" s="8">
        <f>IF(C803&lt;&gt;"","https://api.qrserver.com/v1/create-qr-code/?size=200x200&amp;data="&amp;ENCODEURL("https://wa.me/507"&amp;REGEXREPLACE(C803,"[^0-9]","")&amp;"?text="&amp;ENCODEURL("Ya llegue. Codigo: "&amp;A803&amp;". Ubicacion: "&amp;"https://www.google.com/maps/search/?api=1&amp;query="&amp;SUBSTITUTE(F803," ",""))),"")</f>
        <v/>
      </c>
      <c r="M803" s="8">
        <f>IF(B803&lt;&gt;"",TODAY(),"")</f>
        <v/>
      </c>
      <c r="N803" s="8">
        <f>IF(F803&lt;&gt;"",IFERROR(IF(AND(REGEXMATCH(SUBSTITUTE(TRIM(F803)," ",""),"^-?\d+(\.\d+)?,-?\d+(\.\d+)?$"),VALUE(REGEXEXTRACT(SUBSTITUTE(TRIM(F803)," ",""),"^-?\d+(\.\d+)?"))&gt;=-90,VALUE(REGEXEXTRACT(SUBSTITUTE(TRIM(F803)," ",""),"^-?\d+(\.\d+)?"))&lt;=90,VALUE(REGEXEXTRACT(SUBSTITUTE(TRIM(F803)," ",""),"-?\d+(\.\d+)?$"))&gt;=-180,VALUE(REGEXEXTRACT(SUBSTITUTE(TRIM(F803)," ",""),"-?\d+(\.\d+)?$"))&lt;=180),"OK","REVISAR"),"REVISAR"),"")</f>
        <v/>
      </c>
      <c r="O803">
        <f>IF(A803&lt;&gt;"","https://direcciones507.github.io/direcciones507/panel.html?codigo="&amp;A803&amp;"&amp;nombre="&amp;ENCODEURL(B803)&amp;"&amp;telefono="&amp;SUBSTITUTE(C803,"-","")&amp;"&amp;referencia="&amp;ENCODEURL(E803)&amp;"&amp;lat="&amp;IZQUIERDA(SUBSTITUTE(F803," ",""),ENCONTRAR(",",SUBSTITUTE(F803," ",""))-1)&amp;"&amp;lng="&amp;DERECHA(SUBSTITUTE(F803," ",""),LARGO(SUBSTITUTE(F803," ",""))-ENCONTRAR(",",SUBSTITUTE(F803," ",""))),"")</f>
        <v/>
      </c>
    </row>
    <row r="804" ht="15.75" customHeight="1" s="10">
      <c r="A804" s="8">
        <f>CONCAT("AD507-",TEXT(ROW()-2,"0000"))</f>
        <v/>
      </c>
      <c r="C804" s="8" t="n"/>
      <c r="F804" s="8" t="n"/>
      <c r="G804" s="8">
        <f>IF(F804&lt;&gt;"",HYPERLINK("https://www.google.com/maps/search/?api=1&amp;query="&amp;SUBSTITUTE(F804," ",""),"🗺 Google Maps"),"")</f>
        <v/>
      </c>
      <c r="H804" s="8">
        <f>IF(F804&lt;&gt;"",HYPERLINK("https://waze.com/ul?ll="&amp;SUBSTITUTE(F804," ","")&amp;"&amp;navigate=yes","🚗 Waze"),"")</f>
        <v/>
      </c>
      <c r="I804" s="8">
        <f>IF(F804&lt;&gt;"",HYPERLINK("https://m.uber.com/ul/?action=setPickup&amp;pickup=my_location&amp;dropoff[latitude]="&amp;LEFT(SUBSTITUTE(F804," ",""),FIND(",",SUBSTITUTE(F804," ",""))-1)&amp;"&amp;dropoff[longitude]="&amp;MID(SUBSTITUTE(F804," ",""),FIND(",",SUBSTITUTE(F804," ",""))+1,99),"🚕 Uber"),"")</f>
        <v/>
      </c>
      <c r="J804" s="8">
        <f>IF(F804&lt;&gt;"","https://api.qrserver.com/v1/create-qr-code/?size=200x200&amp;data="&amp;ENCODEURL("https://www.google.com/maps/search/?api=1&amp;query="&amp;SUBSTITUTE(F804," ","")),"")</f>
        <v/>
      </c>
      <c r="K804" s="8">
        <f>IF(C804&lt;&gt;"",HYPERLINK("https://wa.me/507"&amp;REGEXREPLACE(C804,"[^0-9]","")&amp;"?text="&amp;ENCODEURL("Ya llegue. Codigo: "&amp;A804&amp;". Ubicacion: "&amp;"https://www.google.com/maps/search/?api=1&amp;query="&amp;SUBSTITUTE(F804," ","")),"📲 Avisar al cliente"),"")</f>
        <v/>
      </c>
      <c r="L804" s="8">
        <f>IF(C804&lt;&gt;"","https://api.qrserver.com/v1/create-qr-code/?size=200x200&amp;data="&amp;ENCODEURL("https://wa.me/507"&amp;REGEXREPLACE(C804,"[^0-9]","")&amp;"?text="&amp;ENCODEURL("Ya llegue. Codigo: "&amp;A804&amp;". Ubicacion: "&amp;"https://www.google.com/maps/search/?api=1&amp;query="&amp;SUBSTITUTE(F804," ",""))),"")</f>
        <v/>
      </c>
      <c r="M804" s="8">
        <f>IF(B804&lt;&gt;"",TODAY(),"")</f>
        <v/>
      </c>
      <c r="N804" s="8">
        <f>IF(F804&lt;&gt;"",IFERROR(IF(AND(REGEXMATCH(SUBSTITUTE(TRIM(F804)," ",""),"^-?\d+(\.\d+)?,-?\d+(\.\d+)?$"),VALUE(REGEXEXTRACT(SUBSTITUTE(TRIM(F804)," ",""),"^-?\d+(\.\d+)?"))&gt;=-90,VALUE(REGEXEXTRACT(SUBSTITUTE(TRIM(F804)," ",""),"^-?\d+(\.\d+)?"))&lt;=90,VALUE(REGEXEXTRACT(SUBSTITUTE(TRIM(F804)," ",""),"-?\d+(\.\d+)?$"))&gt;=-180,VALUE(REGEXEXTRACT(SUBSTITUTE(TRIM(F804)," ",""),"-?\d+(\.\d+)?$"))&lt;=180),"OK","REVISAR"),"REVISAR"),"")</f>
        <v/>
      </c>
      <c r="O804">
        <f>IF(A804&lt;&gt;"","https://direcciones507.github.io/direcciones507/panel.html?codigo="&amp;A804&amp;"&amp;nombre="&amp;ENCODEURL(B804)&amp;"&amp;telefono="&amp;SUBSTITUTE(C804,"-","")&amp;"&amp;referencia="&amp;ENCODEURL(E804)&amp;"&amp;lat="&amp;IZQUIERDA(SUBSTITUTE(F804," ",""),ENCONTRAR(",",SUBSTITUTE(F804," ",""))-1)&amp;"&amp;lng="&amp;DERECHA(SUBSTITUTE(F804," ",""),LARGO(SUBSTITUTE(F804," ",""))-ENCONTRAR(",",SUBSTITUTE(F804," ",""))),"")</f>
        <v/>
      </c>
    </row>
    <row r="805" ht="15.75" customHeight="1" s="10">
      <c r="A805" s="8">
        <f>CONCAT("AD507-",TEXT(ROW()-2,"0000"))</f>
        <v/>
      </c>
      <c r="C805" s="8" t="n"/>
      <c r="F805" s="8" t="n"/>
      <c r="G805" s="8">
        <f>IF(F805&lt;&gt;"",HYPERLINK("https://www.google.com/maps/search/?api=1&amp;query="&amp;SUBSTITUTE(F805," ",""),"🗺 Google Maps"),"")</f>
        <v/>
      </c>
      <c r="H805" s="8">
        <f>IF(F805&lt;&gt;"",HYPERLINK("https://waze.com/ul?ll="&amp;SUBSTITUTE(F805," ","")&amp;"&amp;navigate=yes","🚗 Waze"),"")</f>
        <v/>
      </c>
      <c r="I805" s="8">
        <f>IF(F805&lt;&gt;"",HYPERLINK("https://m.uber.com/ul/?action=setPickup&amp;pickup=my_location&amp;dropoff[latitude]="&amp;LEFT(SUBSTITUTE(F805," ",""),FIND(",",SUBSTITUTE(F805," ",""))-1)&amp;"&amp;dropoff[longitude]="&amp;MID(SUBSTITUTE(F805," ",""),FIND(",",SUBSTITUTE(F805," ",""))+1,99),"🚕 Uber"),"")</f>
        <v/>
      </c>
      <c r="J805" s="8">
        <f>IF(F805&lt;&gt;"","https://api.qrserver.com/v1/create-qr-code/?size=200x200&amp;data="&amp;ENCODEURL("https://www.google.com/maps/search/?api=1&amp;query="&amp;SUBSTITUTE(F805," ","")),"")</f>
        <v/>
      </c>
      <c r="K805" s="8">
        <f>IF(C805&lt;&gt;"",HYPERLINK("https://wa.me/507"&amp;REGEXREPLACE(C805,"[^0-9]","")&amp;"?text="&amp;ENCODEURL("Ya llegue. Codigo: "&amp;A805&amp;". Ubicacion: "&amp;"https://www.google.com/maps/search/?api=1&amp;query="&amp;SUBSTITUTE(F805," ","")),"📲 Avisar al cliente"),"")</f>
        <v/>
      </c>
      <c r="L805" s="8">
        <f>IF(C805&lt;&gt;"","https://api.qrserver.com/v1/create-qr-code/?size=200x200&amp;data="&amp;ENCODEURL("https://wa.me/507"&amp;REGEXREPLACE(C805,"[^0-9]","")&amp;"?text="&amp;ENCODEURL("Ya llegue. Codigo: "&amp;A805&amp;". Ubicacion: "&amp;"https://www.google.com/maps/search/?api=1&amp;query="&amp;SUBSTITUTE(F805," ",""))),"")</f>
        <v/>
      </c>
      <c r="M805" s="8">
        <f>IF(B805&lt;&gt;"",TODAY(),"")</f>
        <v/>
      </c>
      <c r="N805" s="8">
        <f>IF(F805&lt;&gt;"",IFERROR(IF(AND(REGEXMATCH(SUBSTITUTE(TRIM(F805)," ",""),"^-?\d+(\.\d+)?,-?\d+(\.\d+)?$"),VALUE(REGEXEXTRACT(SUBSTITUTE(TRIM(F805)," ",""),"^-?\d+(\.\d+)?"))&gt;=-90,VALUE(REGEXEXTRACT(SUBSTITUTE(TRIM(F805)," ",""),"^-?\d+(\.\d+)?"))&lt;=90,VALUE(REGEXEXTRACT(SUBSTITUTE(TRIM(F805)," ",""),"-?\d+(\.\d+)?$"))&gt;=-180,VALUE(REGEXEXTRACT(SUBSTITUTE(TRIM(F805)," ",""),"-?\d+(\.\d+)?$"))&lt;=180),"OK","REVISAR"),"REVISAR"),"")</f>
        <v/>
      </c>
      <c r="O805">
        <f>IF(A805&lt;&gt;"","https://direcciones507.github.io/direcciones507/panel.html?codigo="&amp;A805&amp;"&amp;nombre="&amp;ENCODEURL(B805)&amp;"&amp;telefono="&amp;SUBSTITUTE(C805,"-","")&amp;"&amp;referencia="&amp;ENCODEURL(E805)&amp;"&amp;lat="&amp;IZQUIERDA(SUBSTITUTE(F805," ",""),ENCONTRAR(",",SUBSTITUTE(F805," ",""))-1)&amp;"&amp;lng="&amp;DERECHA(SUBSTITUTE(F805," ",""),LARGO(SUBSTITUTE(F805," ",""))-ENCONTRAR(",",SUBSTITUTE(F805," ",""))),"")</f>
        <v/>
      </c>
    </row>
    <row r="806" ht="15.75" customHeight="1" s="10">
      <c r="A806" s="8">
        <f>CONCAT("AD507-",TEXT(ROW()-2,"0000"))</f>
        <v/>
      </c>
      <c r="C806" s="8" t="n"/>
      <c r="F806" s="8" t="n"/>
      <c r="G806" s="8">
        <f>IF(F806&lt;&gt;"",HYPERLINK("https://www.google.com/maps/search/?api=1&amp;query="&amp;SUBSTITUTE(F806," ",""),"🗺 Google Maps"),"")</f>
        <v/>
      </c>
      <c r="H806" s="8">
        <f>IF(F806&lt;&gt;"",HYPERLINK("https://waze.com/ul?ll="&amp;SUBSTITUTE(F806," ","")&amp;"&amp;navigate=yes","🚗 Waze"),"")</f>
        <v/>
      </c>
      <c r="I806" s="8">
        <f>IF(F806&lt;&gt;"",HYPERLINK("https://m.uber.com/ul/?action=setPickup&amp;pickup=my_location&amp;dropoff[latitude]="&amp;LEFT(SUBSTITUTE(F806," ",""),FIND(",",SUBSTITUTE(F806," ",""))-1)&amp;"&amp;dropoff[longitude]="&amp;MID(SUBSTITUTE(F806," ",""),FIND(",",SUBSTITUTE(F806," ",""))+1,99),"🚕 Uber"),"")</f>
        <v/>
      </c>
      <c r="J806" s="8">
        <f>IF(F806&lt;&gt;"","https://api.qrserver.com/v1/create-qr-code/?size=200x200&amp;data="&amp;ENCODEURL("https://www.google.com/maps/search/?api=1&amp;query="&amp;SUBSTITUTE(F806," ","")),"")</f>
        <v/>
      </c>
      <c r="K806" s="8">
        <f>IF(C806&lt;&gt;"",HYPERLINK("https://wa.me/507"&amp;REGEXREPLACE(C806,"[^0-9]","")&amp;"?text="&amp;ENCODEURL("Ya llegue. Codigo: "&amp;A806&amp;". Ubicacion: "&amp;"https://www.google.com/maps/search/?api=1&amp;query="&amp;SUBSTITUTE(F806," ","")),"📲 Avisar al cliente"),"")</f>
        <v/>
      </c>
      <c r="L806" s="8">
        <f>IF(C806&lt;&gt;"","https://api.qrserver.com/v1/create-qr-code/?size=200x200&amp;data="&amp;ENCODEURL("https://wa.me/507"&amp;REGEXREPLACE(C806,"[^0-9]","")&amp;"?text="&amp;ENCODEURL("Ya llegue. Codigo: "&amp;A806&amp;". Ubicacion: "&amp;"https://www.google.com/maps/search/?api=1&amp;query="&amp;SUBSTITUTE(F806," ",""))),"")</f>
        <v/>
      </c>
      <c r="M806" s="8">
        <f>IF(B806&lt;&gt;"",TODAY(),"")</f>
        <v/>
      </c>
      <c r="N806" s="8">
        <f>IF(F806&lt;&gt;"",IFERROR(IF(AND(REGEXMATCH(SUBSTITUTE(TRIM(F806)," ",""),"^-?\d+(\.\d+)?,-?\d+(\.\d+)?$"),VALUE(REGEXEXTRACT(SUBSTITUTE(TRIM(F806)," ",""),"^-?\d+(\.\d+)?"))&gt;=-90,VALUE(REGEXEXTRACT(SUBSTITUTE(TRIM(F806)," ",""),"^-?\d+(\.\d+)?"))&lt;=90,VALUE(REGEXEXTRACT(SUBSTITUTE(TRIM(F806)," ",""),"-?\d+(\.\d+)?$"))&gt;=-180,VALUE(REGEXEXTRACT(SUBSTITUTE(TRIM(F806)," ",""),"-?\d+(\.\d+)?$"))&lt;=180),"OK","REVISAR"),"REVISAR"),"")</f>
        <v/>
      </c>
      <c r="O806">
        <f>IF(A806&lt;&gt;"","https://direcciones507.github.io/direcciones507/panel.html?codigo="&amp;A806&amp;"&amp;nombre="&amp;ENCODEURL(B806)&amp;"&amp;telefono="&amp;SUBSTITUTE(C806,"-","")&amp;"&amp;referencia="&amp;ENCODEURL(E806)&amp;"&amp;lat="&amp;IZQUIERDA(SUBSTITUTE(F806," ",""),ENCONTRAR(",",SUBSTITUTE(F806," ",""))-1)&amp;"&amp;lng="&amp;DERECHA(SUBSTITUTE(F806," ",""),LARGO(SUBSTITUTE(F806," ",""))-ENCONTRAR(",",SUBSTITUTE(F806," ",""))),"")</f>
        <v/>
      </c>
    </row>
    <row r="807" ht="15.75" customHeight="1" s="10">
      <c r="A807" s="8">
        <f>CONCAT("AD507-",TEXT(ROW()-2,"0000"))</f>
        <v/>
      </c>
      <c r="C807" s="8" t="n"/>
      <c r="F807" s="8" t="n"/>
      <c r="G807" s="8">
        <f>IF(F807&lt;&gt;"",HYPERLINK("https://www.google.com/maps/search/?api=1&amp;query="&amp;SUBSTITUTE(F807," ",""),"🗺 Google Maps"),"")</f>
        <v/>
      </c>
      <c r="H807" s="8">
        <f>IF(F807&lt;&gt;"",HYPERLINK("https://waze.com/ul?ll="&amp;SUBSTITUTE(F807," ","")&amp;"&amp;navigate=yes","🚗 Waze"),"")</f>
        <v/>
      </c>
      <c r="I807" s="8">
        <f>IF(F807&lt;&gt;"",HYPERLINK("https://m.uber.com/ul/?action=setPickup&amp;pickup=my_location&amp;dropoff[latitude]="&amp;LEFT(SUBSTITUTE(F807," ",""),FIND(",",SUBSTITUTE(F807," ",""))-1)&amp;"&amp;dropoff[longitude]="&amp;MID(SUBSTITUTE(F807," ",""),FIND(",",SUBSTITUTE(F807," ",""))+1,99),"🚕 Uber"),"")</f>
        <v/>
      </c>
      <c r="J807" s="8">
        <f>IF(F807&lt;&gt;"","https://api.qrserver.com/v1/create-qr-code/?size=200x200&amp;data="&amp;ENCODEURL("https://www.google.com/maps/search/?api=1&amp;query="&amp;SUBSTITUTE(F807," ","")),"")</f>
        <v/>
      </c>
      <c r="K807" s="8">
        <f>IF(C807&lt;&gt;"",HYPERLINK("https://wa.me/507"&amp;REGEXREPLACE(C807,"[^0-9]","")&amp;"?text="&amp;ENCODEURL("Ya llegue. Codigo: "&amp;A807&amp;". Ubicacion: "&amp;"https://www.google.com/maps/search/?api=1&amp;query="&amp;SUBSTITUTE(F807," ","")),"📲 Avisar al cliente"),"")</f>
        <v/>
      </c>
      <c r="L807" s="8">
        <f>IF(C807&lt;&gt;"","https://api.qrserver.com/v1/create-qr-code/?size=200x200&amp;data="&amp;ENCODEURL("https://wa.me/507"&amp;REGEXREPLACE(C807,"[^0-9]","")&amp;"?text="&amp;ENCODEURL("Ya llegue. Codigo: "&amp;A807&amp;". Ubicacion: "&amp;"https://www.google.com/maps/search/?api=1&amp;query="&amp;SUBSTITUTE(F807," ",""))),"")</f>
        <v/>
      </c>
      <c r="M807" s="8">
        <f>IF(B807&lt;&gt;"",TODAY(),"")</f>
        <v/>
      </c>
      <c r="N807" s="8">
        <f>IF(F807&lt;&gt;"",IFERROR(IF(AND(REGEXMATCH(SUBSTITUTE(TRIM(F807)," ",""),"^-?\d+(\.\d+)?,-?\d+(\.\d+)?$"),VALUE(REGEXEXTRACT(SUBSTITUTE(TRIM(F807)," ",""),"^-?\d+(\.\d+)?"))&gt;=-90,VALUE(REGEXEXTRACT(SUBSTITUTE(TRIM(F807)," ",""),"^-?\d+(\.\d+)?"))&lt;=90,VALUE(REGEXEXTRACT(SUBSTITUTE(TRIM(F807)," ",""),"-?\d+(\.\d+)?$"))&gt;=-180,VALUE(REGEXEXTRACT(SUBSTITUTE(TRIM(F807)," ",""),"-?\d+(\.\d+)?$"))&lt;=180),"OK","REVISAR"),"REVISAR"),"")</f>
        <v/>
      </c>
      <c r="O807">
        <f>IF(A807&lt;&gt;"","https://direcciones507.github.io/direcciones507/panel.html?codigo="&amp;A807&amp;"&amp;nombre="&amp;ENCODEURL(B807)&amp;"&amp;telefono="&amp;SUBSTITUTE(C807,"-","")&amp;"&amp;referencia="&amp;ENCODEURL(E807)&amp;"&amp;lat="&amp;IZQUIERDA(SUBSTITUTE(F807," ",""),ENCONTRAR(",",SUBSTITUTE(F807," ",""))-1)&amp;"&amp;lng="&amp;DERECHA(SUBSTITUTE(F807," ",""),LARGO(SUBSTITUTE(F807," ",""))-ENCONTRAR(",",SUBSTITUTE(F807," ",""))),"")</f>
        <v/>
      </c>
    </row>
    <row r="808" ht="15.75" customHeight="1" s="10">
      <c r="A808" s="8">
        <f>CONCAT("AD507-",TEXT(ROW()-2,"0000"))</f>
        <v/>
      </c>
      <c r="C808" s="8" t="n"/>
      <c r="F808" s="8" t="n"/>
      <c r="G808" s="8">
        <f>IF(F808&lt;&gt;"",HYPERLINK("https://www.google.com/maps/search/?api=1&amp;query="&amp;SUBSTITUTE(F808," ",""),"🗺 Google Maps"),"")</f>
        <v/>
      </c>
      <c r="H808" s="8">
        <f>IF(F808&lt;&gt;"",HYPERLINK("https://waze.com/ul?ll="&amp;SUBSTITUTE(F808," ","")&amp;"&amp;navigate=yes","🚗 Waze"),"")</f>
        <v/>
      </c>
      <c r="I808" s="8">
        <f>IF(F808&lt;&gt;"",HYPERLINK("https://m.uber.com/ul/?action=setPickup&amp;pickup=my_location&amp;dropoff[latitude]="&amp;LEFT(SUBSTITUTE(F808," ",""),FIND(",",SUBSTITUTE(F808," ",""))-1)&amp;"&amp;dropoff[longitude]="&amp;MID(SUBSTITUTE(F808," ",""),FIND(",",SUBSTITUTE(F808," ",""))+1,99),"🚕 Uber"),"")</f>
        <v/>
      </c>
      <c r="J808" s="8">
        <f>IF(F808&lt;&gt;"","https://api.qrserver.com/v1/create-qr-code/?size=200x200&amp;data="&amp;ENCODEURL("https://www.google.com/maps/search/?api=1&amp;query="&amp;SUBSTITUTE(F808," ","")),"")</f>
        <v/>
      </c>
      <c r="K808" s="8">
        <f>IF(C808&lt;&gt;"",HYPERLINK("https://wa.me/507"&amp;REGEXREPLACE(C808,"[^0-9]","")&amp;"?text="&amp;ENCODEURL("Ya llegue. Codigo: "&amp;A808&amp;". Ubicacion: "&amp;"https://www.google.com/maps/search/?api=1&amp;query="&amp;SUBSTITUTE(F808," ","")),"📲 Avisar al cliente"),"")</f>
        <v/>
      </c>
      <c r="L808" s="8">
        <f>IF(C808&lt;&gt;"","https://api.qrserver.com/v1/create-qr-code/?size=200x200&amp;data="&amp;ENCODEURL("https://wa.me/507"&amp;REGEXREPLACE(C808,"[^0-9]","")&amp;"?text="&amp;ENCODEURL("Ya llegue. Codigo: "&amp;A808&amp;". Ubicacion: "&amp;"https://www.google.com/maps/search/?api=1&amp;query="&amp;SUBSTITUTE(F808," ",""))),"")</f>
        <v/>
      </c>
      <c r="M808" s="8">
        <f>IF(B808&lt;&gt;"",TODAY(),"")</f>
        <v/>
      </c>
      <c r="N808" s="8">
        <f>IF(F808&lt;&gt;"",IFERROR(IF(AND(REGEXMATCH(SUBSTITUTE(TRIM(F808)," ",""),"^-?\d+(\.\d+)?,-?\d+(\.\d+)?$"),VALUE(REGEXEXTRACT(SUBSTITUTE(TRIM(F808)," ",""),"^-?\d+(\.\d+)?"))&gt;=-90,VALUE(REGEXEXTRACT(SUBSTITUTE(TRIM(F808)," ",""),"^-?\d+(\.\d+)?"))&lt;=90,VALUE(REGEXEXTRACT(SUBSTITUTE(TRIM(F808)," ",""),"-?\d+(\.\d+)?$"))&gt;=-180,VALUE(REGEXEXTRACT(SUBSTITUTE(TRIM(F808)," ",""),"-?\d+(\.\d+)?$"))&lt;=180),"OK","REVISAR"),"REVISAR"),"")</f>
        <v/>
      </c>
      <c r="O808">
        <f>IF(A808&lt;&gt;"","https://direcciones507.github.io/direcciones507/panel.html?codigo="&amp;A808&amp;"&amp;nombre="&amp;ENCODEURL(B808)&amp;"&amp;telefono="&amp;SUBSTITUTE(C808,"-","")&amp;"&amp;referencia="&amp;ENCODEURL(E808)&amp;"&amp;lat="&amp;IZQUIERDA(SUBSTITUTE(F808," ",""),ENCONTRAR(",",SUBSTITUTE(F808," ",""))-1)&amp;"&amp;lng="&amp;DERECHA(SUBSTITUTE(F808," ",""),LARGO(SUBSTITUTE(F808," ",""))-ENCONTRAR(",",SUBSTITUTE(F808," ",""))),"")</f>
        <v/>
      </c>
    </row>
    <row r="809" ht="15.75" customHeight="1" s="10">
      <c r="A809" s="8">
        <f>CONCAT("AD507-",TEXT(ROW()-2,"0000"))</f>
        <v/>
      </c>
      <c r="C809" s="8" t="n"/>
      <c r="F809" s="8" t="n"/>
      <c r="G809" s="8">
        <f>IF(F809&lt;&gt;"",HYPERLINK("https://www.google.com/maps/search/?api=1&amp;query="&amp;SUBSTITUTE(F809," ",""),"🗺 Google Maps"),"")</f>
        <v/>
      </c>
      <c r="H809" s="8">
        <f>IF(F809&lt;&gt;"",HYPERLINK("https://waze.com/ul?ll="&amp;SUBSTITUTE(F809," ","")&amp;"&amp;navigate=yes","🚗 Waze"),"")</f>
        <v/>
      </c>
      <c r="I809" s="8">
        <f>IF(F809&lt;&gt;"",HYPERLINK("https://m.uber.com/ul/?action=setPickup&amp;pickup=my_location&amp;dropoff[latitude]="&amp;LEFT(SUBSTITUTE(F809," ",""),FIND(",",SUBSTITUTE(F809," ",""))-1)&amp;"&amp;dropoff[longitude]="&amp;MID(SUBSTITUTE(F809," ",""),FIND(",",SUBSTITUTE(F809," ",""))+1,99),"🚕 Uber"),"")</f>
        <v/>
      </c>
      <c r="J809" s="8">
        <f>IF(F809&lt;&gt;"","https://api.qrserver.com/v1/create-qr-code/?size=200x200&amp;data="&amp;ENCODEURL("https://www.google.com/maps/search/?api=1&amp;query="&amp;SUBSTITUTE(F809," ","")),"")</f>
        <v/>
      </c>
      <c r="K809" s="8">
        <f>IF(C809&lt;&gt;"",HYPERLINK("https://wa.me/507"&amp;REGEXREPLACE(C809,"[^0-9]","")&amp;"?text="&amp;ENCODEURL("Ya llegue. Codigo: "&amp;A809&amp;". Ubicacion: "&amp;"https://www.google.com/maps/search/?api=1&amp;query="&amp;SUBSTITUTE(F809," ","")),"📲 Avisar al cliente"),"")</f>
        <v/>
      </c>
      <c r="L809" s="8">
        <f>IF(C809&lt;&gt;"","https://api.qrserver.com/v1/create-qr-code/?size=200x200&amp;data="&amp;ENCODEURL("https://wa.me/507"&amp;REGEXREPLACE(C809,"[^0-9]","")&amp;"?text="&amp;ENCODEURL("Ya llegue. Codigo: "&amp;A809&amp;". Ubicacion: "&amp;"https://www.google.com/maps/search/?api=1&amp;query="&amp;SUBSTITUTE(F809," ",""))),"")</f>
        <v/>
      </c>
      <c r="M809" s="8">
        <f>IF(B809&lt;&gt;"",TODAY(),"")</f>
        <v/>
      </c>
      <c r="N809" s="8">
        <f>IF(F809&lt;&gt;"",IFERROR(IF(AND(REGEXMATCH(SUBSTITUTE(TRIM(F809)," ",""),"^-?\d+(\.\d+)?,-?\d+(\.\d+)?$"),VALUE(REGEXEXTRACT(SUBSTITUTE(TRIM(F809)," ",""),"^-?\d+(\.\d+)?"))&gt;=-90,VALUE(REGEXEXTRACT(SUBSTITUTE(TRIM(F809)," ",""),"^-?\d+(\.\d+)?"))&lt;=90,VALUE(REGEXEXTRACT(SUBSTITUTE(TRIM(F809)," ",""),"-?\d+(\.\d+)?$"))&gt;=-180,VALUE(REGEXEXTRACT(SUBSTITUTE(TRIM(F809)," ",""),"-?\d+(\.\d+)?$"))&lt;=180),"OK","REVISAR"),"REVISAR"),"")</f>
        <v/>
      </c>
      <c r="O809">
        <f>IF(A809&lt;&gt;"","https://direcciones507.github.io/direcciones507/panel.html?codigo="&amp;A809&amp;"&amp;nombre="&amp;ENCODEURL(B809)&amp;"&amp;telefono="&amp;SUBSTITUTE(C809,"-","")&amp;"&amp;referencia="&amp;ENCODEURL(E809)&amp;"&amp;lat="&amp;IZQUIERDA(SUBSTITUTE(F809," ",""),ENCONTRAR(",",SUBSTITUTE(F809," ",""))-1)&amp;"&amp;lng="&amp;DERECHA(SUBSTITUTE(F809," ",""),LARGO(SUBSTITUTE(F809," ",""))-ENCONTRAR(",",SUBSTITUTE(F809," ",""))),"")</f>
        <v/>
      </c>
    </row>
    <row r="810" ht="15.75" customHeight="1" s="10">
      <c r="A810" s="8">
        <f>CONCAT("AD507-",TEXT(ROW()-2,"0000"))</f>
        <v/>
      </c>
      <c r="C810" s="8" t="n"/>
      <c r="F810" s="8" t="n"/>
      <c r="G810" s="8">
        <f>IF(F810&lt;&gt;"",HYPERLINK("https://www.google.com/maps/search/?api=1&amp;query="&amp;SUBSTITUTE(F810," ",""),"🗺 Google Maps"),"")</f>
        <v/>
      </c>
      <c r="H810" s="8">
        <f>IF(F810&lt;&gt;"",HYPERLINK("https://waze.com/ul?ll="&amp;SUBSTITUTE(F810," ","")&amp;"&amp;navigate=yes","🚗 Waze"),"")</f>
        <v/>
      </c>
      <c r="I810" s="8">
        <f>IF(F810&lt;&gt;"",HYPERLINK("https://m.uber.com/ul/?action=setPickup&amp;pickup=my_location&amp;dropoff[latitude]="&amp;LEFT(SUBSTITUTE(F810," ",""),FIND(",",SUBSTITUTE(F810," ",""))-1)&amp;"&amp;dropoff[longitude]="&amp;MID(SUBSTITUTE(F810," ",""),FIND(",",SUBSTITUTE(F810," ",""))+1,99),"🚕 Uber"),"")</f>
        <v/>
      </c>
      <c r="J810" s="8">
        <f>IF(F810&lt;&gt;"","https://api.qrserver.com/v1/create-qr-code/?size=200x200&amp;data="&amp;ENCODEURL("https://www.google.com/maps/search/?api=1&amp;query="&amp;SUBSTITUTE(F810," ","")),"")</f>
        <v/>
      </c>
      <c r="K810" s="8">
        <f>IF(C810&lt;&gt;"",HYPERLINK("https://wa.me/507"&amp;REGEXREPLACE(C810,"[^0-9]","")&amp;"?text="&amp;ENCODEURL("Ya llegue. Codigo: "&amp;A810&amp;". Ubicacion: "&amp;"https://www.google.com/maps/search/?api=1&amp;query="&amp;SUBSTITUTE(F810," ","")),"📲 Avisar al cliente"),"")</f>
        <v/>
      </c>
      <c r="L810" s="8">
        <f>IF(C810&lt;&gt;"","https://api.qrserver.com/v1/create-qr-code/?size=200x200&amp;data="&amp;ENCODEURL("https://wa.me/507"&amp;REGEXREPLACE(C810,"[^0-9]","")&amp;"?text="&amp;ENCODEURL("Ya llegue. Codigo: "&amp;A810&amp;". Ubicacion: "&amp;"https://www.google.com/maps/search/?api=1&amp;query="&amp;SUBSTITUTE(F810," ",""))),"")</f>
        <v/>
      </c>
      <c r="M810" s="8">
        <f>IF(B810&lt;&gt;"",TODAY(),"")</f>
        <v/>
      </c>
      <c r="N810" s="8">
        <f>IF(F810&lt;&gt;"",IFERROR(IF(AND(REGEXMATCH(SUBSTITUTE(TRIM(F810)," ",""),"^-?\d+(\.\d+)?,-?\d+(\.\d+)?$"),VALUE(REGEXEXTRACT(SUBSTITUTE(TRIM(F810)," ",""),"^-?\d+(\.\d+)?"))&gt;=-90,VALUE(REGEXEXTRACT(SUBSTITUTE(TRIM(F810)," ",""),"^-?\d+(\.\d+)?"))&lt;=90,VALUE(REGEXEXTRACT(SUBSTITUTE(TRIM(F810)," ",""),"-?\d+(\.\d+)?$"))&gt;=-180,VALUE(REGEXEXTRACT(SUBSTITUTE(TRIM(F810)," ",""),"-?\d+(\.\d+)?$"))&lt;=180),"OK","REVISAR"),"REVISAR"),"")</f>
        <v/>
      </c>
      <c r="O810">
        <f>IF(A810&lt;&gt;"","https://direcciones507.github.io/direcciones507/panel.html?codigo="&amp;A810&amp;"&amp;nombre="&amp;ENCODEURL(B810)&amp;"&amp;telefono="&amp;SUBSTITUTE(C810,"-","")&amp;"&amp;referencia="&amp;ENCODEURL(E810)&amp;"&amp;lat="&amp;IZQUIERDA(SUBSTITUTE(F810," ",""),ENCONTRAR(",",SUBSTITUTE(F810," ",""))-1)&amp;"&amp;lng="&amp;DERECHA(SUBSTITUTE(F810," ",""),LARGO(SUBSTITUTE(F810," ",""))-ENCONTRAR(",",SUBSTITUTE(F810," ",""))),"")</f>
        <v/>
      </c>
    </row>
    <row r="811" ht="15.75" customHeight="1" s="10">
      <c r="A811" s="8">
        <f>CONCAT("AD507-",TEXT(ROW()-2,"0000"))</f>
        <v/>
      </c>
      <c r="C811" s="8" t="n"/>
      <c r="F811" s="8" t="n"/>
      <c r="G811" s="8">
        <f>IF(F811&lt;&gt;"",HYPERLINK("https://www.google.com/maps/search/?api=1&amp;query="&amp;SUBSTITUTE(F811," ",""),"🗺 Google Maps"),"")</f>
        <v/>
      </c>
      <c r="H811" s="8">
        <f>IF(F811&lt;&gt;"",HYPERLINK("https://waze.com/ul?ll="&amp;SUBSTITUTE(F811," ","")&amp;"&amp;navigate=yes","🚗 Waze"),"")</f>
        <v/>
      </c>
      <c r="I811" s="8">
        <f>IF(F811&lt;&gt;"",HYPERLINK("https://m.uber.com/ul/?action=setPickup&amp;pickup=my_location&amp;dropoff[latitude]="&amp;LEFT(SUBSTITUTE(F811," ",""),FIND(",",SUBSTITUTE(F811," ",""))-1)&amp;"&amp;dropoff[longitude]="&amp;MID(SUBSTITUTE(F811," ",""),FIND(",",SUBSTITUTE(F811," ",""))+1,99),"🚕 Uber"),"")</f>
        <v/>
      </c>
      <c r="J811" s="8">
        <f>IF(F811&lt;&gt;"","https://api.qrserver.com/v1/create-qr-code/?size=200x200&amp;data="&amp;ENCODEURL("https://www.google.com/maps/search/?api=1&amp;query="&amp;SUBSTITUTE(F811," ","")),"")</f>
        <v/>
      </c>
      <c r="K811" s="8">
        <f>IF(C811&lt;&gt;"",HYPERLINK("https://wa.me/507"&amp;REGEXREPLACE(C811,"[^0-9]","")&amp;"?text="&amp;ENCODEURL("Ya llegue. Codigo: "&amp;A811&amp;". Ubicacion: "&amp;"https://www.google.com/maps/search/?api=1&amp;query="&amp;SUBSTITUTE(F811," ","")),"📲 Avisar al cliente"),"")</f>
        <v/>
      </c>
      <c r="L811" s="8">
        <f>IF(C811&lt;&gt;"","https://api.qrserver.com/v1/create-qr-code/?size=200x200&amp;data="&amp;ENCODEURL("https://wa.me/507"&amp;REGEXREPLACE(C811,"[^0-9]","")&amp;"?text="&amp;ENCODEURL("Ya llegue. Codigo: "&amp;A811&amp;". Ubicacion: "&amp;"https://www.google.com/maps/search/?api=1&amp;query="&amp;SUBSTITUTE(F811," ",""))),"")</f>
        <v/>
      </c>
      <c r="M811" s="8">
        <f>IF(B811&lt;&gt;"",TODAY(),"")</f>
        <v/>
      </c>
      <c r="N811" s="8">
        <f>IF(F811&lt;&gt;"",IFERROR(IF(AND(REGEXMATCH(SUBSTITUTE(TRIM(F811)," ",""),"^-?\d+(\.\d+)?,-?\d+(\.\d+)?$"),VALUE(REGEXEXTRACT(SUBSTITUTE(TRIM(F811)," ",""),"^-?\d+(\.\d+)?"))&gt;=-90,VALUE(REGEXEXTRACT(SUBSTITUTE(TRIM(F811)," ",""),"^-?\d+(\.\d+)?"))&lt;=90,VALUE(REGEXEXTRACT(SUBSTITUTE(TRIM(F811)," ",""),"-?\d+(\.\d+)?$"))&gt;=-180,VALUE(REGEXEXTRACT(SUBSTITUTE(TRIM(F811)," ",""),"-?\d+(\.\d+)?$"))&lt;=180),"OK","REVISAR"),"REVISAR"),"")</f>
        <v/>
      </c>
      <c r="O811">
        <f>IF(A811&lt;&gt;"","https://direcciones507.github.io/direcciones507/panel.html?codigo="&amp;A811&amp;"&amp;nombre="&amp;ENCODEURL(B811)&amp;"&amp;telefono="&amp;SUBSTITUTE(C811,"-","")&amp;"&amp;referencia="&amp;ENCODEURL(E811)&amp;"&amp;lat="&amp;IZQUIERDA(SUBSTITUTE(F811," ",""),ENCONTRAR(",",SUBSTITUTE(F811," ",""))-1)&amp;"&amp;lng="&amp;DERECHA(SUBSTITUTE(F811," ",""),LARGO(SUBSTITUTE(F811," ",""))-ENCONTRAR(",",SUBSTITUTE(F811," ",""))),"")</f>
        <v/>
      </c>
    </row>
    <row r="812" ht="15.75" customHeight="1" s="10">
      <c r="A812" s="8">
        <f>CONCAT("AD507-",TEXT(ROW()-2,"0000"))</f>
        <v/>
      </c>
      <c r="C812" s="8" t="n"/>
      <c r="F812" s="8" t="n"/>
      <c r="G812" s="8">
        <f>IF(F812&lt;&gt;"",HYPERLINK("https://www.google.com/maps/search/?api=1&amp;query="&amp;SUBSTITUTE(F812," ",""),"🗺 Google Maps"),"")</f>
        <v/>
      </c>
      <c r="H812" s="8">
        <f>IF(F812&lt;&gt;"",HYPERLINK("https://waze.com/ul?ll="&amp;SUBSTITUTE(F812," ","")&amp;"&amp;navigate=yes","🚗 Waze"),"")</f>
        <v/>
      </c>
      <c r="I812" s="8">
        <f>IF(F812&lt;&gt;"",HYPERLINK("https://m.uber.com/ul/?action=setPickup&amp;pickup=my_location&amp;dropoff[latitude]="&amp;LEFT(SUBSTITUTE(F812," ",""),FIND(",",SUBSTITUTE(F812," ",""))-1)&amp;"&amp;dropoff[longitude]="&amp;MID(SUBSTITUTE(F812," ",""),FIND(",",SUBSTITUTE(F812," ",""))+1,99),"🚕 Uber"),"")</f>
        <v/>
      </c>
      <c r="J812" s="8">
        <f>IF(F812&lt;&gt;"","https://api.qrserver.com/v1/create-qr-code/?size=200x200&amp;data="&amp;ENCODEURL("https://www.google.com/maps/search/?api=1&amp;query="&amp;SUBSTITUTE(F812," ","")),"")</f>
        <v/>
      </c>
      <c r="K812" s="8">
        <f>IF(C812&lt;&gt;"",HYPERLINK("https://wa.me/507"&amp;REGEXREPLACE(C812,"[^0-9]","")&amp;"?text="&amp;ENCODEURL("Ya llegue. Codigo: "&amp;A812&amp;". Ubicacion: "&amp;"https://www.google.com/maps/search/?api=1&amp;query="&amp;SUBSTITUTE(F812," ","")),"📲 Avisar al cliente"),"")</f>
        <v/>
      </c>
      <c r="L812" s="8">
        <f>IF(C812&lt;&gt;"","https://api.qrserver.com/v1/create-qr-code/?size=200x200&amp;data="&amp;ENCODEURL("https://wa.me/507"&amp;REGEXREPLACE(C812,"[^0-9]","")&amp;"?text="&amp;ENCODEURL("Ya llegue. Codigo: "&amp;A812&amp;". Ubicacion: "&amp;"https://www.google.com/maps/search/?api=1&amp;query="&amp;SUBSTITUTE(F812," ",""))),"")</f>
        <v/>
      </c>
      <c r="M812" s="8">
        <f>IF(B812&lt;&gt;"",TODAY(),"")</f>
        <v/>
      </c>
      <c r="N812" s="8">
        <f>IF(F812&lt;&gt;"",IFERROR(IF(AND(REGEXMATCH(SUBSTITUTE(TRIM(F812)," ",""),"^-?\d+(\.\d+)?,-?\d+(\.\d+)?$"),VALUE(REGEXEXTRACT(SUBSTITUTE(TRIM(F812)," ",""),"^-?\d+(\.\d+)?"))&gt;=-90,VALUE(REGEXEXTRACT(SUBSTITUTE(TRIM(F812)," ",""),"^-?\d+(\.\d+)?"))&lt;=90,VALUE(REGEXEXTRACT(SUBSTITUTE(TRIM(F812)," ",""),"-?\d+(\.\d+)?$"))&gt;=-180,VALUE(REGEXEXTRACT(SUBSTITUTE(TRIM(F812)," ",""),"-?\d+(\.\d+)?$"))&lt;=180),"OK","REVISAR"),"REVISAR"),"")</f>
        <v/>
      </c>
      <c r="O812">
        <f>IF(A812&lt;&gt;"","https://direcciones507.github.io/direcciones507/panel.html?codigo="&amp;A812&amp;"&amp;nombre="&amp;ENCODEURL(B812)&amp;"&amp;telefono="&amp;SUBSTITUTE(C812,"-","")&amp;"&amp;referencia="&amp;ENCODEURL(E812)&amp;"&amp;lat="&amp;IZQUIERDA(SUBSTITUTE(F812," ",""),ENCONTRAR(",",SUBSTITUTE(F812," ",""))-1)&amp;"&amp;lng="&amp;DERECHA(SUBSTITUTE(F812," ",""),LARGO(SUBSTITUTE(F812," ",""))-ENCONTRAR(",",SUBSTITUTE(F812," ",""))),"")</f>
        <v/>
      </c>
    </row>
    <row r="813" ht="15.75" customHeight="1" s="10">
      <c r="A813" s="8">
        <f>CONCAT("AD507-",TEXT(ROW()-2,"0000"))</f>
        <v/>
      </c>
      <c r="C813" s="8" t="n"/>
      <c r="F813" s="8" t="n"/>
      <c r="G813" s="8">
        <f>IF(F813&lt;&gt;"",HYPERLINK("https://www.google.com/maps/search/?api=1&amp;query="&amp;SUBSTITUTE(F813," ",""),"🗺 Google Maps"),"")</f>
        <v/>
      </c>
      <c r="H813" s="8">
        <f>IF(F813&lt;&gt;"",HYPERLINK("https://waze.com/ul?ll="&amp;SUBSTITUTE(F813," ","")&amp;"&amp;navigate=yes","🚗 Waze"),"")</f>
        <v/>
      </c>
      <c r="I813" s="8">
        <f>IF(F813&lt;&gt;"",HYPERLINK("https://m.uber.com/ul/?action=setPickup&amp;pickup=my_location&amp;dropoff[latitude]="&amp;LEFT(SUBSTITUTE(F813," ",""),FIND(",",SUBSTITUTE(F813," ",""))-1)&amp;"&amp;dropoff[longitude]="&amp;MID(SUBSTITUTE(F813," ",""),FIND(",",SUBSTITUTE(F813," ",""))+1,99),"🚕 Uber"),"")</f>
        <v/>
      </c>
      <c r="J813" s="8">
        <f>IF(F813&lt;&gt;"","https://api.qrserver.com/v1/create-qr-code/?size=200x200&amp;data="&amp;ENCODEURL("https://www.google.com/maps/search/?api=1&amp;query="&amp;SUBSTITUTE(F813," ","")),"")</f>
        <v/>
      </c>
      <c r="K813" s="8">
        <f>IF(C813&lt;&gt;"",HYPERLINK("https://wa.me/507"&amp;REGEXREPLACE(C813,"[^0-9]","")&amp;"?text="&amp;ENCODEURL("Ya llegue. Codigo: "&amp;A813&amp;". Ubicacion: "&amp;"https://www.google.com/maps/search/?api=1&amp;query="&amp;SUBSTITUTE(F813," ","")),"📲 Avisar al cliente"),"")</f>
        <v/>
      </c>
      <c r="L813" s="8">
        <f>IF(C813&lt;&gt;"","https://api.qrserver.com/v1/create-qr-code/?size=200x200&amp;data="&amp;ENCODEURL("https://wa.me/507"&amp;REGEXREPLACE(C813,"[^0-9]","")&amp;"?text="&amp;ENCODEURL("Ya llegue. Codigo: "&amp;A813&amp;". Ubicacion: "&amp;"https://www.google.com/maps/search/?api=1&amp;query="&amp;SUBSTITUTE(F813," ",""))),"")</f>
        <v/>
      </c>
      <c r="M813" s="8">
        <f>IF(B813&lt;&gt;"",TODAY(),"")</f>
        <v/>
      </c>
      <c r="N813" s="8">
        <f>IF(F813&lt;&gt;"",IFERROR(IF(AND(REGEXMATCH(SUBSTITUTE(TRIM(F813)," ",""),"^-?\d+(\.\d+)?,-?\d+(\.\d+)?$"),VALUE(REGEXEXTRACT(SUBSTITUTE(TRIM(F813)," ",""),"^-?\d+(\.\d+)?"))&gt;=-90,VALUE(REGEXEXTRACT(SUBSTITUTE(TRIM(F813)," ",""),"^-?\d+(\.\d+)?"))&lt;=90,VALUE(REGEXEXTRACT(SUBSTITUTE(TRIM(F813)," ",""),"-?\d+(\.\d+)?$"))&gt;=-180,VALUE(REGEXEXTRACT(SUBSTITUTE(TRIM(F813)," ",""),"-?\d+(\.\d+)?$"))&lt;=180),"OK","REVISAR"),"REVISAR"),"")</f>
        <v/>
      </c>
      <c r="O813">
        <f>IF(A813&lt;&gt;"","https://direcciones507.github.io/direcciones507/panel.html?codigo="&amp;A813&amp;"&amp;nombre="&amp;ENCODEURL(B813)&amp;"&amp;telefono="&amp;SUBSTITUTE(C813,"-","")&amp;"&amp;referencia="&amp;ENCODEURL(E813)&amp;"&amp;lat="&amp;IZQUIERDA(SUBSTITUTE(F813," ",""),ENCONTRAR(",",SUBSTITUTE(F813," ",""))-1)&amp;"&amp;lng="&amp;DERECHA(SUBSTITUTE(F813," ",""),LARGO(SUBSTITUTE(F813," ",""))-ENCONTRAR(",",SUBSTITUTE(F813," ",""))),"")</f>
        <v/>
      </c>
    </row>
    <row r="814" ht="15.75" customHeight="1" s="10">
      <c r="A814" s="8">
        <f>CONCAT("AD507-",TEXT(ROW()-2,"0000"))</f>
        <v/>
      </c>
      <c r="C814" s="8" t="n"/>
      <c r="F814" s="8" t="n"/>
      <c r="G814" s="8">
        <f>IF(F814&lt;&gt;"",HYPERLINK("https://www.google.com/maps/search/?api=1&amp;query="&amp;SUBSTITUTE(F814," ",""),"🗺 Google Maps"),"")</f>
        <v/>
      </c>
      <c r="H814" s="8">
        <f>IF(F814&lt;&gt;"",HYPERLINK("https://waze.com/ul?ll="&amp;SUBSTITUTE(F814," ","")&amp;"&amp;navigate=yes","🚗 Waze"),"")</f>
        <v/>
      </c>
      <c r="I814" s="8">
        <f>IF(F814&lt;&gt;"",HYPERLINK("https://m.uber.com/ul/?action=setPickup&amp;pickup=my_location&amp;dropoff[latitude]="&amp;LEFT(SUBSTITUTE(F814," ",""),FIND(",",SUBSTITUTE(F814," ",""))-1)&amp;"&amp;dropoff[longitude]="&amp;MID(SUBSTITUTE(F814," ",""),FIND(",",SUBSTITUTE(F814," ",""))+1,99),"🚕 Uber"),"")</f>
        <v/>
      </c>
      <c r="J814" s="8">
        <f>IF(F814&lt;&gt;"","https://api.qrserver.com/v1/create-qr-code/?size=200x200&amp;data="&amp;ENCODEURL("https://www.google.com/maps/search/?api=1&amp;query="&amp;SUBSTITUTE(F814," ","")),"")</f>
        <v/>
      </c>
      <c r="K814" s="8">
        <f>IF(C814&lt;&gt;"",HYPERLINK("https://wa.me/507"&amp;REGEXREPLACE(C814,"[^0-9]","")&amp;"?text="&amp;ENCODEURL("Ya llegue. Codigo: "&amp;A814&amp;". Ubicacion: "&amp;"https://www.google.com/maps/search/?api=1&amp;query="&amp;SUBSTITUTE(F814," ","")),"📲 Avisar al cliente"),"")</f>
        <v/>
      </c>
      <c r="L814" s="8">
        <f>IF(C814&lt;&gt;"","https://api.qrserver.com/v1/create-qr-code/?size=200x200&amp;data="&amp;ENCODEURL("https://wa.me/507"&amp;REGEXREPLACE(C814,"[^0-9]","")&amp;"?text="&amp;ENCODEURL("Ya llegue. Codigo: "&amp;A814&amp;". Ubicacion: "&amp;"https://www.google.com/maps/search/?api=1&amp;query="&amp;SUBSTITUTE(F814," ",""))),"")</f>
        <v/>
      </c>
      <c r="M814" s="8">
        <f>IF(B814&lt;&gt;"",TODAY(),"")</f>
        <v/>
      </c>
      <c r="N814" s="8">
        <f>IF(F814&lt;&gt;"",IFERROR(IF(AND(REGEXMATCH(SUBSTITUTE(TRIM(F814)," ",""),"^-?\d+(\.\d+)?,-?\d+(\.\d+)?$"),VALUE(REGEXEXTRACT(SUBSTITUTE(TRIM(F814)," ",""),"^-?\d+(\.\d+)?"))&gt;=-90,VALUE(REGEXEXTRACT(SUBSTITUTE(TRIM(F814)," ",""),"^-?\d+(\.\d+)?"))&lt;=90,VALUE(REGEXEXTRACT(SUBSTITUTE(TRIM(F814)," ",""),"-?\d+(\.\d+)?$"))&gt;=-180,VALUE(REGEXEXTRACT(SUBSTITUTE(TRIM(F814)," ",""),"-?\d+(\.\d+)?$"))&lt;=180),"OK","REVISAR"),"REVISAR"),"")</f>
        <v/>
      </c>
      <c r="O814">
        <f>IF(A814&lt;&gt;"","https://direcciones507.github.io/direcciones507/panel.html?codigo="&amp;A814&amp;"&amp;nombre="&amp;ENCODEURL(B814)&amp;"&amp;telefono="&amp;SUBSTITUTE(C814,"-","")&amp;"&amp;referencia="&amp;ENCODEURL(E814)&amp;"&amp;lat="&amp;IZQUIERDA(SUBSTITUTE(F814," ",""),ENCONTRAR(",",SUBSTITUTE(F814," ",""))-1)&amp;"&amp;lng="&amp;DERECHA(SUBSTITUTE(F814," ",""),LARGO(SUBSTITUTE(F814," ",""))-ENCONTRAR(",",SUBSTITUTE(F814," ",""))),"")</f>
        <v/>
      </c>
    </row>
    <row r="815" ht="15.75" customHeight="1" s="10">
      <c r="A815" s="8">
        <f>CONCAT("AD507-",TEXT(ROW()-2,"0000"))</f>
        <v/>
      </c>
      <c r="C815" s="8" t="n"/>
      <c r="F815" s="8" t="n"/>
      <c r="G815" s="8">
        <f>IF(F815&lt;&gt;"",HYPERLINK("https://www.google.com/maps/search/?api=1&amp;query="&amp;SUBSTITUTE(F815," ",""),"🗺 Google Maps"),"")</f>
        <v/>
      </c>
      <c r="H815" s="8">
        <f>IF(F815&lt;&gt;"",HYPERLINK("https://waze.com/ul?ll="&amp;SUBSTITUTE(F815," ","")&amp;"&amp;navigate=yes","🚗 Waze"),"")</f>
        <v/>
      </c>
      <c r="I815" s="8">
        <f>IF(F815&lt;&gt;"",HYPERLINK("https://m.uber.com/ul/?action=setPickup&amp;pickup=my_location&amp;dropoff[latitude]="&amp;LEFT(SUBSTITUTE(F815," ",""),FIND(",",SUBSTITUTE(F815," ",""))-1)&amp;"&amp;dropoff[longitude]="&amp;MID(SUBSTITUTE(F815," ",""),FIND(",",SUBSTITUTE(F815," ",""))+1,99),"🚕 Uber"),"")</f>
        <v/>
      </c>
      <c r="J815" s="8">
        <f>IF(F815&lt;&gt;"","https://api.qrserver.com/v1/create-qr-code/?size=200x200&amp;data="&amp;ENCODEURL("https://www.google.com/maps/search/?api=1&amp;query="&amp;SUBSTITUTE(F815," ","")),"")</f>
        <v/>
      </c>
      <c r="K815" s="8">
        <f>IF(C815&lt;&gt;"",HYPERLINK("https://wa.me/507"&amp;REGEXREPLACE(C815,"[^0-9]","")&amp;"?text="&amp;ENCODEURL("Ya llegue. Codigo: "&amp;A815&amp;". Ubicacion: "&amp;"https://www.google.com/maps/search/?api=1&amp;query="&amp;SUBSTITUTE(F815," ","")),"📲 Avisar al cliente"),"")</f>
        <v/>
      </c>
      <c r="L815" s="8">
        <f>IF(C815&lt;&gt;"","https://api.qrserver.com/v1/create-qr-code/?size=200x200&amp;data="&amp;ENCODEURL("https://wa.me/507"&amp;REGEXREPLACE(C815,"[^0-9]","")&amp;"?text="&amp;ENCODEURL("Ya llegue. Codigo: "&amp;A815&amp;". Ubicacion: "&amp;"https://www.google.com/maps/search/?api=1&amp;query="&amp;SUBSTITUTE(F815," ",""))),"")</f>
        <v/>
      </c>
      <c r="M815" s="8">
        <f>IF(B815&lt;&gt;"",TODAY(),"")</f>
        <v/>
      </c>
      <c r="N815" s="8">
        <f>IF(F815&lt;&gt;"",IFERROR(IF(AND(REGEXMATCH(SUBSTITUTE(TRIM(F815)," ",""),"^-?\d+(\.\d+)?,-?\d+(\.\d+)?$"),VALUE(REGEXEXTRACT(SUBSTITUTE(TRIM(F815)," ",""),"^-?\d+(\.\d+)?"))&gt;=-90,VALUE(REGEXEXTRACT(SUBSTITUTE(TRIM(F815)," ",""),"^-?\d+(\.\d+)?"))&lt;=90,VALUE(REGEXEXTRACT(SUBSTITUTE(TRIM(F815)," ",""),"-?\d+(\.\d+)?$"))&gt;=-180,VALUE(REGEXEXTRACT(SUBSTITUTE(TRIM(F815)," ",""),"-?\d+(\.\d+)?$"))&lt;=180),"OK","REVISAR"),"REVISAR"),"")</f>
        <v/>
      </c>
      <c r="O815">
        <f>IF(A815&lt;&gt;"","https://direcciones507.github.io/direcciones507/panel.html?codigo="&amp;A815&amp;"&amp;nombre="&amp;ENCODEURL(B815)&amp;"&amp;telefono="&amp;SUBSTITUTE(C815,"-","")&amp;"&amp;referencia="&amp;ENCODEURL(E815)&amp;"&amp;lat="&amp;IZQUIERDA(SUBSTITUTE(F815," ",""),ENCONTRAR(",",SUBSTITUTE(F815," ",""))-1)&amp;"&amp;lng="&amp;DERECHA(SUBSTITUTE(F815," ",""),LARGO(SUBSTITUTE(F815," ",""))-ENCONTRAR(",",SUBSTITUTE(F815," ",""))),"")</f>
        <v/>
      </c>
    </row>
    <row r="816" ht="15.75" customHeight="1" s="10">
      <c r="A816" s="8">
        <f>CONCAT("AD507-",TEXT(ROW()-2,"0000"))</f>
        <v/>
      </c>
      <c r="C816" s="8" t="n"/>
      <c r="F816" s="8" t="n"/>
      <c r="G816" s="8">
        <f>IF(F816&lt;&gt;"",HYPERLINK("https://www.google.com/maps/search/?api=1&amp;query="&amp;SUBSTITUTE(F816," ",""),"🗺 Google Maps"),"")</f>
        <v/>
      </c>
      <c r="H816" s="8">
        <f>IF(F816&lt;&gt;"",HYPERLINK("https://waze.com/ul?ll="&amp;SUBSTITUTE(F816," ","")&amp;"&amp;navigate=yes","🚗 Waze"),"")</f>
        <v/>
      </c>
      <c r="I816" s="8">
        <f>IF(F816&lt;&gt;"",HYPERLINK("https://m.uber.com/ul/?action=setPickup&amp;pickup=my_location&amp;dropoff[latitude]="&amp;LEFT(SUBSTITUTE(F816," ",""),FIND(",",SUBSTITUTE(F816," ",""))-1)&amp;"&amp;dropoff[longitude]="&amp;MID(SUBSTITUTE(F816," ",""),FIND(",",SUBSTITUTE(F816," ",""))+1,99),"🚕 Uber"),"")</f>
        <v/>
      </c>
      <c r="J816" s="8">
        <f>IF(F816&lt;&gt;"","https://api.qrserver.com/v1/create-qr-code/?size=200x200&amp;data="&amp;ENCODEURL("https://www.google.com/maps/search/?api=1&amp;query="&amp;SUBSTITUTE(F816," ","")),"")</f>
        <v/>
      </c>
      <c r="K816" s="8">
        <f>IF(C816&lt;&gt;"",HYPERLINK("https://wa.me/507"&amp;REGEXREPLACE(C816,"[^0-9]","")&amp;"?text="&amp;ENCODEURL("Ya llegue. Codigo: "&amp;A816&amp;". Ubicacion: "&amp;"https://www.google.com/maps/search/?api=1&amp;query="&amp;SUBSTITUTE(F816," ","")),"📲 Avisar al cliente"),"")</f>
        <v/>
      </c>
      <c r="L816" s="8">
        <f>IF(C816&lt;&gt;"","https://api.qrserver.com/v1/create-qr-code/?size=200x200&amp;data="&amp;ENCODEURL("https://wa.me/507"&amp;REGEXREPLACE(C816,"[^0-9]","")&amp;"?text="&amp;ENCODEURL("Ya llegue. Codigo: "&amp;A816&amp;". Ubicacion: "&amp;"https://www.google.com/maps/search/?api=1&amp;query="&amp;SUBSTITUTE(F816," ",""))),"")</f>
        <v/>
      </c>
      <c r="M816" s="8">
        <f>IF(B816&lt;&gt;"",TODAY(),"")</f>
        <v/>
      </c>
      <c r="N816" s="8">
        <f>IF(F816&lt;&gt;"",IFERROR(IF(AND(REGEXMATCH(SUBSTITUTE(TRIM(F816)," ",""),"^-?\d+(\.\d+)?,-?\d+(\.\d+)?$"),VALUE(REGEXEXTRACT(SUBSTITUTE(TRIM(F816)," ",""),"^-?\d+(\.\d+)?"))&gt;=-90,VALUE(REGEXEXTRACT(SUBSTITUTE(TRIM(F816)," ",""),"^-?\d+(\.\d+)?"))&lt;=90,VALUE(REGEXEXTRACT(SUBSTITUTE(TRIM(F816)," ",""),"-?\d+(\.\d+)?$"))&gt;=-180,VALUE(REGEXEXTRACT(SUBSTITUTE(TRIM(F816)," ",""),"-?\d+(\.\d+)?$"))&lt;=180),"OK","REVISAR"),"REVISAR"),"")</f>
        <v/>
      </c>
      <c r="O816">
        <f>IF(A816&lt;&gt;"","https://direcciones507.github.io/direcciones507/panel.html?codigo="&amp;A816&amp;"&amp;nombre="&amp;ENCODEURL(B816)&amp;"&amp;telefono="&amp;SUBSTITUTE(C816,"-","")&amp;"&amp;referencia="&amp;ENCODEURL(E816)&amp;"&amp;lat="&amp;IZQUIERDA(SUBSTITUTE(F816," ",""),ENCONTRAR(",",SUBSTITUTE(F816," ",""))-1)&amp;"&amp;lng="&amp;DERECHA(SUBSTITUTE(F816," ",""),LARGO(SUBSTITUTE(F816," ",""))-ENCONTRAR(",",SUBSTITUTE(F816," ",""))),"")</f>
        <v/>
      </c>
    </row>
    <row r="817" ht="15.75" customHeight="1" s="10">
      <c r="A817" s="8">
        <f>CONCAT("AD507-",TEXT(ROW()-2,"0000"))</f>
        <v/>
      </c>
      <c r="C817" s="8" t="n"/>
      <c r="F817" s="8" t="n"/>
      <c r="G817" s="8">
        <f>IF(F817&lt;&gt;"",HYPERLINK("https://www.google.com/maps/search/?api=1&amp;query="&amp;SUBSTITUTE(F817," ",""),"🗺 Google Maps"),"")</f>
        <v/>
      </c>
      <c r="H817" s="8">
        <f>IF(F817&lt;&gt;"",HYPERLINK("https://waze.com/ul?ll="&amp;SUBSTITUTE(F817," ","")&amp;"&amp;navigate=yes","🚗 Waze"),"")</f>
        <v/>
      </c>
      <c r="I817" s="8">
        <f>IF(F817&lt;&gt;"",HYPERLINK("https://m.uber.com/ul/?action=setPickup&amp;pickup=my_location&amp;dropoff[latitude]="&amp;LEFT(SUBSTITUTE(F817," ",""),FIND(",",SUBSTITUTE(F817," ",""))-1)&amp;"&amp;dropoff[longitude]="&amp;MID(SUBSTITUTE(F817," ",""),FIND(",",SUBSTITUTE(F817," ",""))+1,99),"🚕 Uber"),"")</f>
        <v/>
      </c>
      <c r="J817" s="8">
        <f>IF(F817&lt;&gt;"","https://api.qrserver.com/v1/create-qr-code/?size=200x200&amp;data="&amp;ENCODEURL("https://www.google.com/maps/search/?api=1&amp;query="&amp;SUBSTITUTE(F817," ","")),"")</f>
        <v/>
      </c>
      <c r="K817" s="8">
        <f>IF(C817&lt;&gt;"",HYPERLINK("https://wa.me/507"&amp;REGEXREPLACE(C817,"[^0-9]","")&amp;"?text="&amp;ENCODEURL("Ya llegue. Codigo: "&amp;A817&amp;". Ubicacion: "&amp;"https://www.google.com/maps/search/?api=1&amp;query="&amp;SUBSTITUTE(F817," ","")),"📲 Avisar al cliente"),"")</f>
        <v/>
      </c>
      <c r="L817" s="8">
        <f>IF(C817&lt;&gt;"","https://api.qrserver.com/v1/create-qr-code/?size=200x200&amp;data="&amp;ENCODEURL("https://wa.me/507"&amp;REGEXREPLACE(C817,"[^0-9]","")&amp;"?text="&amp;ENCODEURL("Ya llegue. Codigo: "&amp;A817&amp;". Ubicacion: "&amp;"https://www.google.com/maps/search/?api=1&amp;query="&amp;SUBSTITUTE(F817," ",""))),"")</f>
        <v/>
      </c>
      <c r="M817" s="8">
        <f>IF(B817&lt;&gt;"",TODAY(),"")</f>
        <v/>
      </c>
      <c r="N817" s="8">
        <f>IF(F817&lt;&gt;"",IFERROR(IF(AND(REGEXMATCH(SUBSTITUTE(TRIM(F817)," ",""),"^-?\d+(\.\d+)?,-?\d+(\.\d+)?$"),VALUE(REGEXEXTRACT(SUBSTITUTE(TRIM(F817)," ",""),"^-?\d+(\.\d+)?"))&gt;=-90,VALUE(REGEXEXTRACT(SUBSTITUTE(TRIM(F817)," ",""),"^-?\d+(\.\d+)?"))&lt;=90,VALUE(REGEXEXTRACT(SUBSTITUTE(TRIM(F817)," ",""),"-?\d+(\.\d+)?$"))&gt;=-180,VALUE(REGEXEXTRACT(SUBSTITUTE(TRIM(F817)," ",""),"-?\d+(\.\d+)?$"))&lt;=180),"OK","REVISAR"),"REVISAR"),"")</f>
        <v/>
      </c>
      <c r="O817">
        <f>IF(A817&lt;&gt;"","https://direcciones507.github.io/direcciones507/panel.html?codigo="&amp;A817&amp;"&amp;nombre="&amp;ENCODEURL(B817)&amp;"&amp;telefono="&amp;SUBSTITUTE(C817,"-","")&amp;"&amp;referencia="&amp;ENCODEURL(E817)&amp;"&amp;lat="&amp;IZQUIERDA(SUBSTITUTE(F817," ",""),ENCONTRAR(",",SUBSTITUTE(F817," ",""))-1)&amp;"&amp;lng="&amp;DERECHA(SUBSTITUTE(F817," ",""),LARGO(SUBSTITUTE(F817," ",""))-ENCONTRAR(",",SUBSTITUTE(F817," ",""))),"")</f>
        <v/>
      </c>
    </row>
    <row r="818" ht="15.75" customHeight="1" s="10">
      <c r="A818" s="8">
        <f>CONCAT("AD507-",TEXT(ROW()-2,"0000"))</f>
        <v/>
      </c>
      <c r="C818" s="8" t="n"/>
      <c r="F818" s="8" t="n"/>
      <c r="G818" s="8">
        <f>IF(F818&lt;&gt;"",HYPERLINK("https://www.google.com/maps/search/?api=1&amp;query="&amp;SUBSTITUTE(F818," ",""),"🗺 Google Maps"),"")</f>
        <v/>
      </c>
      <c r="H818" s="8">
        <f>IF(F818&lt;&gt;"",HYPERLINK("https://waze.com/ul?ll="&amp;SUBSTITUTE(F818," ","")&amp;"&amp;navigate=yes","🚗 Waze"),"")</f>
        <v/>
      </c>
      <c r="I818" s="8">
        <f>IF(F818&lt;&gt;"",HYPERLINK("https://m.uber.com/ul/?action=setPickup&amp;pickup=my_location&amp;dropoff[latitude]="&amp;LEFT(SUBSTITUTE(F818," ",""),FIND(",",SUBSTITUTE(F818," ",""))-1)&amp;"&amp;dropoff[longitude]="&amp;MID(SUBSTITUTE(F818," ",""),FIND(",",SUBSTITUTE(F818," ",""))+1,99),"🚕 Uber"),"")</f>
        <v/>
      </c>
      <c r="J818" s="8">
        <f>IF(F818&lt;&gt;"","https://api.qrserver.com/v1/create-qr-code/?size=200x200&amp;data="&amp;ENCODEURL("https://www.google.com/maps/search/?api=1&amp;query="&amp;SUBSTITUTE(F818," ","")),"")</f>
        <v/>
      </c>
      <c r="K818" s="8">
        <f>IF(C818&lt;&gt;"",HYPERLINK("https://wa.me/507"&amp;REGEXREPLACE(C818,"[^0-9]","")&amp;"?text="&amp;ENCODEURL("Ya llegue. Codigo: "&amp;A818&amp;". Ubicacion: "&amp;"https://www.google.com/maps/search/?api=1&amp;query="&amp;SUBSTITUTE(F818," ","")),"📲 Avisar al cliente"),"")</f>
        <v/>
      </c>
      <c r="L818" s="8">
        <f>IF(C818&lt;&gt;"","https://api.qrserver.com/v1/create-qr-code/?size=200x200&amp;data="&amp;ENCODEURL("https://wa.me/507"&amp;REGEXREPLACE(C818,"[^0-9]","")&amp;"?text="&amp;ENCODEURL("Ya llegue. Codigo: "&amp;A818&amp;". Ubicacion: "&amp;"https://www.google.com/maps/search/?api=1&amp;query="&amp;SUBSTITUTE(F818," ",""))),"")</f>
        <v/>
      </c>
      <c r="M818" s="8">
        <f>IF(B818&lt;&gt;"",TODAY(),"")</f>
        <v/>
      </c>
      <c r="N818" s="8">
        <f>IF(F818&lt;&gt;"",IFERROR(IF(AND(REGEXMATCH(SUBSTITUTE(TRIM(F818)," ",""),"^-?\d+(\.\d+)?,-?\d+(\.\d+)?$"),VALUE(REGEXEXTRACT(SUBSTITUTE(TRIM(F818)," ",""),"^-?\d+(\.\d+)?"))&gt;=-90,VALUE(REGEXEXTRACT(SUBSTITUTE(TRIM(F818)," ",""),"^-?\d+(\.\d+)?"))&lt;=90,VALUE(REGEXEXTRACT(SUBSTITUTE(TRIM(F818)," ",""),"-?\d+(\.\d+)?$"))&gt;=-180,VALUE(REGEXEXTRACT(SUBSTITUTE(TRIM(F818)," ",""),"-?\d+(\.\d+)?$"))&lt;=180),"OK","REVISAR"),"REVISAR"),"")</f>
        <v/>
      </c>
      <c r="O818">
        <f>IF(A818&lt;&gt;"","https://direcciones507.github.io/direcciones507/panel.html?codigo="&amp;A818&amp;"&amp;nombre="&amp;ENCODEURL(B818)&amp;"&amp;telefono="&amp;SUBSTITUTE(C818,"-","")&amp;"&amp;referencia="&amp;ENCODEURL(E818)&amp;"&amp;lat="&amp;IZQUIERDA(SUBSTITUTE(F818," ",""),ENCONTRAR(",",SUBSTITUTE(F818," ",""))-1)&amp;"&amp;lng="&amp;DERECHA(SUBSTITUTE(F818," ",""),LARGO(SUBSTITUTE(F818," ",""))-ENCONTRAR(",",SUBSTITUTE(F818," ",""))),"")</f>
        <v/>
      </c>
    </row>
    <row r="819" ht="15.75" customHeight="1" s="10">
      <c r="A819" s="8">
        <f>CONCAT("AD507-",TEXT(ROW()-2,"0000"))</f>
        <v/>
      </c>
      <c r="C819" s="8" t="n"/>
      <c r="F819" s="8" t="n"/>
      <c r="G819" s="8">
        <f>IF(F819&lt;&gt;"",HYPERLINK("https://www.google.com/maps/search/?api=1&amp;query="&amp;SUBSTITUTE(F819," ",""),"🗺 Google Maps"),"")</f>
        <v/>
      </c>
      <c r="H819" s="8">
        <f>IF(F819&lt;&gt;"",HYPERLINK("https://waze.com/ul?ll="&amp;SUBSTITUTE(F819," ","")&amp;"&amp;navigate=yes","🚗 Waze"),"")</f>
        <v/>
      </c>
      <c r="I819" s="8">
        <f>IF(F819&lt;&gt;"",HYPERLINK("https://m.uber.com/ul/?action=setPickup&amp;pickup=my_location&amp;dropoff[latitude]="&amp;LEFT(SUBSTITUTE(F819," ",""),FIND(",",SUBSTITUTE(F819," ",""))-1)&amp;"&amp;dropoff[longitude]="&amp;MID(SUBSTITUTE(F819," ",""),FIND(",",SUBSTITUTE(F819," ",""))+1,99),"🚕 Uber"),"")</f>
        <v/>
      </c>
      <c r="J819" s="8">
        <f>IF(F819&lt;&gt;"","https://api.qrserver.com/v1/create-qr-code/?size=200x200&amp;data="&amp;ENCODEURL("https://www.google.com/maps/search/?api=1&amp;query="&amp;SUBSTITUTE(F819," ","")),"")</f>
        <v/>
      </c>
      <c r="K819" s="8">
        <f>IF(C819&lt;&gt;"",HYPERLINK("https://wa.me/507"&amp;REGEXREPLACE(C819,"[^0-9]","")&amp;"?text="&amp;ENCODEURL("Ya llegue. Codigo: "&amp;A819&amp;". Ubicacion: "&amp;"https://www.google.com/maps/search/?api=1&amp;query="&amp;SUBSTITUTE(F819," ","")),"📲 Avisar al cliente"),"")</f>
        <v/>
      </c>
      <c r="L819" s="8">
        <f>IF(C819&lt;&gt;"","https://api.qrserver.com/v1/create-qr-code/?size=200x200&amp;data="&amp;ENCODEURL("https://wa.me/507"&amp;REGEXREPLACE(C819,"[^0-9]","")&amp;"?text="&amp;ENCODEURL("Ya llegue. Codigo: "&amp;A819&amp;". Ubicacion: "&amp;"https://www.google.com/maps/search/?api=1&amp;query="&amp;SUBSTITUTE(F819," ",""))),"")</f>
        <v/>
      </c>
      <c r="M819" s="8">
        <f>IF(B819&lt;&gt;"",TODAY(),"")</f>
        <v/>
      </c>
      <c r="N819" s="8">
        <f>IF(F819&lt;&gt;"",IFERROR(IF(AND(REGEXMATCH(SUBSTITUTE(TRIM(F819)," ",""),"^-?\d+(\.\d+)?,-?\d+(\.\d+)?$"),VALUE(REGEXEXTRACT(SUBSTITUTE(TRIM(F819)," ",""),"^-?\d+(\.\d+)?"))&gt;=-90,VALUE(REGEXEXTRACT(SUBSTITUTE(TRIM(F819)," ",""),"^-?\d+(\.\d+)?"))&lt;=90,VALUE(REGEXEXTRACT(SUBSTITUTE(TRIM(F819)," ",""),"-?\d+(\.\d+)?$"))&gt;=-180,VALUE(REGEXEXTRACT(SUBSTITUTE(TRIM(F819)," ",""),"-?\d+(\.\d+)?$"))&lt;=180),"OK","REVISAR"),"REVISAR"),"")</f>
        <v/>
      </c>
      <c r="O819">
        <f>IF(A819&lt;&gt;"","https://direcciones507.github.io/direcciones507/panel.html?codigo="&amp;A819&amp;"&amp;nombre="&amp;ENCODEURL(B819)&amp;"&amp;telefono="&amp;SUBSTITUTE(C819,"-","")&amp;"&amp;referencia="&amp;ENCODEURL(E819)&amp;"&amp;lat="&amp;IZQUIERDA(SUBSTITUTE(F819," ",""),ENCONTRAR(",",SUBSTITUTE(F819," ",""))-1)&amp;"&amp;lng="&amp;DERECHA(SUBSTITUTE(F819," ",""),LARGO(SUBSTITUTE(F819," ",""))-ENCONTRAR(",",SUBSTITUTE(F819," ",""))),"")</f>
        <v/>
      </c>
    </row>
    <row r="820" ht="15.75" customHeight="1" s="10">
      <c r="A820" s="8">
        <f>CONCAT("AD507-",TEXT(ROW()-2,"0000"))</f>
        <v/>
      </c>
      <c r="C820" s="8" t="n"/>
      <c r="F820" s="8" t="n"/>
      <c r="G820" s="8">
        <f>IF(F820&lt;&gt;"",HYPERLINK("https://www.google.com/maps/search/?api=1&amp;query="&amp;SUBSTITUTE(F820," ",""),"🗺 Google Maps"),"")</f>
        <v/>
      </c>
      <c r="H820" s="8">
        <f>IF(F820&lt;&gt;"",HYPERLINK("https://waze.com/ul?ll="&amp;SUBSTITUTE(F820," ","")&amp;"&amp;navigate=yes","🚗 Waze"),"")</f>
        <v/>
      </c>
      <c r="I820" s="8">
        <f>IF(F820&lt;&gt;"",HYPERLINK("https://m.uber.com/ul/?action=setPickup&amp;pickup=my_location&amp;dropoff[latitude]="&amp;LEFT(SUBSTITUTE(F820," ",""),FIND(",",SUBSTITUTE(F820," ",""))-1)&amp;"&amp;dropoff[longitude]="&amp;MID(SUBSTITUTE(F820," ",""),FIND(",",SUBSTITUTE(F820," ",""))+1,99),"🚕 Uber"),"")</f>
        <v/>
      </c>
      <c r="J820" s="8">
        <f>IF(F820&lt;&gt;"","https://api.qrserver.com/v1/create-qr-code/?size=200x200&amp;data="&amp;ENCODEURL("https://www.google.com/maps/search/?api=1&amp;query="&amp;SUBSTITUTE(F820," ","")),"")</f>
        <v/>
      </c>
      <c r="K820" s="8">
        <f>IF(C820&lt;&gt;"",HYPERLINK("https://wa.me/507"&amp;REGEXREPLACE(C820,"[^0-9]","")&amp;"?text="&amp;ENCODEURL("Ya llegue. Codigo: "&amp;A820&amp;". Ubicacion: "&amp;"https://www.google.com/maps/search/?api=1&amp;query="&amp;SUBSTITUTE(F820," ","")),"📲 Avisar al cliente"),"")</f>
        <v/>
      </c>
      <c r="L820" s="8">
        <f>IF(C820&lt;&gt;"","https://api.qrserver.com/v1/create-qr-code/?size=200x200&amp;data="&amp;ENCODEURL("https://wa.me/507"&amp;REGEXREPLACE(C820,"[^0-9]","")&amp;"?text="&amp;ENCODEURL("Ya llegue. Codigo: "&amp;A820&amp;". Ubicacion: "&amp;"https://www.google.com/maps/search/?api=1&amp;query="&amp;SUBSTITUTE(F820," ",""))),"")</f>
        <v/>
      </c>
      <c r="M820" s="8">
        <f>IF(B820&lt;&gt;"",TODAY(),"")</f>
        <v/>
      </c>
      <c r="N820" s="8">
        <f>IF(F820&lt;&gt;"",IFERROR(IF(AND(REGEXMATCH(SUBSTITUTE(TRIM(F820)," ",""),"^-?\d+(\.\d+)?,-?\d+(\.\d+)?$"),VALUE(REGEXEXTRACT(SUBSTITUTE(TRIM(F820)," ",""),"^-?\d+(\.\d+)?"))&gt;=-90,VALUE(REGEXEXTRACT(SUBSTITUTE(TRIM(F820)," ",""),"^-?\d+(\.\d+)?"))&lt;=90,VALUE(REGEXEXTRACT(SUBSTITUTE(TRIM(F820)," ",""),"-?\d+(\.\d+)?$"))&gt;=-180,VALUE(REGEXEXTRACT(SUBSTITUTE(TRIM(F820)," ",""),"-?\d+(\.\d+)?$"))&lt;=180),"OK","REVISAR"),"REVISAR"),"")</f>
        <v/>
      </c>
      <c r="O820">
        <f>IF(A820&lt;&gt;"","https://direcciones507.github.io/direcciones507/panel.html?codigo="&amp;A820&amp;"&amp;nombre="&amp;ENCODEURL(B820)&amp;"&amp;telefono="&amp;SUBSTITUTE(C820,"-","")&amp;"&amp;referencia="&amp;ENCODEURL(E820)&amp;"&amp;lat="&amp;IZQUIERDA(SUBSTITUTE(F820," ",""),ENCONTRAR(",",SUBSTITUTE(F820," ",""))-1)&amp;"&amp;lng="&amp;DERECHA(SUBSTITUTE(F820," ",""),LARGO(SUBSTITUTE(F820," ",""))-ENCONTRAR(",",SUBSTITUTE(F820," ",""))),"")</f>
        <v/>
      </c>
    </row>
    <row r="821" ht="15.75" customHeight="1" s="10">
      <c r="A821" s="8">
        <f>CONCAT("AD507-",TEXT(ROW()-2,"0000"))</f>
        <v/>
      </c>
      <c r="C821" s="8" t="n"/>
      <c r="F821" s="8" t="n"/>
      <c r="G821" s="8">
        <f>IF(F821&lt;&gt;"",HYPERLINK("https://www.google.com/maps/search/?api=1&amp;query="&amp;SUBSTITUTE(F821," ",""),"🗺 Google Maps"),"")</f>
        <v/>
      </c>
      <c r="H821" s="8">
        <f>IF(F821&lt;&gt;"",HYPERLINK("https://waze.com/ul?ll="&amp;SUBSTITUTE(F821," ","")&amp;"&amp;navigate=yes","🚗 Waze"),"")</f>
        <v/>
      </c>
      <c r="I821" s="8">
        <f>IF(F821&lt;&gt;"",HYPERLINK("https://m.uber.com/ul/?action=setPickup&amp;pickup=my_location&amp;dropoff[latitude]="&amp;LEFT(SUBSTITUTE(F821," ",""),FIND(",",SUBSTITUTE(F821," ",""))-1)&amp;"&amp;dropoff[longitude]="&amp;MID(SUBSTITUTE(F821," ",""),FIND(",",SUBSTITUTE(F821," ",""))+1,99),"🚕 Uber"),"")</f>
        <v/>
      </c>
      <c r="J821" s="8">
        <f>IF(F821&lt;&gt;"","https://api.qrserver.com/v1/create-qr-code/?size=200x200&amp;data="&amp;ENCODEURL("https://www.google.com/maps/search/?api=1&amp;query="&amp;SUBSTITUTE(F821," ","")),"")</f>
        <v/>
      </c>
      <c r="K821" s="8">
        <f>IF(C821&lt;&gt;"",HYPERLINK("https://wa.me/507"&amp;REGEXREPLACE(C821,"[^0-9]","")&amp;"?text="&amp;ENCODEURL("Ya llegue. Codigo: "&amp;A821&amp;". Ubicacion: "&amp;"https://www.google.com/maps/search/?api=1&amp;query="&amp;SUBSTITUTE(F821," ","")),"📲 Avisar al cliente"),"")</f>
        <v/>
      </c>
      <c r="L821" s="8">
        <f>IF(C821&lt;&gt;"","https://api.qrserver.com/v1/create-qr-code/?size=200x200&amp;data="&amp;ENCODEURL("https://wa.me/507"&amp;REGEXREPLACE(C821,"[^0-9]","")&amp;"?text="&amp;ENCODEURL("Ya llegue. Codigo: "&amp;A821&amp;". Ubicacion: "&amp;"https://www.google.com/maps/search/?api=1&amp;query="&amp;SUBSTITUTE(F821," ",""))),"")</f>
        <v/>
      </c>
      <c r="M821" s="8">
        <f>IF(B821&lt;&gt;"",TODAY(),"")</f>
        <v/>
      </c>
      <c r="N821" s="8">
        <f>IF(F821&lt;&gt;"",IFERROR(IF(AND(REGEXMATCH(SUBSTITUTE(TRIM(F821)," ",""),"^-?\d+(\.\d+)?,-?\d+(\.\d+)?$"),VALUE(REGEXEXTRACT(SUBSTITUTE(TRIM(F821)," ",""),"^-?\d+(\.\d+)?"))&gt;=-90,VALUE(REGEXEXTRACT(SUBSTITUTE(TRIM(F821)," ",""),"^-?\d+(\.\d+)?"))&lt;=90,VALUE(REGEXEXTRACT(SUBSTITUTE(TRIM(F821)," ",""),"-?\d+(\.\d+)?$"))&gt;=-180,VALUE(REGEXEXTRACT(SUBSTITUTE(TRIM(F821)," ",""),"-?\d+(\.\d+)?$"))&lt;=180),"OK","REVISAR"),"REVISAR"),"")</f>
        <v/>
      </c>
      <c r="O821">
        <f>IF(A821&lt;&gt;"","https://direcciones507.github.io/direcciones507/panel.html?codigo="&amp;A821&amp;"&amp;nombre="&amp;ENCODEURL(B821)&amp;"&amp;telefono="&amp;SUBSTITUTE(C821,"-","")&amp;"&amp;referencia="&amp;ENCODEURL(E821)&amp;"&amp;lat="&amp;IZQUIERDA(SUBSTITUTE(F821," ",""),ENCONTRAR(",",SUBSTITUTE(F821," ",""))-1)&amp;"&amp;lng="&amp;DERECHA(SUBSTITUTE(F821," ",""),LARGO(SUBSTITUTE(F821," ",""))-ENCONTRAR(",",SUBSTITUTE(F821," ",""))),"")</f>
        <v/>
      </c>
    </row>
    <row r="822" ht="15.75" customHeight="1" s="10">
      <c r="A822" s="8">
        <f>CONCAT("AD507-",TEXT(ROW()-2,"0000"))</f>
        <v/>
      </c>
      <c r="C822" s="8" t="n"/>
      <c r="F822" s="8" t="n"/>
      <c r="G822" s="8">
        <f>IF(F822&lt;&gt;"",HYPERLINK("https://www.google.com/maps/search/?api=1&amp;query="&amp;SUBSTITUTE(F822," ",""),"🗺 Google Maps"),"")</f>
        <v/>
      </c>
      <c r="H822" s="8">
        <f>IF(F822&lt;&gt;"",HYPERLINK("https://waze.com/ul?ll="&amp;SUBSTITUTE(F822," ","")&amp;"&amp;navigate=yes","🚗 Waze"),"")</f>
        <v/>
      </c>
      <c r="I822" s="8">
        <f>IF(F822&lt;&gt;"",HYPERLINK("https://m.uber.com/ul/?action=setPickup&amp;pickup=my_location&amp;dropoff[latitude]="&amp;LEFT(SUBSTITUTE(F822," ",""),FIND(",",SUBSTITUTE(F822," ",""))-1)&amp;"&amp;dropoff[longitude]="&amp;MID(SUBSTITUTE(F822," ",""),FIND(",",SUBSTITUTE(F822," ",""))+1,99),"🚕 Uber"),"")</f>
        <v/>
      </c>
      <c r="J822" s="8">
        <f>IF(F822&lt;&gt;"","https://api.qrserver.com/v1/create-qr-code/?size=200x200&amp;data="&amp;ENCODEURL("https://www.google.com/maps/search/?api=1&amp;query="&amp;SUBSTITUTE(F822," ","")),"")</f>
        <v/>
      </c>
      <c r="K822" s="8">
        <f>IF(C822&lt;&gt;"",HYPERLINK("https://wa.me/507"&amp;REGEXREPLACE(C822,"[^0-9]","")&amp;"?text="&amp;ENCODEURL("Ya llegue. Codigo: "&amp;A822&amp;". Ubicacion: "&amp;"https://www.google.com/maps/search/?api=1&amp;query="&amp;SUBSTITUTE(F822," ","")),"📲 Avisar al cliente"),"")</f>
        <v/>
      </c>
      <c r="L822" s="8">
        <f>IF(C822&lt;&gt;"","https://api.qrserver.com/v1/create-qr-code/?size=200x200&amp;data="&amp;ENCODEURL("https://wa.me/507"&amp;REGEXREPLACE(C822,"[^0-9]","")&amp;"?text="&amp;ENCODEURL("Ya llegue. Codigo: "&amp;A822&amp;". Ubicacion: "&amp;"https://www.google.com/maps/search/?api=1&amp;query="&amp;SUBSTITUTE(F822," ",""))),"")</f>
        <v/>
      </c>
      <c r="M822" s="8">
        <f>IF(B822&lt;&gt;"",TODAY(),"")</f>
        <v/>
      </c>
      <c r="N822" s="8">
        <f>IF(F822&lt;&gt;"",IFERROR(IF(AND(REGEXMATCH(SUBSTITUTE(TRIM(F822)," ",""),"^-?\d+(\.\d+)?,-?\d+(\.\d+)?$"),VALUE(REGEXEXTRACT(SUBSTITUTE(TRIM(F822)," ",""),"^-?\d+(\.\d+)?"))&gt;=-90,VALUE(REGEXEXTRACT(SUBSTITUTE(TRIM(F822)," ",""),"^-?\d+(\.\d+)?"))&lt;=90,VALUE(REGEXEXTRACT(SUBSTITUTE(TRIM(F822)," ",""),"-?\d+(\.\d+)?$"))&gt;=-180,VALUE(REGEXEXTRACT(SUBSTITUTE(TRIM(F822)," ",""),"-?\d+(\.\d+)?$"))&lt;=180),"OK","REVISAR"),"REVISAR"),"")</f>
        <v/>
      </c>
      <c r="O822">
        <f>IF(A822&lt;&gt;"","https://direcciones507.github.io/direcciones507/panel.html?codigo="&amp;A822&amp;"&amp;nombre="&amp;ENCODEURL(B822)&amp;"&amp;telefono="&amp;SUBSTITUTE(C822,"-","")&amp;"&amp;referencia="&amp;ENCODEURL(E822)&amp;"&amp;lat="&amp;IZQUIERDA(SUBSTITUTE(F822," ",""),ENCONTRAR(",",SUBSTITUTE(F822," ",""))-1)&amp;"&amp;lng="&amp;DERECHA(SUBSTITUTE(F822," ",""),LARGO(SUBSTITUTE(F822," ",""))-ENCONTRAR(",",SUBSTITUTE(F822," ",""))),"")</f>
        <v/>
      </c>
    </row>
    <row r="823" ht="15.75" customHeight="1" s="10">
      <c r="A823" s="8">
        <f>CONCAT("AD507-",TEXT(ROW()-2,"0000"))</f>
        <v/>
      </c>
      <c r="C823" s="8" t="n"/>
      <c r="F823" s="8" t="n"/>
      <c r="G823" s="8">
        <f>IF(F823&lt;&gt;"",HYPERLINK("https://www.google.com/maps/search/?api=1&amp;query="&amp;SUBSTITUTE(F823," ",""),"🗺 Google Maps"),"")</f>
        <v/>
      </c>
      <c r="H823" s="8">
        <f>IF(F823&lt;&gt;"",HYPERLINK("https://waze.com/ul?ll="&amp;SUBSTITUTE(F823," ","")&amp;"&amp;navigate=yes","🚗 Waze"),"")</f>
        <v/>
      </c>
      <c r="I823" s="8">
        <f>IF(F823&lt;&gt;"",HYPERLINK("https://m.uber.com/ul/?action=setPickup&amp;pickup=my_location&amp;dropoff[latitude]="&amp;LEFT(SUBSTITUTE(F823," ",""),FIND(",",SUBSTITUTE(F823," ",""))-1)&amp;"&amp;dropoff[longitude]="&amp;MID(SUBSTITUTE(F823," ",""),FIND(",",SUBSTITUTE(F823," ",""))+1,99),"🚕 Uber"),"")</f>
        <v/>
      </c>
      <c r="J823" s="8">
        <f>IF(F823&lt;&gt;"","https://api.qrserver.com/v1/create-qr-code/?size=200x200&amp;data="&amp;ENCODEURL("https://www.google.com/maps/search/?api=1&amp;query="&amp;SUBSTITUTE(F823," ","")),"")</f>
        <v/>
      </c>
      <c r="K823" s="8">
        <f>IF(C823&lt;&gt;"",HYPERLINK("https://wa.me/507"&amp;REGEXREPLACE(C823,"[^0-9]","")&amp;"?text="&amp;ENCODEURL("Ya llegue. Codigo: "&amp;A823&amp;". Ubicacion: "&amp;"https://www.google.com/maps/search/?api=1&amp;query="&amp;SUBSTITUTE(F823," ","")),"📲 Avisar al cliente"),"")</f>
        <v/>
      </c>
      <c r="L823" s="8">
        <f>IF(C823&lt;&gt;"","https://api.qrserver.com/v1/create-qr-code/?size=200x200&amp;data="&amp;ENCODEURL("https://wa.me/507"&amp;REGEXREPLACE(C823,"[^0-9]","")&amp;"?text="&amp;ENCODEURL("Ya llegue. Codigo: "&amp;A823&amp;". Ubicacion: "&amp;"https://www.google.com/maps/search/?api=1&amp;query="&amp;SUBSTITUTE(F823," ",""))),"")</f>
        <v/>
      </c>
      <c r="M823" s="8">
        <f>IF(B823&lt;&gt;"",TODAY(),"")</f>
        <v/>
      </c>
      <c r="N823" s="8">
        <f>IF(F823&lt;&gt;"",IFERROR(IF(AND(REGEXMATCH(SUBSTITUTE(TRIM(F823)," ",""),"^-?\d+(\.\d+)?,-?\d+(\.\d+)?$"),VALUE(REGEXEXTRACT(SUBSTITUTE(TRIM(F823)," ",""),"^-?\d+(\.\d+)?"))&gt;=-90,VALUE(REGEXEXTRACT(SUBSTITUTE(TRIM(F823)," ",""),"^-?\d+(\.\d+)?"))&lt;=90,VALUE(REGEXEXTRACT(SUBSTITUTE(TRIM(F823)," ",""),"-?\d+(\.\d+)?$"))&gt;=-180,VALUE(REGEXEXTRACT(SUBSTITUTE(TRIM(F823)," ",""),"-?\d+(\.\d+)?$"))&lt;=180),"OK","REVISAR"),"REVISAR"),"")</f>
        <v/>
      </c>
      <c r="O823">
        <f>IF(A823&lt;&gt;"","https://direcciones507.github.io/direcciones507/panel.html?codigo="&amp;A823&amp;"&amp;nombre="&amp;ENCODEURL(B823)&amp;"&amp;telefono="&amp;SUBSTITUTE(C823,"-","")&amp;"&amp;referencia="&amp;ENCODEURL(E823)&amp;"&amp;lat="&amp;IZQUIERDA(SUBSTITUTE(F823," ",""),ENCONTRAR(",",SUBSTITUTE(F823," ",""))-1)&amp;"&amp;lng="&amp;DERECHA(SUBSTITUTE(F823," ",""),LARGO(SUBSTITUTE(F823," ",""))-ENCONTRAR(",",SUBSTITUTE(F823," ",""))),"")</f>
        <v/>
      </c>
    </row>
    <row r="824" ht="15.75" customHeight="1" s="10">
      <c r="A824" s="8">
        <f>CONCAT("AD507-",TEXT(ROW()-2,"0000"))</f>
        <v/>
      </c>
      <c r="C824" s="8" t="n"/>
      <c r="F824" s="8" t="n"/>
      <c r="G824" s="8">
        <f>IF(F824&lt;&gt;"",HYPERLINK("https://www.google.com/maps/search/?api=1&amp;query="&amp;SUBSTITUTE(F824," ",""),"🗺 Google Maps"),"")</f>
        <v/>
      </c>
      <c r="H824" s="8">
        <f>IF(F824&lt;&gt;"",HYPERLINK("https://waze.com/ul?ll="&amp;SUBSTITUTE(F824," ","")&amp;"&amp;navigate=yes","🚗 Waze"),"")</f>
        <v/>
      </c>
      <c r="I824" s="8">
        <f>IF(F824&lt;&gt;"",HYPERLINK("https://m.uber.com/ul/?action=setPickup&amp;pickup=my_location&amp;dropoff[latitude]="&amp;LEFT(SUBSTITUTE(F824," ",""),FIND(",",SUBSTITUTE(F824," ",""))-1)&amp;"&amp;dropoff[longitude]="&amp;MID(SUBSTITUTE(F824," ",""),FIND(",",SUBSTITUTE(F824," ",""))+1,99),"🚕 Uber"),"")</f>
        <v/>
      </c>
      <c r="J824" s="8">
        <f>IF(F824&lt;&gt;"","https://api.qrserver.com/v1/create-qr-code/?size=200x200&amp;data="&amp;ENCODEURL("https://www.google.com/maps/search/?api=1&amp;query="&amp;SUBSTITUTE(F824," ","")),"")</f>
        <v/>
      </c>
      <c r="K824" s="8">
        <f>IF(C824&lt;&gt;"",HYPERLINK("https://wa.me/507"&amp;REGEXREPLACE(C824,"[^0-9]","")&amp;"?text="&amp;ENCODEURL("Ya llegue. Codigo: "&amp;A824&amp;". Ubicacion: "&amp;"https://www.google.com/maps/search/?api=1&amp;query="&amp;SUBSTITUTE(F824," ","")),"📲 Avisar al cliente"),"")</f>
        <v/>
      </c>
      <c r="L824" s="8">
        <f>IF(C824&lt;&gt;"","https://api.qrserver.com/v1/create-qr-code/?size=200x200&amp;data="&amp;ENCODEURL("https://wa.me/507"&amp;REGEXREPLACE(C824,"[^0-9]","")&amp;"?text="&amp;ENCODEURL("Ya llegue. Codigo: "&amp;A824&amp;". Ubicacion: "&amp;"https://www.google.com/maps/search/?api=1&amp;query="&amp;SUBSTITUTE(F824," ",""))),"")</f>
        <v/>
      </c>
      <c r="M824" s="8">
        <f>IF(B824&lt;&gt;"",TODAY(),"")</f>
        <v/>
      </c>
      <c r="N824" s="8">
        <f>IF(F824&lt;&gt;"",IFERROR(IF(AND(REGEXMATCH(SUBSTITUTE(TRIM(F824)," ",""),"^-?\d+(\.\d+)?,-?\d+(\.\d+)?$"),VALUE(REGEXEXTRACT(SUBSTITUTE(TRIM(F824)," ",""),"^-?\d+(\.\d+)?"))&gt;=-90,VALUE(REGEXEXTRACT(SUBSTITUTE(TRIM(F824)," ",""),"^-?\d+(\.\d+)?"))&lt;=90,VALUE(REGEXEXTRACT(SUBSTITUTE(TRIM(F824)," ",""),"-?\d+(\.\d+)?$"))&gt;=-180,VALUE(REGEXEXTRACT(SUBSTITUTE(TRIM(F824)," ",""),"-?\d+(\.\d+)?$"))&lt;=180),"OK","REVISAR"),"REVISAR"),"")</f>
        <v/>
      </c>
      <c r="O824">
        <f>IF(A824&lt;&gt;"","https://direcciones507.github.io/direcciones507/panel.html?codigo="&amp;A824&amp;"&amp;nombre="&amp;ENCODEURL(B824)&amp;"&amp;telefono="&amp;SUBSTITUTE(C824,"-","")&amp;"&amp;referencia="&amp;ENCODEURL(E824)&amp;"&amp;lat="&amp;IZQUIERDA(SUBSTITUTE(F824," ",""),ENCONTRAR(",",SUBSTITUTE(F824," ",""))-1)&amp;"&amp;lng="&amp;DERECHA(SUBSTITUTE(F824," ",""),LARGO(SUBSTITUTE(F824," ",""))-ENCONTRAR(",",SUBSTITUTE(F824," ",""))),"")</f>
        <v/>
      </c>
    </row>
    <row r="825" ht="15.75" customHeight="1" s="10">
      <c r="A825" s="8">
        <f>CONCAT("AD507-",TEXT(ROW()-2,"0000"))</f>
        <v/>
      </c>
      <c r="C825" s="8" t="n"/>
      <c r="F825" s="8" t="n"/>
      <c r="G825" s="8">
        <f>IF(F825&lt;&gt;"",HYPERLINK("https://www.google.com/maps/search/?api=1&amp;query="&amp;SUBSTITUTE(F825," ",""),"🗺 Google Maps"),"")</f>
        <v/>
      </c>
      <c r="H825" s="8">
        <f>IF(F825&lt;&gt;"",HYPERLINK("https://waze.com/ul?ll="&amp;SUBSTITUTE(F825," ","")&amp;"&amp;navigate=yes","🚗 Waze"),"")</f>
        <v/>
      </c>
      <c r="I825" s="8">
        <f>IF(F825&lt;&gt;"",HYPERLINK("https://m.uber.com/ul/?action=setPickup&amp;pickup=my_location&amp;dropoff[latitude]="&amp;LEFT(SUBSTITUTE(F825," ",""),FIND(",",SUBSTITUTE(F825," ",""))-1)&amp;"&amp;dropoff[longitude]="&amp;MID(SUBSTITUTE(F825," ",""),FIND(",",SUBSTITUTE(F825," ",""))+1,99),"🚕 Uber"),"")</f>
        <v/>
      </c>
      <c r="J825" s="8">
        <f>IF(F825&lt;&gt;"","https://api.qrserver.com/v1/create-qr-code/?size=200x200&amp;data="&amp;ENCODEURL("https://www.google.com/maps/search/?api=1&amp;query="&amp;SUBSTITUTE(F825," ","")),"")</f>
        <v/>
      </c>
      <c r="K825" s="8">
        <f>IF(C825&lt;&gt;"",HYPERLINK("https://wa.me/507"&amp;REGEXREPLACE(C825,"[^0-9]","")&amp;"?text="&amp;ENCODEURL("Ya llegue. Codigo: "&amp;A825&amp;". Ubicacion: "&amp;"https://www.google.com/maps/search/?api=1&amp;query="&amp;SUBSTITUTE(F825," ","")),"📲 Avisar al cliente"),"")</f>
        <v/>
      </c>
      <c r="L825" s="8">
        <f>IF(C825&lt;&gt;"","https://api.qrserver.com/v1/create-qr-code/?size=200x200&amp;data="&amp;ENCODEURL("https://wa.me/507"&amp;REGEXREPLACE(C825,"[^0-9]","")&amp;"?text="&amp;ENCODEURL("Ya llegue. Codigo: "&amp;A825&amp;". Ubicacion: "&amp;"https://www.google.com/maps/search/?api=1&amp;query="&amp;SUBSTITUTE(F825," ",""))),"")</f>
        <v/>
      </c>
      <c r="M825" s="8">
        <f>IF(B825&lt;&gt;"",TODAY(),"")</f>
        <v/>
      </c>
      <c r="N825" s="8">
        <f>IF(F825&lt;&gt;"",IFERROR(IF(AND(REGEXMATCH(SUBSTITUTE(TRIM(F825)," ",""),"^-?\d+(\.\d+)?,-?\d+(\.\d+)?$"),VALUE(REGEXEXTRACT(SUBSTITUTE(TRIM(F825)," ",""),"^-?\d+(\.\d+)?"))&gt;=-90,VALUE(REGEXEXTRACT(SUBSTITUTE(TRIM(F825)," ",""),"^-?\d+(\.\d+)?"))&lt;=90,VALUE(REGEXEXTRACT(SUBSTITUTE(TRIM(F825)," ",""),"-?\d+(\.\d+)?$"))&gt;=-180,VALUE(REGEXEXTRACT(SUBSTITUTE(TRIM(F825)," ",""),"-?\d+(\.\d+)?$"))&lt;=180),"OK","REVISAR"),"REVISAR"),"")</f>
        <v/>
      </c>
      <c r="O825">
        <f>IF(A825&lt;&gt;"","https://direcciones507.github.io/direcciones507/panel.html?codigo="&amp;A825&amp;"&amp;nombre="&amp;ENCODEURL(B825)&amp;"&amp;telefono="&amp;SUBSTITUTE(C825,"-","")&amp;"&amp;referencia="&amp;ENCODEURL(E825)&amp;"&amp;lat="&amp;IZQUIERDA(SUBSTITUTE(F825," ",""),ENCONTRAR(",",SUBSTITUTE(F825," ",""))-1)&amp;"&amp;lng="&amp;DERECHA(SUBSTITUTE(F825," ",""),LARGO(SUBSTITUTE(F825," ",""))-ENCONTRAR(",",SUBSTITUTE(F825," ",""))),"")</f>
        <v/>
      </c>
    </row>
    <row r="826" ht="15.75" customHeight="1" s="10">
      <c r="A826" s="8">
        <f>CONCAT("AD507-",TEXT(ROW()-2,"0000"))</f>
        <v/>
      </c>
      <c r="C826" s="8" t="n"/>
      <c r="F826" s="8" t="n"/>
      <c r="G826" s="8">
        <f>IF(F826&lt;&gt;"",HYPERLINK("https://www.google.com/maps/search/?api=1&amp;query="&amp;SUBSTITUTE(F826," ",""),"🗺 Google Maps"),"")</f>
        <v/>
      </c>
      <c r="H826" s="8">
        <f>IF(F826&lt;&gt;"",HYPERLINK("https://waze.com/ul?ll="&amp;SUBSTITUTE(F826," ","")&amp;"&amp;navigate=yes","🚗 Waze"),"")</f>
        <v/>
      </c>
      <c r="I826" s="8">
        <f>IF(F826&lt;&gt;"",HYPERLINK("https://m.uber.com/ul/?action=setPickup&amp;pickup=my_location&amp;dropoff[latitude]="&amp;LEFT(SUBSTITUTE(F826," ",""),FIND(",",SUBSTITUTE(F826," ",""))-1)&amp;"&amp;dropoff[longitude]="&amp;MID(SUBSTITUTE(F826," ",""),FIND(",",SUBSTITUTE(F826," ",""))+1,99),"🚕 Uber"),"")</f>
        <v/>
      </c>
      <c r="J826" s="8">
        <f>IF(F826&lt;&gt;"","https://api.qrserver.com/v1/create-qr-code/?size=200x200&amp;data="&amp;ENCODEURL("https://www.google.com/maps/search/?api=1&amp;query="&amp;SUBSTITUTE(F826," ","")),"")</f>
        <v/>
      </c>
      <c r="K826" s="8">
        <f>IF(C826&lt;&gt;"",HYPERLINK("https://wa.me/507"&amp;REGEXREPLACE(C826,"[^0-9]","")&amp;"?text="&amp;ENCODEURL("Ya llegue. Codigo: "&amp;A826&amp;". Ubicacion: "&amp;"https://www.google.com/maps/search/?api=1&amp;query="&amp;SUBSTITUTE(F826," ","")),"📲 Avisar al cliente"),"")</f>
        <v/>
      </c>
      <c r="L826" s="8">
        <f>IF(C826&lt;&gt;"","https://api.qrserver.com/v1/create-qr-code/?size=200x200&amp;data="&amp;ENCODEURL("https://wa.me/507"&amp;REGEXREPLACE(C826,"[^0-9]","")&amp;"?text="&amp;ENCODEURL("Ya llegue. Codigo: "&amp;A826&amp;". Ubicacion: "&amp;"https://www.google.com/maps/search/?api=1&amp;query="&amp;SUBSTITUTE(F826," ",""))),"")</f>
        <v/>
      </c>
      <c r="M826" s="8">
        <f>IF(B826&lt;&gt;"",TODAY(),"")</f>
        <v/>
      </c>
      <c r="N826" s="8">
        <f>IF(F826&lt;&gt;"",IFERROR(IF(AND(REGEXMATCH(SUBSTITUTE(TRIM(F826)," ",""),"^-?\d+(\.\d+)?,-?\d+(\.\d+)?$"),VALUE(REGEXEXTRACT(SUBSTITUTE(TRIM(F826)," ",""),"^-?\d+(\.\d+)?"))&gt;=-90,VALUE(REGEXEXTRACT(SUBSTITUTE(TRIM(F826)," ",""),"^-?\d+(\.\d+)?"))&lt;=90,VALUE(REGEXEXTRACT(SUBSTITUTE(TRIM(F826)," ",""),"-?\d+(\.\d+)?$"))&gt;=-180,VALUE(REGEXEXTRACT(SUBSTITUTE(TRIM(F826)," ",""),"-?\d+(\.\d+)?$"))&lt;=180),"OK","REVISAR"),"REVISAR"),"")</f>
        <v/>
      </c>
      <c r="O826">
        <f>IF(A826&lt;&gt;"","https://direcciones507.github.io/direcciones507/panel.html?codigo="&amp;A826&amp;"&amp;nombre="&amp;ENCODEURL(B826)&amp;"&amp;telefono="&amp;SUBSTITUTE(C826,"-","")&amp;"&amp;referencia="&amp;ENCODEURL(E826)&amp;"&amp;lat="&amp;IZQUIERDA(SUBSTITUTE(F826," ",""),ENCONTRAR(",",SUBSTITUTE(F826," ",""))-1)&amp;"&amp;lng="&amp;DERECHA(SUBSTITUTE(F826," ",""),LARGO(SUBSTITUTE(F826," ",""))-ENCONTRAR(",",SUBSTITUTE(F826," ",""))),"")</f>
        <v/>
      </c>
    </row>
    <row r="827" ht="15.75" customHeight="1" s="10">
      <c r="A827" s="8">
        <f>CONCAT("AD507-",TEXT(ROW()-2,"0000"))</f>
        <v/>
      </c>
      <c r="C827" s="8" t="n"/>
      <c r="F827" s="8" t="n"/>
      <c r="G827" s="8">
        <f>IF(F827&lt;&gt;"",HYPERLINK("https://www.google.com/maps/search/?api=1&amp;query="&amp;SUBSTITUTE(F827," ",""),"🗺 Google Maps"),"")</f>
        <v/>
      </c>
      <c r="H827" s="8">
        <f>IF(F827&lt;&gt;"",HYPERLINK("https://waze.com/ul?ll="&amp;SUBSTITUTE(F827," ","")&amp;"&amp;navigate=yes","🚗 Waze"),"")</f>
        <v/>
      </c>
      <c r="I827" s="8">
        <f>IF(F827&lt;&gt;"",HYPERLINK("https://m.uber.com/ul/?action=setPickup&amp;pickup=my_location&amp;dropoff[latitude]="&amp;LEFT(SUBSTITUTE(F827," ",""),FIND(",",SUBSTITUTE(F827," ",""))-1)&amp;"&amp;dropoff[longitude]="&amp;MID(SUBSTITUTE(F827," ",""),FIND(",",SUBSTITUTE(F827," ",""))+1,99),"🚕 Uber"),"")</f>
        <v/>
      </c>
      <c r="J827" s="8">
        <f>IF(F827&lt;&gt;"","https://api.qrserver.com/v1/create-qr-code/?size=200x200&amp;data="&amp;ENCODEURL("https://www.google.com/maps/search/?api=1&amp;query="&amp;SUBSTITUTE(F827," ","")),"")</f>
        <v/>
      </c>
      <c r="K827" s="8">
        <f>IF(C827&lt;&gt;"",HYPERLINK("https://wa.me/507"&amp;REGEXREPLACE(C827,"[^0-9]","")&amp;"?text="&amp;ENCODEURL("Ya llegue. Codigo: "&amp;A827&amp;". Ubicacion: "&amp;"https://www.google.com/maps/search/?api=1&amp;query="&amp;SUBSTITUTE(F827," ","")),"📲 Avisar al cliente"),"")</f>
        <v/>
      </c>
      <c r="L827" s="8">
        <f>IF(C827&lt;&gt;"","https://api.qrserver.com/v1/create-qr-code/?size=200x200&amp;data="&amp;ENCODEURL("https://wa.me/507"&amp;REGEXREPLACE(C827,"[^0-9]","")&amp;"?text="&amp;ENCODEURL("Ya llegue. Codigo: "&amp;A827&amp;". Ubicacion: "&amp;"https://www.google.com/maps/search/?api=1&amp;query="&amp;SUBSTITUTE(F827," ",""))),"")</f>
        <v/>
      </c>
      <c r="M827" s="8">
        <f>IF(B827&lt;&gt;"",TODAY(),"")</f>
        <v/>
      </c>
      <c r="N827" s="8">
        <f>IF(F827&lt;&gt;"",IFERROR(IF(AND(REGEXMATCH(SUBSTITUTE(TRIM(F827)," ",""),"^-?\d+(\.\d+)?,-?\d+(\.\d+)?$"),VALUE(REGEXEXTRACT(SUBSTITUTE(TRIM(F827)," ",""),"^-?\d+(\.\d+)?"))&gt;=-90,VALUE(REGEXEXTRACT(SUBSTITUTE(TRIM(F827)," ",""),"^-?\d+(\.\d+)?"))&lt;=90,VALUE(REGEXEXTRACT(SUBSTITUTE(TRIM(F827)," ",""),"-?\d+(\.\d+)?$"))&gt;=-180,VALUE(REGEXEXTRACT(SUBSTITUTE(TRIM(F827)," ",""),"-?\d+(\.\d+)?$"))&lt;=180),"OK","REVISAR"),"REVISAR"),"")</f>
        <v/>
      </c>
      <c r="O827">
        <f>IF(A827&lt;&gt;"","https://direcciones507.github.io/direcciones507/panel.html?codigo="&amp;A827&amp;"&amp;nombre="&amp;ENCODEURL(B827)&amp;"&amp;telefono="&amp;SUBSTITUTE(C827,"-","")&amp;"&amp;referencia="&amp;ENCODEURL(E827)&amp;"&amp;lat="&amp;IZQUIERDA(SUBSTITUTE(F827," ",""),ENCONTRAR(",",SUBSTITUTE(F827," ",""))-1)&amp;"&amp;lng="&amp;DERECHA(SUBSTITUTE(F827," ",""),LARGO(SUBSTITUTE(F827," ",""))-ENCONTRAR(",",SUBSTITUTE(F827," ",""))),"")</f>
        <v/>
      </c>
    </row>
    <row r="828" ht="15.75" customHeight="1" s="10">
      <c r="A828" s="8">
        <f>CONCAT("AD507-",TEXT(ROW()-2,"0000"))</f>
        <v/>
      </c>
      <c r="C828" s="8" t="n"/>
      <c r="F828" s="8" t="n"/>
      <c r="G828" s="8">
        <f>IF(F828&lt;&gt;"",HYPERLINK("https://www.google.com/maps/search/?api=1&amp;query="&amp;SUBSTITUTE(F828," ",""),"🗺 Google Maps"),"")</f>
        <v/>
      </c>
      <c r="H828" s="8">
        <f>IF(F828&lt;&gt;"",HYPERLINK("https://waze.com/ul?ll="&amp;SUBSTITUTE(F828," ","")&amp;"&amp;navigate=yes","🚗 Waze"),"")</f>
        <v/>
      </c>
      <c r="I828" s="8">
        <f>IF(F828&lt;&gt;"",HYPERLINK("https://m.uber.com/ul/?action=setPickup&amp;pickup=my_location&amp;dropoff[latitude]="&amp;LEFT(SUBSTITUTE(F828," ",""),FIND(",",SUBSTITUTE(F828," ",""))-1)&amp;"&amp;dropoff[longitude]="&amp;MID(SUBSTITUTE(F828," ",""),FIND(",",SUBSTITUTE(F828," ",""))+1,99),"🚕 Uber"),"")</f>
        <v/>
      </c>
      <c r="J828" s="8">
        <f>IF(F828&lt;&gt;"","https://api.qrserver.com/v1/create-qr-code/?size=200x200&amp;data="&amp;ENCODEURL("https://www.google.com/maps/search/?api=1&amp;query="&amp;SUBSTITUTE(F828," ","")),"")</f>
        <v/>
      </c>
      <c r="K828" s="8">
        <f>IF(C828&lt;&gt;"",HYPERLINK("https://wa.me/507"&amp;REGEXREPLACE(C828,"[^0-9]","")&amp;"?text="&amp;ENCODEURL("Ya llegue. Codigo: "&amp;A828&amp;". Ubicacion: "&amp;"https://www.google.com/maps/search/?api=1&amp;query="&amp;SUBSTITUTE(F828," ","")),"📲 Avisar al cliente"),"")</f>
        <v/>
      </c>
      <c r="L828" s="8">
        <f>IF(C828&lt;&gt;"","https://api.qrserver.com/v1/create-qr-code/?size=200x200&amp;data="&amp;ENCODEURL("https://wa.me/507"&amp;REGEXREPLACE(C828,"[^0-9]","")&amp;"?text="&amp;ENCODEURL("Ya llegue. Codigo: "&amp;A828&amp;". Ubicacion: "&amp;"https://www.google.com/maps/search/?api=1&amp;query="&amp;SUBSTITUTE(F828," ",""))),"")</f>
        <v/>
      </c>
      <c r="M828" s="8">
        <f>IF(B828&lt;&gt;"",TODAY(),"")</f>
        <v/>
      </c>
      <c r="N828" s="8">
        <f>IF(F828&lt;&gt;"",IFERROR(IF(AND(REGEXMATCH(SUBSTITUTE(TRIM(F828)," ",""),"^-?\d+(\.\d+)?,-?\d+(\.\d+)?$"),VALUE(REGEXEXTRACT(SUBSTITUTE(TRIM(F828)," ",""),"^-?\d+(\.\d+)?"))&gt;=-90,VALUE(REGEXEXTRACT(SUBSTITUTE(TRIM(F828)," ",""),"^-?\d+(\.\d+)?"))&lt;=90,VALUE(REGEXEXTRACT(SUBSTITUTE(TRIM(F828)," ",""),"-?\d+(\.\d+)?$"))&gt;=-180,VALUE(REGEXEXTRACT(SUBSTITUTE(TRIM(F828)," ",""),"-?\d+(\.\d+)?$"))&lt;=180),"OK","REVISAR"),"REVISAR"),"")</f>
        <v/>
      </c>
      <c r="O828">
        <f>IF(A828&lt;&gt;"","https://direcciones507.github.io/direcciones507/panel.html?codigo="&amp;A828&amp;"&amp;nombre="&amp;ENCODEURL(B828)&amp;"&amp;telefono="&amp;SUBSTITUTE(C828,"-","")&amp;"&amp;referencia="&amp;ENCODEURL(E828)&amp;"&amp;lat="&amp;IZQUIERDA(SUBSTITUTE(F828," ",""),ENCONTRAR(",",SUBSTITUTE(F828," ",""))-1)&amp;"&amp;lng="&amp;DERECHA(SUBSTITUTE(F828," ",""),LARGO(SUBSTITUTE(F828," ",""))-ENCONTRAR(",",SUBSTITUTE(F828," ",""))),"")</f>
        <v/>
      </c>
    </row>
    <row r="829" ht="15.75" customHeight="1" s="10">
      <c r="A829" s="8">
        <f>CONCAT("AD507-",TEXT(ROW()-2,"0000"))</f>
        <v/>
      </c>
      <c r="C829" s="8" t="n"/>
      <c r="F829" s="8" t="n"/>
      <c r="G829" s="8">
        <f>IF(F829&lt;&gt;"",HYPERLINK("https://www.google.com/maps/search/?api=1&amp;query="&amp;SUBSTITUTE(F829," ",""),"🗺 Google Maps"),"")</f>
        <v/>
      </c>
      <c r="H829" s="8">
        <f>IF(F829&lt;&gt;"",HYPERLINK("https://waze.com/ul?ll="&amp;SUBSTITUTE(F829," ","")&amp;"&amp;navigate=yes","🚗 Waze"),"")</f>
        <v/>
      </c>
      <c r="I829" s="8">
        <f>IF(F829&lt;&gt;"",HYPERLINK("https://m.uber.com/ul/?action=setPickup&amp;pickup=my_location&amp;dropoff[latitude]="&amp;LEFT(SUBSTITUTE(F829," ",""),FIND(",",SUBSTITUTE(F829," ",""))-1)&amp;"&amp;dropoff[longitude]="&amp;MID(SUBSTITUTE(F829," ",""),FIND(",",SUBSTITUTE(F829," ",""))+1,99),"🚕 Uber"),"")</f>
        <v/>
      </c>
      <c r="J829" s="8">
        <f>IF(F829&lt;&gt;"","https://api.qrserver.com/v1/create-qr-code/?size=200x200&amp;data="&amp;ENCODEURL("https://www.google.com/maps/search/?api=1&amp;query="&amp;SUBSTITUTE(F829," ","")),"")</f>
        <v/>
      </c>
      <c r="K829" s="8">
        <f>IF(C829&lt;&gt;"",HYPERLINK("https://wa.me/507"&amp;REGEXREPLACE(C829,"[^0-9]","")&amp;"?text="&amp;ENCODEURL("Ya llegue. Codigo: "&amp;A829&amp;". Ubicacion: "&amp;"https://www.google.com/maps/search/?api=1&amp;query="&amp;SUBSTITUTE(F829," ","")),"📲 Avisar al cliente"),"")</f>
        <v/>
      </c>
      <c r="L829" s="8">
        <f>IF(C829&lt;&gt;"","https://api.qrserver.com/v1/create-qr-code/?size=200x200&amp;data="&amp;ENCODEURL("https://wa.me/507"&amp;REGEXREPLACE(C829,"[^0-9]","")&amp;"?text="&amp;ENCODEURL("Ya llegue. Codigo: "&amp;A829&amp;". Ubicacion: "&amp;"https://www.google.com/maps/search/?api=1&amp;query="&amp;SUBSTITUTE(F829," ",""))),"")</f>
        <v/>
      </c>
      <c r="M829" s="8">
        <f>IF(B829&lt;&gt;"",TODAY(),"")</f>
        <v/>
      </c>
      <c r="N829" s="8">
        <f>IF(F829&lt;&gt;"",IFERROR(IF(AND(REGEXMATCH(SUBSTITUTE(TRIM(F829)," ",""),"^-?\d+(\.\d+)?,-?\d+(\.\d+)?$"),VALUE(REGEXEXTRACT(SUBSTITUTE(TRIM(F829)," ",""),"^-?\d+(\.\d+)?"))&gt;=-90,VALUE(REGEXEXTRACT(SUBSTITUTE(TRIM(F829)," ",""),"^-?\d+(\.\d+)?"))&lt;=90,VALUE(REGEXEXTRACT(SUBSTITUTE(TRIM(F829)," ",""),"-?\d+(\.\d+)?$"))&gt;=-180,VALUE(REGEXEXTRACT(SUBSTITUTE(TRIM(F829)," ",""),"-?\d+(\.\d+)?$"))&lt;=180),"OK","REVISAR"),"REVISAR"),"")</f>
        <v/>
      </c>
      <c r="O829">
        <f>IF(A829&lt;&gt;"","https://direcciones507.github.io/direcciones507/panel.html?codigo="&amp;A829&amp;"&amp;nombre="&amp;ENCODEURL(B829)&amp;"&amp;telefono="&amp;SUBSTITUTE(C829,"-","")&amp;"&amp;referencia="&amp;ENCODEURL(E829)&amp;"&amp;lat="&amp;IZQUIERDA(SUBSTITUTE(F829," ",""),ENCONTRAR(",",SUBSTITUTE(F829," ",""))-1)&amp;"&amp;lng="&amp;DERECHA(SUBSTITUTE(F829," ",""),LARGO(SUBSTITUTE(F829," ",""))-ENCONTRAR(",",SUBSTITUTE(F829," ",""))),"")</f>
        <v/>
      </c>
    </row>
    <row r="830" ht="15.75" customHeight="1" s="10">
      <c r="A830" s="8">
        <f>CONCAT("AD507-",TEXT(ROW()-2,"0000"))</f>
        <v/>
      </c>
      <c r="C830" s="8" t="n"/>
      <c r="F830" s="8" t="n"/>
      <c r="G830" s="8">
        <f>IF(F830&lt;&gt;"",HYPERLINK("https://www.google.com/maps/search/?api=1&amp;query="&amp;SUBSTITUTE(F830," ",""),"🗺 Google Maps"),"")</f>
        <v/>
      </c>
      <c r="H830" s="8">
        <f>IF(F830&lt;&gt;"",HYPERLINK("https://waze.com/ul?ll="&amp;SUBSTITUTE(F830," ","")&amp;"&amp;navigate=yes","🚗 Waze"),"")</f>
        <v/>
      </c>
      <c r="I830" s="8">
        <f>IF(F830&lt;&gt;"",HYPERLINK("https://m.uber.com/ul/?action=setPickup&amp;pickup=my_location&amp;dropoff[latitude]="&amp;LEFT(SUBSTITUTE(F830," ",""),FIND(",",SUBSTITUTE(F830," ",""))-1)&amp;"&amp;dropoff[longitude]="&amp;MID(SUBSTITUTE(F830," ",""),FIND(",",SUBSTITUTE(F830," ",""))+1,99),"🚕 Uber"),"")</f>
        <v/>
      </c>
      <c r="J830" s="8">
        <f>IF(F830&lt;&gt;"","https://api.qrserver.com/v1/create-qr-code/?size=200x200&amp;data="&amp;ENCODEURL("https://www.google.com/maps/search/?api=1&amp;query="&amp;SUBSTITUTE(F830," ","")),"")</f>
        <v/>
      </c>
      <c r="K830" s="8">
        <f>IF(C830&lt;&gt;"",HYPERLINK("https://wa.me/507"&amp;REGEXREPLACE(C830,"[^0-9]","")&amp;"?text="&amp;ENCODEURL("Ya llegue. Codigo: "&amp;A830&amp;". Ubicacion: "&amp;"https://www.google.com/maps/search/?api=1&amp;query="&amp;SUBSTITUTE(F830," ","")),"📲 Avisar al cliente"),"")</f>
        <v/>
      </c>
      <c r="L830" s="8">
        <f>IF(C830&lt;&gt;"","https://api.qrserver.com/v1/create-qr-code/?size=200x200&amp;data="&amp;ENCODEURL("https://wa.me/507"&amp;REGEXREPLACE(C830,"[^0-9]","")&amp;"?text="&amp;ENCODEURL("Ya llegue. Codigo: "&amp;A830&amp;". Ubicacion: "&amp;"https://www.google.com/maps/search/?api=1&amp;query="&amp;SUBSTITUTE(F830," ",""))),"")</f>
        <v/>
      </c>
      <c r="M830" s="8">
        <f>IF(B830&lt;&gt;"",TODAY(),"")</f>
        <v/>
      </c>
      <c r="N830" s="8">
        <f>IF(F830&lt;&gt;"",IFERROR(IF(AND(REGEXMATCH(SUBSTITUTE(TRIM(F830)," ",""),"^-?\d+(\.\d+)?,-?\d+(\.\d+)?$"),VALUE(REGEXEXTRACT(SUBSTITUTE(TRIM(F830)," ",""),"^-?\d+(\.\d+)?"))&gt;=-90,VALUE(REGEXEXTRACT(SUBSTITUTE(TRIM(F830)," ",""),"^-?\d+(\.\d+)?"))&lt;=90,VALUE(REGEXEXTRACT(SUBSTITUTE(TRIM(F830)," ",""),"-?\d+(\.\d+)?$"))&gt;=-180,VALUE(REGEXEXTRACT(SUBSTITUTE(TRIM(F830)," ",""),"-?\d+(\.\d+)?$"))&lt;=180),"OK","REVISAR"),"REVISAR"),"")</f>
        <v/>
      </c>
      <c r="O830">
        <f>IF(A830&lt;&gt;"","https://direcciones507.github.io/direcciones507/panel.html?codigo="&amp;A830&amp;"&amp;nombre="&amp;ENCODEURL(B830)&amp;"&amp;telefono="&amp;SUBSTITUTE(C830,"-","")&amp;"&amp;referencia="&amp;ENCODEURL(E830)&amp;"&amp;lat="&amp;IZQUIERDA(SUBSTITUTE(F830," ",""),ENCONTRAR(",",SUBSTITUTE(F830," ",""))-1)&amp;"&amp;lng="&amp;DERECHA(SUBSTITUTE(F830," ",""),LARGO(SUBSTITUTE(F830," ",""))-ENCONTRAR(",",SUBSTITUTE(F830," ",""))),"")</f>
        <v/>
      </c>
    </row>
    <row r="831" ht="15.75" customHeight="1" s="10">
      <c r="A831" s="8">
        <f>CONCAT("AD507-",TEXT(ROW()-2,"0000"))</f>
        <v/>
      </c>
      <c r="C831" s="8" t="n"/>
      <c r="F831" s="8" t="n"/>
      <c r="G831" s="8">
        <f>IF(F831&lt;&gt;"",HYPERLINK("https://www.google.com/maps/search/?api=1&amp;query="&amp;SUBSTITUTE(F831," ",""),"🗺 Google Maps"),"")</f>
        <v/>
      </c>
      <c r="H831" s="8">
        <f>IF(F831&lt;&gt;"",HYPERLINK("https://waze.com/ul?ll="&amp;SUBSTITUTE(F831," ","")&amp;"&amp;navigate=yes","🚗 Waze"),"")</f>
        <v/>
      </c>
      <c r="I831" s="8">
        <f>IF(F831&lt;&gt;"",HYPERLINK("https://m.uber.com/ul/?action=setPickup&amp;pickup=my_location&amp;dropoff[latitude]="&amp;LEFT(SUBSTITUTE(F831," ",""),FIND(",",SUBSTITUTE(F831," ",""))-1)&amp;"&amp;dropoff[longitude]="&amp;MID(SUBSTITUTE(F831," ",""),FIND(",",SUBSTITUTE(F831," ",""))+1,99),"🚕 Uber"),"")</f>
        <v/>
      </c>
      <c r="J831" s="8">
        <f>IF(F831&lt;&gt;"","https://api.qrserver.com/v1/create-qr-code/?size=200x200&amp;data="&amp;ENCODEURL("https://www.google.com/maps/search/?api=1&amp;query="&amp;SUBSTITUTE(F831," ","")),"")</f>
        <v/>
      </c>
      <c r="K831" s="8">
        <f>IF(C831&lt;&gt;"",HYPERLINK("https://wa.me/507"&amp;REGEXREPLACE(C831,"[^0-9]","")&amp;"?text="&amp;ENCODEURL("Ya llegue. Codigo: "&amp;A831&amp;". Ubicacion: "&amp;"https://www.google.com/maps/search/?api=1&amp;query="&amp;SUBSTITUTE(F831," ","")),"📲 Avisar al cliente"),"")</f>
        <v/>
      </c>
      <c r="L831" s="8">
        <f>IF(C831&lt;&gt;"","https://api.qrserver.com/v1/create-qr-code/?size=200x200&amp;data="&amp;ENCODEURL("https://wa.me/507"&amp;REGEXREPLACE(C831,"[^0-9]","")&amp;"?text="&amp;ENCODEURL("Ya llegue. Codigo: "&amp;A831&amp;". Ubicacion: "&amp;"https://www.google.com/maps/search/?api=1&amp;query="&amp;SUBSTITUTE(F831," ",""))),"")</f>
        <v/>
      </c>
      <c r="M831" s="8">
        <f>IF(B831&lt;&gt;"",TODAY(),"")</f>
        <v/>
      </c>
      <c r="N831" s="8">
        <f>IF(F831&lt;&gt;"",IFERROR(IF(AND(REGEXMATCH(SUBSTITUTE(TRIM(F831)," ",""),"^-?\d+(\.\d+)?,-?\d+(\.\d+)?$"),VALUE(REGEXEXTRACT(SUBSTITUTE(TRIM(F831)," ",""),"^-?\d+(\.\d+)?"))&gt;=-90,VALUE(REGEXEXTRACT(SUBSTITUTE(TRIM(F831)," ",""),"^-?\d+(\.\d+)?"))&lt;=90,VALUE(REGEXEXTRACT(SUBSTITUTE(TRIM(F831)," ",""),"-?\d+(\.\d+)?$"))&gt;=-180,VALUE(REGEXEXTRACT(SUBSTITUTE(TRIM(F831)," ",""),"-?\d+(\.\d+)?$"))&lt;=180),"OK","REVISAR"),"REVISAR"),"")</f>
        <v/>
      </c>
      <c r="O831">
        <f>IF(A831&lt;&gt;"","https://direcciones507.github.io/direcciones507/panel.html?codigo="&amp;A831&amp;"&amp;nombre="&amp;ENCODEURL(B831)&amp;"&amp;telefono="&amp;SUBSTITUTE(C831,"-","")&amp;"&amp;referencia="&amp;ENCODEURL(E831)&amp;"&amp;lat="&amp;IZQUIERDA(SUBSTITUTE(F831," ",""),ENCONTRAR(",",SUBSTITUTE(F831," ",""))-1)&amp;"&amp;lng="&amp;DERECHA(SUBSTITUTE(F831," ",""),LARGO(SUBSTITUTE(F831," ",""))-ENCONTRAR(",",SUBSTITUTE(F831," ",""))),"")</f>
        <v/>
      </c>
    </row>
    <row r="832" ht="15.75" customHeight="1" s="10">
      <c r="A832" s="8">
        <f>CONCAT("AD507-",TEXT(ROW()-2,"0000"))</f>
        <v/>
      </c>
      <c r="C832" s="8" t="n"/>
      <c r="F832" s="8" t="n"/>
      <c r="G832" s="8">
        <f>IF(F832&lt;&gt;"",HYPERLINK("https://www.google.com/maps/search/?api=1&amp;query="&amp;SUBSTITUTE(F832," ",""),"🗺 Google Maps"),"")</f>
        <v/>
      </c>
      <c r="H832" s="8">
        <f>IF(F832&lt;&gt;"",HYPERLINK("https://waze.com/ul?ll="&amp;SUBSTITUTE(F832," ","")&amp;"&amp;navigate=yes","🚗 Waze"),"")</f>
        <v/>
      </c>
      <c r="I832" s="8">
        <f>IF(F832&lt;&gt;"",HYPERLINK("https://m.uber.com/ul/?action=setPickup&amp;pickup=my_location&amp;dropoff[latitude]="&amp;LEFT(SUBSTITUTE(F832," ",""),FIND(",",SUBSTITUTE(F832," ",""))-1)&amp;"&amp;dropoff[longitude]="&amp;MID(SUBSTITUTE(F832," ",""),FIND(",",SUBSTITUTE(F832," ",""))+1,99),"🚕 Uber"),"")</f>
        <v/>
      </c>
      <c r="J832" s="8">
        <f>IF(F832&lt;&gt;"","https://api.qrserver.com/v1/create-qr-code/?size=200x200&amp;data="&amp;ENCODEURL("https://www.google.com/maps/search/?api=1&amp;query="&amp;SUBSTITUTE(F832," ","")),"")</f>
        <v/>
      </c>
      <c r="K832" s="8">
        <f>IF(C832&lt;&gt;"",HYPERLINK("https://wa.me/507"&amp;REGEXREPLACE(C832,"[^0-9]","")&amp;"?text="&amp;ENCODEURL("Ya llegue. Codigo: "&amp;A832&amp;". Ubicacion: "&amp;"https://www.google.com/maps/search/?api=1&amp;query="&amp;SUBSTITUTE(F832," ","")),"📲 Avisar al cliente"),"")</f>
        <v/>
      </c>
      <c r="L832" s="8">
        <f>IF(C832&lt;&gt;"","https://api.qrserver.com/v1/create-qr-code/?size=200x200&amp;data="&amp;ENCODEURL("https://wa.me/507"&amp;REGEXREPLACE(C832,"[^0-9]","")&amp;"?text="&amp;ENCODEURL("Ya llegue. Codigo: "&amp;A832&amp;". Ubicacion: "&amp;"https://www.google.com/maps/search/?api=1&amp;query="&amp;SUBSTITUTE(F832," ",""))),"")</f>
        <v/>
      </c>
      <c r="M832" s="8">
        <f>IF(B832&lt;&gt;"",TODAY(),"")</f>
        <v/>
      </c>
      <c r="N832" s="8">
        <f>IF(F832&lt;&gt;"",IFERROR(IF(AND(REGEXMATCH(SUBSTITUTE(TRIM(F832)," ",""),"^-?\d+(\.\d+)?,-?\d+(\.\d+)?$"),VALUE(REGEXEXTRACT(SUBSTITUTE(TRIM(F832)," ",""),"^-?\d+(\.\d+)?"))&gt;=-90,VALUE(REGEXEXTRACT(SUBSTITUTE(TRIM(F832)," ",""),"^-?\d+(\.\d+)?"))&lt;=90,VALUE(REGEXEXTRACT(SUBSTITUTE(TRIM(F832)," ",""),"-?\d+(\.\d+)?$"))&gt;=-180,VALUE(REGEXEXTRACT(SUBSTITUTE(TRIM(F832)," ",""),"-?\d+(\.\d+)?$"))&lt;=180),"OK","REVISAR"),"REVISAR"),"")</f>
        <v/>
      </c>
      <c r="O832">
        <f>IF(A832&lt;&gt;"","https://direcciones507.github.io/direcciones507/panel.html?codigo="&amp;A832&amp;"&amp;nombre="&amp;ENCODEURL(B832)&amp;"&amp;telefono="&amp;SUBSTITUTE(C832,"-","")&amp;"&amp;referencia="&amp;ENCODEURL(E832)&amp;"&amp;lat="&amp;IZQUIERDA(SUBSTITUTE(F832," ",""),ENCONTRAR(",",SUBSTITUTE(F832," ",""))-1)&amp;"&amp;lng="&amp;DERECHA(SUBSTITUTE(F832," ",""),LARGO(SUBSTITUTE(F832," ",""))-ENCONTRAR(",",SUBSTITUTE(F832," ",""))),"")</f>
        <v/>
      </c>
    </row>
    <row r="833" ht="15.75" customHeight="1" s="10">
      <c r="A833" s="8">
        <f>CONCAT("AD507-",TEXT(ROW()-2,"0000"))</f>
        <v/>
      </c>
      <c r="C833" s="8" t="n"/>
      <c r="F833" s="8" t="n"/>
      <c r="G833" s="8">
        <f>IF(F833&lt;&gt;"",HYPERLINK("https://www.google.com/maps/search/?api=1&amp;query="&amp;SUBSTITUTE(F833," ",""),"🗺 Google Maps"),"")</f>
        <v/>
      </c>
      <c r="H833" s="8">
        <f>IF(F833&lt;&gt;"",HYPERLINK("https://waze.com/ul?ll="&amp;SUBSTITUTE(F833," ","")&amp;"&amp;navigate=yes","🚗 Waze"),"")</f>
        <v/>
      </c>
      <c r="I833" s="8">
        <f>IF(F833&lt;&gt;"",HYPERLINK("https://m.uber.com/ul/?action=setPickup&amp;pickup=my_location&amp;dropoff[latitude]="&amp;LEFT(SUBSTITUTE(F833," ",""),FIND(",",SUBSTITUTE(F833," ",""))-1)&amp;"&amp;dropoff[longitude]="&amp;MID(SUBSTITUTE(F833," ",""),FIND(",",SUBSTITUTE(F833," ",""))+1,99),"🚕 Uber"),"")</f>
        <v/>
      </c>
      <c r="J833" s="8">
        <f>IF(F833&lt;&gt;"","https://api.qrserver.com/v1/create-qr-code/?size=200x200&amp;data="&amp;ENCODEURL("https://www.google.com/maps/search/?api=1&amp;query="&amp;SUBSTITUTE(F833," ","")),"")</f>
        <v/>
      </c>
      <c r="K833" s="8">
        <f>IF(C833&lt;&gt;"",HYPERLINK("https://wa.me/507"&amp;REGEXREPLACE(C833,"[^0-9]","")&amp;"?text="&amp;ENCODEURL("Ya llegue. Codigo: "&amp;A833&amp;". Ubicacion: "&amp;"https://www.google.com/maps/search/?api=1&amp;query="&amp;SUBSTITUTE(F833," ","")),"📲 Avisar al cliente"),"")</f>
        <v/>
      </c>
      <c r="L833" s="8">
        <f>IF(C833&lt;&gt;"","https://api.qrserver.com/v1/create-qr-code/?size=200x200&amp;data="&amp;ENCODEURL("https://wa.me/507"&amp;REGEXREPLACE(C833,"[^0-9]","")&amp;"?text="&amp;ENCODEURL("Ya llegue. Codigo: "&amp;A833&amp;". Ubicacion: "&amp;"https://www.google.com/maps/search/?api=1&amp;query="&amp;SUBSTITUTE(F833," ",""))),"")</f>
        <v/>
      </c>
      <c r="M833" s="8">
        <f>IF(B833&lt;&gt;"",TODAY(),"")</f>
        <v/>
      </c>
      <c r="N833" s="8">
        <f>IF(F833&lt;&gt;"",IFERROR(IF(AND(REGEXMATCH(SUBSTITUTE(TRIM(F833)," ",""),"^-?\d+(\.\d+)?,-?\d+(\.\d+)?$"),VALUE(REGEXEXTRACT(SUBSTITUTE(TRIM(F833)," ",""),"^-?\d+(\.\d+)?"))&gt;=-90,VALUE(REGEXEXTRACT(SUBSTITUTE(TRIM(F833)," ",""),"^-?\d+(\.\d+)?"))&lt;=90,VALUE(REGEXEXTRACT(SUBSTITUTE(TRIM(F833)," ",""),"-?\d+(\.\d+)?$"))&gt;=-180,VALUE(REGEXEXTRACT(SUBSTITUTE(TRIM(F833)," ",""),"-?\d+(\.\d+)?$"))&lt;=180),"OK","REVISAR"),"REVISAR"),"")</f>
        <v/>
      </c>
      <c r="O833">
        <f>IF(A833&lt;&gt;"","https://direcciones507.github.io/direcciones507/panel.html?codigo="&amp;A833&amp;"&amp;nombre="&amp;ENCODEURL(B833)&amp;"&amp;telefono="&amp;SUBSTITUTE(C833,"-","")&amp;"&amp;referencia="&amp;ENCODEURL(E833)&amp;"&amp;lat="&amp;IZQUIERDA(SUBSTITUTE(F833," ",""),ENCONTRAR(",",SUBSTITUTE(F833," ",""))-1)&amp;"&amp;lng="&amp;DERECHA(SUBSTITUTE(F833," ",""),LARGO(SUBSTITUTE(F833," ",""))-ENCONTRAR(",",SUBSTITUTE(F833," ",""))),"")</f>
        <v/>
      </c>
    </row>
    <row r="834" ht="15.75" customHeight="1" s="10">
      <c r="A834" s="8">
        <f>CONCAT("AD507-",TEXT(ROW()-2,"0000"))</f>
        <v/>
      </c>
      <c r="C834" s="8" t="n"/>
      <c r="F834" s="8" t="n"/>
      <c r="G834" s="8">
        <f>IF(F834&lt;&gt;"",HYPERLINK("https://www.google.com/maps/search/?api=1&amp;query="&amp;SUBSTITUTE(F834," ",""),"🗺 Google Maps"),"")</f>
        <v/>
      </c>
      <c r="H834" s="8">
        <f>IF(F834&lt;&gt;"",HYPERLINK("https://waze.com/ul?ll="&amp;SUBSTITUTE(F834," ","")&amp;"&amp;navigate=yes","🚗 Waze"),"")</f>
        <v/>
      </c>
      <c r="I834" s="8">
        <f>IF(F834&lt;&gt;"",HYPERLINK("https://m.uber.com/ul/?action=setPickup&amp;pickup=my_location&amp;dropoff[latitude]="&amp;LEFT(SUBSTITUTE(F834," ",""),FIND(",",SUBSTITUTE(F834," ",""))-1)&amp;"&amp;dropoff[longitude]="&amp;MID(SUBSTITUTE(F834," ",""),FIND(",",SUBSTITUTE(F834," ",""))+1,99),"🚕 Uber"),"")</f>
        <v/>
      </c>
      <c r="J834" s="8">
        <f>IF(F834&lt;&gt;"","https://api.qrserver.com/v1/create-qr-code/?size=200x200&amp;data="&amp;ENCODEURL("https://www.google.com/maps/search/?api=1&amp;query="&amp;SUBSTITUTE(F834," ","")),"")</f>
        <v/>
      </c>
      <c r="K834" s="8">
        <f>IF(C834&lt;&gt;"",HYPERLINK("https://wa.me/507"&amp;REGEXREPLACE(C834,"[^0-9]","")&amp;"?text="&amp;ENCODEURL("Ya llegue. Codigo: "&amp;A834&amp;". Ubicacion: "&amp;"https://www.google.com/maps/search/?api=1&amp;query="&amp;SUBSTITUTE(F834," ","")),"📲 Avisar al cliente"),"")</f>
        <v/>
      </c>
      <c r="L834" s="8">
        <f>IF(C834&lt;&gt;"","https://api.qrserver.com/v1/create-qr-code/?size=200x200&amp;data="&amp;ENCODEURL("https://wa.me/507"&amp;REGEXREPLACE(C834,"[^0-9]","")&amp;"?text="&amp;ENCODEURL("Ya llegue. Codigo: "&amp;A834&amp;". Ubicacion: "&amp;"https://www.google.com/maps/search/?api=1&amp;query="&amp;SUBSTITUTE(F834," ",""))),"")</f>
        <v/>
      </c>
      <c r="M834" s="8">
        <f>IF(B834&lt;&gt;"",TODAY(),"")</f>
        <v/>
      </c>
      <c r="N834" s="8">
        <f>IF(F834&lt;&gt;"",IFERROR(IF(AND(REGEXMATCH(SUBSTITUTE(TRIM(F834)," ",""),"^-?\d+(\.\d+)?,-?\d+(\.\d+)?$"),VALUE(REGEXEXTRACT(SUBSTITUTE(TRIM(F834)," ",""),"^-?\d+(\.\d+)?"))&gt;=-90,VALUE(REGEXEXTRACT(SUBSTITUTE(TRIM(F834)," ",""),"^-?\d+(\.\d+)?"))&lt;=90,VALUE(REGEXEXTRACT(SUBSTITUTE(TRIM(F834)," ",""),"-?\d+(\.\d+)?$"))&gt;=-180,VALUE(REGEXEXTRACT(SUBSTITUTE(TRIM(F834)," ",""),"-?\d+(\.\d+)?$"))&lt;=180),"OK","REVISAR"),"REVISAR"),"")</f>
        <v/>
      </c>
      <c r="O834">
        <f>IF(A834&lt;&gt;"","https://direcciones507.github.io/direcciones507/panel.html?codigo="&amp;A834&amp;"&amp;nombre="&amp;ENCODEURL(B834)&amp;"&amp;telefono="&amp;SUBSTITUTE(C834,"-","")&amp;"&amp;referencia="&amp;ENCODEURL(E834)&amp;"&amp;lat="&amp;IZQUIERDA(SUBSTITUTE(F834," ",""),ENCONTRAR(",",SUBSTITUTE(F834," ",""))-1)&amp;"&amp;lng="&amp;DERECHA(SUBSTITUTE(F834," ",""),LARGO(SUBSTITUTE(F834," ",""))-ENCONTRAR(",",SUBSTITUTE(F834," ",""))),"")</f>
        <v/>
      </c>
    </row>
    <row r="835" ht="15.75" customHeight="1" s="10">
      <c r="A835" s="8">
        <f>CONCAT("AD507-",TEXT(ROW()-2,"0000"))</f>
        <v/>
      </c>
      <c r="C835" s="8" t="n"/>
      <c r="F835" s="8" t="n"/>
      <c r="G835" s="8">
        <f>IF(F835&lt;&gt;"",HYPERLINK("https://www.google.com/maps/search/?api=1&amp;query="&amp;SUBSTITUTE(F835," ",""),"🗺 Google Maps"),"")</f>
        <v/>
      </c>
      <c r="H835" s="8">
        <f>IF(F835&lt;&gt;"",HYPERLINK("https://waze.com/ul?ll="&amp;SUBSTITUTE(F835," ","")&amp;"&amp;navigate=yes","🚗 Waze"),"")</f>
        <v/>
      </c>
      <c r="I835" s="8">
        <f>IF(F835&lt;&gt;"",HYPERLINK("https://m.uber.com/ul/?action=setPickup&amp;pickup=my_location&amp;dropoff[latitude]="&amp;LEFT(SUBSTITUTE(F835," ",""),FIND(",",SUBSTITUTE(F835," ",""))-1)&amp;"&amp;dropoff[longitude]="&amp;MID(SUBSTITUTE(F835," ",""),FIND(",",SUBSTITUTE(F835," ",""))+1,99),"🚕 Uber"),"")</f>
        <v/>
      </c>
      <c r="J835" s="8">
        <f>IF(F835&lt;&gt;"","https://api.qrserver.com/v1/create-qr-code/?size=200x200&amp;data="&amp;ENCODEURL("https://www.google.com/maps/search/?api=1&amp;query="&amp;SUBSTITUTE(F835," ","")),"")</f>
        <v/>
      </c>
      <c r="K835" s="8">
        <f>IF(C835&lt;&gt;"",HYPERLINK("https://wa.me/507"&amp;REGEXREPLACE(C835,"[^0-9]","")&amp;"?text="&amp;ENCODEURL("Ya llegue. Codigo: "&amp;A835&amp;". Ubicacion: "&amp;"https://www.google.com/maps/search/?api=1&amp;query="&amp;SUBSTITUTE(F835," ","")),"📲 Avisar al cliente"),"")</f>
        <v/>
      </c>
      <c r="L835" s="8">
        <f>IF(C835&lt;&gt;"","https://api.qrserver.com/v1/create-qr-code/?size=200x200&amp;data="&amp;ENCODEURL("https://wa.me/507"&amp;REGEXREPLACE(C835,"[^0-9]","")&amp;"?text="&amp;ENCODEURL("Ya llegue. Codigo: "&amp;A835&amp;". Ubicacion: "&amp;"https://www.google.com/maps/search/?api=1&amp;query="&amp;SUBSTITUTE(F835," ",""))),"")</f>
        <v/>
      </c>
      <c r="M835" s="8">
        <f>IF(B835&lt;&gt;"",TODAY(),"")</f>
        <v/>
      </c>
      <c r="N835" s="8">
        <f>IF(F835&lt;&gt;"",IFERROR(IF(AND(REGEXMATCH(SUBSTITUTE(TRIM(F835)," ",""),"^-?\d+(\.\d+)?,-?\d+(\.\d+)?$"),VALUE(REGEXEXTRACT(SUBSTITUTE(TRIM(F835)," ",""),"^-?\d+(\.\d+)?"))&gt;=-90,VALUE(REGEXEXTRACT(SUBSTITUTE(TRIM(F835)," ",""),"^-?\d+(\.\d+)?"))&lt;=90,VALUE(REGEXEXTRACT(SUBSTITUTE(TRIM(F835)," ",""),"-?\d+(\.\d+)?$"))&gt;=-180,VALUE(REGEXEXTRACT(SUBSTITUTE(TRIM(F835)," ",""),"-?\d+(\.\d+)?$"))&lt;=180),"OK","REVISAR"),"REVISAR"),"")</f>
        <v/>
      </c>
      <c r="O835">
        <f>IF(A835&lt;&gt;"","https://direcciones507.github.io/direcciones507/panel.html?codigo="&amp;A835&amp;"&amp;nombre="&amp;ENCODEURL(B835)&amp;"&amp;telefono="&amp;SUBSTITUTE(C835,"-","")&amp;"&amp;referencia="&amp;ENCODEURL(E835)&amp;"&amp;lat="&amp;IZQUIERDA(SUBSTITUTE(F835," ",""),ENCONTRAR(",",SUBSTITUTE(F835," ",""))-1)&amp;"&amp;lng="&amp;DERECHA(SUBSTITUTE(F835," ",""),LARGO(SUBSTITUTE(F835," ",""))-ENCONTRAR(",",SUBSTITUTE(F835," ",""))),"")</f>
        <v/>
      </c>
    </row>
    <row r="836" ht="15.75" customHeight="1" s="10">
      <c r="A836" s="8">
        <f>CONCAT("AD507-",TEXT(ROW()-2,"0000"))</f>
        <v/>
      </c>
      <c r="C836" s="8" t="n"/>
      <c r="F836" s="8" t="n"/>
      <c r="G836" s="8">
        <f>IF(F836&lt;&gt;"",HYPERLINK("https://www.google.com/maps/search/?api=1&amp;query="&amp;SUBSTITUTE(F836," ",""),"🗺 Google Maps"),"")</f>
        <v/>
      </c>
      <c r="H836" s="8">
        <f>IF(F836&lt;&gt;"",HYPERLINK("https://waze.com/ul?ll="&amp;SUBSTITUTE(F836," ","")&amp;"&amp;navigate=yes","🚗 Waze"),"")</f>
        <v/>
      </c>
      <c r="I836" s="8">
        <f>IF(F836&lt;&gt;"",HYPERLINK("https://m.uber.com/ul/?action=setPickup&amp;pickup=my_location&amp;dropoff[latitude]="&amp;LEFT(SUBSTITUTE(F836," ",""),FIND(",",SUBSTITUTE(F836," ",""))-1)&amp;"&amp;dropoff[longitude]="&amp;MID(SUBSTITUTE(F836," ",""),FIND(",",SUBSTITUTE(F836," ",""))+1,99),"🚕 Uber"),"")</f>
        <v/>
      </c>
      <c r="J836" s="8">
        <f>IF(F836&lt;&gt;"","https://api.qrserver.com/v1/create-qr-code/?size=200x200&amp;data="&amp;ENCODEURL("https://www.google.com/maps/search/?api=1&amp;query="&amp;SUBSTITUTE(F836," ","")),"")</f>
        <v/>
      </c>
      <c r="K836" s="8">
        <f>IF(C836&lt;&gt;"",HYPERLINK("https://wa.me/507"&amp;REGEXREPLACE(C836,"[^0-9]","")&amp;"?text="&amp;ENCODEURL("Ya llegue. Codigo: "&amp;A836&amp;". Ubicacion: "&amp;"https://www.google.com/maps/search/?api=1&amp;query="&amp;SUBSTITUTE(F836," ","")),"📲 Avisar al cliente"),"")</f>
        <v/>
      </c>
      <c r="L836" s="8">
        <f>IF(C836&lt;&gt;"","https://api.qrserver.com/v1/create-qr-code/?size=200x200&amp;data="&amp;ENCODEURL("https://wa.me/507"&amp;REGEXREPLACE(C836,"[^0-9]","")&amp;"?text="&amp;ENCODEURL("Ya llegue. Codigo: "&amp;A836&amp;". Ubicacion: "&amp;"https://www.google.com/maps/search/?api=1&amp;query="&amp;SUBSTITUTE(F836," ",""))),"")</f>
        <v/>
      </c>
      <c r="M836" s="8">
        <f>IF(B836&lt;&gt;"",TODAY(),"")</f>
        <v/>
      </c>
      <c r="N836" s="8">
        <f>IF(F836&lt;&gt;"",IFERROR(IF(AND(REGEXMATCH(SUBSTITUTE(TRIM(F836)," ",""),"^-?\d+(\.\d+)?,-?\d+(\.\d+)?$"),VALUE(REGEXEXTRACT(SUBSTITUTE(TRIM(F836)," ",""),"^-?\d+(\.\d+)?"))&gt;=-90,VALUE(REGEXEXTRACT(SUBSTITUTE(TRIM(F836)," ",""),"^-?\d+(\.\d+)?"))&lt;=90,VALUE(REGEXEXTRACT(SUBSTITUTE(TRIM(F836)," ",""),"-?\d+(\.\d+)?$"))&gt;=-180,VALUE(REGEXEXTRACT(SUBSTITUTE(TRIM(F836)," ",""),"-?\d+(\.\d+)?$"))&lt;=180),"OK","REVISAR"),"REVISAR"),"")</f>
        <v/>
      </c>
      <c r="O836">
        <f>IF(A836&lt;&gt;"","https://direcciones507.github.io/direcciones507/panel.html?codigo="&amp;A836&amp;"&amp;nombre="&amp;ENCODEURL(B836)&amp;"&amp;telefono="&amp;SUBSTITUTE(C836,"-","")&amp;"&amp;referencia="&amp;ENCODEURL(E836)&amp;"&amp;lat="&amp;IZQUIERDA(SUBSTITUTE(F836," ",""),ENCONTRAR(",",SUBSTITUTE(F836," ",""))-1)&amp;"&amp;lng="&amp;DERECHA(SUBSTITUTE(F836," ",""),LARGO(SUBSTITUTE(F836," ",""))-ENCONTRAR(",",SUBSTITUTE(F836," ",""))),"")</f>
        <v/>
      </c>
    </row>
    <row r="837" ht="15.75" customHeight="1" s="10">
      <c r="A837" s="8">
        <f>CONCAT("AD507-",TEXT(ROW()-2,"0000"))</f>
        <v/>
      </c>
      <c r="C837" s="8" t="n"/>
      <c r="F837" s="8" t="n"/>
      <c r="G837" s="8">
        <f>IF(F837&lt;&gt;"",HYPERLINK("https://www.google.com/maps/search/?api=1&amp;query="&amp;SUBSTITUTE(F837," ",""),"🗺 Google Maps"),"")</f>
        <v/>
      </c>
      <c r="H837" s="8">
        <f>IF(F837&lt;&gt;"",HYPERLINK("https://waze.com/ul?ll="&amp;SUBSTITUTE(F837," ","")&amp;"&amp;navigate=yes","🚗 Waze"),"")</f>
        <v/>
      </c>
      <c r="I837" s="8">
        <f>IF(F837&lt;&gt;"",HYPERLINK("https://m.uber.com/ul/?action=setPickup&amp;pickup=my_location&amp;dropoff[latitude]="&amp;LEFT(SUBSTITUTE(F837," ",""),FIND(",",SUBSTITUTE(F837," ",""))-1)&amp;"&amp;dropoff[longitude]="&amp;MID(SUBSTITUTE(F837," ",""),FIND(",",SUBSTITUTE(F837," ",""))+1,99),"🚕 Uber"),"")</f>
        <v/>
      </c>
      <c r="J837" s="8">
        <f>IF(F837&lt;&gt;"","https://api.qrserver.com/v1/create-qr-code/?size=200x200&amp;data="&amp;ENCODEURL("https://www.google.com/maps/search/?api=1&amp;query="&amp;SUBSTITUTE(F837," ","")),"")</f>
        <v/>
      </c>
      <c r="K837" s="8">
        <f>IF(C837&lt;&gt;"",HYPERLINK("https://wa.me/507"&amp;REGEXREPLACE(C837,"[^0-9]","")&amp;"?text="&amp;ENCODEURL("Ya llegue. Codigo: "&amp;A837&amp;". Ubicacion: "&amp;"https://www.google.com/maps/search/?api=1&amp;query="&amp;SUBSTITUTE(F837," ","")),"📲 Avisar al cliente"),"")</f>
        <v/>
      </c>
      <c r="L837" s="8">
        <f>IF(C837&lt;&gt;"","https://api.qrserver.com/v1/create-qr-code/?size=200x200&amp;data="&amp;ENCODEURL("https://wa.me/507"&amp;REGEXREPLACE(C837,"[^0-9]","")&amp;"?text="&amp;ENCODEURL("Ya llegue. Codigo: "&amp;A837&amp;". Ubicacion: "&amp;"https://www.google.com/maps/search/?api=1&amp;query="&amp;SUBSTITUTE(F837," ",""))),"")</f>
        <v/>
      </c>
      <c r="M837" s="8">
        <f>IF(B837&lt;&gt;"",TODAY(),"")</f>
        <v/>
      </c>
      <c r="N837" s="8">
        <f>IF(F837&lt;&gt;"",IFERROR(IF(AND(REGEXMATCH(SUBSTITUTE(TRIM(F837)," ",""),"^-?\d+(\.\d+)?,-?\d+(\.\d+)?$"),VALUE(REGEXEXTRACT(SUBSTITUTE(TRIM(F837)," ",""),"^-?\d+(\.\d+)?"))&gt;=-90,VALUE(REGEXEXTRACT(SUBSTITUTE(TRIM(F837)," ",""),"^-?\d+(\.\d+)?"))&lt;=90,VALUE(REGEXEXTRACT(SUBSTITUTE(TRIM(F837)," ",""),"-?\d+(\.\d+)?$"))&gt;=-180,VALUE(REGEXEXTRACT(SUBSTITUTE(TRIM(F837)," ",""),"-?\d+(\.\d+)?$"))&lt;=180),"OK","REVISAR"),"REVISAR"),"")</f>
        <v/>
      </c>
      <c r="O837">
        <f>IF(A837&lt;&gt;"","https://direcciones507.github.io/direcciones507/panel.html?codigo="&amp;A837&amp;"&amp;nombre="&amp;ENCODEURL(B837)&amp;"&amp;telefono="&amp;SUBSTITUTE(C837,"-","")&amp;"&amp;referencia="&amp;ENCODEURL(E837)&amp;"&amp;lat="&amp;IZQUIERDA(SUBSTITUTE(F837," ",""),ENCONTRAR(",",SUBSTITUTE(F837," ",""))-1)&amp;"&amp;lng="&amp;DERECHA(SUBSTITUTE(F837," ",""),LARGO(SUBSTITUTE(F837," ",""))-ENCONTRAR(",",SUBSTITUTE(F837," ",""))),"")</f>
        <v/>
      </c>
    </row>
    <row r="838" ht="15.75" customHeight="1" s="10">
      <c r="A838" s="8">
        <f>CONCAT("AD507-",TEXT(ROW()-2,"0000"))</f>
        <v/>
      </c>
      <c r="C838" s="8" t="n"/>
      <c r="F838" s="8" t="n"/>
      <c r="G838" s="8">
        <f>IF(F838&lt;&gt;"",HYPERLINK("https://www.google.com/maps/search/?api=1&amp;query="&amp;SUBSTITUTE(F838," ",""),"🗺 Google Maps"),"")</f>
        <v/>
      </c>
      <c r="H838" s="8">
        <f>IF(F838&lt;&gt;"",HYPERLINK("https://waze.com/ul?ll="&amp;SUBSTITUTE(F838," ","")&amp;"&amp;navigate=yes","🚗 Waze"),"")</f>
        <v/>
      </c>
      <c r="I838" s="8">
        <f>IF(F838&lt;&gt;"",HYPERLINK("https://m.uber.com/ul/?action=setPickup&amp;pickup=my_location&amp;dropoff[latitude]="&amp;LEFT(SUBSTITUTE(F838," ",""),FIND(",",SUBSTITUTE(F838," ",""))-1)&amp;"&amp;dropoff[longitude]="&amp;MID(SUBSTITUTE(F838," ",""),FIND(",",SUBSTITUTE(F838," ",""))+1,99),"🚕 Uber"),"")</f>
        <v/>
      </c>
      <c r="J838" s="8">
        <f>IF(F838&lt;&gt;"","https://api.qrserver.com/v1/create-qr-code/?size=200x200&amp;data="&amp;ENCODEURL("https://www.google.com/maps/search/?api=1&amp;query="&amp;SUBSTITUTE(F838," ","")),"")</f>
        <v/>
      </c>
      <c r="K838" s="8">
        <f>IF(C838&lt;&gt;"",HYPERLINK("https://wa.me/507"&amp;REGEXREPLACE(C838,"[^0-9]","")&amp;"?text="&amp;ENCODEURL("Ya llegue. Codigo: "&amp;A838&amp;". Ubicacion: "&amp;"https://www.google.com/maps/search/?api=1&amp;query="&amp;SUBSTITUTE(F838," ","")),"📲 Avisar al cliente"),"")</f>
        <v/>
      </c>
      <c r="L838" s="8">
        <f>IF(C838&lt;&gt;"","https://api.qrserver.com/v1/create-qr-code/?size=200x200&amp;data="&amp;ENCODEURL("https://wa.me/507"&amp;REGEXREPLACE(C838,"[^0-9]","")&amp;"?text="&amp;ENCODEURL("Ya llegue. Codigo: "&amp;A838&amp;". Ubicacion: "&amp;"https://www.google.com/maps/search/?api=1&amp;query="&amp;SUBSTITUTE(F838," ",""))),"")</f>
        <v/>
      </c>
      <c r="M838" s="8">
        <f>IF(B838&lt;&gt;"",TODAY(),"")</f>
        <v/>
      </c>
      <c r="N838" s="8">
        <f>IF(F838&lt;&gt;"",IFERROR(IF(AND(REGEXMATCH(SUBSTITUTE(TRIM(F838)," ",""),"^-?\d+(\.\d+)?,-?\d+(\.\d+)?$"),VALUE(REGEXEXTRACT(SUBSTITUTE(TRIM(F838)," ",""),"^-?\d+(\.\d+)?"))&gt;=-90,VALUE(REGEXEXTRACT(SUBSTITUTE(TRIM(F838)," ",""),"^-?\d+(\.\d+)?"))&lt;=90,VALUE(REGEXEXTRACT(SUBSTITUTE(TRIM(F838)," ",""),"-?\d+(\.\d+)?$"))&gt;=-180,VALUE(REGEXEXTRACT(SUBSTITUTE(TRIM(F838)," ",""),"-?\d+(\.\d+)?$"))&lt;=180),"OK","REVISAR"),"REVISAR"),"")</f>
        <v/>
      </c>
      <c r="O838">
        <f>IF(A838&lt;&gt;"","https://direcciones507.github.io/direcciones507/panel.html?codigo="&amp;A838&amp;"&amp;nombre="&amp;ENCODEURL(B838)&amp;"&amp;telefono="&amp;SUBSTITUTE(C838,"-","")&amp;"&amp;referencia="&amp;ENCODEURL(E838)&amp;"&amp;lat="&amp;IZQUIERDA(SUBSTITUTE(F838," ",""),ENCONTRAR(",",SUBSTITUTE(F838," ",""))-1)&amp;"&amp;lng="&amp;DERECHA(SUBSTITUTE(F838," ",""),LARGO(SUBSTITUTE(F838," ",""))-ENCONTRAR(",",SUBSTITUTE(F838," ",""))),"")</f>
        <v/>
      </c>
    </row>
    <row r="839" ht="15.75" customHeight="1" s="10">
      <c r="A839" s="8">
        <f>CONCAT("AD507-",TEXT(ROW()-2,"0000"))</f>
        <v/>
      </c>
      <c r="C839" s="8" t="n"/>
      <c r="F839" s="8" t="n"/>
      <c r="G839" s="8">
        <f>IF(F839&lt;&gt;"",HYPERLINK("https://www.google.com/maps/search/?api=1&amp;query="&amp;SUBSTITUTE(F839," ",""),"🗺 Google Maps"),"")</f>
        <v/>
      </c>
      <c r="H839" s="8">
        <f>IF(F839&lt;&gt;"",HYPERLINK("https://waze.com/ul?ll="&amp;SUBSTITUTE(F839," ","")&amp;"&amp;navigate=yes","🚗 Waze"),"")</f>
        <v/>
      </c>
      <c r="I839" s="8">
        <f>IF(F839&lt;&gt;"",HYPERLINK("https://m.uber.com/ul/?action=setPickup&amp;pickup=my_location&amp;dropoff[latitude]="&amp;LEFT(SUBSTITUTE(F839," ",""),FIND(",",SUBSTITUTE(F839," ",""))-1)&amp;"&amp;dropoff[longitude]="&amp;MID(SUBSTITUTE(F839," ",""),FIND(",",SUBSTITUTE(F839," ",""))+1,99),"🚕 Uber"),"")</f>
        <v/>
      </c>
      <c r="J839" s="8">
        <f>IF(F839&lt;&gt;"","https://api.qrserver.com/v1/create-qr-code/?size=200x200&amp;data="&amp;ENCODEURL("https://www.google.com/maps/search/?api=1&amp;query="&amp;SUBSTITUTE(F839," ","")),"")</f>
        <v/>
      </c>
      <c r="K839" s="8">
        <f>IF(C839&lt;&gt;"",HYPERLINK("https://wa.me/507"&amp;REGEXREPLACE(C839,"[^0-9]","")&amp;"?text="&amp;ENCODEURL("Ya llegue. Codigo: "&amp;A839&amp;". Ubicacion: "&amp;"https://www.google.com/maps/search/?api=1&amp;query="&amp;SUBSTITUTE(F839," ","")),"📲 Avisar al cliente"),"")</f>
        <v/>
      </c>
      <c r="L839" s="8">
        <f>IF(C839&lt;&gt;"","https://api.qrserver.com/v1/create-qr-code/?size=200x200&amp;data="&amp;ENCODEURL("https://wa.me/507"&amp;REGEXREPLACE(C839,"[^0-9]","")&amp;"?text="&amp;ENCODEURL("Ya llegue. Codigo: "&amp;A839&amp;". Ubicacion: "&amp;"https://www.google.com/maps/search/?api=1&amp;query="&amp;SUBSTITUTE(F839," ",""))),"")</f>
        <v/>
      </c>
      <c r="M839" s="8">
        <f>IF(B839&lt;&gt;"",TODAY(),"")</f>
        <v/>
      </c>
      <c r="N839" s="8">
        <f>IF(F839&lt;&gt;"",IFERROR(IF(AND(REGEXMATCH(SUBSTITUTE(TRIM(F839)," ",""),"^-?\d+(\.\d+)?,-?\d+(\.\d+)?$"),VALUE(REGEXEXTRACT(SUBSTITUTE(TRIM(F839)," ",""),"^-?\d+(\.\d+)?"))&gt;=-90,VALUE(REGEXEXTRACT(SUBSTITUTE(TRIM(F839)," ",""),"^-?\d+(\.\d+)?"))&lt;=90,VALUE(REGEXEXTRACT(SUBSTITUTE(TRIM(F839)," ",""),"-?\d+(\.\d+)?$"))&gt;=-180,VALUE(REGEXEXTRACT(SUBSTITUTE(TRIM(F839)," ",""),"-?\d+(\.\d+)?$"))&lt;=180),"OK","REVISAR"),"REVISAR"),"")</f>
        <v/>
      </c>
      <c r="O839">
        <f>IF(A839&lt;&gt;"","https://direcciones507.github.io/direcciones507/panel.html?codigo="&amp;A839&amp;"&amp;nombre="&amp;ENCODEURL(B839)&amp;"&amp;telefono="&amp;SUBSTITUTE(C839,"-","")&amp;"&amp;referencia="&amp;ENCODEURL(E839)&amp;"&amp;lat="&amp;IZQUIERDA(SUBSTITUTE(F839," ",""),ENCONTRAR(",",SUBSTITUTE(F839," ",""))-1)&amp;"&amp;lng="&amp;DERECHA(SUBSTITUTE(F839," ",""),LARGO(SUBSTITUTE(F839," ",""))-ENCONTRAR(",",SUBSTITUTE(F839," ",""))),"")</f>
        <v/>
      </c>
    </row>
    <row r="840" ht="15.75" customHeight="1" s="10">
      <c r="A840" s="8">
        <f>CONCAT("AD507-",TEXT(ROW()-2,"0000"))</f>
        <v/>
      </c>
      <c r="C840" s="8" t="n"/>
      <c r="F840" s="8" t="n"/>
      <c r="G840" s="8">
        <f>IF(F840&lt;&gt;"",HYPERLINK("https://www.google.com/maps/search/?api=1&amp;query="&amp;SUBSTITUTE(F840," ",""),"🗺 Google Maps"),"")</f>
        <v/>
      </c>
      <c r="H840" s="8">
        <f>IF(F840&lt;&gt;"",HYPERLINK("https://waze.com/ul?ll="&amp;SUBSTITUTE(F840," ","")&amp;"&amp;navigate=yes","🚗 Waze"),"")</f>
        <v/>
      </c>
      <c r="I840" s="8">
        <f>IF(F840&lt;&gt;"",HYPERLINK("https://m.uber.com/ul/?action=setPickup&amp;pickup=my_location&amp;dropoff[latitude]="&amp;LEFT(SUBSTITUTE(F840," ",""),FIND(",",SUBSTITUTE(F840," ",""))-1)&amp;"&amp;dropoff[longitude]="&amp;MID(SUBSTITUTE(F840," ",""),FIND(",",SUBSTITUTE(F840," ",""))+1,99),"🚕 Uber"),"")</f>
        <v/>
      </c>
      <c r="J840" s="8">
        <f>IF(F840&lt;&gt;"","https://api.qrserver.com/v1/create-qr-code/?size=200x200&amp;data="&amp;ENCODEURL("https://www.google.com/maps/search/?api=1&amp;query="&amp;SUBSTITUTE(F840," ","")),"")</f>
        <v/>
      </c>
      <c r="K840" s="8">
        <f>IF(C840&lt;&gt;"",HYPERLINK("https://wa.me/507"&amp;REGEXREPLACE(C840,"[^0-9]","")&amp;"?text="&amp;ENCODEURL("Ya llegue. Codigo: "&amp;A840&amp;". Ubicacion: "&amp;"https://www.google.com/maps/search/?api=1&amp;query="&amp;SUBSTITUTE(F840," ","")),"📲 Avisar al cliente"),"")</f>
        <v/>
      </c>
      <c r="L840" s="8">
        <f>IF(C840&lt;&gt;"","https://api.qrserver.com/v1/create-qr-code/?size=200x200&amp;data="&amp;ENCODEURL("https://wa.me/507"&amp;REGEXREPLACE(C840,"[^0-9]","")&amp;"?text="&amp;ENCODEURL("Ya llegue. Codigo: "&amp;A840&amp;". Ubicacion: "&amp;"https://www.google.com/maps/search/?api=1&amp;query="&amp;SUBSTITUTE(F840," ",""))),"")</f>
        <v/>
      </c>
      <c r="M840" s="8">
        <f>IF(B840&lt;&gt;"",TODAY(),"")</f>
        <v/>
      </c>
      <c r="N840" s="8">
        <f>IF(F840&lt;&gt;"",IFERROR(IF(AND(REGEXMATCH(SUBSTITUTE(TRIM(F840)," ",""),"^-?\d+(\.\d+)?,-?\d+(\.\d+)?$"),VALUE(REGEXEXTRACT(SUBSTITUTE(TRIM(F840)," ",""),"^-?\d+(\.\d+)?"))&gt;=-90,VALUE(REGEXEXTRACT(SUBSTITUTE(TRIM(F840)," ",""),"^-?\d+(\.\d+)?"))&lt;=90,VALUE(REGEXEXTRACT(SUBSTITUTE(TRIM(F840)," ",""),"-?\d+(\.\d+)?$"))&gt;=-180,VALUE(REGEXEXTRACT(SUBSTITUTE(TRIM(F840)," ",""),"-?\d+(\.\d+)?$"))&lt;=180),"OK","REVISAR"),"REVISAR"),"")</f>
        <v/>
      </c>
      <c r="O840">
        <f>IF(A840&lt;&gt;"","https://direcciones507.github.io/direcciones507/panel.html?codigo="&amp;A840&amp;"&amp;nombre="&amp;ENCODEURL(B840)&amp;"&amp;telefono="&amp;SUBSTITUTE(C840,"-","")&amp;"&amp;referencia="&amp;ENCODEURL(E840)&amp;"&amp;lat="&amp;IZQUIERDA(SUBSTITUTE(F840," ",""),ENCONTRAR(",",SUBSTITUTE(F840," ",""))-1)&amp;"&amp;lng="&amp;DERECHA(SUBSTITUTE(F840," ",""),LARGO(SUBSTITUTE(F840," ",""))-ENCONTRAR(",",SUBSTITUTE(F840," ",""))),"")</f>
        <v/>
      </c>
    </row>
    <row r="841" ht="15.75" customHeight="1" s="10">
      <c r="A841" s="8">
        <f>CONCAT("AD507-",TEXT(ROW()-2,"0000"))</f>
        <v/>
      </c>
      <c r="C841" s="8" t="n"/>
      <c r="F841" s="8" t="n"/>
      <c r="G841" s="8">
        <f>IF(F841&lt;&gt;"",HYPERLINK("https://www.google.com/maps/search/?api=1&amp;query="&amp;SUBSTITUTE(F841," ",""),"🗺 Google Maps"),"")</f>
        <v/>
      </c>
      <c r="H841" s="8">
        <f>IF(F841&lt;&gt;"",HYPERLINK("https://waze.com/ul?ll="&amp;SUBSTITUTE(F841," ","")&amp;"&amp;navigate=yes","🚗 Waze"),"")</f>
        <v/>
      </c>
      <c r="I841" s="8">
        <f>IF(F841&lt;&gt;"",HYPERLINK("https://m.uber.com/ul/?action=setPickup&amp;pickup=my_location&amp;dropoff[latitude]="&amp;LEFT(SUBSTITUTE(F841," ",""),FIND(",",SUBSTITUTE(F841," ",""))-1)&amp;"&amp;dropoff[longitude]="&amp;MID(SUBSTITUTE(F841," ",""),FIND(",",SUBSTITUTE(F841," ",""))+1,99),"🚕 Uber"),"")</f>
        <v/>
      </c>
      <c r="J841" s="8">
        <f>IF(F841&lt;&gt;"","https://api.qrserver.com/v1/create-qr-code/?size=200x200&amp;data="&amp;ENCODEURL("https://www.google.com/maps/search/?api=1&amp;query="&amp;SUBSTITUTE(F841," ","")),"")</f>
        <v/>
      </c>
      <c r="K841" s="8">
        <f>IF(C841&lt;&gt;"",HYPERLINK("https://wa.me/507"&amp;REGEXREPLACE(C841,"[^0-9]","")&amp;"?text="&amp;ENCODEURL("Ya llegue. Codigo: "&amp;A841&amp;". Ubicacion: "&amp;"https://www.google.com/maps/search/?api=1&amp;query="&amp;SUBSTITUTE(F841," ","")),"📲 Avisar al cliente"),"")</f>
        <v/>
      </c>
      <c r="L841" s="8">
        <f>IF(C841&lt;&gt;"","https://api.qrserver.com/v1/create-qr-code/?size=200x200&amp;data="&amp;ENCODEURL("https://wa.me/507"&amp;REGEXREPLACE(C841,"[^0-9]","")&amp;"?text="&amp;ENCODEURL("Ya llegue. Codigo: "&amp;A841&amp;". Ubicacion: "&amp;"https://www.google.com/maps/search/?api=1&amp;query="&amp;SUBSTITUTE(F841," ",""))),"")</f>
        <v/>
      </c>
      <c r="M841" s="8">
        <f>IF(B841&lt;&gt;"",TODAY(),"")</f>
        <v/>
      </c>
      <c r="N841" s="8">
        <f>IF(F841&lt;&gt;"",IFERROR(IF(AND(REGEXMATCH(SUBSTITUTE(TRIM(F841)," ",""),"^-?\d+(\.\d+)?,-?\d+(\.\d+)?$"),VALUE(REGEXEXTRACT(SUBSTITUTE(TRIM(F841)," ",""),"^-?\d+(\.\d+)?"))&gt;=-90,VALUE(REGEXEXTRACT(SUBSTITUTE(TRIM(F841)," ",""),"^-?\d+(\.\d+)?"))&lt;=90,VALUE(REGEXEXTRACT(SUBSTITUTE(TRIM(F841)," ",""),"-?\d+(\.\d+)?$"))&gt;=-180,VALUE(REGEXEXTRACT(SUBSTITUTE(TRIM(F841)," ",""),"-?\d+(\.\d+)?$"))&lt;=180),"OK","REVISAR"),"REVISAR"),"")</f>
        <v/>
      </c>
      <c r="O841">
        <f>IF(A841&lt;&gt;"","https://direcciones507.github.io/direcciones507/panel.html?codigo="&amp;A841&amp;"&amp;nombre="&amp;ENCODEURL(B841)&amp;"&amp;telefono="&amp;SUBSTITUTE(C841,"-","")&amp;"&amp;referencia="&amp;ENCODEURL(E841)&amp;"&amp;lat="&amp;IZQUIERDA(SUBSTITUTE(F841," ",""),ENCONTRAR(",",SUBSTITUTE(F841," ",""))-1)&amp;"&amp;lng="&amp;DERECHA(SUBSTITUTE(F841," ",""),LARGO(SUBSTITUTE(F841," ",""))-ENCONTRAR(",",SUBSTITUTE(F841," ",""))),"")</f>
        <v/>
      </c>
    </row>
    <row r="842" ht="15.75" customHeight="1" s="10">
      <c r="A842" s="8">
        <f>CONCAT("AD507-",TEXT(ROW()-2,"0000"))</f>
        <v/>
      </c>
      <c r="C842" s="8" t="n"/>
      <c r="F842" s="8" t="n"/>
      <c r="G842" s="8">
        <f>IF(F842&lt;&gt;"",HYPERLINK("https://www.google.com/maps/search/?api=1&amp;query="&amp;SUBSTITUTE(F842," ",""),"🗺 Google Maps"),"")</f>
        <v/>
      </c>
      <c r="H842" s="8">
        <f>IF(F842&lt;&gt;"",HYPERLINK("https://waze.com/ul?ll="&amp;SUBSTITUTE(F842," ","")&amp;"&amp;navigate=yes","🚗 Waze"),"")</f>
        <v/>
      </c>
      <c r="I842" s="8">
        <f>IF(F842&lt;&gt;"",HYPERLINK("https://m.uber.com/ul/?action=setPickup&amp;pickup=my_location&amp;dropoff[latitude]="&amp;LEFT(SUBSTITUTE(F842," ",""),FIND(",",SUBSTITUTE(F842," ",""))-1)&amp;"&amp;dropoff[longitude]="&amp;MID(SUBSTITUTE(F842," ",""),FIND(",",SUBSTITUTE(F842," ",""))+1,99),"🚕 Uber"),"")</f>
        <v/>
      </c>
      <c r="J842" s="8">
        <f>IF(F842&lt;&gt;"","https://api.qrserver.com/v1/create-qr-code/?size=200x200&amp;data="&amp;ENCODEURL("https://www.google.com/maps/search/?api=1&amp;query="&amp;SUBSTITUTE(F842," ","")),"")</f>
        <v/>
      </c>
      <c r="K842" s="8">
        <f>IF(C842&lt;&gt;"",HYPERLINK("https://wa.me/507"&amp;REGEXREPLACE(C842,"[^0-9]","")&amp;"?text="&amp;ENCODEURL("Ya llegue. Codigo: "&amp;A842&amp;". Ubicacion: "&amp;"https://www.google.com/maps/search/?api=1&amp;query="&amp;SUBSTITUTE(F842," ","")),"📲 Avisar al cliente"),"")</f>
        <v/>
      </c>
      <c r="L842" s="8">
        <f>IF(C842&lt;&gt;"","https://api.qrserver.com/v1/create-qr-code/?size=200x200&amp;data="&amp;ENCODEURL("https://wa.me/507"&amp;REGEXREPLACE(C842,"[^0-9]","")&amp;"?text="&amp;ENCODEURL("Ya llegue. Codigo: "&amp;A842&amp;". Ubicacion: "&amp;"https://www.google.com/maps/search/?api=1&amp;query="&amp;SUBSTITUTE(F842," ",""))),"")</f>
        <v/>
      </c>
      <c r="M842" s="8">
        <f>IF(B842&lt;&gt;"",TODAY(),"")</f>
        <v/>
      </c>
      <c r="N842" s="8">
        <f>IF(F842&lt;&gt;"",IFERROR(IF(AND(REGEXMATCH(SUBSTITUTE(TRIM(F842)," ",""),"^-?\d+(\.\d+)?,-?\d+(\.\d+)?$"),VALUE(REGEXEXTRACT(SUBSTITUTE(TRIM(F842)," ",""),"^-?\d+(\.\d+)?"))&gt;=-90,VALUE(REGEXEXTRACT(SUBSTITUTE(TRIM(F842)," ",""),"^-?\d+(\.\d+)?"))&lt;=90,VALUE(REGEXEXTRACT(SUBSTITUTE(TRIM(F842)," ",""),"-?\d+(\.\d+)?$"))&gt;=-180,VALUE(REGEXEXTRACT(SUBSTITUTE(TRIM(F842)," ",""),"-?\d+(\.\d+)?$"))&lt;=180),"OK","REVISAR"),"REVISAR"),"")</f>
        <v/>
      </c>
      <c r="O842">
        <f>IF(A842&lt;&gt;"","https://direcciones507.github.io/direcciones507/panel.html?codigo="&amp;A842&amp;"&amp;nombre="&amp;ENCODEURL(B842)&amp;"&amp;telefono="&amp;SUBSTITUTE(C842,"-","")&amp;"&amp;referencia="&amp;ENCODEURL(E842)&amp;"&amp;lat="&amp;IZQUIERDA(SUBSTITUTE(F842," ",""),ENCONTRAR(",",SUBSTITUTE(F842," ",""))-1)&amp;"&amp;lng="&amp;DERECHA(SUBSTITUTE(F842," ",""),LARGO(SUBSTITUTE(F842," ",""))-ENCONTRAR(",",SUBSTITUTE(F842," ",""))),"")</f>
        <v/>
      </c>
    </row>
    <row r="843" ht="15.75" customHeight="1" s="10">
      <c r="A843" s="8">
        <f>CONCAT("AD507-",TEXT(ROW()-2,"0000"))</f>
        <v/>
      </c>
      <c r="C843" s="8" t="n"/>
      <c r="F843" s="8" t="n"/>
      <c r="G843" s="8">
        <f>IF(F843&lt;&gt;"",HYPERLINK("https://www.google.com/maps/search/?api=1&amp;query="&amp;SUBSTITUTE(F843," ",""),"🗺 Google Maps"),"")</f>
        <v/>
      </c>
      <c r="H843" s="8">
        <f>IF(F843&lt;&gt;"",HYPERLINK("https://waze.com/ul?ll="&amp;SUBSTITUTE(F843," ","")&amp;"&amp;navigate=yes","🚗 Waze"),"")</f>
        <v/>
      </c>
      <c r="I843" s="8">
        <f>IF(F843&lt;&gt;"",HYPERLINK("https://m.uber.com/ul/?action=setPickup&amp;pickup=my_location&amp;dropoff[latitude]="&amp;LEFT(SUBSTITUTE(F843," ",""),FIND(",",SUBSTITUTE(F843," ",""))-1)&amp;"&amp;dropoff[longitude]="&amp;MID(SUBSTITUTE(F843," ",""),FIND(",",SUBSTITUTE(F843," ",""))+1,99),"🚕 Uber"),"")</f>
        <v/>
      </c>
      <c r="J843" s="8">
        <f>IF(F843&lt;&gt;"","https://api.qrserver.com/v1/create-qr-code/?size=200x200&amp;data="&amp;ENCODEURL("https://www.google.com/maps/search/?api=1&amp;query="&amp;SUBSTITUTE(F843," ","")),"")</f>
        <v/>
      </c>
      <c r="K843" s="8">
        <f>IF(C843&lt;&gt;"",HYPERLINK("https://wa.me/507"&amp;REGEXREPLACE(C843,"[^0-9]","")&amp;"?text="&amp;ENCODEURL("Ya llegue. Codigo: "&amp;A843&amp;". Ubicacion: "&amp;"https://www.google.com/maps/search/?api=1&amp;query="&amp;SUBSTITUTE(F843," ","")),"📲 Avisar al cliente"),"")</f>
        <v/>
      </c>
      <c r="L843" s="8">
        <f>IF(C843&lt;&gt;"","https://api.qrserver.com/v1/create-qr-code/?size=200x200&amp;data="&amp;ENCODEURL("https://wa.me/507"&amp;REGEXREPLACE(C843,"[^0-9]","")&amp;"?text="&amp;ENCODEURL("Ya llegue. Codigo: "&amp;A843&amp;". Ubicacion: "&amp;"https://www.google.com/maps/search/?api=1&amp;query="&amp;SUBSTITUTE(F843," ",""))),"")</f>
        <v/>
      </c>
      <c r="M843" s="8">
        <f>IF(B843&lt;&gt;"",TODAY(),"")</f>
        <v/>
      </c>
      <c r="N843" s="8">
        <f>IF(F843&lt;&gt;"",IFERROR(IF(AND(REGEXMATCH(SUBSTITUTE(TRIM(F843)," ",""),"^-?\d+(\.\d+)?,-?\d+(\.\d+)?$"),VALUE(REGEXEXTRACT(SUBSTITUTE(TRIM(F843)," ",""),"^-?\d+(\.\d+)?"))&gt;=-90,VALUE(REGEXEXTRACT(SUBSTITUTE(TRIM(F843)," ",""),"^-?\d+(\.\d+)?"))&lt;=90,VALUE(REGEXEXTRACT(SUBSTITUTE(TRIM(F843)," ",""),"-?\d+(\.\d+)?$"))&gt;=-180,VALUE(REGEXEXTRACT(SUBSTITUTE(TRIM(F843)," ",""),"-?\d+(\.\d+)?$"))&lt;=180),"OK","REVISAR"),"REVISAR"),"")</f>
        <v/>
      </c>
      <c r="O843">
        <f>IF(A843&lt;&gt;"","https://direcciones507.github.io/direcciones507/panel.html?codigo="&amp;A843&amp;"&amp;nombre="&amp;ENCODEURL(B843)&amp;"&amp;telefono="&amp;SUBSTITUTE(C843,"-","")&amp;"&amp;referencia="&amp;ENCODEURL(E843)&amp;"&amp;lat="&amp;IZQUIERDA(SUBSTITUTE(F843," ",""),ENCONTRAR(",",SUBSTITUTE(F843," ",""))-1)&amp;"&amp;lng="&amp;DERECHA(SUBSTITUTE(F843," ",""),LARGO(SUBSTITUTE(F843," ",""))-ENCONTRAR(",",SUBSTITUTE(F843," ",""))),"")</f>
        <v/>
      </c>
    </row>
    <row r="844" ht="15.75" customHeight="1" s="10">
      <c r="A844" s="8">
        <f>CONCAT("AD507-",TEXT(ROW()-2,"0000"))</f>
        <v/>
      </c>
      <c r="C844" s="8" t="n"/>
      <c r="F844" s="8" t="n"/>
      <c r="G844" s="8">
        <f>IF(F844&lt;&gt;"",HYPERLINK("https://www.google.com/maps/search/?api=1&amp;query="&amp;SUBSTITUTE(F844," ",""),"🗺 Google Maps"),"")</f>
        <v/>
      </c>
      <c r="H844" s="8">
        <f>IF(F844&lt;&gt;"",HYPERLINK("https://waze.com/ul?ll="&amp;SUBSTITUTE(F844," ","")&amp;"&amp;navigate=yes","🚗 Waze"),"")</f>
        <v/>
      </c>
      <c r="I844" s="8">
        <f>IF(F844&lt;&gt;"",HYPERLINK("https://m.uber.com/ul/?action=setPickup&amp;pickup=my_location&amp;dropoff[latitude]="&amp;LEFT(SUBSTITUTE(F844," ",""),FIND(",",SUBSTITUTE(F844," ",""))-1)&amp;"&amp;dropoff[longitude]="&amp;MID(SUBSTITUTE(F844," ",""),FIND(",",SUBSTITUTE(F844," ",""))+1,99),"🚕 Uber"),"")</f>
        <v/>
      </c>
      <c r="J844" s="8">
        <f>IF(F844&lt;&gt;"","https://api.qrserver.com/v1/create-qr-code/?size=200x200&amp;data="&amp;ENCODEURL("https://www.google.com/maps/search/?api=1&amp;query="&amp;SUBSTITUTE(F844," ","")),"")</f>
        <v/>
      </c>
      <c r="K844" s="8">
        <f>IF(C844&lt;&gt;"",HYPERLINK("https://wa.me/507"&amp;REGEXREPLACE(C844,"[^0-9]","")&amp;"?text="&amp;ENCODEURL("Ya llegue. Codigo: "&amp;A844&amp;". Ubicacion: "&amp;"https://www.google.com/maps/search/?api=1&amp;query="&amp;SUBSTITUTE(F844," ","")),"📲 Avisar al cliente"),"")</f>
        <v/>
      </c>
      <c r="L844" s="8">
        <f>IF(C844&lt;&gt;"","https://api.qrserver.com/v1/create-qr-code/?size=200x200&amp;data="&amp;ENCODEURL("https://wa.me/507"&amp;REGEXREPLACE(C844,"[^0-9]","")&amp;"?text="&amp;ENCODEURL("Ya llegue. Codigo: "&amp;A844&amp;". Ubicacion: "&amp;"https://www.google.com/maps/search/?api=1&amp;query="&amp;SUBSTITUTE(F844," ",""))),"")</f>
        <v/>
      </c>
      <c r="M844" s="8">
        <f>IF(B844&lt;&gt;"",TODAY(),"")</f>
        <v/>
      </c>
      <c r="N844" s="8">
        <f>IF(F844&lt;&gt;"",IFERROR(IF(AND(REGEXMATCH(SUBSTITUTE(TRIM(F844)," ",""),"^-?\d+(\.\d+)?,-?\d+(\.\d+)?$"),VALUE(REGEXEXTRACT(SUBSTITUTE(TRIM(F844)," ",""),"^-?\d+(\.\d+)?"))&gt;=-90,VALUE(REGEXEXTRACT(SUBSTITUTE(TRIM(F844)," ",""),"^-?\d+(\.\d+)?"))&lt;=90,VALUE(REGEXEXTRACT(SUBSTITUTE(TRIM(F844)," ",""),"-?\d+(\.\d+)?$"))&gt;=-180,VALUE(REGEXEXTRACT(SUBSTITUTE(TRIM(F844)," ",""),"-?\d+(\.\d+)?$"))&lt;=180),"OK","REVISAR"),"REVISAR"),"")</f>
        <v/>
      </c>
      <c r="O844">
        <f>IF(A844&lt;&gt;"","https://direcciones507.github.io/direcciones507/panel.html?codigo="&amp;A844&amp;"&amp;nombre="&amp;ENCODEURL(B844)&amp;"&amp;telefono="&amp;SUBSTITUTE(C844,"-","")&amp;"&amp;referencia="&amp;ENCODEURL(E844)&amp;"&amp;lat="&amp;IZQUIERDA(SUBSTITUTE(F844," ",""),ENCONTRAR(",",SUBSTITUTE(F844," ",""))-1)&amp;"&amp;lng="&amp;DERECHA(SUBSTITUTE(F844," ",""),LARGO(SUBSTITUTE(F844," ",""))-ENCONTRAR(",",SUBSTITUTE(F844," ",""))),"")</f>
        <v/>
      </c>
    </row>
    <row r="845" ht="15.75" customHeight="1" s="10">
      <c r="A845" s="8">
        <f>CONCAT("AD507-",TEXT(ROW()-2,"0000"))</f>
        <v/>
      </c>
      <c r="C845" s="8" t="n"/>
      <c r="F845" s="8" t="n"/>
      <c r="G845" s="8">
        <f>IF(F845&lt;&gt;"",HYPERLINK("https://www.google.com/maps/search/?api=1&amp;query="&amp;SUBSTITUTE(F845," ",""),"🗺 Google Maps"),"")</f>
        <v/>
      </c>
      <c r="H845" s="8">
        <f>IF(F845&lt;&gt;"",HYPERLINK("https://waze.com/ul?ll="&amp;SUBSTITUTE(F845," ","")&amp;"&amp;navigate=yes","🚗 Waze"),"")</f>
        <v/>
      </c>
      <c r="I845" s="8">
        <f>IF(F845&lt;&gt;"",HYPERLINK("https://m.uber.com/ul/?action=setPickup&amp;pickup=my_location&amp;dropoff[latitude]="&amp;LEFT(SUBSTITUTE(F845," ",""),FIND(",",SUBSTITUTE(F845," ",""))-1)&amp;"&amp;dropoff[longitude]="&amp;MID(SUBSTITUTE(F845," ",""),FIND(",",SUBSTITUTE(F845," ",""))+1,99),"🚕 Uber"),"")</f>
        <v/>
      </c>
      <c r="J845" s="8">
        <f>IF(F845&lt;&gt;"","https://api.qrserver.com/v1/create-qr-code/?size=200x200&amp;data="&amp;ENCODEURL("https://www.google.com/maps/search/?api=1&amp;query="&amp;SUBSTITUTE(F845," ","")),"")</f>
        <v/>
      </c>
      <c r="K845" s="8">
        <f>IF(C845&lt;&gt;"",HYPERLINK("https://wa.me/507"&amp;REGEXREPLACE(C845,"[^0-9]","")&amp;"?text="&amp;ENCODEURL("Ya llegue. Codigo: "&amp;A845&amp;". Ubicacion: "&amp;"https://www.google.com/maps/search/?api=1&amp;query="&amp;SUBSTITUTE(F845," ","")),"📲 Avisar al cliente"),"")</f>
        <v/>
      </c>
      <c r="L845" s="8">
        <f>IF(C845&lt;&gt;"","https://api.qrserver.com/v1/create-qr-code/?size=200x200&amp;data="&amp;ENCODEURL("https://wa.me/507"&amp;REGEXREPLACE(C845,"[^0-9]","")&amp;"?text="&amp;ENCODEURL("Ya llegue. Codigo: "&amp;A845&amp;". Ubicacion: "&amp;"https://www.google.com/maps/search/?api=1&amp;query="&amp;SUBSTITUTE(F845," ",""))),"")</f>
        <v/>
      </c>
      <c r="M845" s="8">
        <f>IF(B845&lt;&gt;"",TODAY(),"")</f>
        <v/>
      </c>
      <c r="N845" s="8">
        <f>IF(F845&lt;&gt;"",IFERROR(IF(AND(REGEXMATCH(SUBSTITUTE(TRIM(F845)," ",""),"^-?\d+(\.\d+)?,-?\d+(\.\d+)?$"),VALUE(REGEXEXTRACT(SUBSTITUTE(TRIM(F845)," ",""),"^-?\d+(\.\d+)?"))&gt;=-90,VALUE(REGEXEXTRACT(SUBSTITUTE(TRIM(F845)," ",""),"^-?\d+(\.\d+)?"))&lt;=90,VALUE(REGEXEXTRACT(SUBSTITUTE(TRIM(F845)," ",""),"-?\d+(\.\d+)?$"))&gt;=-180,VALUE(REGEXEXTRACT(SUBSTITUTE(TRIM(F845)," ",""),"-?\d+(\.\d+)?$"))&lt;=180),"OK","REVISAR"),"REVISAR"),"")</f>
        <v/>
      </c>
      <c r="O845">
        <f>IF(A845&lt;&gt;"","https://direcciones507.github.io/direcciones507/panel.html?codigo="&amp;A845&amp;"&amp;nombre="&amp;ENCODEURL(B845)&amp;"&amp;telefono="&amp;SUBSTITUTE(C845,"-","")&amp;"&amp;referencia="&amp;ENCODEURL(E845)&amp;"&amp;lat="&amp;IZQUIERDA(SUBSTITUTE(F845," ",""),ENCONTRAR(",",SUBSTITUTE(F845," ",""))-1)&amp;"&amp;lng="&amp;DERECHA(SUBSTITUTE(F845," ",""),LARGO(SUBSTITUTE(F845," ",""))-ENCONTRAR(",",SUBSTITUTE(F845," ",""))),"")</f>
        <v/>
      </c>
    </row>
    <row r="846" ht="15.75" customHeight="1" s="10">
      <c r="A846" s="8">
        <f>CONCAT("AD507-",TEXT(ROW()-2,"0000"))</f>
        <v/>
      </c>
      <c r="C846" s="8" t="n"/>
      <c r="F846" s="8" t="n"/>
      <c r="G846" s="8">
        <f>IF(F846&lt;&gt;"",HYPERLINK("https://www.google.com/maps/search/?api=1&amp;query="&amp;SUBSTITUTE(F846," ",""),"🗺 Google Maps"),"")</f>
        <v/>
      </c>
      <c r="H846" s="8">
        <f>IF(F846&lt;&gt;"",HYPERLINK("https://waze.com/ul?ll="&amp;SUBSTITUTE(F846," ","")&amp;"&amp;navigate=yes","🚗 Waze"),"")</f>
        <v/>
      </c>
      <c r="I846" s="8">
        <f>IF(F846&lt;&gt;"",HYPERLINK("https://m.uber.com/ul/?action=setPickup&amp;pickup=my_location&amp;dropoff[latitude]="&amp;LEFT(SUBSTITUTE(F846," ",""),FIND(",",SUBSTITUTE(F846," ",""))-1)&amp;"&amp;dropoff[longitude]="&amp;MID(SUBSTITUTE(F846," ",""),FIND(",",SUBSTITUTE(F846," ",""))+1,99),"🚕 Uber"),"")</f>
        <v/>
      </c>
      <c r="J846" s="8">
        <f>IF(F846&lt;&gt;"","https://api.qrserver.com/v1/create-qr-code/?size=200x200&amp;data="&amp;ENCODEURL("https://www.google.com/maps/search/?api=1&amp;query="&amp;SUBSTITUTE(F846," ","")),"")</f>
        <v/>
      </c>
      <c r="K846" s="8">
        <f>IF(C846&lt;&gt;"",HYPERLINK("https://wa.me/507"&amp;REGEXREPLACE(C846,"[^0-9]","")&amp;"?text="&amp;ENCODEURL("Ya llegue. Codigo: "&amp;A846&amp;". Ubicacion: "&amp;"https://www.google.com/maps/search/?api=1&amp;query="&amp;SUBSTITUTE(F846," ","")),"📲 Avisar al cliente"),"")</f>
        <v/>
      </c>
      <c r="L846" s="8">
        <f>IF(C846&lt;&gt;"","https://api.qrserver.com/v1/create-qr-code/?size=200x200&amp;data="&amp;ENCODEURL("https://wa.me/507"&amp;REGEXREPLACE(C846,"[^0-9]","")&amp;"?text="&amp;ENCODEURL("Ya llegue. Codigo: "&amp;A846&amp;". Ubicacion: "&amp;"https://www.google.com/maps/search/?api=1&amp;query="&amp;SUBSTITUTE(F846," ",""))),"")</f>
        <v/>
      </c>
      <c r="M846" s="8">
        <f>IF(B846&lt;&gt;"",TODAY(),"")</f>
        <v/>
      </c>
      <c r="N846" s="8">
        <f>IF(F846&lt;&gt;"",IFERROR(IF(AND(REGEXMATCH(SUBSTITUTE(TRIM(F846)," ",""),"^-?\d+(\.\d+)?,-?\d+(\.\d+)?$"),VALUE(REGEXEXTRACT(SUBSTITUTE(TRIM(F846)," ",""),"^-?\d+(\.\d+)?"))&gt;=-90,VALUE(REGEXEXTRACT(SUBSTITUTE(TRIM(F846)," ",""),"^-?\d+(\.\d+)?"))&lt;=90,VALUE(REGEXEXTRACT(SUBSTITUTE(TRIM(F846)," ",""),"-?\d+(\.\d+)?$"))&gt;=-180,VALUE(REGEXEXTRACT(SUBSTITUTE(TRIM(F846)," ",""),"-?\d+(\.\d+)?$"))&lt;=180),"OK","REVISAR"),"REVISAR"),"")</f>
        <v/>
      </c>
      <c r="O846">
        <f>IF(A846&lt;&gt;"","https://direcciones507.github.io/direcciones507/panel.html?codigo="&amp;A846&amp;"&amp;nombre="&amp;ENCODEURL(B846)&amp;"&amp;telefono="&amp;SUBSTITUTE(C846,"-","")&amp;"&amp;referencia="&amp;ENCODEURL(E846)&amp;"&amp;lat="&amp;IZQUIERDA(SUBSTITUTE(F846," ",""),ENCONTRAR(",",SUBSTITUTE(F846," ",""))-1)&amp;"&amp;lng="&amp;DERECHA(SUBSTITUTE(F846," ",""),LARGO(SUBSTITUTE(F846," ",""))-ENCONTRAR(",",SUBSTITUTE(F846," ",""))),"")</f>
        <v/>
      </c>
    </row>
    <row r="847" ht="15.75" customHeight="1" s="10">
      <c r="A847" s="8">
        <f>CONCAT("AD507-",TEXT(ROW()-2,"0000"))</f>
        <v/>
      </c>
      <c r="C847" s="8" t="n"/>
      <c r="F847" s="8" t="n"/>
      <c r="G847" s="8">
        <f>IF(F847&lt;&gt;"",HYPERLINK("https://www.google.com/maps/search/?api=1&amp;query="&amp;SUBSTITUTE(F847," ",""),"🗺 Google Maps"),"")</f>
        <v/>
      </c>
      <c r="H847" s="8">
        <f>IF(F847&lt;&gt;"",HYPERLINK("https://waze.com/ul?ll="&amp;SUBSTITUTE(F847," ","")&amp;"&amp;navigate=yes","🚗 Waze"),"")</f>
        <v/>
      </c>
      <c r="I847" s="8">
        <f>IF(F847&lt;&gt;"",HYPERLINK("https://m.uber.com/ul/?action=setPickup&amp;pickup=my_location&amp;dropoff[latitude]="&amp;LEFT(SUBSTITUTE(F847," ",""),FIND(",",SUBSTITUTE(F847," ",""))-1)&amp;"&amp;dropoff[longitude]="&amp;MID(SUBSTITUTE(F847," ",""),FIND(",",SUBSTITUTE(F847," ",""))+1,99),"🚕 Uber"),"")</f>
        <v/>
      </c>
      <c r="J847" s="8">
        <f>IF(F847&lt;&gt;"","https://api.qrserver.com/v1/create-qr-code/?size=200x200&amp;data="&amp;ENCODEURL("https://www.google.com/maps/search/?api=1&amp;query="&amp;SUBSTITUTE(F847," ","")),"")</f>
        <v/>
      </c>
      <c r="K847" s="8">
        <f>IF(C847&lt;&gt;"",HYPERLINK("https://wa.me/507"&amp;REGEXREPLACE(C847,"[^0-9]","")&amp;"?text="&amp;ENCODEURL("Ya llegue. Codigo: "&amp;A847&amp;". Ubicacion: "&amp;"https://www.google.com/maps/search/?api=1&amp;query="&amp;SUBSTITUTE(F847," ","")),"📲 Avisar al cliente"),"")</f>
        <v/>
      </c>
      <c r="L847" s="8">
        <f>IF(C847&lt;&gt;"","https://api.qrserver.com/v1/create-qr-code/?size=200x200&amp;data="&amp;ENCODEURL("https://wa.me/507"&amp;REGEXREPLACE(C847,"[^0-9]","")&amp;"?text="&amp;ENCODEURL("Ya llegue. Codigo: "&amp;A847&amp;". Ubicacion: "&amp;"https://www.google.com/maps/search/?api=1&amp;query="&amp;SUBSTITUTE(F847," ",""))),"")</f>
        <v/>
      </c>
      <c r="M847" s="8">
        <f>IF(B847&lt;&gt;"",TODAY(),"")</f>
        <v/>
      </c>
      <c r="N847" s="8">
        <f>IF(F847&lt;&gt;"",IFERROR(IF(AND(REGEXMATCH(SUBSTITUTE(TRIM(F847)," ",""),"^-?\d+(\.\d+)?,-?\d+(\.\d+)?$"),VALUE(REGEXEXTRACT(SUBSTITUTE(TRIM(F847)," ",""),"^-?\d+(\.\d+)?"))&gt;=-90,VALUE(REGEXEXTRACT(SUBSTITUTE(TRIM(F847)," ",""),"^-?\d+(\.\d+)?"))&lt;=90,VALUE(REGEXEXTRACT(SUBSTITUTE(TRIM(F847)," ",""),"-?\d+(\.\d+)?$"))&gt;=-180,VALUE(REGEXEXTRACT(SUBSTITUTE(TRIM(F847)," ",""),"-?\d+(\.\d+)?$"))&lt;=180),"OK","REVISAR"),"REVISAR"),"")</f>
        <v/>
      </c>
      <c r="O847">
        <f>IF(A847&lt;&gt;"","https://direcciones507.github.io/direcciones507/panel.html?codigo="&amp;A847&amp;"&amp;nombre="&amp;ENCODEURL(B847)&amp;"&amp;telefono="&amp;SUBSTITUTE(C847,"-","")&amp;"&amp;referencia="&amp;ENCODEURL(E847)&amp;"&amp;lat="&amp;IZQUIERDA(SUBSTITUTE(F847," ",""),ENCONTRAR(",",SUBSTITUTE(F847," ",""))-1)&amp;"&amp;lng="&amp;DERECHA(SUBSTITUTE(F847," ",""),LARGO(SUBSTITUTE(F847," ",""))-ENCONTRAR(",",SUBSTITUTE(F847," ",""))),"")</f>
        <v/>
      </c>
    </row>
    <row r="848" ht="15.75" customHeight="1" s="10">
      <c r="A848" s="8">
        <f>CONCAT("AD507-",TEXT(ROW()-2,"0000"))</f>
        <v/>
      </c>
      <c r="C848" s="8" t="n"/>
      <c r="F848" s="8" t="n"/>
      <c r="G848" s="8">
        <f>IF(F848&lt;&gt;"",HYPERLINK("https://www.google.com/maps/search/?api=1&amp;query="&amp;SUBSTITUTE(F848," ",""),"🗺 Google Maps"),"")</f>
        <v/>
      </c>
      <c r="H848" s="8">
        <f>IF(F848&lt;&gt;"",HYPERLINK("https://waze.com/ul?ll="&amp;SUBSTITUTE(F848," ","")&amp;"&amp;navigate=yes","🚗 Waze"),"")</f>
        <v/>
      </c>
      <c r="I848" s="8">
        <f>IF(F848&lt;&gt;"",HYPERLINK("https://m.uber.com/ul/?action=setPickup&amp;pickup=my_location&amp;dropoff[latitude]="&amp;LEFT(SUBSTITUTE(F848," ",""),FIND(",",SUBSTITUTE(F848," ",""))-1)&amp;"&amp;dropoff[longitude]="&amp;MID(SUBSTITUTE(F848," ",""),FIND(",",SUBSTITUTE(F848," ",""))+1,99),"🚕 Uber"),"")</f>
        <v/>
      </c>
      <c r="J848" s="8">
        <f>IF(F848&lt;&gt;"","https://api.qrserver.com/v1/create-qr-code/?size=200x200&amp;data="&amp;ENCODEURL("https://www.google.com/maps/search/?api=1&amp;query="&amp;SUBSTITUTE(F848," ","")),"")</f>
        <v/>
      </c>
      <c r="K848" s="8">
        <f>IF(C848&lt;&gt;"",HYPERLINK("https://wa.me/507"&amp;REGEXREPLACE(C848,"[^0-9]","")&amp;"?text="&amp;ENCODEURL("Ya llegue. Codigo: "&amp;A848&amp;". Ubicacion: "&amp;"https://www.google.com/maps/search/?api=1&amp;query="&amp;SUBSTITUTE(F848," ","")),"📲 Avisar al cliente"),"")</f>
        <v/>
      </c>
      <c r="L848" s="8">
        <f>IF(C848&lt;&gt;"","https://api.qrserver.com/v1/create-qr-code/?size=200x200&amp;data="&amp;ENCODEURL("https://wa.me/507"&amp;REGEXREPLACE(C848,"[^0-9]","")&amp;"?text="&amp;ENCODEURL("Ya llegue. Codigo: "&amp;A848&amp;". Ubicacion: "&amp;"https://www.google.com/maps/search/?api=1&amp;query="&amp;SUBSTITUTE(F848," ",""))),"")</f>
        <v/>
      </c>
      <c r="M848" s="8">
        <f>IF(B848&lt;&gt;"",TODAY(),"")</f>
        <v/>
      </c>
      <c r="N848" s="8">
        <f>IF(F848&lt;&gt;"",IFERROR(IF(AND(REGEXMATCH(SUBSTITUTE(TRIM(F848)," ",""),"^-?\d+(\.\d+)?,-?\d+(\.\d+)?$"),VALUE(REGEXEXTRACT(SUBSTITUTE(TRIM(F848)," ",""),"^-?\d+(\.\d+)?"))&gt;=-90,VALUE(REGEXEXTRACT(SUBSTITUTE(TRIM(F848)," ",""),"^-?\d+(\.\d+)?"))&lt;=90,VALUE(REGEXEXTRACT(SUBSTITUTE(TRIM(F848)," ",""),"-?\d+(\.\d+)?$"))&gt;=-180,VALUE(REGEXEXTRACT(SUBSTITUTE(TRIM(F848)," ",""),"-?\d+(\.\d+)?$"))&lt;=180),"OK","REVISAR"),"REVISAR"),"")</f>
        <v/>
      </c>
      <c r="O848">
        <f>IF(A848&lt;&gt;"","https://direcciones507.github.io/direcciones507/panel.html?codigo="&amp;A848&amp;"&amp;nombre="&amp;ENCODEURL(B848)&amp;"&amp;telefono="&amp;SUBSTITUTE(C848,"-","")&amp;"&amp;referencia="&amp;ENCODEURL(E848)&amp;"&amp;lat="&amp;IZQUIERDA(SUBSTITUTE(F848," ",""),ENCONTRAR(",",SUBSTITUTE(F848," ",""))-1)&amp;"&amp;lng="&amp;DERECHA(SUBSTITUTE(F848," ",""),LARGO(SUBSTITUTE(F848," ",""))-ENCONTRAR(",",SUBSTITUTE(F848," ",""))),"")</f>
        <v/>
      </c>
    </row>
    <row r="849" ht="15.75" customHeight="1" s="10">
      <c r="A849" s="8">
        <f>CONCAT("AD507-",TEXT(ROW()-2,"0000"))</f>
        <v/>
      </c>
      <c r="C849" s="8" t="n"/>
      <c r="F849" s="8" t="n"/>
      <c r="G849" s="8">
        <f>IF(F849&lt;&gt;"",HYPERLINK("https://www.google.com/maps/search/?api=1&amp;query="&amp;SUBSTITUTE(F849," ",""),"🗺 Google Maps"),"")</f>
        <v/>
      </c>
      <c r="H849" s="8">
        <f>IF(F849&lt;&gt;"",HYPERLINK("https://waze.com/ul?ll="&amp;SUBSTITUTE(F849," ","")&amp;"&amp;navigate=yes","🚗 Waze"),"")</f>
        <v/>
      </c>
      <c r="I849" s="8">
        <f>IF(F849&lt;&gt;"",HYPERLINK("https://m.uber.com/ul/?action=setPickup&amp;pickup=my_location&amp;dropoff[latitude]="&amp;LEFT(SUBSTITUTE(F849," ",""),FIND(",",SUBSTITUTE(F849," ",""))-1)&amp;"&amp;dropoff[longitude]="&amp;MID(SUBSTITUTE(F849," ",""),FIND(",",SUBSTITUTE(F849," ",""))+1,99),"🚕 Uber"),"")</f>
        <v/>
      </c>
      <c r="J849" s="8">
        <f>IF(F849&lt;&gt;"","https://api.qrserver.com/v1/create-qr-code/?size=200x200&amp;data="&amp;ENCODEURL("https://www.google.com/maps/search/?api=1&amp;query="&amp;SUBSTITUTE(F849," ","")),"")</f>
        <v/>
      </c>
      <c r="K849" s="8">
        <f>IF(C849&lt;&gt;"",HYPERLINK("https://wa.me/507"&amp;REGEXREPLACE(C849,"[^0-9]","")&amp;"?text="&amp;ENCODEURL("Ya llegue. Codigo: "&amp;A849&amp;". Ubicacion: "&amp;"https://www.google.com/maps/search/?api=1&amp;query="&amp;SUBSTITUTE(F849," ","")),"📲 Avisar al cliente"),"")</f>
        <v/>
      </c>
      <c r="L849" s="8">
        <f>IF(C849&lt;&gt;"","https://api.qrserver.com/v1/create-qr-code/?size=200x200&amp;data="&amp;ENCODEURL("https://wa.me/507"&amp;REGEXREPLACE(C849,"[^0-9]","")&amp;"?text="&amp;ENCODEURL("Ya llegue. Codigo: "&amp;A849&amp;". Ubicacion: "&amp;"https://www.google.com/maps/search/?api=1&amp;query="&amp;SUBSTITUTE(F849," ",""))),"")</f>
        <v/>
      </c>
      <c r="M849" s="8">
        <f>IF(B849&lt;&gt;"",TODAY(),"")</f>
        <v/>
      </c>
      <c r="N849" s="8">
        <f>IF(F849&lt;&gt;"",IFERROR(IF(AND(REGEXMATCH(SUBSTITUTE(TRIM(F849)," ",""),"^-?\d+(\.\d+)?,-?\d+(\.\d+)?$"),VALUE(REGEXEXTRACT(SUBSTITUTE(TRIM(F849)," ",""),"^-?\d+(\.\d+)?"))&gt;=-90,VALUE(REGEXEXTRACT(SUBSTITUTE(TRIM(F849)," ",""),"^-?\d+(\.\d+)?"))&lt;=90,VALUE(REGEXEXTRACT(SUBSTITUTE(TRIM(F849)," ",""),"-?\d+(\.\d+)?$"))&gt;=-180,VALUE(REGEXEXTRACT(SUBSTITUTE(TRIM(F849)," ",""),"-?\d+(\.\d+)?$"))&lt;=180),"OK","REVISAR"),"REVISAR"),"")</f>
        <v/>
      </c>
      <c r="O849">
        <f>IF(A849&lt;&gt;"","https://direcciones507.github.io/direcciones507/panel.html?codigo="&amp;A849&amp;"&amp;nombre="&amp;ENCODEURL(B849)&amp;"&amp;telefono="&amp;SUBSTITUTE(C849,"-","")&amp;"&amp;referencia="&amp;ENCODEURL(E849)&amp;"&amp;lat="&amp;IZQUIERDA(SUBSTITUTE(F849," ",""),ENCONTRAR(",",SUBSTITUTE(F849," ",""))-1)&amp;"&amp;lng="&amp;DERECHA(SUBSTITUTE(F849," ",""),LARGO(SUBSTITUTE(F849," ",""))-ENCONTRAR(",",SUBSTITUTE(F849," ",""))),"")</f>
        <v/>
      </c>
    </row>
    <row r="850" ht="15.75" customHeight="1" s="10">
      <c r="A850" s="8">
        <f>CONCAT("AD507-",TEXT(ROW()-2,"0000"))</f>
        <v/>
      </c>
      <c r="C850" s="8" t="n"/>
      <c r="F850" s="8" t="n"/>
      <c r="G850" s="8">
        <f>IF(F850&lt;&gt;"",HYPERLINK("https://www.google.com/maps/search/?api=1&amp;query="&amp;SUBSTITUTE(F850," ",""),"🗺 Google Maps"),"")</f>
        <v/>
      </c>
      <c r="H850" s="8">
        <f>IF(F850&lt;&gt;"",HYPERLINK("https://waze.com/ul?ll="&amp;SUBSTITUTE(F850," ","")&amp;"&amp;navigate=yes","🚗 Waze"),"")</f>
        <v/>
      </c>
      <c r="I850" s="8">
        <f>IF(F850&lt;&gt;"",HYPERLINK("https://m.uber.com/ul/?action=setPickup&amp;pickup=my_location&amp;dropoff[latitude]="&amp;LEFT(SUBSTITUTE(F850," ",""),FIND(",",SUBSTITUTE(F850," ",""))-1)&amp;"&amp;dropoff[longitude]="&amp;MID(SUBSTITUTE(F850," ",""),FIND(",",SUBSTITUTE(F850," ",""))+1,99),"🚕 Uber"),"")</f>
        <v/>
      </c>
      <c r="J850" s="8">
        <f>IF(F850&lt;&gt;"","https://api.qrserver.com/v1/create-qr-code/?size=200x200&amp;data="&amp;ENCODEURL("https://www.google.com/maps/search/?api=1&amp;query="&amp;SUBSTITUTE(F850," ","")),"")</f>
        <v/>
      </c>
      <c r="K850" s="8">
        <f>IF(C850&lt;&gt;"",HYPERLINK("https://wa.me/507"&amp;REGEXREPLACE(C850,"[^0-9]","")&amp;"?text="&amp;ENCODEURL("Ya llegue. Codigo: "&amp;A850&amp;". Ubicacion: "&amp;"https://www.google.com/maps/search/?api=1&amp;query="&amp;SUBSTITUTE(F850," ","")),"📲 Avisar al cliente"),"")</f>
        <v/>
      </c>
      <c r="L850" s="8">
        <f>IF(C850&lt;&gt;"","https://api.qrserver.com/v1/create-qr-code/?size=200x200&amp;data="&amp;ENCODEURL("https://wa.me/507"&amp;REGEXREPLACE(C850,"[^0-9]","")&amp;"?text="&amp;ENCODEURL("Ya llegue. Codigo: "&amp;A850&amp;". Ubicacion: "&amp;"https://www.google.com/maps/search/?api=1&amp;query="&amp;SUBSTITUTE(F850," ",""))),"")</f>
        <v/>
      </c>
      <c r="M850" s="8">
        <f>IF(B850&lt;&gt;"",TODAY(),"")</f>
        <v/>
      </c>
      <c r="N850" s="8">
        <f>IF(F850&lt;&gt;"",IFERROR(IF(AND(REGEXMATCH(SUBSTITUTE(TRIM(F850)," ",""),"^-?\d+(\.\d+)?,-?\d+(\.\d+)?$"),VALUE(REGEXEXTRACT(SUBSTITUTE(TRIM(F850)," ",""),"^-?\d+(\.\d+)?"))&gt;=-90,VALUE(REGEXEXTRACT(SUBSTITUTE(TRIM(F850)," ",""),"^-?\d+(\.\d+)?"))&lt;=90,VALUE(REGEXEXTRACT(SUBSTITUTE(TRIM(F850)," ",""),"-?\d+(\.\d+)?$"))&gt;=-180,VALUE(REGEXEXTRACT(SUBSTITUTE(TRIM(F850)," ",""),"-?\d+(\.\d+)?$"))&lt;=180),"OK","REVISAR"),"REVISAR"),"")</f>
        <v/>
      </c>
      <c r="O850">
        <f>IF(A850&lt;&gt;"","https://direcciones507.github.io/direcciones507/panel.html?codigo="&amp;A850&amp;"&amp;nombre="&amp;ENCODEURL(B850)&amp;"&amp;telefono="&amp;SUBSTITUTE(C850,"-","")&amp;"&amp;referencia="&amp;ENCODEURL(E850)&amp;"&amp;lat="&amp;IZQUIERDA(SUBSTITUTE(F850," ",""),ENCONTRAR(",",SUBSTITUTE(F850," ",""))-1)&amp;"&amp;lng="&amp;DERECHA(SUBSTITUTE(F850," ",""),LARGO(SUBSTITUTE(F850," ",""))-ENCONTRAR(",",SUBSTITUTE(F850," ",""))),"")</f>
        <v/>
      </c>
    </row>
    <row r="851" ht="15.75" customHeight="1" s="10">
      <c r="A851" s="8">
        <f>CONCAT("AD507-",TEXT(ROW()-2,"0000"))</f>
        <v/>
      </c>
      <c r="C851" s="8" t="n"/>
      <c r="F851" s="8" t="n"/>
      <c r="G851" s="8">
        <f>IF(F851&lt;&gt;"",HYPERLINK("https://www.google.com/maps/search/?api=1&amp;query="&amp;SUBSTITUTE(F851," ",""),"🗺 Google Maps"),"")</f>
        <v/>
      </c>
      <c r="H851" s="8">
        <f>IF(F851&lt;&gt;"",HYPERLINK("https://waze.com/ul?ll="&amp;SUBSTITUTE(F851," ","")&amp;"&amp;navigate=yes","🚗 Waze"),"")</f>
        <v/>
      </c>
      <c r="I851" s="8">
        <f>IF(F851&lt;&gt;"",HYPERLINK("https://m.uber.com/ul/?action=setPickup&amp;pickup=my_location&amp;dropoff[latitude]="&amp;LEFT(SUBSTITUTE(F851," ",""),FIND(",",SUBSTITUTE(F851," ",""))-1)&amp;"&amp;dropoff[longitude]="&amp;MID(SUBSTITUTE(F851," ",""),FIND(",",SUBSTITUTE(F851," ",""))+1,99),"🚕 Uber"),"")</f>
        <v/>
      </c>
      <c r="J851" s="8">
        <f>IF(F851&lt;&gt;"","https://api.qrserver.com/v1/create-qr-code/?size=200x200&amp;data="&amp;ENCODEURL("https://www.google.com/maps/search/?api=1&amp;query="&amp;SUBSTITUTE(F851," ","")),"")</f>
        <v/>
      </c>
      <c r="K851" s="8">
        <f>IF(C851&lt;&gt;"",HYPERLINK("https://wa.me/507"&amp;REGEXREPLACE(C851,"[^0-9]","")&amp;"?text="&amp;ENCODEURL("Ya llegue. Codigo: "&amp;A851&amp;". Ubicacion: "&amp;"https://www.google.com/maps/search/?api=1&amp;query="&amp;SUBSTITUTE(F851," ","")),"📲 Avisar al cliente"),"")</f>
        <v/>
      </c>
      <c r="L851" s="8">
        <f>IF(C851&lt;&gt;"","https://api.qrserver.com/v1/create-qr-code/?size=200x200&amp;data="&amp;ENCODEURL("https://wa.me/507"&amp;REGEXREPLACE(C851,"[^0-9]","")&amp;"?text="&amp;ENCODEURL("Ya llegue. Codigo: "&amp;A851&amp;". Ubicacion: "&amp;"https://www.google.com/maps/search/?api=1&amp;query="&amp;SUBSTITUTE(F851," ",""))),"")</f>
        <v/>
      </c>
      <c r="M851" s="8">
        <f>IF(B851&lt;&gt;"",TODAY(),"")</f>
        <v/>
      </c>
      <c r="N851" s="8">
        <f>IF(F851&lt;&gt;"",IFERROR(IF(AND(REGEXMATCH(SUBSTITUTE(TRIM(F851)," ",""),"^-?\d+(\.\d+)?,-?\d+(\.\d+)?$"),VALUE(REGEXEXTRACT(SUBSTITUTE(TRIM(F851)," ",""),"^-?\d+(\.\d+)?"))&gt;=-90,VALUE(REGEXEXTRACT(SUBSTITUTE(TRIM(F851)," ",""),"^-?\d+(\.\d+)?"))&lt;=90,VALUE(REGEXEXTRACT(SUBSTITUTE(TRIM(F851)," ",""),"-?\d+(\.\d+)?$"))&gt;=-180,VALUE(REGEXEXTRACT(SUBSTITUTE(TRIM(F851)," ",""),"-?\d+(\.\d+)?$"))&lt;=180),"OK","REVISAR"),"REVISAR"),"")</f>
        <v/>
      </c>
      <c r="O851">
        <f>IF(A851&lt;&gt;"","https://direcciones507.github.io/direcciones507/panel.html?codigo="&amp;A851&amp;"&amp;nombre="&amp;ENCODEURL(B851)&amp;"&amp;telefono="&amp;SUBSTITUTE(C851,"-","")&amp;"&amp;referencia="&amp;ENCODEURL(E851)&amp;"&amp;lat="&amp;IZQUIERDA(SUBSTITUTE(F851," ",""),ENCONTRAR(",",SUBSTITUTE(F851," ",""))-1)&amp;"&amp;lng="&amp;DERECHA(SUBSTITUTE(F851," ",""),LARGO(SUBSTITUTE(F851," ",""))-ENCONTRAR(",",SUBSTITUTE(F851," ",""))),"")</f>
        <v/>
      </c>
    </row>
    <row r="852" ht="15.75" customHeight="1" s="10">
      <c r="A852" s="8">
        <f>CONCAT("AD507-",TEXT(ROW()-2,"0000"))</f>
        <v/>
      </c>
      <c r="C852" s="8" t="n"/>
      <c r="F852" s="8" t="n"/>
      <c r="G852" s="8">
        <f>IF(F852&lt;&gt;"",HYPERLINK("https://www.google.com/maps/search/?api=1&amp;query="&amp;SUBSTITUTE(F852," ",""),"🗺 Google Maps"),"")</f>
        <v/>
      </c>
      <c r="H852" s="8">
        <f>IF(F852&lt;&gt;"",HYPERLINK("https://waze.com/ul?ll="&amp;SUBSTITUTE(F852," ","")&amp;"&amp;navigate=yes","🚗 Waze"),"")</f>
        <v/>
      </c>
      <c r="I852" s="8">
        <f>IF(F852&lt;&gt;"",HYPERLINK("https://m.uber.com/ul/?action=setPickup&amp;pickup=my_location&amp;dropoff[latitude]="&amp;LEFT(SUBSTITUTE(F852," ",""),FIND(",",SUBSTITUTE(F852," ",""))-1)&amp;"&amp;dropoff[longitude]="&amp;MID(SUBSTITUTE(F852," ",""),FIND(",",SUBSTITUTE(F852," ",""))+1,99),"🚕 Uber"),"")</f>
        <v/>
      </c>
      <c r="J852" s="8">
        <f>IF(F852&lt;&gt;"","https://api.qrserver.com/v1/create-qr-code/?size=200x200&amp;data="&amp;ENCODEURL("https://www.google.com/maps/search/?api=1&amp;query="&amp;SUBSTITUTE(F852," ","")),"")</f>
        <v/>
      </c>
      <c r="K852" s="8">
        <f>IF(C852&lt;&gt;"",HYPERLINK("https://wa.me/507"&amp;REGEXREPLACE(C852,"[^0-9]","")&amp;"?text="&amp;ENCODEURL("Ya llegue. Codigo: "&amp;A852&amp;". Ubicacion: "&amp;"https://www.google.com/maps/search/?api=1&amp;query="&amp;SUBSTITUTE(F852," ","")),"📲 Avisar al cliente"),"")</f>
        <v/>
      </c>
      <c r="L852" s="8">
        <f>IF(C852&lt;&gt;"","https://api.qrserver.com/v1/create-qr-code/?size=200x200&amp;data="&amp;ENCODEURL("https://wa.me/507"&amp;REGEXREPLACE(C852,"[^0-9]","")&amp;"?text="&amp;ENCODEURL("Ya llegue. Codigo: "&amp;A852&amp;". Ubicacion: "&amp;"https://www.google.com/maps/search/?api=1&amp;query="&amp;SUBSTITUTE(F852," ",""))),"")</f>
        <v/>
      </c>
      <c r="M852" s="8">
        <f>IF(B852&lt;&gt;"",TODAY(),"")</f>
        <v/>
      </c>
      <c r="N852" s="8">
        <f>IF(F852&lt;&gt;"",IFERROR(IF(AND(REGEXMATCH(SUBSTITUTE(TRIM(F852)," ",""),"^-?\d+(\.\d+)?,-?\d+(\.\d+)?$"),VALUE(REGEXEXTRACT(SUBSTITUTE(TRIM(F852)," ",""),"^-?\d+(\.\d+)?"))&gt;=-90,VALUE(REGEXEXTRACT(SUBSTITUTE(TRIM(F852)," ",""),"^-?\d+(\.\d+)?"))&lt;=90,VALUE(REGEXEXTRACT(SUBSTITUTE(TRIM(F852)," ",""),"-?\d+(\.\d+)?$"))&gt;=-180,VALUE(REGEXEXTRACT(SUBSTITUTE(TRIM(F852)," ",""),"-?\d+(\.\d+)?$"))&lt;=180),"OK","REVISAR"),"REVISAR"),"")</f>
        <v/>
      </c>
      <c r="O852">
        <f>IF(A852&lt;&gt;"","https://direcciones507.github.io/direcciones507/panel.html?codigo="&amp;A852&amp;"&amp;nombre="&amp;ENCODEURL(B852)&amp;"&amp;telefono="&amp;SUBSTITUTE(C852,"-","")&amp;"&amp;referencia="&amp;ENCODEURL(E852)&amp;"&amp;lat="&amp;IZQUIERDA(SUBSTITUTE(F852," ",""),ENCONTRAR(",",SUBSTITUTE(F852," ",""))-1)&amp;"&amp;lng="&amp;DERECHA(SUBSTITUTE(F852," ",""),LARGO(SUBSTITUTE(F852," ",""))-ENCONTRAR(",",SUBSTITUTE(F852," ",""))),"")</f>
        <v/>
      </c>
    </row>
    <row r="853" ht="15.75" customHeight="1" s="10">
      <c r="A853" s="8">
        <f>CONCAT("AD507-",TEXT(ROW()-2,"0000"))</f>
        <v/>
      </c>
      <c r="C853" s="8" t="n"/>
      <c r="F853" s="8" t="n"/>
      <c r="G853" s="8">
        <f>IF(F853&lt;&gt;"",HYPERLINK("https://www.google.com/maps/search/?api=1&amp;query="&amp;SUBSTITUTE(F853," ",""),"🗺 Google Maps"),"")</f>
        <v/>
      </c>
      <c r="H853" s="8">
        <f>IF(F853&lt;&gt;"",HYPERLINK("https://waze.com/ul?ll="&amp;SUBSTITUTE(F853," ","")&amp;"&amp;navigate=yes","🚗 Waze"),"")</f>
        <v/>
      </c>
      <c r="I853" s="8">
        <f>IF(F853&lt;&gt;"",HYPERLINK("https://m.uber.com/ul/?action=setPickup&amp;pickup=my_location&amp;dropoff[latitude]="&amp;LEFT(SUBSTITUTE(F853," ",""),FIND(",",SUBSTITUTE(F853," ",""))-1)&amp;"&amp;dropoff[longitude]="&amp;MID(SUBSTITUTE(F853," ",""),FIND(",",SUBSTITUTE(F853," ",""))+1,99),"🚕 Uber"),"")</f>
        <v/>
      </c>
      <c r="J853" s="8">
        <f>IF(F853&lt;&gt;"","https://api.qrserver.com/v1/create-qr-code/?size=200x200&amp;data="&amp;ENCODEURL("https://www.google.com/maps/search/?api=1&amp;query="&amp;SUBSTITUTE(F853," ","")),"")</f>
        <v/>
      </c>
      <c r="K853" s="8">
        <f>IF(C853&lt;&gt;"",HYPERLINK("https://wa.me/507"&amp;REGEXREPLACE(C853,"[^0-9]","")&amp;"?text="&amp;ENCODEURL("Ya llegue. Codigo: "&amp;A853&amp;". Ubicacion: "&amp;"https://www.google.com/maps/search/?api=1&amp;query="&amp;SUBSTITUTE(F853," ","")),"📲 Avisar al cliente"),"")</f>
        <v/>
      </c>
      <c r="L853" s="8">
        <f>IF(C853&lt;&gt;"","https://api.qrserver.com/v1/create-qr-code/?size=200x200&amp;data="&amp;ENCODEURL("https://wa.me/507"&amp;REGEXREPLACE(C853,"[^0-9]","")&amp;"?text="&amp;ENCODEURL("Ya llegue. Codigo: "&amp;A853&amp;". Ubicacion: "&amp;"https://www.google.com/maps/search/?api=1&amp;query="&amp;SUBSTITUTE(F853," ",""))),"")</f>
        <v/>
      </c>
      <c r="M853" s="8">
        <f>IF(B853&lt;&gt;"",TODAY(),"")</f>
        <v/>
      </c>
      <c r="N853" s="8">
        <f>IF(F853&lt;&gt;"",IFERROR(IF(AND(REGEXMATCH(SUBSTITUTE(TRIM(F853)," ",""),"^-?\d+(\.\d+)?,-?\d+(\.\d+)?$"),VALUE(REGEXEXTRACT(SUBSTITUTE(TRIM(F853)," ",""),"^-?\d+(\.\d+)?"))&gt;=-90,VALUE(REGEXEXTRACT(SUBSTITUTE(TRIM(F853)," ",""),"^-?\d+(\.\d+)?"))&lt;=90,VALUE(REGEXEXTRACT(SUBSTITUTE(TRIM(F853)," ",""),"-?\d+(\.\d+)?$"))&gt;=-180,VALUE(REGEXEXTRACT(SUBSTITUTE(TRIM(F853)," ",""),"-?\d+(\.\d+)?$"))&lt;=180),"OK","REVISAR"),"REVISAR"),"")</f>
        <v/>
      </c>
      <c r="O853">
        <f>IF(A853&lt;&gt;"","https://direcciones507.github.io/direcciones507/panel.html?codigo="&amp;A853&amp;"&amp;nombre="&amp;ENCODEURL(B853)&amp;"&amp;telefono="&amp;SUBSTITUTE(C853,"-","")&amp;"&amp;referencia="&amp;ENCODEURL(E853)&amp;"&amp;lat="&amp;IZQUIERDA(SUBSTITUTE(F853," ",""),ENCONTRAR(",",SUBSTITUTE(F853," ",""))-1)&amp;"&amp;lng="&amp;DERECHA(SUBSTITUTE(F853," ",""),LARGO(SUBSTITUTE(F853," ",""))-ENCONTRAR(",",SUBSTITUTE(F853," ",""))),"")</f>
        <v/>
      </c>
    </row>
    <row r="854" ht="15.75" customHeight="1" s="10">
      <c r="A854" s="8">
        <f>CONCAT("AD507-",TEXT(ROW()-2,"0000"))</f>
        <v/>
      </c>
      <c r="C854" s="8" t="n"/>
      <c r="F854" s="8" t="n"/>
      <c r="G854" s="8">
        <f>IF(F854&lt;&gt;"",HYPERLINK("https://www.google.com/maps/search/?api=1&amp;query="&amp;SUBSTITUTE(F854," ",""),"🗺 Google Maps"),"")</f>
        <v/>
      </c>
      <c r="H854" s="8">
        <f>IF(F854&lt;&gt;"",HYPERLINK("https://waze.com/ul?ll="&amp;SUBSTITUTE(F854," ","")&amp;"&amp;navigate=yes","🚗 Waze"),"")</f>
        <v/>
      </c>
      <c r="I854" s="8">
        <f>IF(F854&lt;&gt;"",HYPERLINK("https://m.uber.com/ul/?action=setPickup&amp;pickup=my_location&amp;dropoff[latitude]="&amp;LEFT(SUBSTITUTE(F854," ",""),FIND(",",SUBSTITUTE(F854," ",""))-1)&amp;"&amp;dropoff[longitude]="&amp;MID(SUBSTITUTE(F854," ",""),FIND(",",SUBSTITUTE(F854," ",""))+1,99),"🚕 Uber"),"")</f>
        <v/>
      </c>
      <c r="J854" s="8">
        <f>IF(F854&lt;&gt;"","https://api.qrserver.com/v1/create-qr-code/?size=200x200&amp;data="&amp;ENCODEURL("https://www.google.com/maps/search/?api=1&amp;query="&amp;SUBSTITUTE(F854," ","")),"")</f>
        <v/>
      </c>
      <c r="K854" s="8">
        <f>IF(C854&lt;&gt;"",HYPERLINK("https://wa.me/507"&amp;REGEXREPLACE(C854,"[^0-9]","")&amp;"?text="&amp;ENCODEURL("Ya llegue. Codigo: "&amp;A854&amp;". Ubicacion: "&amp;"https://www.google.com/maps/search/?api=1&amp;query="&amp;SUBSTITUTE(F854," ","")),"📲 Avisar al cliente"),"")</f>
        <v/>
      </c>
      <c r="L854" s="8">
        <f>IF(C854&lt;&gt;"","https://api.qrserver.com/v1/create-qr-code/?size=200x200&amp;data="&amp;ENCODEURL("https://wa.me/507"&amp;REGEXREPLACE(C854,"[^0-9]","")&amp;"?text="&amp;ENCODEURL("Ya llegue. Codigo: "&amp;A854&amp;". Ubicacion: "&amp;"https://www.google.com/maps/search/?api=1&amp;query="&amp;SUBSTITUTE(F854," ",""))),"")</f>
        <v/>
      </c>
      <c r="M854" s="8">
        <f>IF(B854&lt;&gt;"",TODAY(),"")</f>
        <v/>
      </c>
      <c r="N854" s="8">
        <f>IF(F854&lt;&gt;"",IFERROR(IF(AND(REGEXMATCH(SUBSTITUTE(TRIM(F854)," ",""),"^-?\d+(\.\d+)?,-?\d+(\.\d+)?$"),VALUE(REGEXEXTRACT(SUBSTITUTE(TRIM(F854)," ",""),"^-?\d+(\.\d+)?"))&gt;=-90,VALUE(REGEXEXTRACT(SUBSTITUTE(TRIM(F854)," ",""),"^-?\d+(\.\d+)?"))&lt;=90,VALUE(REGEXEXTRACT(SUBSTITUTE(TRIM(F854)," ",""),"-?\d+(\.\d+)?$"))&gt;=-180,VALUE(REGEXEXTRACT(SUBSTITUTE(TRIM(F854)," ",""),"-?\d+(\.\d+)?$"))&lt;=180),"OK","REVISAR"),"REVISAR"),"")</f>
        <v/>
      </c>
      <c r="O854">
        <f>IF(A854&lt;&gt;"","https://direcciones507.github.io/direcciones507/panel.html?codigo="&amp;A854&amp;"&amp;nombre="&amp;ENCODEURL(B854)&amp;"&amp;telefono="&amp;SUBSTITUTE(C854,"-","")&amp;"&amp;referencia="&amp;ENCODEURL(E854)&amp;"&amp;lat="&amp;IZQUIERDA(SUBSTITUTE(F854," ",""),ENCONTRAR(",",SUBSTITUTE(F854," ",""))-1)&amp;"&amp;lng="&amp;DERECHA(SUBSTITUTE(F854," ",""),LARGO(SUBSTITUTE(F854," ",""))-ENCONTRAR(",",SUBSTITUTE(F854," ",""))),"")</f>
        <v/>
      </c>
    </row>
    <row r="855" ht="15.75" customHeight="1" s="10">
      <c r="A855" s="8">
        <f>CONCAT("AD507-",TEXT(ROW()-2,"0000"))</f>
        <v/>
      </c>
      <c r="C855" s="8" t="n"/>
      <c r="F855" s="8" t="n"/>
      <c r="G855" s="8">
        <f>IF(F855&lt;&gt;"",HYPERLINK("https://www.google.com/maps/search/?api=1&amp;query="&amp;SUBSTITUTE(F855," ",""),"🗺 Google Maps"),"")</f>
        <v/>
      </c>
      <c r="H855" s="8">
        <f>IF(F855&lt;&gt;"",HYPERLINK("https://waze.com/ul?ll="&amp;SUBSTITUTE(F855," ","")&amp;"&amp;navigate=yes","🚗 Waze"),"")</f>
        <v/>
      </c>
      <c r="I855" s="8">
        <f>IF(F855&lt;&gt;"",HYPERLINK("https://m.uber.com/ul/?action=setPickup&amp;pickup=my_location&amp;dropoff[latitude]="&amp;LEFT(SUBSTITUTE(F855," ",""),FIND(",",SUBSTITUTE(F855," ",""))-1)&amp;"&amp;dropoff[longitude]="&amp;MID(SUBSTITUTE(F855," ",""),FIND(",",SUBSTITUTE(F855," ",""))+1,99),"🚕 Uber"),"")</f>
        <v/>
      </c>
      <c r="J855" s="8">
        <f>IF(F855&lt;&gt;"","https://api.qrserver.com/v1/create-qr-code/?size=200x200&amp;data="&amp;ENCODEURL("https://www.google.com/maps/search/?api=1&amp;query="&amp;SUBSTITUTE(F855," ","")),"")</f>
        <v/>
      </c>
      <c r="K855" s="8">
        <f>IF(C855&lt;&gt;"",HYPERLINK("https://wa.me/507"&amp;REGEXREPLACE(C855,"[^0-9]","")&amp;"?text="&amp;ENCODEURL("Ya llegue. Codigo: "&amp;A855&amp;". Ubicacion: "&amp;"https://www.google.com/maps/search/?api=1&amp;query="&amp;SUBSTITUTE(F855," ","")),"📲 Avisar al cliente"),"")</f>
        <v/>
      </c>
      <c r="L855" s="8">
        <f>IF(C855&lt;&gt;"","https://api.qrserver.com/v1/create-qr-code/?size=200x200&amp;data="&amp;ENCODEURL("https://wa.me/507"&amp;REGEXREPLACE(C855,"[^0-9]","")&amp;"?text="&amp;ENCODEURL("Ya llegue. Codigo: "&amp;A855&amp;". Ubicacion: "&amp;"https://www.google.com/maps/search/?api=1&amp;query="&amp;SUBSTITUTE(F855," ",""))),"")</f>
        <v/>
      </c>
      <c r="M855" s="8">
        <f>IF(B855&lt;&gt;"",TODAY(),"")</f>
        <v/>
      </c>
      <c r="N855" s="8">
        <f>IF(F855&lt;&gt;"",IFERROR(IF(AND(REGEXMATCH(SUBSTITUTE(TRIM(F855)," ",""),"^-?\d+(\.\d+)?,-?\d+(\.\d+)?$"),VALUE(REGEXEXTRACT(SUBSTITUTE(TRIM(F855)," ",""),"^-?\d+(\.\d+)?"))&gt;=-90,VALUE(REGEXEXTRACT(SUBSTITUTE(TRIM(F855)," ",""),"^-?\d+(\.\d+)?"))&lt;=90,VALUE(REGEXEXTRACT(SUBSTITUTE(TRIM(F855)," ",""),"-?\d+(\.\d+)?$"))&gt;=-180,VALUE(REGEXEXTRACT(SUBSTITUTE(TRIM(F855)," ",""),"-?\d+(\.\d+)?$"))&lt;=180),"OK","REVISAR"),"REVISAR"),"")</f>
        <v/>
      </c>
      <c r="O855">
        <f>IF(A855&lt;&gt;"","https://direcciones507.github.io/direcciones507/panel.html?codigo="&amp;A855&amp;"&amp;nombre="&amp;ENCODEURL(B855)&amp;"&amp;telefono="&amp;SUBSTITUTE(C855,"-","")&amp;"&amp;referencia="&amp;ENCODEURL(E855)&amp;"&amp;lat="&amp;IZQUIERDA(SUBSTITUTE(F855," ",""),ENCONTRAR(",",SUBSTITUTE(F855," ",""))-1)&amp;"&amp;lng="&amp;DERECHA(SUBSTITUTE(F855," ",""),LARGO(SUBSTITUTE(F855," ",""))-ENCONTRAR(",",SUBSTITUTE(F855," ",""))),"")</f>
        <v/>
      </c>
    </row>
    <row r="856" ht="15.75" customHeight="1" s="10">
      <c r="A856" s="8">
        <f>CONCAT("AD507-",TEXT(ROW()-2,"0000"))</f>
        <v/>
      </c>
      <c r="C856" s="8" t="n"/>
      <c r="F856" s="8" t="n"/>
      <c r="G856" s="8">
        <f>IF(F856&lt;&gt;"",HYPERLINK("https://www.google.com/maps/search/?api=1&amp;query="&amp;SUBSTITUTE(F856," ",""),"🗺 Google Maps"),"")</f>
        <v/>
      </c>
      <c r="H856" s="8">
        <f>IF(F856&lt;&gt;"",HYPERLINK("https://waze.com/ul?ll="&amp;SUBSTITUTE(F856," ","")&amp;"&amp;navigate=yes","🚗 Waze"),"")</f>
        <v/>
      </c>
      <c r="I856" s="8">
        <f>IF(F856&lt;&gt;"",HYPERLINK("https://m.uber.com/ul/?action=setPickup&amp;pickup=my_location&amp;dropoff[latitude]="&amp;LEFT(SUBSTITUTE(F856," ",""),FIND(",",SUBSTITUTE(F856," ",""))-1)&amp;"&amp;dropoff[longitude]="&amp;MID(SUBSTITUTE(F856," ",""),FIND(",",SUBSTITUTE(F856," ",""))+1,99),"🚕 Uber"),"")</f>
        <v/>
      </c>
      <c r="J856" s="8">
        <f>IF(F856&lt;&gt;"","https://api.qrserver.com/v1/create-qr-code/?size=200x200&amp;data="&amp;ENCODEURL("https://www.google.com/maps/search/?api=1&amp;query="&amp;SUBSTITUTE(F856," ","")),"")</f>
        <v/>
      </c>
      <c r="K856" s="8">
        <f>IF(C856&lt;&gt;"",HYPERLINK("https://wa.me/507"&amp;REGEXREPLACE(C856,"[^0-9]","")&amp;"?text="&amp;ENCODEURL("Ya llegue. Codigo: "&amp;A856&amp;". Ubicacion: "&amp;"https://www.google.com/maps/search/?api=1&amp;query="&amp;SUBSTITUTE(F856," ","")),"📲 Avisar al cliente"),"")</f>
        <v/>
      </c>
      <c r="L856" s="8">
        <f>IF(C856&lt;&gt;"","https://api.qrserver.com/v1/create-qr-code/?size=200x200&amp;data="&amp;ENCODEURL("https://wa.me/507"&amp;REGEXREPLACE(C856,"[^0-9]","")&amp;"?text="&amp;ENCODEURL("Ya llegue. Codigo: "&amp;A856&amp;". Ubicacion: "&amp;"https://www.google.com/maps/search/?api=1&amp;query="&amp;SUBSTITUTE(F856," ",""))),"")</f>
        <v/>
      </c>
      <c r="M856" s="8">
        <f>IF(B856&lt;&gt;"",TODAY(),"")</f>
        <v/>
      </c>
      <c r="N856" s="8">
        <f>IF(F856&lt;&gt;"",IFERROR(IF(AND(REGEXMATCH(SUBSTITUTE(TRIM(F856)," ",""),"^-?\d+(\.\d+)?,-?\d+(\.\d+)?$"),VALUE(REGEXEXTRACT(SUBSTITUTE(TRIM(F856)," ",""),"^-?\d+(\.\d+)?"))&gt;=-90,VALUE(REGEXEXTRACT(SUBSTITUTE(TRIM(F856)," ",""),"^-?\d+(\.\d+)?"))&lt;=90,VALUE(REGEXEXTRACT(SUBSTITUTE(TRIM(F856)," ",""),"-?\d+(\.\d+)?$"))&gt;=-180,VALUE(REGEXEXTRACT(SUBSTITUTE(TRIM(F856)," ",""),"-?\d+(\.\d+)?$"))&lt;=180),"OK","REVISAR"),"REVISAR"),"")</f>
        <v/>
      </c>
      <c r="O856">
        <f>IF(A856&lt;&gt;"","https://direcciones507.github.io/direcciones507/panel.html?codigo="&amp;A856&amp;"&amp;nombre="&amp;ENCODEURL(B856)&amp;"&amp;telefono="&amp;SUBSTITUTE(C856,"-","")&amp;"&amp;referencia="&amp;ENCODEURL(E856)&amp;"&amp;lat="&amp;IZQUIERDA(SUBSTITUTE(F856," ",""),ENCONTRAR(",",SUBSTITUTE(F856," ",""))-1)&amp;"&amp;lng="&amp;DERECHA(SUBSTITUTE(F856," ",""),LARGO(SUBSTITUTE(F856," ",""))-ENCONTRAR(",",SUBSTITUTE(F856," ",""))),"")</f>
        <v/>
      </c>
    </row>
    <row r="857" ht="15.75" customHeight="1" s="10">
      <c r="A857" s="8">
        <f>CONCAT("AD507-",TEXT(ROW()-2,"0000"))</f>
        <v/>
      </c>
      <c r="C857" s="8" t="n"/>
      <c r="F857" s="8" t="n"/>
      <c r="G857" s="8">
        <f>IF(F857&lt;&gt;"",HYPERLINK("https://www.google.com/maps/search/?api=1&amp;query="&amp;SUBSTITUTE(F857," ",""),"🗺 Google Maps"),"")</f>
        <v/>
      </c>
      <c r="H857" s="8">
        <f>IF(F857&lt;&gt;"",HYPERLINK("https://waze.com/ul?ll="&amp;SUBSTITUTE(F857," ","")&amp;"&amp;navigate=yes","🚗 Waze"),"")</f>
        <v/>
      </c>
      <c r="I857" s="8">
        <f>IF(F857&lt;&gt;"",HYPERLINK("https://m.uber.com/ul/?action=setPickup&amp;pickup=my_location&amp;dropoff[latitude]="&amp;LEFT(SUBSTITUTE(F857," ",""),FIND(",",SUBSTITUTE(F857," ",""))-1)&amp;"&amp;dropoff[longitude]="&amp;MID(SUBSTITUTE(F857," ",""),FIND(",",SUBSTITUTE(F857," ",""))+1,99),"🚕 Uber"),"")</f>
        <v/>
      </c>
      <c r="J857" s="8">
        <f>IF(F857&lt;&gt;"","https://api.qrserver.com/v1/create-qr-code/?size=200x200&amp;data="&amp;ENCODEURL("https://www.google.com/maps/search/?api=1&amp;query="&amp;SUBSTITUTE(F857," ","")),"")</f>
        <v/>
      </c>
      <c r="K857" s="8">
        <f>IF(C857&lt;&gt;"",HYPERLINK("https://wa.me/507"&amp;REGEXREPLACE(C857,"[^0-9]","")&amp;"?text="&amp;ENCODEURL("Ya llegue. Codigo: "&amp;A857&amp;". Ubicacion: "&amp;"https://www.google.com/maps/search/?api=1&amp;query="&amp;SUBSTITUTE(F857," ","")),"📲 Avisar al cliente"),"")</f>
        <v/>
      </c>
      <c r="L857" s="8">
        <f>IF(C857&lt;&gt;"","https://api.qrserver.com/v1/create-qr-code/?size=200x200&amp;data="&amp;ENCODEURL("https://wa.me/507"&amp;REGEXREPLACE(C857,"[^0-9]","")&amp;"?text="&amp;ENCODEURL("Ya llegue. Codigo: "&amp;A857&amp;". Ubicacion: "&amp;"https://www.google.com/maps/search/?api=1&amp;query="&amp;SUBSTITUTE(F857," ",""))),"")</f>
        <v/>
      </c>
      <c r="M857" s="8">
        <f>IF(B857&lt;&gt;"",TODAY(),"")</f>
        <v/>
      </c>
      <c r="N857" s="8">
        <f>IF(F857&lt;&gt;"",IFERROR(IF(AND(REGEXMATCH(SUBSTITUTE(TRIM(F857)," ",""),"^-?\d+(\.\d+)?,-?\d+(\.\d+)?$"),VALUE(REGEXEXTRACT(SUBSTITUTE(TRIM(F857)," ",""),"^-?\d+(\.\d+)?"))&gt;=-90,VALUE(REGEXEXTRACT(SUBSTITUTE(TRIM(F857)," ",""),"^-?\d+(\.\d+)?"))&lt;=90,VALUE(REGEXEXTRACT(SUBSTITUTE(TRIM(F857)," ",""),"-?\d+(\.\d+)?$"))&gt;=-180,VALUE(REGEXEXTRACT(SUBSTITUTE(TRIM(F857)," ",""),"-?\d+(\.\d+)?$"))&lt;=180),"OK","REVISAR"),"REVISAR"),"")</f>
        <v/>
      </c>
      <c r="O857">
        <f>IF(A857&lt;&gt;"","https://direcciones507.github.io/direcciones507/panel.html?codigo="&amp;A857&amp;"&amp;nombre="&amp;ENCODEURL(B857)&amp;"&amp;telefono="&amp;SUBSTITUTE(C857,"-","")&amp;"&amp;referencia="&amp;ENCODEURL(E857)&amp;"&amp;lat="&amp;IZQUIERDA(SUBSTITUTE(F857," ",""),ENCONTRAR(",",SUBSTITUTE(F857," ",""))-1)&amp;"&amp;lng="&amp;DERECHA(SUBSTITUTE(F857," ",""),LARGO(SUBSTITUTE(F857," ",""))-ENCONTRAR(",",SUBSTITUTE(F857," ",""))),"")</f>
        <v/>
      </c>
    </row>
    <row r="858" ht="15.75" customHeight="1" s="10">
      <c r="A858" s="8">
        <f>CONCAT("AD507-",TEXT(ROW()-2,"0000"))</f>
        <v/>
      </c>
      <c r="C858" s="8" t="n"/>
      <c r="F858" s="8" t="n"/>
      <c r="G858" s="8">
        <f>IF(F858&lt;&gt;"",HYPERLINK("https://www.google.com/maps/search/?api=1&amp;query="&amp;SUBSTITUTE(F858," ",""),"🗺 Google Maps"),"")</f>
        <v/>
      </c>
      <c r="H858" s="8">
        <f>IF(F858&lt;&gt;"",HYPERLINK("https://waze.com/ul?ll="&amp;SUBSTITUTE(F858," ","")&amp;"&amp;navigate=yes","🚗 Waze"),"")</f>
        <v/>
      </c>
      <c r="I858" s="8">
        <f>IF(F858&lt;&gt;"",HYPERLINK("https://m.uber.com/ul/?action=setPickup&amp;pickup=my_location&amp;dropoff[latitude]="&amp;LEFT(SUBSTITUTE(F858," ",""),FIND(",",SUBSTITUTE(F858," ",""))-1)&amp;"&amp;dropoff[longitude]="&amp;MID(SUBSTITUTE(F858," ",""),FIND(",",SUBSTITUTE(F858," ",""))+1,99),"🚕 Uber"),"")</f>
        <v/>
      </c>
      <c r="J858" s="8">
        <f>IF(F858&lt;&gt;"","https://api.qrserver.com/v1/create-qr-code/?size=200x200&amp;data="&amp;ENCODEURL("https://www.google.com/maps/search/?api=1&amp;query="&amp;SUBSTITUTE(F858," ","")),"")</f>
        <v/>
      </c>
      <c r="K858" s="8">
        <f>IF(C858&lt;&gt;"",HYPERLINK("https://wa.me/507"&amp;REGEXREPLACE(C858,"[^0-9]","")&amp;"?text="&amp;ENCODEURL("Ya llegue. Codigo: "&amp;A858&amp;". Ubicacion: "&amp;"https://www.google.com/maps/search/?api=1&amp;query="&amp;SUBSTITUTE(F858," ","")),"📲 Avisar al cliente"),"")</f>
        <v/>
      </c>
      <c r="L858" s="8">
        <f>IF(C858&lt;&gt;"","https://api.qrserver.com/v1/create-qr-code/?size=200x200&amp;data="&amp;ENCODEURL("https://wa.me/507"&amp;REGEXREPLACE(C858,"[^0-9]","")&amp;"?text="&amp;ENCODEURL("Ya llegue. Codigo: "&amp;A858&amp;". Ubicacion: "&amp;"https://www.google.com/maps/search/?api=1&amp;query="&amp;SUBSTITUTE(F858," ",""))),"")</f>
        <v/>
      </c>
      <c r="M858" s="8">
        <f>IF(B858&lt;&gt;"",TODAY(),"")</f>
        <v/>
      </c>
      <c r="N858" s="8">
        <f>IF(F858&lt;&gt;"",IFERROR(IF(AND(REGEXMATCH(SUBSTITUTE(TRIM(F858)," ",""),"^-?\d+(\.\d+)?,-?\d+(\.\d+)?$"),VALUE(REGEXEXTRACT(SUBSTITUTE(TRIM(F858)," ",""),"^-?\d+(\.\d+)?"))&gt;=-90,VALUE(REGEXEXTRACT(SUBSTITUTE(TRIM(F858)," ",""),"^-?\d+(\.\d+)?"))&lt;=90,VALUE(REGEXEXTRACT(SUBSTITUTE(TRIM(F858)," ",""),"-?\d+(\.\d+)?$"))&gt;=-180,VALUE(REGEXEXTRACT(SUBSTITUTE(TRIM(F858)," ",""),"-?\d+(\.\d+)?$"))&lt;=180),"OK","REVISAR"),"REVISAR"),"")</f>
        <v/>
      </c>
      <c r="O858">
        <f>IF(A858&lt;&gt;"","https://direcciones507.github.io/direcciones507/panel.html?codigo="&amp;A858&amp;"&amp;nombre="&amp;ENCODEURL(B858)&amp;"&amp;telefono="&amp;SUBSTITUTE(C858,"-","")&amp;"&amp;referencia="&amp;ENCODEURL(E858)&amp;"&amp;lat="&amp;IZQUIERDA(SUBSTITUTE(F858," ",""),ENCONTRAR(",",SUBSTITUTE(F858," ",""))-1)&amp;"&amp;lng="&amp;DERECHA(SUBSTITUTE(F858," ",""),LARGO(SUBSTITUTE(F858," ",""))-ENCONTRAR(",",SUBSTITUTE(F858," ",""))),"")</f>
        <v/>
      </c>
    </row>
    <row r="859" ht="15.75" customHeight="1" s="10">
      <c r="A859" s="8">
        <f>CONCAT("AD507-",TEXT(ROW()-2,"0000"))</f>
        <v/>
      </c>
      <c r="C859" s="8" t="n"/>
      <c r="F859" s="8" t="n"/>
      <c r="G859" s="8">
        <f>IF(F859&lt;&gt;"",HYPERLINK("https://www.google.com/maps/search/?api=1&amp;query="&amp;SUBSTITUTE(F859," ",""),"🗺 Google Maps"),"")</f>
        <v/>
      </c>
      <c r="H859" s="8">
        <f>IF(F859&lt;&gt;"",HYPERLINK("https://waze.com/ul?ll="&amp;SUBSTITUTE(F859," ","")&amp;"&amp;navigate=yes","🚗 Waze"),"")</f>
        <v/>
      </c>
      <c r="I859" s="8">
        <f>IF(F859&lt;&gt;"",HYPERLINK("https://m.uber.com/ul/?action=setPickup&amp;pickup=my_location&amp;dropoff[latitude]="&amp;LEFT(SUBSTITUTE(F859," ",""),FIND(",",SUBSTITUTE(F859," ",""))-1)&amp;"&amp;dropoff[longitude]="&amp;MID(SUBSTITUTE(F859," ",""),FIND(",",SUBSTITUTE(F859," ",""))+1,99),"🚕 Uber"),"")</f>
        <v/>
      </c>
      <c r="J859" s="8">
        <f>IF(F859&lt;&gt;"","https://api.qrserver.com/v1/create-qr-code/?size=200x200&amp;data="&amp;ENCODEURL("https://www.google.com/maps/search/?api=1&amp;query="&amp;SUBSTITUTE(F859," ","")),"")</f>
        <v/>
      </c>
      <c r="K859" s="8">
        <f>IF(C859&lt;&gt;"",HYPERLINK("https://wa.me/507"&amp;REGEXREPLACE(C859,"[^0-9]","")&amp;"?text="&amp;ENCODEURL("Ya llegue. Codigo: "&amp;A859&amp;". Ubicacion: "&amp;"https://www.google.com/maps/search/?api=1&amp;query="&amp;SUBSTITUTE(F859," ","")),"📲 Avisar al cliente"),"")</f>
        <v/>
      </c>
      <c r="L859" s="8">
        <f>IF(C859&lt;&gt;"","https://api.qrserver.com/v1/create-qr-code/?size=200x200&amp;data="&amp;ENCODEURL("https://wa.me/507"&amp;REGEXREPLACE(C859,"[^0-9]","")&amp;"?text="&amp;ENCODEURL("Ya llegue. Codigo: "&amp;A859&amp;". Ubicacion: "&amp;"https://www.google.com/maps/search/?api=1&amp;query="&amp;SUBSTITUTE(F859," ",""))),"")</f>
        <v/>
      </c>
      <c r="M859" s="8">
        <f>IF(B859&lt;&gt;"",TODAY(),"")</f>
        <v/>
      </c>
      <c r="N859" s="8">
        <f>IF(F859&lt;&gt;"",IFERROR(IF(AND(REGEXMATCH(SUBSTITUTE(TRIM(F859)," ",""),"^-?\d+(\.\d+)?,-?\d+(\.\d+)?$"),VALUE(REGEXEXTRACT(SUBSTITUTE(TRIM(F859)," ",""),"^-?\d+(\.\d+)?"))&gt;=-90,VALUE(REGEXEXTRACT(SUBSTITUTE(TRIM(F859)," ",""),"^-?\d+(\.\d+)?"))&lt;=90,VALUE(REGEXEXTRACT(SUBSTITUTE(TRIM(F859)," ",""),"-?\d+(\.\d+)?$"))&gt;=-180,VALUE(REGEXEXTRACT(SUBSTITUTE(TRIM(F859)," ",""),"-?\d+(\.\d+)?$"))&lt;=180),"OK","REVISAR"),"REVISAR"),"")</f>
        <v/>
      </c>
      <c r="O859">
        <f>IF(A859&lt;&gt;"","https://direcciones507.github.io/direcciones507/panel.html?codigo="&amp;A859&amp;"&amp;nombre="&amp;ENCODEURL(B859)&amp;"&amp;telefono="&amp;SUBSTITUTE(C859,"-","")&amp;"&amp;referencia="&amp;ENCODEURL(E859)&amp;"&amp;lat="&amp;IZQUIERDA(SUBSTITUTE(F859," ",""),ENCONTRAR(",",SUBSTITUTE(F859," ",""))-1)&amp;"&amp;lng="&amp;DERECHA(SUBSTITUTE(F859," ",""),LARGO(SUBSTITUTE(F859," ",""))-ENCONTRAR(",",SUBSTITUTE(F859," ",""))),"")</f>
        <v/>
      </c>
    </row>
    <row r="860" ht="15.75" customHeight="1" s="10">
      <c r="A860" s="8">
        <f>CONCAT("AD507-",TEXT(ROW()-2,"0000"))</f>
        <v/>
      </c>
      <c r="C860" s="8" t="n"/>
      <c r="F860" s="8" t="n"/>
      <c r="G860" s="8">
        <f>IF(F860&lt;&gt;"",HYPERLINK("https://www.google.com/maps/search/?api=1&amp;query="&amp;SUBSTITUTE(F860," ",""),"🗺 Google Maps"),"")</f>
        <v/>
      </c>
      <c r="H860" s="8">
        <f>IF(F860&lt;&gt;"",HYPERLINK("https://waze.com/ul?ll="&amp;SUBSTITUTE(F860," ","")&amp;"&amp;navigate=yes","🚗 Waze"),"")</f>
        <v/>
      </c>
      <c r="I860" s="8">
        <f>IF(F860&lt;&gt;"",HYPERLINK("https://m.uber.com/ul/?action=setPickup&amp;pickup=my_location&amp;dropoff[latitude]="&amp;LEFT(SUBSTITUTE(F860," ",""),FIND(",",SUBSTITUTE(F860," ",""))-1)&amp;"&amp;dropoff[longitude]="&amp;MID(SUBSTITUTE(F860," ",""),FIND(",",SUBSTITUTE(F860," ",""))+1,99),"🚕 Uber"),"")</f>
        <v/>
      </c>
      <c r="J860" s="8">
        <f>IF(F860&lt;&gt;"","https://api.qrserver.com/v1/create-qr-code/?size=200x200&amp;data="&amp;ENCODEURL("https://www.google.com/maps/search/?api=1&amp;query="&amp;SUBSTITUTE(F860," ","")),"")</f>
        <v/>
      </c>
      <c r="K860" s="8">
        <f>IF(C860&lt;&gt;"",HYPERLINK("https://wa.me/507"&amp;REGEXREPLACE(C860,"[^0-9]","")&amp;"?text="&amp;ENCODEURL("Ya llegue. Codigo: "&amp;A860&amp;". Ubicacion: "&amp;"https://www.google.com/maps/search/?api=1&amp;query="&amp;SUBSTITUTE(F860," ","")),"📲 Avisar al cliente"),"")</f>
        <v/>
      </c>
      <c r="L860" s="8">
        <f>IF(C860&lt;&gt;"","https://api.qrserver.com/v1/create-qr-code/?size=200x200&amp;data="&amp;ENCODEURL("https://wa.me/507"&amp;REGEXREPLACE(C860,"[^0-9]","")&amp;"?text="&amp;ENCODEURL("Ya llegue. Codigo: "&amp;A860&amp;". Ubicacion: "&amp;"https://www.google.com/maps/search/?api=1&amp;query="&amp;SUBSTITUTE(F860," ",""))),"")</f>
        <v/>
      </c>
      <c r="M860" s="8">
        <f>IF(B860&lt;&gt;"",TODAY(),"")</f>
        <v/>
      </c>
      <c r="N860" s="8">
        <f>IF(F860&lt;&gt;"",IFERROR(IF(AND(REGEXMATCH(SUBSTITUTE(TRIM(F860)," ",""),"^-?\d+(\.\d+)?,-?\d+(\.\d+)?$"),VALUE(REGEXEXTRACT(SUBSTITUTE(TRIM(F860)," ",""),"^-?\d+(\.\d+)?"))&gt;=-90,VALUE(REGEXEXTRACT(SUBSTITUTE(TRIM(F860)," ",""),"^-?\d+(\.\d+)?"))&lt;=90,VALUE(REGEXEXTRACT(SUBSTITUTE(TRIM(F860)," ",""),"-?\d+(\.\d+)?$"))&gt;=-180,VALUE(REGEXEXTRACT(SUBSTITUTE(TRIM(F860)," ",""),"-?\d+(\.\d+)?$"))&lt;=180),"OK","REVISAR"),"REVISAR"),"")</f>
        <v/>
      </c>
      <c r="O860">
        <f>IF(A860&lt;&gt;"","https://direcciones507.github.io/direcciones507/panel.html?codigo="&amp;A860&amp;"&amp;nombre="&amp;ENCODEURL(B860)&amp;"&amp;telefono="&amp;SUBSTITUTE(C860,"-","")&amp;"&amp;referencia="&amp;ENCODEURL(E860)&amp;"&amp;lat="&amp;IZQUIERDA(SUBSTITUTE(F860," ",""),ENCONTRAR(",",SUBSTITUTE(F860," ",""))-1)&amp;"&amp;lng="&amp;DERECHA(SUBSTITUTE(F860," ",""),LARGO(SUBSTITUTE(F860," ",""))-ENCONTRAR(",",SUBSTITUTE(F860," ",""))),"")</f>
        <v/>
      </c>
    </row>
    <row r="861" ht="15.75" customHeight="1" s="10">
      <c r="A861" s="8">
        <f>CONCAT("AD507-",TEXT(ROW()-2,"0000"))</f>
        <v/>
      </c>
      <c r="C861" s="8" t="n"/>
      <c r="F861" s="8" t="n"/>
      <c r="G861" s="8">
        <f>IF(F861&lt;&gt;"",HYPERLINK("https://www.google.com/maps/search/?api=1&amp;query="&amp;SUBSTITUTE(F861," ",""),"🗺 Google Maps"),"")</f>
        <v/>
      </c>
      <c r="H861" s="8">
        <f>IF(F861&lt;&gt;"",HYPERLINK("https://waze.com/ul?ll="&amp;SUBSTITUTE(F861," ","")&amp;"&amp;navigate=yes","🚗 Waze"),"")</f>
        <v/>
      </c>
      <c r="I861" s="8">
        <f>IF(F861&lt;&gt;"",HYPERLINK("https://m.uber.com/ul/?action=setPickup&amp;pickup=my_location&amp;dropoff[latitude]="&amp;LEFT(SUBSTITUTE(F861," ",""),FIND(",",SUBSTITUTE(F861," ",""))-1)&amp;"&amp;dropoff[longitude]="&amp;MID(SUBSTITUTE(F861," ",""),FIND(",",SUBSTITUTE(F861," ",""))+1,99),"🚕 Uber"),"")</f>
        <v/>
      </c>
      <c r="J861" s="8">
        <f>IF(F861&lt;&gt;"","https://api.qrserver.com/v1/create-qr-code/?size=200x200&amp;data="&amp;ENCODEURL("https://www.google.com/maps/search/?api=1&amp;query="&amp;SUBSTITUTE(F861," ","")),"")</f>
        <v/>
      </c>
      <c r="K861" s="8">
        <f>IF(C861&lt;&gt;"",HYPERLINK("https://wa.me/507"&amp;REGEXREPLACE(C861,"[^0-9]","")&amp;"?text="&amp;ENCODEURL("Ya llegue. Codigo: "&amp;A861&amp;". Ubicacion: "&amp;"https://www.google.com/maps/search/?api=1&amp;query="&amp;SUBSTITUTE(F861," ","")),"📲 Avisar al cliente"),"")</f>
        <v/>
      </c>
      <c r="L861" s="8">
        <f>IF(C861&lt;&gt;"","https://api.qrserver.com/v1/create-qr-code/?size=200x200&amp;data="&amp;ENCODEURL("https://wa.me/507"&amp;REGEXREPLACE(C861,"[^0-9]","")&amp;"?text="&amp;ENCODEURL("Ya llegue. Codigo: "&amp;A861&amp;". Ubicacion: "&amp;"https://www.google.com/maps/search/?api=1&amp;query="&amp;SUBSTITUTE(F861," ",""))),"")</f>
        <v/>
      </c>
      <c r="M861" s="8">
        <f>IF(B861&lt;&gt;"",TODAY(),"")</f>
        <v/>
      </c>
      <c r="N861" s="8">
        <f>IF(F861&lt;&gt;"",IFERROR(IF(AND(REGEXMATCH(SUBSTITUTE(TRIM(F861)," ",""),"^-?\d+(\.\d+)?,-?\d+(\.\d+)?$"),VALUE(REGEXEXTRACT(SUBSTITUTE(TRIM(F861)," ",""),"^-?\d+(\.\d+)?"))&gt;=-90,VALUE(REGEXEXTRACT(SUBSTITUTE(TRIM(F861)," ",""),"^-?\d+(\.\d+)?"))&lt;=90,VALUE(REGEXEXTRACT(SUBSTITUTE(TRIM(F861)," ",""),"-?\d+(\.\d+)?$"))&gt;=-180,VALUE(REGEXEXTRACT(SUBSTITUTE(TRIM(F861)," ",""),"-?\d+(\.\d+)?$"))&lt;=180),"OK","REVISAR"),"REVISAR"),"")</f>
        <v/>
      </c>
      <c r="O861">
        <f>IF(A861&lt;&gt;"","https://direcciones507.github.io/direcciones507/panel.html?codigo="&amp;A861&amp;"&amp;nombre="&amp;ENCODEURL(B861)&amp;"&amp;telefono="&amp;SUBSTITUTE(C861,"-","")&amp;"&amp;referencia="&amp;ENCODEURL(E861)&amp;"&amp;lat="&amp;IZQUIERDA(SUBSTITUTE(F861," ",""),ENCONTRAR(",",SUBSTITUTE(F861," ",""))-1)&amp;"&amp;lng="&amp;DERECHA(SUBSTITUTE(F861," ",""),LARGO(SUBSTITUTE(F861," ",""))-ENCONTRAR(",",SUBSTITUTE(F861," ",""))),"")</f>
        <v/>
      </c>
    </row>
    <row r="862" ht="15.75" customHeight="1" s="10">
      <c r="A862" s="8">
        <f>CONCAT("AD507-",TEXT(ROW()-2,"0000"))</f>
        <v/>
      </c>
      <c r="C862" s="8" t="n"/>
      <c r="F862" s="8" t="n"/>
      <c r="G862" s="8">
        <f>IF(F862&lt;&gt;"",HYPERLINK("https://www.google.com/maps/search/?api=1&amp;query="&amp;SUBSTITUTE(F862," ",""),"🗺 Google Maps"),"")</f>
        <v/>
      </c>
      <c r="H862" s="8">
        <f>IF(F862&lt;&gt;"",HYPERLINK("https://waze.com/ul?ll="&amp;SUBSTITUTE(F862," ","")&amp;"&amp;navigate=yes","🚗 Waze"),"")</f>
        <v/>
      </c>
      <c r="I862" s="8">
        <f>IF(F862&lt;&gt;"",HYPERLINK("https://m.uber.com/ul/?action=setPickup&amp;pickup=my_location&amp;dropoff[latitude]="&amp;LEFT(SUBSTITUTE(F862," ",""),FIND(",",SUBSTITUTE(F862," ",""))-1)&amp;"&amp;dropoff[longitude]="&amp;MID(SUBSTITUTE(F862," ",""),FIND(",",SUBSTITUTE(F862," ",""))+1,99),"🚕 Uber"),"")</f>
        <v/>
      </c>
      <c r="J862" s="8">
        <f>IF(F862&lt;&gt;"","https://api.qrserver.com/v1/create-qr-code/?size=200x200&amp;data="&amp;ENCODEURL("https://www.google.com/maps/search/?api=1&amp;query="&amp;SUBSTITUTE(F862," ","")),"")</f>
        <v/>
      </c>
      <c r="K862" s="8">
        <f>IF(C862&lt;&gt;"",HYPERLINK("https://wa.me/507"&amp;REGEXREPLACE(C862,"[^0-9]","")&amp;"?text="&amp;ENCODEURL("Ya llegue. Codigo: "&amp;A862&amp;". Ubicacion: "&amp;"https://www.google.com/maps/search/?api=1&amp;query="&amp;SUBSTITUTE(F862," ","")),"📲 Avisar al cliente"),"")</f>
        <v/>
      </c>
      <c r="L862" s="8">
        <f>IF(C862&lt;&gt;"","https://api.qrserver.com/v1/create-qr-code/?size=200x200&amp;data="&amp;ENCODEURL("https://wa.me/507"&amp;REGEXREPLACE(C862,"[^0-9]","")&amp;"?text="&amp;ENCODEURL("Ya llegue. Codigo: "&amp;A862&amp;". Ubicacion: "&amp;"https://www.google.com/maps/search/?api=1&amp;query="&amp;SUBSTITUTE(F862," ",""))),"")</f>
        <v/>
      </c>
      <c r="M862" s="8">
        <f>IF(B862&lt;&gt;"",TODAY(),"")</f>
        <v/>
      </c>
      <c r="N862" s="8">
        <f>IF(F862&lt;&gt;"",IFERROR(IF(AND(REGEXMATCH(SUBSTITUTE(TRIM(F862)," ",""),"^-?\d+(\.\d+)?,-?\d+(\.\d+)?$"),VALUE(REGEXEXTRACT(SUBSTITUTE(TRIM(F862)," ",""),"^-?\d+(\.\d+)?"))&gt;=-90,VALUE(REGEXEXTRACT(SUBSTITUTE(TRIM(F862)," ",""),"^-?\d+(\.\d+)?"))&lt;=90,VALUE(REGEXEXTRACT(SUBSTITUTE(TRIM(F862)," ",""),"-?\d+(\.\d+)?$"))&gt;=-180,VALUE(REGEXEXTRACT(SUBSTITUTE(TRIM(F862)," ",""),"-?\d+(\.\d+)?$"))&lt;=180),"OK","REVISAR"),"REVISAR"),"")</f>
        <v/>
      </c>
      <c r="O862">
        <f>IF(A862&lt;&gt;"","https://direcciones507.github.io/direcciones507/panel.html?codigo="&amp;A862&amp;"&amp;nombre="&amp;ENCODEURL(B862)&amp;"&amp;telefono="&amp;SUBSTITUTE(C862,"-","")&amp;"&amp;referencia="&amp;ENCODEURL(E862)&amp;"&amp;lat="&amp;IZQUIERDA(SUBSTITUTE(F862," ",""),ENCONTRAR(",",SUBSTITUTE(F862," ",""))-1)&amp;"&amp;lng="&amp;DERECHA(SUBSTITUTE(F862," ",""),LARGO(SUBSTITUTE(F862," ",""))-ENCONTRAR(",",SUBSTITUTE(F862," ",""))),"")</f>
        <v/>
      </c>
    </row>
    <row r="863" ht="15.75" customHeight="1" s="10">
      <c r="A863" s="8">
        <f>CONCAT("AD507-",TEXT(ROW()-2,"0000"))</f>
        <v/>
      </c>
      <c r="C863" s="8" t="n"/>
      <c r="F863" s="8" t="n"/>
      <c r="G863" s="8">
        <f>IF(F863&lt;&gt;"",HYPERLINK("https://www.google.com/maps/search/?api=1&amp;query="&amp;SUBSTITUTE(F863," ",""),"🗺 Google Maps"),"")</f>
        <v/>
      </c>
      <c r="H863" s="8">
        <f>IF(F863&lt;&gt;"",HYPERLINK("https://waze.com/ul?ll="&amp;SUBSTITUTE(F863," ","")&amp;"&amp;navigate=yes","🚗 Waze"),"")</f>
        <v/>
      </c>
      <c r="I863" s="8">
        <f>IF(F863&lt;&gt;"",HYPERLINK("https://m.uber.com/ul/?action=setPickup&amp;pickup=my_location&amp;dropoff[latitude]="&amp;LEFT(SUBSTITUTE(F863," ",""),FIND(",",SUBSTITUTE(F863," ",""))-1)&amp;"&amp;dropoff[longitude]="&amp;MID(SUBSTITUTE(F863," ",""),FIND(",",SUBSTITUTE(F863," ",""))+1,99),"🚕 Uber"),"")</f>
        <v/>
      </c>
      <c r="J863" s="8">
        <f>IF(F863&lt;&gt;"","https://api.qrserver.com/v1/create-qr-code/?size=200x200&amp;data="&amp;ENCODEURL("https://www.google.com/maps/search/?api=1&amp;query="&amp;SUBSTITUTE(F863," ","")),"")</f>
        <v/>
      </c>
      <c r="K863" s="8">
        <f>IF(C863&lt;&gt;"",HYPERLINK("https://wa.me/507"&amp;REGEXREPLACE(C863,"[^0-9]","")&amp;"?text="&amp;ENCODEURL("Ya llegue. Codigo: "&amp;A863&amp;". Ubicacion: "&amp;"https://www.google.com/maps/search/?api=1&amp;query="&amp;SUBSTITUTE(F863," ","")),"📲 Avisar al cliente"),"")</f>
        <v/>
      </c>
      <c r="L863" s="8">
        <f>IF(C863&lt;&gt;"","https://api.qrserver.com/v1/create-qr-code/?size=200x200&amp;data="&amp;ENCODEURL("https://wa.me/507"&amp;REGEXREPLACE(C863,"[^0-9]","")&amp;"?text="&amp;ENCODEURL("Ya llegue. Codigo: "&amp;A863&amp;". Ubicacion: "&amp;"https://www.google.com/maps/search/?api=1&amp;query="&amp;SUBSTITUTE(F863," ",""))),"")</f>
        <v/>
      </c>
      <c r="M863" s="8">
        <f>IF(B863&lt;&gt;"",TODAY(),"")</f>
        <v/>
      </c>
      <c r="N863" s="8">
        <f>IF(F863&lt;&gt;"",IFERROR(IF(AND(REGEXMATCH(SUBSTITUTE(TRIM(F863)," ",""),"^-?\d+(\.\d+)?,-?\d+(\.\d+)?$"),VALUE(REGEXEXTRACT(SUBSTITUTE(TRIM(F863)," ",""),"^-?\d+(\.\d+)?"))&gt;=-90,VALUE(REGEXEXTRACT(SUBSTITUTE(TRIM(F863)," ",""),"^-?\d+(\.\d+)?"))&lt;=90,VALUE(REGEXEXTRACT(SUBSTITUTE(TRIM(F863)," ",""),"-?\d+(\.\d+)?$"))&gt;=-180,VALUE(REGEXEXTRACT(SUBSTITUTE(TRIM(F863)," ",""),"-?\d+(\.\d+)?$"))&lt;=180),"OK","REVISAR"),"REVISAR"),"")</f>
        <v/>
      </c>
      <c r="O863">
        <f>IF(A863&lt;&gt;"","https://direcciones507.github.io/direcciones507/panel.html?codigo="&amp;A863&amp;"&amp;nombre="&amp;ENCODEURL(B863)&amp;"&amp;telefono="&amp;SUBSTITUTE(C863,"-","")&amp;"&amp;referencia="&amp;ENCODEURL(E863)&amp;"&amp;lat="&amp;IZQUIERDA(SUBSTITUTE(F863," ",""),ENCONTRAR(",",SUBSTITUTE(F863," ",""))-1)&amp;"&amp;lng="&amp;DERECHA(SUBSTITUTE(F863," ",""),LARGO(SUBSTITUTE(F863," ",""))-ENCONTRAR(",",SUBSTITUTE(F863," ",""))),"")</f>
        <v/>
      </c>
    </row>
    <row r="864" ht="15.75" customHeight="1" s="10">
      <c r="A864" s="8">
        <f>CONCAT("AD507-",TEXT(ROW()-2,"0000"))</f>
        <v/>
      </c>
      <c r="C864" s="8" t="n"/>
      <c r="F864" s="8" t="n"/>
      <c r="G864" s="8">
        <f>IF(F864&lt;&gt;"",HYPERLINK("https://www.google.com/maps/search/?api=1&amp;query="&amp;SUBSTITUTE(F864," ",""),"🗺 Google Maps"),"")</f>
        <v/>
      </c>
      <c r="H864" s="8">
        <f>IF(F864&lt;&gt;"",HYPERLINK("https://waze.com/ul?ll="&amp;SUBSTITUTE(F864," ","")&amp;"&amp;navigate=yes","🚗 Waze"),"")</f>
        <v/>
      </c>
      <c r="I864" s="8">
        <f>IF(F864&lt;&gt;"",HYPERLINK("https://m.uber.com/ul/?action=setPickup&amp;pickup=my_location&amp;dropoff[latitude]="&amp;LEFT(SUBSTITUTE(F864," ",""),FIND(",",SUBSTITUTE(F864," ",""))-1)&amp;"&amp;dropoff[longitude]="&amp;MID(SUBSTITUTE(F864," ",""),FIND(",",SUBSTITUTE(F864," ",""))+1,99),"🚕 Uber"),"")</f>
        <v/>
      </c>
      <c r="J864" s="8">
        <f>IF(F864&lt;&gt;"","https://api.qrserver.com/v1/create-qr-code/?size=200x200&amp;data="&amp;ENCODEURL("https://www.google.com/maps/search/?api=1&amp;query="&amp;SUBSTITUTE(F864," ","")),"")</f>
        <v/>
      </c>
      <c r="K864" s="8">
        <f>IF(C864&lt;&gt;"",HYPERLINK("https://wa.me/507"&amp;REGEXREPLACE(C864,"[^0-9]","")&amp;"?text="&amp;ENCODEURL("Ya llegue. Codigo: "&amp;A864&amp;". Ubicacion: "&amp;"https://www.google.com/maps/search/?api=1&amp;query="&amp;SUBSTITUTE(F864," ","")),"📲 Avisar al cliente"),"")</f>
        <v/>
      </c>
      <c r="L864" s="8">
        <f>IF(C864&lt;&gt;"","https://api.qrserver.com/v1/create-qr-code/?size=200x200&amp;data="&amp;ENCODEURL("https://wa.me/507"&amp;REGEXREPLACE(C864,"[^0-9]","")&amp;"?text="&amp;ENCODEURL("Ya llegue. Codigo: "&amp;A864&amp;". Ubicacion: "&amp;"https://www.google.com/maps/search/?api=1&amp;query="&amp;SUBSTITUTE(F864," ",""))),"")</f>
        <v/>
      </c>
      <c r="M864" s="8">
        <f>IF(B864&lt;&gt;"",TODAY(),"")</f>
        <v/>
      </c>
      <c r="N864" s="8">
        <f>IF(F864&lt;&gt;"",IFERROR(IF(AND(REGEXMATCH(SUBSTITUTE(TRIM(F864)," ",""),"^-?\d+(\.\d+)?,-?\d+(\.\d+)?$"),VALUE(REGEXEXTRACT(SUBSTITUTE(TRIM(F864)," ",""),"^-?\d+(\.\d+)?"))&gt;=-90,VALUE(REGEXEXTRACT(SUBSTITUTE(TRIM(F864)," ",""),"^-?\d+(\.\d+)?"))&lt;=90,VALUE(REGEXEXTRACT(SUBSTITUTE(TRIM(F864)," ",""),"-?\d+(\.\d+)?$"))&gt;=-180,VALUE(REGEXEXTRACT(SUBSTITUTE(TRIM(F864)," ",""),"-?\d+(\.\d+)?$"))&lt;=180),"OK","REVISAR"),"REVISAR"),"")</f>
        <v/>
      </c>
      <c r="O864">
        <f>IF(A864&lt;&gt;"","https://direcciones507.github.io/direcciones507/panel.html?codigo="&amp;A864&amp;"&amp;nombre="&amp;ENCODEURL(B864)&amp;"&amp;telefono="&amp;SUBSTITUTE(C864,"-","")&amp;"&amp;referencia="&amp;ENCODEURL(E864)&amp;"&amp;lat="&amp;IZQUIERDA(SUBSTITUTE(F864," ",""),ENCONTRAR(",",SUBSTITUTE(F864," ",""))-1)&amp;"&amp;lng="&amp;DERECHA(SUBSTITUTE(F864," ",""),LARGO(SUBSTITUTE(F864," ",""))-ENCONTRAR(",",SUBSTITUTE(F864," ",""))),"")</f>
        <v/>
      </c>
    </row>
    <row r="865" ht="15.75" customHeight="1" s="10">
      <c r="A865" s="8">
        <f>CONCAT("AD507-",TEXT(ROW()-2,"0000"))</f>
        <v/>
      </c>
      <c r="C865" s="8" t="n"/>
      <c r="F865" s="8" t="n"/>
      <c r="G865" s="8">
        <f>IF(F865&lt;&gt;"",HYPERLINK("https://www.google.com/maps/search/?api=1&amp;query="&amp;SUBSTITUTE(F865," ",""),"🗺 Google Maps"),"")</f>
        <v/>
      </c>
      <c r="H865" s="8">
        <f>IF(F865&lt;&gt;"",HYPERLINK("https://waze.com/ul?ll="&amp;SUBSTITUTE(F865," ","")&amp;"&amp;navigate=yes","🚗 Waze"),"")</f>
        <v/>
      </c>
      <c r="I865" s="8">
        <f>IF(F865&lt;&gt;"",HYPERLINK("https://m.uber.com/ul/?action=setPickup&amp;pickup=my_location&amp;dropoff[latitude]="&amp;LEFT(SUBSTITUTE(F865," ",""),FIND(",",SUBSTITUTE(F865," ",""))-1)&amp;"&amp;dropoff[longitude]="&amp;MID(SUBSTITUTE(F865," ",""),FIND(",",SUBSTITUTE(F865," ",""))+1,99),"🚕 Uber"),"")</f>
        <v/>
      </c>
      <c r="J865" s="8">
        <f>IF(F865&lt;&gt;"","https://api.qrserver.com/v1/create-qr-code/?size=200x200&amp;data="&amp;ENCODEURL("https://www.google.com/maps/search/?api=1&amp;query="&amp;SUBSTITUTE(F865," ","")),"")</f>
        <v/>
      </c>
      <c r="K865" s="8">
        <f>IF(C865&lt;&gt;"",HYPERLINK("https://wa.me/507"&amp;REGEXREPLACE(C865,"[^0-9]","")&amp;"?text="&amp;ENCODEURL("Ya llegue. Codigo: "&amp;A865&amp;". Ubicacion: "&amp;"https://www.google.com/maps/search/?api=1&amp;query="&amp;SUBSTITUTE(F865," ","")),"📲 Avisar al cliente"),"")</f>
        <v/>
      </c>
      <c r="L865" s="8">
        <f>IF(C865&lt;&gt;"","https://api.qrserver.com/v1/create-qr-code/?size=200x200&amp;data="&amp;ENCODEURL("https://wa.me/507"&amp;REGEXREPLACE(C865,"[^0-9]","")&amp;"?text="&amp;ENCODEURL("Ya llegue. Codigo: "&amp;A865&amp;". Ubicacion: "&amp;"https://www.google.com/maps/search/?api=1&amp;query="&amp;SUBSTITUTE(F865," ",""))),"")</f>
        <v/>
      </c>
      <c r="M865" s="8">
        <f>IF(B865&lt;&gt;"",TODAY(),"")</f>
        <v/>
      </c>
      <c r="N865" s="8">
        <f>IF(F865&lt;&gt;"",IFERROR(IF(AND(REGEXMATCH(SUBSTITUTE(TRIM(F865)," ",""),"^-?\d+(\.\d+)?,-?\d+(\.\d+)?$"),VALUE(REGEXEXTRACT(SUBSTITUTE(TRIM(F865)," ",""),"^-?\d+(\.\d+)?"))&gt;=-90,VALUE(REGEXEXTRACT(SUBSTITUTE(TRIM(F865)," ",""),"^-?\d+(\.\d+)?"))&lt;=90,VALUE(REGEXEXTRACT(SUBSTITUTE(TRIM(F865)," ",""),"-?\d+(\.\d+)?$"))&gt;=-180,VALUE(REGEXEXTRACT(SUBSTITUTE(TRIM(F865)," ",""),"-?\d+(\.\d+)?$"))&lt;=180),"OK","REVISAR"),"REVISAR"),"")</f>
        <v/>
      </c>
      <c r="O865">
        <f>IF(A865&lt;&gt;"","https://direcciones507.github.io/direcciones507/panel.html?codigo="&amp;A865&amp;"&amp;nombre="&amp;ENCODEURL(B865)&amp;"&amp;telefono="&amp;SUBSTITUTE(C865,"-","")&amp;"&amp;referencia="&amp;ENCODEURL(E865)&amp;"&amp;lat="&amp;IZQUIERDA(SUBSTITUTE(F865," ",""),ENCONTRAR(",",SUBSTITUTE(F865," ",""))-1)&amp;"&amp;lng="&amp;DERECHA(SUBSTITUTE(F865," ",""),LARGO(SUBSTITUTE(F865," ",""))-ENCONTRAR(",",SUBSTITUTE(F865," ",""))),"")</f>
        <v/>
      </c>
    </row>
    <row r="866" ht="15.75" customHeight="1" s="10">
      <c r="A866" s="8">
        <f>CONCAT("AD507-",TEXT(ROW()-2,"0000"))</f>
        <v/>
      </c>
      <c r="C866" s="8" t="n"/>
      <c r="F866" s="8" t="n"/>
      <c r="G866" s="8">
        <f>IF(F866&lt;&gt;"",HYPERLINK("https://www.google.com/maps/search/?api=1&amp;query="&amp;SUBSTITUTE(F866," ",""),"🗺 Google Maps"),"")</f>
        <v/>
      </c>
      <c r="H866" s="8">
        <f>IF(F866&lt;&gt;"",HYPERLINK("https://waze.com/ul?ll="&amp;SUBSTITUTE(F866," ","")&amp;"&amp;navigate=yes","🚗 Waze"),"")</f>
        <v/>
      </c>
      <c r="I866" s="8">
        <f>IF(F866&lt;&gt;"",HYPERLINK("https://m.uber.com/ul/?action=setPickup&amp;pickup=my_location&amp;dropoff[latitude]="&amp;LEFT(SUBSTITUTE(F866," ",""),FIND(",",SUBSTITUTE(F866," ",""))-1)&amp;"&amp;dropoff[longitude]="&amp;MID(SUBSTITUTE(F866," ",""),FIND(",",SUBSTITUTE(F866," ",""))+1,99),"🚕 Uber"),"")</f>
        <v/>
      </c>
      <c r="J866" s="8">
        <f>IF(F866&lt;&gt;"","https://api.qrserver.com/v1/create-qr-code/?size=200x200&amp;data="&amp;ENCODEURL("https://www.google.com/maps/search/?api=1&amp;query="&amp;SUBSTITUTE(F866," ","")),"")</f>
        <v/>
      </c>
      <c r="K866" s="8">
        <f>IF(C866&lt;&gt;"",HYPERLINK("https://wa.me/507"&amp;REGEXREPLACE(C866,"[^0-9]","")&amp;"?text="&amp;ENCODEURL("Ya llegue. Codigo: "&amp;A866&amp;". Ubicacion: "&amp;"https://www.google.com/maps/search/?api=1&amp;query="&amp;SUBSTITUTE(F866," ","")),"📲 Avisar al cliente"),"")</f>
        <v/>
      </c>
      <c r="L866" s="8">
        <f>IF(C866&lt;&gt;"","https://api.qrserver.com/v1/create-qr-code/?size=200x200&amp;data="&amp;ENCODEURL("https://wa.me/507"&amp;REGEXREPLACE(C866,"[^0-9]","")&amp;"?text="&amp;ENCODEURL("Ya llegue. Codigo: "&amp;A866&amp;". Ubicacion: "&amp;"https://www.google.com/maps/search/?api=1&amp;query="&amp;SUBSTITUTE(F866," ",""))),"")</f>
        <v/>
      </c>
      <c r="M866" s="8">
        <f>IF(B866&lt;&gt;"",TODAY(),"")</f>
        <v/>
      </c>
      <c r="N866" s="8">
        <f>IF(F866&lt;&gt;"",IFERROR(IF(AND(REGEXMATCH(SUBSTITUTE(TRIM(F866)," ",""),"^-?\d+(\.\d+)?,-?\d+(\.\d+)?$"),VALUE(REGEXEXTRACT(SUBSTITUTE(TRIM(F866)," ",""),"^-?\d+(\.\d+)?"))&gt;=-90,VALUE(REGEXEXTRACT(SUBSTITUTE(TRIM(F866)," ",""),"^-?\d+(\.\d+)?"))&lt;=90,VALUE(REGEXEXTRACT(SUBSTITUTE(TRIM(F866)," ",""),"-?\d+(\.\d+)?$"))&gt;=-180,VALUE(REGEXEXTRACT(SUBSTITUTE(TRIM(F866)," ",""),"-?\d+(\.\d+)?$"))&lt;=180),"OK","REVISAR"),"REVISAR"),"")</f>
        <v/>
      </c>
      <c r="O866">
        <f>IF(A866&lt;&gt;"","https://direcciones507.github.io/direcciones507/panel.html?codigo="&amp;A866&amp;"&amp;nombre="&amp;ENCODEURL(B866)&amp;"&amp;telefono="&amp;SUBSTITUTE(C866,"-","")&amp;"&amp;referencia="&amp;ENCODEURL(E866)&amp;"&amp;lat="&amp;IZQUIERDA(SUBSTITUTE(F866," ",""),ENCONTRAR(",",SUBSTITUTE(F866," ",""))-1)&amp;"&amp;lng="&amp;DERECHA(SUBSTITUTE(F866," ",""),LARGO(SUBSTITUTE(F866," ",""))-ENCONTRAR(",",SUBSTITUTE(F866," ",""))),"")</f>
        <v/>
      </c>
    </row>
    <row r="867" ht="15.75" customHeight="1" s="10">
      <c r="A867" s="8">
        <f>CONCAT("AD507-",TEXT(ROW()-2,"0000"))</f>
        <v/>
      </c>
      <c r="C867" s="8" t="n"/>
      <c r="F867" s="8" t="n"/>
      <c r="G867" s="8">
        <f>IF(F867&lt;&gt;"",HYPERLINK("https://www.google.com/maps/search/?api=1&amp;query="&amp;SUBSTITUTE(F867," ",""),"🗺 Google Maps"),"")</f>
        <v/>
      </c>
      <c r="H867" s="8">
        <f>IF(F867&lt;&gt;"",HYPERLINK("https://waze.com/ul?ll="&amp;SUBSTITUTE(F867," ","")&amp;"&amp;navigate=yes","🚗 Waze"),"")</f>
        <v/>
      </c>
      <c r="I867" s="8">
        <f>IF(F867&lt;&gt;"",HYPERLINK("https://m.uber.com/ul/?action=setPickup&amp;pickup=my_location&amp;dropoff[latitude]="&amp;LEFT(SUBSTITUTE(F867," ",""),FIND(",",SUBSTITUTE(F867," ",""))-1)&amp;"&amp;dropoff[longitude]="&amp;MID(SUBSTITUTE(F867," ",""),FIND(",",SUBSTITUTE(F867," ",""))+1,99),"🚕 Uber"),"")</f>
        <v/>
      </c>
      <c r="J867" s="8">
        <f>IF(F867&lt;&gt;"","https://api.qrserver.com/v1/create-qr-code/?size=200x200&amp;data="&amp;ENCODEURL("https://www.google.com/maps/search/?api=1&amp;query="&amp;SUBSTITUTE(F867," ","")),"")</f>
        <v/>
      </c>
      <c r="K867" s="8">
        <f>IF(C867&lt;&gt;"",HYPERLINK("https://wa.me/507"&amp;REGEXREPLACE(C867,"[^0-9]","")&amp;"?text="&amp;ENCODEURL("Ya llegue. Codigo: "&amp;A867&amp;". Ubicacion: "&amp;"https://www.google.com/maps/search/?api=1&amp;query="&amp;SUBSTITUTE(F867," ","")),"📲 Avisar al cliente"),"")</f>
        <v/>
      </c>
      <c r="L867" s="8">
        <f>IF(C867&lt;&gt;"","https://api.qrserver.com/v1/create-qr-code/?size=200x200&amp;data="&amp;ENCODEURL("https://wa.me/507"&amp;REGEXREPLACE(C867,"[^0-9]","")&amp;"?text="&amp;ENCODEURL("Ya llegue. Codigo: "&amp;A867&amp;". Ubicacion: "&amp;"https://www.google.com/maps/search/?api=1&amp;query="&amp;SUBSTITUTE(F867," ",""))),"")</f>
        <v/>
      </c>
      <c r="M867" s="8">
        <f>IF(B867&lt;&gt;"",TODAY(),"")</f>
        <v/>
      </c>
      <c r="N867" s="8">
        <f>IF(F867&lt;&gt;"",IFERROR(IF(AND(REGEXMATCH(SUBSTITUTE(TRIM(F867)," ",""),"^-?\d+(\.\d+)?,-?\d+(\.\d+)?$"),VALUE(REGEXEXTRACT(SUBSTITUTE(TRIM(F867)," ",""),"^-?\d+(\.\d+)?"))&gt;=-90,VALUE(REGEXEXTRACT(SUBSTITUTE(TRIM(F867)," ",""),"^-?\d+(\.\d+)?"))&lt;=90,VALUE(REGEXEXTRACT(SUBSTITUTE(TRIM(F867)," ",""),"-?\d+(\.\d+)?$"))&gt;=-180,VALUE(REGEXEXTRACT(SUBSTITUTE(TRIM(F867)," ",""),"-?\d+(\.\d+)?$"))&lt;=180),"OK","REVISAR"),"REVISAR"),"")</f>
        <v/>
      </c>
      <c r="O867">
        <f>IF(A867&lt;&gt;"","https://direcciones507.github.io/direcciones507/panel.html?codigo="&amp;A867&amp;"&amp;nombre="&amp;ENCODEURL(B867)&amp;"&amp;telefono="&amp;SUBSTITUTE(C867,"-","")&amp;"&amp;referencia="&amp;ENCODEURL(E867)&amp;"&amp;lat="&amp;IZQUIERDA(SUBSTITUTE(F867," ",""),ENCONTRAR(",",SUBSTITUTE(F867," ",""))-1)&amp;"&amp;lng="&amp;DERECHA(SUBSTITUTE(F867," ",""),LARGO(SUBSTITUTE(F867," ",""))-ENCONTRAR(",",SUBSTITUTE(F867," ",""))),"")</f>
        <v/>
      </c>
    </row>
    <row r="868" ht="15.75" customHeight="1" s="10">
      <c r="A868" s="8">
        <f>CONCAT("AD507-",TEXT(ROW()-2,"0000"))</f>
        <v/>
      </c>
      <c r="C868" s="8" t="n"/>
      <c r="F868" s="8" t="n"/>
      <c r="G868" s="8">
        <f>IF(F868&lt;&gt;"",HYPERLINK("https://www.google.com/maps/search/?api=1&amp;query="&amp;SUBSTITUTE(F868," ",""),"🗺 Google Maps"),"")</f>
        <v/>
      </c>
      <c r="H868" s="8">
        <f>IF(F868&lt;&gt;"",HYPERLINK("https://waze.com/ul?ll="&amp;SUBSTITUTE(F868," ","")&amp;"&amp;navigate=yes","🚗 Waze"),"")</f>
        <v/>
      </c>
      <c r="I868" s="8">
        <f>IF(F868&lt;&gt;"",HYPERLINK("https://m.uber.com/ul/?action=setPickup&amp;pickup=my_location&amp;dropoff[latitude]="&amp;LEFT(SUBSTITUTE(F868," ",""),FIND(",",SUBSTITUTE(F868," ",""))-1)&amp;"&amp;dropoff[longitude]="&amp;MID(SUBSTITUTE(F868," ",""),FIND(",",SUBSTITUTE(F868," ",""))+1,99),"🚕 Uber"),"")</f>
        <v/>
      </c>
      <c r="J868" s="8">
        <f>IF(F868&lt;&gt;"","https://api.qrserver.com/v1/create-qr-code/?size=200x200&amp;data="&amp;ENCODEURL("https://www.google.com/maps/search/?api=1&amp;query="&amp;SUBSTITUTE(F868," ","")),"")</f>
        <v/>
      </c>
      <c r="K868" s="8">
        <f>IF(C868&lt;&gt;"",HYPERLINK("https://wa.me/507"&amp;REGEXREPLACE(C868,"[^0-9]","")&amp;"?text="&amp;ENCODEURL("Ya llegue. Codigo: "&amp;A868&amp;". Ubicacion: "&amp;"https://www.google.com/maps/search/?api=1&amp;query="&amp;SUBSTITUTE(F868," ","")),"📲 Avisar al cliente"),"")</f>
        <v/>
      </c>
      <c r="L868" s="8">
        <f>IF(C868&lt;&gt;"","https://api.qrserver.com/v1/create-qr-code/?size=200x200&amp;data="&amp;ENCODEURL("https://wa.me/507"&amp;REGEXREPLACE(C868,"[^0-9]","")&amp;"?text="&amp;ENCODEURL("Ya llegue. Codigo: "&amp;A868&amp;". Ubicacion: "&amp;"https://www.google.com/maps/search/?api=1&amp;query="&amp;SUBSTITUTE(F868," ",""))),"")</f>
        <v/>
      </c>
      <c r="M868" s="8">
        <f>IF(B868&lt;&gt;"",TODAY(),"")</f>
        <v/>
      </c>
      <c r="N868" s="8">
        <f>IF(F868&lt;&gt;"",IFERROR(IF(AND(REGEXMATCH(SUBSTITUTE(TRIM(F868)," ",""),"^-?\d+(\.\d+)?,-?\d+(\.\d+)?$"),VALUE(REGEXEXTRACT(SUBSTITUTE(TRIM(F868)," ",""),"^-?\d+(\.\d+)?"))&gt;=-90,VALUE(REGEXEXTRACT(SUBSTITUTE(TRIM(F868)," ",""),"^-?\d+(\.\d+)?"))&lt;=90,VALUE(REGEXEXTRACT(SUBSTITUTE(TRIM(F868)," ",""),"-?\d+(\.\d+)?$"))&gt;=-180,VALUE(REGEXEXTRACT(SUBSTITUTE(TRIM(F868)," ",""),"-?\d+(\.\d+)?$"))&lt;=180),"OK","REVISAR"),"REVISAR"),"")</f>
        <v/>
      </c>
      <c r="O868">
        <f>IF(A868&lt;&gt;"","https://direcciones507.github.io/direcciones507/panel.html?codigo="&amp;A868&amp;"&amp;nombre="&amp;ENCODEURL(B868)&amp;"&amp;telefono="&amp;SUBSTITUTE(C868,"-","")&amp;"&amp;referencia="&amp;ENCODEURL(E868)&amp;"&amp;lat="&amp;IZQUIERDA(SUBSTITUTE(F868," ",""),ENCONTRAR(",",SUBSTITUTE(F868," ",""))-1)&amp;"&amp;lng="&amp;DERECHA(SUBSTITUTE(F868," ",""),LARGO(SUBSTITUTE(F868," ",""))-ENCONTRAR(",",SUBSTITUTE(F868," ",""))),"")</f>
        <v/>
      </c>
    </row>
    <row r="869" ht="15.75" customHeight="1" s="10">
      <c r="A869" s="8">
        <f>CONCAT("AD507-",TEXT(ROW()-2,"0000"))</f>
        <v/>
      </c>
      <c r="C869" s="8" t="n"/>
      <c r="F869" s="8" t="n"/>
      <c r="G869" s="8">
        <f>IF(F869&lt;&gt;"",HYPERLINK("https://www.google.com/maps/search/?api=1&amp;query="&amp;SUBSTITUTE(F869," ",""),"🗺 Google Maps"),"")</f>
        <v/>
      </c>
      <c r="H869" s="8">
        <f>IF(F869&lt;&gt;"",HYPERLINK("https://waze.com/ul?ll="&amp;SUBSTITUTE(F869," ","")&amp;"&amp;navigate=yes","🚗 Waze"),"")</f>
        <v/>
      </c>
      <c r="I869" s="8">
        <f>IF(F869&lt;&gt;"",HYPERLINK("https://m.uber.com/ul/?action=setPickup&amp;pickup=my_location&amp;dropoff[latitude]="&amp;LEFT(SUBSTITUTE(F869," ",""),FIND(",",SUBSTITUTE(F869," ",""))-1)&amp;"&amp;dropoff[longitude]="&amp;MID(SUBSTITUTE(F869," ",""),FIND(",",SUBSTITUTE(F869," ",""))+1,99),"🚕 Uber"),"")</f>
        <v/>
      </c>
      <c r="J869" s="8">
        <f>IF(F869&lt;&gt;"","https://api.qrserver.com/v1/create-qr-code/?size=200x200&amp;data="&amp;ENCODEURL("https://www.google.com/maps/search/?api=1&amp;query="&amp;SUBSTITUTE(F869," ","")),"")</f>
        <v/>
      </c>
      <c r="K869" s="8">
        <f>IF(C869&lt;&gt;"",HYPERLINK("https://wa.me/507"&amp;REGEXREPLACE(C869,"[^0-9]","")&amp;"?text="&amp;ENCODEURL("Ya llegue. Codigo: "&amp;A869&amp;". Ubicacion: "&amp;"https://www.google.com/maps/search/?api=1&amp;query="&amp;SUBSTITUTE(F869," ","")),"📲 Avisar al cliente"),"")</f>
        <v/>
      </c>
      <c r="L869" s="8">
        <f>IF(C869&lt;&gt;"","https://api.qrserver.com/v1/create-qr-code/?size=200x200&amp;data="&amp;ENCODEURL("https://wa.me/507"&amp;REGEXREPLACE(C869,"[^0-9]","")&amp;"?text="&amp;ENCODEURL("Ya llegue. Codigo: "&amp;A869&amp;". Ubicacion: "&amp;"https://www.google.com/maps/search/?api=1&amp;query="&amp;SUBSTITUTE(F869," ",""))),"")</f>
        <v/>
      </c>
      <c r="M869" s="8">
        <f>IF(B869&lt;&gt;"",TODAY(),"")</f>
        <v/>
      </c>
      <c r="N869" s="8">
        <f>IF(F869&lt;&gt;"",IFERROR(IF(AND(REGEXMATCH(SUBSTITUTE(TRIM(F869)," ",""),"^-?\d+(\.\d+)?,-?\d+(\.\d+)?$"),VALUE(REGEXEXTRACT(SUBSTITUTE(TRIM(F869)," ",""),"^-?\d+(\.\d+)?"))&gt;=-90,VALUE(REGEXEXTRACT(SUBSTITUTE(TRIM(F869)," ",""),"^-?\d+(\.\d+)?"))&lt;=90,VALUE(REGEXEXTRACT(SUBSTITUTE(TRIM(F869)," ",""),"-?\d+(\.\d+)?$"))&gt;=-180,VALUE(REGEXEXTRACT(SUBSTITUTE(TRIM(F869)," ",""),"-?\d+(\.\d+)?$"))&lt;=180),"OK","REVISAR"),"REVISAR"),"")</f>
        <v/>
      </c>
      <c r="O869">
        <f>IF(A869&lt;&gt;"","https://direcciones507.github.io/direcciones507/panel.html?codigo="&amp;A869&amp;"&amp;nombre="&amp;ENCODEURL(B869)&amp;"&amp;telefono="&amp;SUBSTITUTE(C869,"-","")&amp;"&amp;referencia="&amp;ENCODEURL(E869)&amp;"&amp;lat="&amp;IZQUIERDA(SUBSTITUTE(F869," ",""),ENCONTRAR(",",SUBSTITUTE(F869," ",""))-1)&amp;"&amp;lng="&amp;DERECHA(SUBSTITUTE(F869," ",""),LARGO(SUBSTITUTE(F869," ",""))-ENCONTRAR(",",SUBSTITUTE(F869," ",""))),"")</f>
        <v/>
      </c>
    </row>
    <row r="870" ht="15.75" customHeight="1" s="10">
      <c r="A870" s="8">
        <f>CONCAT("AD507-",TEXT(ROW()-2,"0000"))</f>
        <v/>
      </c>
      <c r="C870" s="8" t="n"/>
      <c r="F870" s="8" t="n"/>
      <c r="G870" s="8">
        <f>IF(F870&lt;&gt;"",HYPERLINK("https://www.google.com/maps/search/?api=1&amp;query="&amp;SUBSTITUTE(F870," ",""),"🗺 Google Maps"),"")</f>
        <v/>
      </c>
      <c r="H870" s="8">
        <f>IF(F870&lt;&gt;"",HYPERLINK("https://waze.com/ul?ll="&amp;SUBSTITUTE(F870," ","")&amp;"&amp;navigate=yes","🚗 Waze"),"")</f>
        <v/>
      </c>
      <c r="I870" s="8">
        <f>IF(F870&lt;&gt;"",HYPERLINK("https://m.uber.com/ul/?action=setPickup&amp;pickup=my_location&amp;dropoff[latitude]="&amp;LEFT(SUBSTITUTE(F870," ",""),FIND(",",SUBSTITUTE(F870," ",""))-1)&amp;"&amp;dropoff[longitude]="&amp;MID(SUBSTITUTE(F870," ",""),FIND(",",SUBSTITUTE(F870," ",""))+1,99),"🚕 Uber"),"")</f>
        <v/>
      </c>
      <c r="J870" s="8">
        <f>IF(F870&lt;&gt;"","https://api.qrserver.com/v1/create-qr-code/?size=200x200&amp;data="&amp;ENCODEURL("https://www.google.com/maps/search/?api=1&amp;query="&amp;SUBSTITUTE(F870," ","")),"")</f>
        <v/>
      </c>
      <c r="K870" s="8">
        <f>IF(C870&lt;&gt;"",HYPERLINK("https://wa.me/507"&amp;REGEXREPLACE(C870,"[^0-9]","")&amp;"?text="&amp;ENCODEURL("Ya llegue. Codigo: "&amp;A870&amp;". Ubicacion: "&amp;"https://www.google.com/maps/search/?api=1&amp;query="&amp;SUBSTITUTE(F870," ","")),"📲 Avisar al cliente"),"")</f>
        <v/>
      </c>
      <c r="L870" s="8">
        <f>IF(C870&lt;&gt;"","https://api.qrserver.com/v1/create-qr-code/?size=200x200&amp;data="&amp;ENCODEURL("https://wa.me/507"&amp;REGEXREPLACE(C870,"[^0-9]","")&amp;"?text="&amp;ENCODEURL("Ya llegue. Codigo: "&amp;A870&amp;". Ubicacion: "&amp;"https://www.google.com/maps/search/?api=1&amp;query="&amp;SUBSTITUTE(F870," ",""))),"")</f>
        <v/>
      </c>
      <c r="M870" s="8">
        <f>IF(B870&lt;&gt;"",TODAY(),"")</f>
        <v/>
      </c>
      <c r="N870" s="8">
        <f>IF(F870&lt;&gt;"",IFERROR(IF(AND(REGEXMATCH(SUBSTITUTE(TRIM(F870)," ",""),"^-?\d+(\.\d+)?,-?\d+(\.\d+)?$"),VALUE(REGEXEXTRACT(SUBSTITUTE(TRIM(F870)," ",""),"^-?\d+(\.\d+)?"))&gt;=-90,VALUE(REGEXEXTRACT(SUBSTITUTE(TRIM(F870)," ",""),"^-?\d+(\.\d+)?"))&lt;=90,VALUE(REGEXEXTRACT(SUBSTITUTE(TRIM(F870)," ",""),"-?\d+(\.\d+)?$"))&gt;=-180,VALUE(REGEXEXTRACT(SUBSTITUTE(TRIM(F870)," ",""),"-?\d+(\.\d+)?$"))&lt;=180),"OK","REVISAR"),"REVISAR"),"")</f>
        <v/>
      </c>
      <c r="O870">
        <f>IF(A870&lt;&gt;"","https://direcciones507.github.io/direcciones507/panel.html?codigo="&amp;A870&amp;"&amp;nombre="&amp;ENCODEURL(B870)&amp;"&amp;telefono="&amp;SUBSTITUTE(C870,"-","")&amp;"&amp;referencia="&amp;ENCODEURL(E870)&amp;"&amp;lat="&amp;IZQUIERDA(SUBSTITUTE(F870," ",""),ENCONTRAR(",",SUBSTITUTE(F870," ",""))-1)&amp;"&amp;lng="&amp;DERECHA(SUBSTITUTE(F870," ",""),LARGO(SUBSTITUTE(F870," ",""))-ENCONTRAR(",",SUBSTITUTE(F870," ",""))),"")</f>
        <v/>
      </c>
    </row>
    <row r="871" ht="15.75" customHeight="1" s="10">
      <c r="A871" s="8">
        <f>CONCAT("AD507-",TEXT(ROW()-2,"0000"))</f>
        <v/>
      </c>
      <c r="C871" s="8" t="n"/>
      <c r="F871" s="8" t="n"/>
      <c r="G871" s="8">
        <f>IF(F871&lt;&gt;"",HYPERLINK("https://www.google.com/maps/search/?api=1&amp;query="&amp;SUBSTITUTE(F871," ",""),"🗺 Google Maps"),"")</f>
        <v/>
      </c>
      <c r="H871" s="8">
        <f>IF(F871&lt;&gt;"",HYPERLINK("https://waze.com/ul?ll="&amp;SUBSTITUTE(F871," ","")&amp;"&amp;navigate=yes","🚗 Waze"),"")</f>
        <v/>
      </c>
      <c r="I871" s="8">
        <f>IF(F871&lt;&gt;"",HYPERLINK("https://m.uber.com/ul/?action=setPickup&amp;pickup=my_location&amp;dropoff[latitude]="&amp;LEFT(SUBSTITUTE(F871," ",""),FIND(",",SUBSTITUTE(F871," ",""))-1)&amp;"&amp;dropoff[longitude]="&amp;MID(SUBSTITUTE(F871," ",""),FIND(",",SUBSTITUTE(F871," ",""))+1,99),"🚕 Uber"),"")</f>
        <v/>
      </c>
      <c r="J871" s="8">
        <f>IF(F871&lt;&gt;"","https://api.qrserver.com/v1/create-qr-code/?size=200x200&amp;data="&amp;ENCODEURL("https://www.google.com/maps/search/?api=1&amp;query="&amp;SUBSTITUTE(F871," ","")),"")</f>
        <v/>
      </c>
      <c r="K871" s="8">
        <f>IF(C871&lt;&gt;"",HYPERLINK("https://wa.me/507"&amp;REGEXREPLACE(C871,"[^0-9]","")&amp;"?text="&amp;ENCODEURL("Ya llegue. Codigo: "&amp;A871&amp;". Ubicacion: "&amp;"https://www.google.com/maps/search/?api=1&amp;query="&amp;SUBSTITUTE(F871," ","")),"📲 Avisar al cliente"),"")</f>
        <v/>
      </c>
      <c r="L871" s="8">
        <f>IF(C871&lt;&gt;"","https://api.qrserver.com/v1/create-qr-code/?size=200x200&amp;data="&amp;ENCODEURL("https://wa.me/507"&amp;REGEXREPLACE(C871,"[^0-9]","")&amp;"?text="&amp;ENCODEURL("Ya llegue. Codigo: "&amp;A871&amp;". Ubicacion: "&amp;"https://www.google.com/maps/search/?api=1&amp;query="&amp;SUBSTITUTE(F871," ",""))),"")</f>
        <v/>
      </c>
      <c r="M871" s="8">
        <f>IF(B871&lt;&gt;"",TODAY(),"")</f>
        <v/>
      </c>
      <c r="N871" s="8">
        <f>IF(F871&lt;&gt;"",IFERROR(IF(AND(REGEXMATCH(SUBSTITUTE(TRIM(F871)," ",""),"^-?\d+(\.\d+)?,-?\d+(\.\d+)?$"),VALUE(REGEXEXTRACT(SUBSTITUTE(TRIM(F871)," ",""),"^-?\d+(\.\d+)?"))&gt;=-90,VALUE(REGEXEXTRACT(SUBSTITUTE(TRIM(F871)," ",""),"^-?\d+(\.\d+)?"))&lt;=90,VALUE(REGEXEXTRACT(SUBSTITUTE(TRIM(F871)," ",""),"-?\d+(\.\d+)?$"))&gt;=-180,VALUE(REGEXEXTRACT(SUBSTITUTE(TRIM(F871)," ",""),"-?\d+(\.\d+)?$"))&lt;=180),"OK","REVISAR"),"REVISAR"),"")</f>
        <v/>
      </c>
      <c r="O871">
        <f>IF(A871&lt;&gt;"","https://direcciones507.github.io/direcciones507/panel.html?codigo="&amp;A871&amp;"&amp;nombre="&amp;ENCODEURL(B871)&amp;"&amp;telefono="&amp;SUBSTITUTE(C871,"-","")&amp;"&amp;referencia="&amp;ENCODEURL(E871)&amp;"&amp;lat="&amp;IZQUIERDA(SUBSTITUTE(F871," ",""),ENCONTRAR(",",SUBSTITUTE(F871," ",""))-1)&amp;"&amp;lng="&amp;DERECHA(SUBSTITUTE(F871," ",""),LARGO(SUBSTITUTE(F871," ",""))-ENCONTRAR(",",SUBSTITUTE(F871," ",""))),"")</f>
        <v/>
      </c>
    </row>
    <row r="872" ht="15.75" customHeight="1" s="10">
      <c r="A872" s="8">
        <f>CONCAT("AD507-",TEXT(ROW()-2,"0000"))</f>
        <v/>
      </c>
      <c r="C872" s="8" t="n"/>
      <c r="F872" s="8" t="n"/>
      <c r="G872" s="8">
        <f>IF(F872&lt;&gt;"",HYPERLINK("https://www.google.com/maps/search/?api=1&amp;query="&amp;SUBSTITUTE(F872," ",""),"🗺 Google Maps"),"")</f>
        <v/>
      </c>
      <c r="H872" s="8">
        <f>IF(F872&lt;&gt;"",HYPERLINK("https://waze.com/ul?ll="&amp;SUBSTITUTE(F872," ","")&amp;"&amp;navigate=yes","🚗 Waze"),"")</f>
        <v/>
      </c>
      <c r="I872" s="8">
        <f>IF(F872&lt;&gt;"",HYPERLINK("https://m.uber.com/ul/?action=setPickup&amp;pickup=my_location&amp;dropoff[latitude]="&amp;LEFT(SUBSTITUTE(F872," ",""),FIND(",",SUBSTITUTE(F872," ",""))-1)&amp;"&amp;dropoff[longitude]="&amp;MID(SUBSTITUTE(F872," ",""),FIND(",",SUBSTITUTE(F872," ",""))+1,99),"🚕 Uber"),"")</f>
        <v/>
      </c>
      <c r="J872" s="8">
        <f>IF(F872&lt;&gt;"","https://api.qrserver.com/v1/create-qr-code/?size=200x200&amp;data="&amp;ENCODEURL("https://www.google.com/maps/search/?api=1&amp;query="&amp;SUBSTITUTE(F872," ","")),"")</f>
        <v/>
      </c>
      <c r="K872" s="8">
        <f>IF(C872&lt;&gt;"",HYPERLINK("https://wa.me/507"&amp;REGEXREPLACE(C872,"[^0-9]","")&amp;"?text="&amp;ENCODEURL("Ya llegue. Codigo: "&amp;A872&amp;". Ubicacion: "&amp;"https://www.google.com/maps/search/?api=1&amp;query="&amp;SUBSTITUTE(F872," ","")),"📲 Avisar al cliente"),"")</f>
        <v/>
      </c>
      <c r="L872" s="8">
        <f>IF(C872&lt;&gt;"","https://api.qrserver.com/v1/create-qr-code/?size=200x200&amp;data="&amp;ENCODEURL("https://wa.me/507"&amp;REGEXREPLACE(C872,"[^0-9]","")&amp;"?text="&amp;ENCODEURL("Ya llegue. Codigo: "&amp;A872&amp;". Ubicacion: "&amp;"https://www.google.com/maps/search/?api=1&amp;query="&amp;SUBSTITUTE(F872," ",""))),"")</f>
        <v/>
      </c>
      <c r="M872" s="8">
        <f>IF(B872&lt;&gt;"",TODAY(),"")</f>
        <v/>
      </c>
      <c r="N872" s="8">
        <f>IF(F872&lt;&gt;"",IFERROR(IF(AND(REGEXMATCH(SUBSTITUTE(TRIM(F872)," ",""),"^-?\d+(\.\d+)?,-?\d+(\.\d+)?$"),VALUE(REGEXEXTRACT(SUBSTITUTE(TRIM(F872)," ",""),"^-?\d+(\.\d+)?"))&gt;=-90,VALUE(REGEXEXTRACT(SUBSTITUTE(TRIM(F872)," ",""),"^-?\d+(\.\d+)?"))&lt;=90,VALUE(REGEXEXTRACT(SUBSTITUTE(TRIM(F872)," ",""),"-?\d+(\.\d+)?$"))&gt;=-180,VALUE(REGEXEXTRACT(SUBSTITUTE(TRIM(F872)," ",""),"-?\d+(\.\d+)?$"))&lt;=180),"OK","REVISAR"),"REVISAR"),"")</f>
        <v/>
      </c>
      <c r="O872">
        <f>IF(A872&lt;&gt;"","https://direcciones507.github.io/direcciones507/panel.html?codigo="&amp;A872&amp;"&amp;nombre="&amp;ENCODEURL(B872)&amp;"&amp;telefono="&amp;SUBSTITUTE(C872,"-","")&amp;"&amp;referencia="&amp;ENCODEURL(E872)&amp;"&amp;lat="&amp;IZQUIERDA(SUBSTITUTE(F872," ",""),ENCONTRAR(",",SUBSTITUTE(F872," ",""))-1)&amp;"&amp;lng="&amp;DERECHA(SUBSTITUTE(F872," ",""),LARGO(SUBSTITUTE(F872," ",""))-ENCONTRAR(",",SUBSTITUTE(F872," ",""))),"")</f>
        <v/>
      </c>
    </row>
    <row r="873" ht="15.75" customHeight="1" s="10">
      <c r="A873" s="8">
        <f>CONCAT("AD507-",TEXT(ROW()-2,"0000"))</f>
        <v/>
      </c>
      <c r="C873" s="8" t="n"/>
      <c r="F873" s="8" t="n"/>
      <c r="G873" s="8">
        <f>IF(F873&lt;&gt;"",HYPERLINK("https://www.google.com/maps/search/?api=1&amp;query="&amp;SUBSTITUTE(F873," ",""),"🗺 Google Maps"),"")</f>
        <v/>
      </c>
      <c r="H873" s="8">
        <f>IF(F873&lt;&gt;"",HYPERLINK("https://waze.com/ul?ll="&amp;SUBSTITUTE(F873," ","")&amp;"&amp;navigate=yes","🚗 Waze"),"")</f>
        <v/>
      </c>
      <c r="I873" s="8">
        <f>IF(F873&lt;&gt;"",HYPERLINK("https://m.uber.com/ul/?action=setPickup&amp;pickup=my_location&amp;dropoff[latitude]="&amp;LEFT(SUBSTITUTE(F873," ",""),FIND(",",SUBSTITUTE(F873," ",""))-1)&amp;"&amp;dropoff[longitude]="&amp;MID(SUBSTITUTE(F873," ",""),FIND(",",SUBSTITUTE(F873," ",""))+1,99),"🚕 Uber"),"")</f>
        <v/>
      </c>
      <c r="J873" s="8">
        <f>IF(F873&lt;&gt;"","https://api.qrserver.com/v1/create-qr-code/?size=200x200&amp;data="&amp;ENCODEURL("https://www.google.com/maps/search/?api=1&amp;query="&amp;SUBSTITUTE(F873," ","")),"")</f>
        <v/>
      </c>
      <c r="K873" s="8">
        <f>IF(C873&lt;&gt;"",HYPERLINK("https://wa.me/507"&amp;REGEXREPLACE(C873,"[^0-9]","")&amp;"?text="&amp;ENCODEURL("Ya llegue. Codigo: "&amp;A873&amp;". Ubicacion: "&amp;"https://www.google.com/maps/search/?api=1&amp;query="&amp;SUBSTITUTE(F873," ","")),"📲 Avisar al cliente"),"")</f>
        <v/>
      </c>
      <c r="L873" s="8">
        <f>IF(C873&lt;&gt;"","https://api.qrserver.com/v1/create-qr-code/?size=200x200&amp;data="&amp;ENCODEURL("https://wa.me/507"&amp;REGEXREPLACE(C873,"[^0-9]","")&amp;"?text="&amp;ENCODEURL("Ya llegue. Codigo: "&amp;A873&amp;". Ubicacion: "&amp;"https://www.google.com/maps/search/?api=1&amp;query="&amp;SUBSTITUTE(F873," ",""))),"")</f>
        <v/>
      </c>
      <c r="M873" s="8">
        <f>IF(B873&lt;&gt;"",TODAY(),"")</f>
        <v/>
      </c>
      <c r="N873" s="8">
        <f>IF(F873&lt;&gt;"",IFERROR(IF(AND(REGEXMATCH(SUBSTITUTE(TRIM(F873)," ",""),"^-?\d+(\.\d+)?,-?\d+(\.\d+)?$"),VALUE(REGEXEXTRACT(SUBSTITUTE(TRIM(F873)," ",""),"^-?\d+(\.\d+)?"))&gt;=-90,VALUE(REGEXEXTRACT(SUBSTITUTE(TRIM(F873)," ",""),"^-?\d+(\.\d+)?"))&lt;=90,VALUE(REGEXEXTRACT(SUBSTITUTE(TRIM(F873)," ",""),"-?\d+(\.\d+)?$"))&gt;=-180,VALUE(REGEXEXTRACT(SUBSTITUTE(TRIM(F873)," ",""),"-?\d+(\.\d+)?$"))&lt;=180),"OK","REVISAR"),"REVISAR"),"")</f>
        <v/>
      </c>
      <c r="O873">
        <f>IF(A873&lt;&gt;"","https://direcciones507.github.io/direcciones507/panel.html?codigo="&amp;A873&amp;"&amp;nombre="&amp;ENCODEURL(B873)&amp;"&amp;telefono="&amp;SUBSTITUTE(C873,"-","")&amp;"&amp;referencia="&amp;ENCODEURL(E873)&amp;"&amp;lat="&amp;IZQUIERDA(SUBSTITUTE(F873," ",""),ENCONTRAR(",",SUBSTITUTE(F873," ",""))-1)&amp;"&amp;lng="&amp;DERECHA(SUBSTITUTE(F873," ",""),LARGO(SUBSTITUTE(F873," ",""))-ENCONTRAR(",",SUBSTITUTE(F873," ",""))),"")</f>
        <v/>
      </c>
    </row>
    <row r="874" ht="15.75" customHeight="1" s="10">
      <c r="A874" s="8">
        <f>CONCAT("AD507-",TEXT(ROW()-2,"0000"))</f>
        <v/>
      </c>
      <c r="C874" s="8" t="n"/>
      <c r="F874" s="8" t="n"/>
      <c r="G874" s="8">
        <f>IF(F874&lt;&gt;"",HYPERLINK("https://www.google.com/maps/search/?api=1&amp;query="&amp;SUBSTITUTE(F874," ",""),"🗺 Google Maps"),"")</f>
        <v/>
      </c>
      <c r="H874" s="8">
        <f>IF(F874&lt;&gt;"",HYPERLINK("https://waze.com/ul?ll="&amp;SUBSTITUTE(F874," ","")&amp;"&amp;navigate=yes","🚗 Waze"),"")</f>
        <v/>
      </c>
      <c r="I874" s="8">
        <f>IF(F874&lt;&gt;"",HYPERLINK("https://m.uber.com/ul/?action=setPickup&amp;pickup=my_location&amp;dropoff[latitude]="&amp;LEFT(SUBSTITUTE(F874," ",""),FIND(",",SUBSTITUTE(F874," ",""))-1)&amp;"&amp;dropoff[longitude]="&amp;MID(SUBSTITUTE(F874," ",""),FIND(",",SUBSTITUTE(F874," ",""))+1,99),"🚕 Uber"),"")</f>
        <v/>
      </c>
      <c r="J874" s="8">
        <f>IF(F874&lt;&gt;"","https://api.qrserver.com/v1/create-qr-code/?size=200x200&amp;data="&amp;ENCODEURL("https://www.google.com/maps/search/?api=1&amp;query="&amp;SUBSTITUTE(F874," ","")),"")</f>
        <v/>
      </c>
      <c r="K874" s="8">
        <f>IF(C874&lt;&gt;"",HYPERLINK("https://wa.me/507"&amp;REGEXREPLACE(C874,"[^0-9]","")&amp;"?text="&amp;ENCODEURL("Ya llegue. Codigo: "&amp;A874&amp;". Ubicacion: "&amp;"https://www.google.com/maps/search/?api=1&amp;query="&amp;SUBSTITUTE(F874," ","")),"📲 Avisar al cliente"),"")</f>
        <v/>
      </c>
      <c r="L874" s="8">
        <f>IF(C874&lt;&gt;"","https://api.qrserver.com/v1/create-qr-code/?size=200x200&amp;data="&amp;ENCODEURL("https://wa.me/507"&amp;REGEXREPLACE(C874,"[^0-9]","")&amp;"?text="&amp;ENCODEURL("Ya llegue. Codigo: "&amp;A874&amp;". Ubicacion: "&amp;"https://www.google.com/maps/search/?api=1&amp;query="&amp;SUBSTITUTE(F874," ",""))),"")</f>
        <v/>
      </c>
      <c r="M874" s="8">
        <f>IF(B874&lt;&gt;"",TODAY(),"")</f>
        <v/>
      </c>
      <c r="N874" s="8">
        <f>IF(F874&lt;&gt;"",IFERROR(IF(AND(REGEXMATCH(SUBSTITUTE(TRIM(F874)," ",""),"^-?\d+(\.\d+)?,-?\d+(\.\d+)?$"),VALUE(REGEXEXTRACT(SUBSTITUTE(TRIM(F874)," ",""),"^-?\d+(\.\d+)?"))&gt;=-90,VALUE(REGEXEXTRACT(SUBSTITUTE(TRIM(F874)," ",""),"^-?\d+(\.\d+)?"))&lt;=90,VALUE(REGEXEXTRACT(SUBSTITUTE(TRIM(F874)," ",""),"-?\d+(\.\d+)?$"))&gt;=-180,VALUE(REGEXEXTRACT(SUBSTITUTE(TRIM(F874)," ",""),"-?\d+(\.\d+)?$"))&lt;=180),"OK","REVISAR"),"REVISAR"),"")</f>
        <v/>
      </c>
      <c r="O874">
        <f>IF(A874&lt;&gt;"","https://direcciones507.github.io/direcciones507/panel.html?codigo="&amp;A874&amp;"&amp;nombre="&amp;ENCODEURL(B874)&amp;"&amp;telefono="&amp;SUBSTITUTE(C874,"-","")&amp;"&amp;referencia="&amp;ENCODEURL(E874)&amp;"&amp;lat="&amp;IZQUIERDA(SUBSTITUTE(F874," ",""),ENCONTRAR(",",SUBSTITUTE(F874," ",""))-1)&amp;"&amp;lng="&amp;DERECHA(SUBSTITUTE(F874," ",""),LARGO(SUBSTITUTE(F874," ",""))-ENCONTRAR(",",SUBSTITUTE(F874," ",""))),"")</f>
        <v/>
      </c>
    </row>
    <row r="875" ht="15.75" customHeight="1" s="10">
      <c r="A875" s="8">
        <f>CONCAT("AD507-",TEXT(ROW()-2,"0000"))</f>
        <v/>
      </c>
      <c r="C875" s="8" t="n"/>
      <c r="F875" s="8" t="n"/>
      <c r="G875" s="8">
        <f>IF(F875&lt;&gt;"",HYPERLINK("https://www.google.com/maps/search/?api=1&amp;query="&amp;SUBSTITUTE(F875," ",""),"🗺 Google Maps"),"")</f>
        <v/>
      </c>
      <c r="H875" s="8">
        <f>IF(F875&lt;&gt;"",HYPERLINK("https://waze.com/ul?ll="&amp;SUBSTITUTE(F875," ","")&amp;"&amp;navigate=yes","🚗 Waze"),"")</f>
        <v/>
      </c>
      <c r="I875" s="8">
        <f>IF(F875&lt;&gt;"",HYPERLINK("https://m.uber.com/ul/?action=setPickup&amp;pickup=my_location&amp;dropoff[latitude]="&amp;LEFT(SUBSTITUTE(F875," ",""),FIND(",",SUBSTITUTE(F875," ",""))-1)&amp;"&amp;dropoff[longitude]="&amp;MID(SUBSTITUTE(F875," ",""),FIND(",",SUBSTITUTE(F875," ",""))+1,99),"🚕 Uber"),"")</f>
        <v/>
      </c>
      <c r="J875" s="8">
        <f>IF(F875&lt;&gt;"","https://api.qrserver.com/v1/create-qr-code/?size=200x200&amp;data="&amp;ENCODEURL("https://www.google.com/maps/search/?api=1&amp;query="&amp;SUBSTITUTE(F875," ","")),"")</f>
        <v/>
      </c>
      <c r="K875" s="8">
        <f>IF(C875&lt;&gt;"",HYPERLINK("https://wa.me/507"&amp;REGEXREPLACE(C875,"[^0-9]","")&amp;"?text="&amp;ENCODEURL("Ya llegue. Codigo: "&amp;A875&amp;". Ubicacion: "&amp;"https://www.google.com/maps/search/?api=1&amp;query="&amp;SUBSTITUTE(F875," ","")),"📲 Avisar al cliente"),"")</f>
        <v/>
      </c>
      <c r="L875" s="8">
        <f>IF(C875&lt;&gt;"","https://api.qrserver.com/v1/create-qr-code/?size=200x200&amp;data="&amp;ENCODEURL("https://wa.me/507"&amp;REGEXREPLACE(C875,"[^0-9]","")&amp;"?text="&amp;ENCODEURL("Ya llegue. Codigo: "&amp;A875&amp;". Ubicacion: "&amp;"https://www.google.com/maps/search/?api=1&amp;query="&amp;SUBSTITUTE(F875," ",""))),"")</f>
        <v/>
      </c>
      <c r="M875" s="8">
        <f>IF(B875&lt;&gt;"",TODAY(),"")</f>
        <v/>
      </c>
      <c r="N875" s="8">
        <f>IF(F875&lt;&gt;"",IFERROR(IF(AND(REGEXMATCH(SUBSTITUTE(TRIM(F875)," ",""),"^-?\d+(\.\d+)?,-?\d+(\.\d+)?$"),VALUE(REGEXEXTRACT(SUBSTITUTE(TRIM(F875)," ",""),"^-?\d+(\.\d+)?"))&gt;=-90,VALUE(REGEXEXTRACT(SUBSTITUTE(TRIM(F875)," ",""),"^-?\d+(\.\d+)?"))&lt;=90,VALUE(REGEXEXTRACT(SUBSTITUTE(TRIM(F875)," ",""),"-?\d+(\.\d+)?$"))&gt;=-180,VALUE(REGEXEXTRACT(SUBSTITUTE(TRIM(F875)," ",""),"-?\d+(\.\d+)?$"))&lt;=180),"OK","REVISAR"),"REVISAR"),"")</f>
        <v/>
      </c>
      <c r="O875">
        <f>IF(A875&lt;&gt;"","https://direcciones507.github.io/direcciones507/panel.html?codigo="&amp;A875&amp;"&amp;nombre="&amp;ENCODEURL(B875)&amp;"&amp;telefono="&amp;SUBSTITUTE(C875,"-","")&amp;"&amp;referencia="&amp;ENCODEURL(E875)&amp;"&amp;lat="&amp;IZQUIERDA(SUBSTITUTE(F875," ",""),ENCONTRAR(",",SUBSTITUTE(F875," ",""))-1)&amp;"&amp;lng="&amp;DERECHA(SUBSTITUTE(F875," ",""),LARGO(SUBSTITUTE(F875," ",""))-ENCONTRAR(",",SUBSTITUTE(F875," ",""))),"")</f>
        <v/>
      </c>
    </row>
    <row r="876" ht="15.75" customHeight="1" s="10">
      <c r="A876" s="8">
        <f>CONCAT("AD507-",TEXT(ROW()-2,"0000"))</f>
        <v/>
      </c>
      <c r="C876" s="8" t="n"/>
      <c r="F876" s="8" t="n"/>
      <c r="G876" s="8">
        <f>IF(F876&lt;&gt;"",HYPERLINK("https://www.google.com/maps/search/?api=1&amp;query="&amp;SUBSTITUTE(F876," ",""),"🗺 Google Maps"),"")</f>
        <v/>
      </c>
      <c r="H876" s="8">
        <f>IF(F876&lt;&gt;"",HYPERLINK("https://waze.com/ul?ll="&amp;SUBSTITUTE(F876," ","")&amp;"&amp;navigate=yes","🚗 Waze"),"")</f>
        <v/>
      </c>
      <c r="I876" s="8">
        <f>IF(F876&lt;&gt;"",HYPERLINK("https://m.uber.com/ul/?action=setPickup&amp;pickup=my_location&amp;dropoff[latitude]="&amp;LEFT(SUBSTITUTE(F876," ",""),FIND(",",SUBSTITUTE(F876," ",""))-1)&amp;"&amp;dropoff[longitude]="&amp;MID(SUBSTITUTE(F876," ",""),FIND(",",SUBSTITUTE(F876," ",""))+1,99),"🚕 Uber"),"")</f>
        <v/>
      </c>
      <c r="J876" s="8">
        <f>IF(F876&lt;&gt;"","https://api.qrserver.com/v1/create-qr-code/?size=200x200&amp;data="&amp;ENCODEURL("https://www.google.com/maps/search/?api=1&amp;query="&amp;SUBSTITUTE(F876," ","")),"")</f>
        <v/>
      </c>
      <c r="K876" s="8">
        <f>IF(C876&lt;&gt;"",HYPERLINK("https://wa.me/507"&amp;REGEXREPLACE(C876,"[^0-9]","")&amp;"?text="&amp;ENCODEURL("Ya llegue. Codigo: "&amp;A876&amp;". Ubicacion: "&amp;"https://www.google.com/maps/search/?api=1&amp;query="&amp;SUBSTITUTE(F876," ","")),"📲 Avisar al cliente"),"")</f>
        <v/>
      </c>
      <c r="L876" s="8">
        <f>IF(C876&lt;&gt;"","https://api.qrserver.com/v1/create-qr-code/?size=200x200&amp;data="&amp;ENCODEURL("https://wa.me/507"&amp;REGEXREPLACE(C876,"[^0-9]","")&amp;"?text="&amp;ENCODEURL("Ya llegue. Codigo: "&amp;A876&amp;". Ubicacion: "&amp;"https://www.google.com/maps/search/?api=1&amp;query="&amp;SUBSTITUTE(F876," ",""))),"")</f>
        <v/>
      </c>
      <c r="M876" s="8">
        <f>IF(B876&lt;&gt;"",TODAY(),"")</f>
        <v/>
      </c>
      <c r="N876" s="8">
        <f>IF(F876&lt;&gt;"",IFERROR(IF(AND(REGEXMATCH(SUBSTITUTE(TRIM(F876)," ",""),"^-?\d+(\.\d+)?,-?\d+(\.\d+)?$"),VALUE(REGEXEXTRACT(SUBSTITUTE(TRIM(F876)," ",""),"^-?\d+(\.\d+)?"))&gt;=-90,VALUE(REGEXEXTRACT(SUBSTITUTE(TRIM(F876)," ",""),"^-?\d+(\.\d+)?"))&lt;=90,VALUE(REGEXEXTRACT(SUBSTITUTE(TRIM(F876)," ",""),"-?\d+(\.\d+)?$"))&gt;=-180,VALUE(REGEXEXTRACT(SUBSTITUTE(TRIM(F876)," ",""),"-?\d+(\.\d+)?$"))&lt;=180),"OK","REVISAR"),"REVISAR"),"")</f>
        <v/>
      </c>
      <c r="O876">
        <f>IF(A876&lt;&gt;"","https://direcciones507.github.io/direcciones507/panel.html?codigo="&amp;A876&amp;"&amp;nombre="&amp;ENCODEURL(B876)&amp;"&amp;telefono="&amp;SUBSTITUTE(C876,"-","")&amp;"&amp;referencia="&amp;ENCODEURL(E876)&amp;"&amp;lat="&amp;IZQUIERDA(SUBSTITUTE(F876," ",""),ENCONTRAR(",",SUBSTITUTE(F876," ",""))-1)&amp;"&amp;lng="&amp;DERECHA(SUBSTITUTE(F876," ",""),LARGO(SUBSTITUTE(F876," ",""))-ENCONTRAR(",",SUBSTITUTE(F876," ",""))),"")</f>
        <v/>
      </c>
    </row>
    <row r="877" ht="15.75" customHeight="1" s="10">
      <c r="A877" s="8">
        <f>CONCAT("AD507-",TEXT(ROW()-2,"0000"))</f>
        <v/>
      </c>
      <c r="C877" s="8" t="n"/>
      <c r="F877" s="8" t="n"/>
      <c r="G877" s="8">
        <f>IF(F877&lt;&gt;"",HYPERLINK("https://www.google.com/maps/search/?api=1&amp;query="&amp;SUBSTITUTE(F877," ",""),"🗺 Google Maps"),"")</f>
        <v/>
      </c>
      <c r="H877" s="8">
        <f>IF(F877&lt;&gt;"",HYPERLINK("https://waze.com/ul?ll="&amp;SUBSTITUTE(F877," ","")&amp;"&amp;navigate=yes","🚗 Waze"),"")</f>
        <v/>
      </c>
      <c r="I877" s="8">
        <f>IF(F877&lt;&gt;"",HYPERLINK("https://m.uber.com/ul/?action=setPickup&amp;pickup=my_location&amp;dropoff[latitude]="&amp;LEFT(SUBSTITUTE(F877," ",""),FIND(",",SUBSTITUTE(F877," ",""))-1)&amp;"&amp;dropoff[longitude]="&amp;MID(SUBSTITUTE(F877," ",""),FIND(",",SUBSTITUTE(F877," ",""))+1,99),"🚕 Uber"),"")</f>
        <v/>
      </c>
      <c r="J877" s="8">
        <f>IF(F877&lt;&gt;"","https://api.qrserver.com/v1/create-qr-code/?size=200x200&amp;data="&amp;ENCODEURL("https://www.google.com/maps/search/?api=1&amp;query="&amp;SUBSTITUTE(F877," ","")),"")</f>
        <v/>
      </c>
      <c r="K877" s="8">
        <f>IF(C877&lt;&gt;"",HYPERLINK("https://wa.me/507"&amp;REGEXREPLACE(C877,"[^0-9]","")&amp;"?text="&amp;ENCODEURL("Ya llegue. Codigo: "&amp;A877&amp;". Ubicacion: "&amp;"https://www.google.com/maps/search/?api=1&amp;query="&amp;SUBSTITUTE(F877," ","")),"📲 Avisar al cliente"),"")</f>
        <v/>
      </c>
      <c r="L877" s="8">
        <f>IF(C877&lt;&gt;"","https://api.qrserver.com/v1/create-qr-code/?size=200x200&amp;data="&amp;ENCODEURL("https://wa.me/507"&amp;REGEXREPLACE(C877,"[^0-9]","")&amp;"?text="&amp;ENCODEURL("Ya llegue. Codigo: "&amp;A877&amp;". Ubicacion: "&amp;"https://www.google.com/maps/search/?api=1&amp;query="&amp;SUBSTITUTE(F877," ",""))),"")</f>
        <v/>
      </c>
      <c r="M877" s="8">
        <f>IF(B877&lt;&gt;"",TODAY(),"")</f>
        <v/>
      </c>
      <c r="N877" s="8">
        <f>IF(F877&lt;&gt;"",IFERROR(IF(AND(REGEXMATCH(SUBSTITUTE(TRIM(F877)," ",""),"^-?\d+(\.\d+)?,-?\d+(\.\d+)?$"),VALUE(REGEXEXTRACT(SUBSTITUTE(TRIM(F877)," ",""),"^-?\d+(\.\d+)?"))&gt;=-90,VALUE(REGEXEXTRACT(SUBSTITUTE(TRIM(F877)," ",""),"^-?\d+(\.\d+)?"))&lt;=90,VALUE(REGEXEXTRACT(SUBSTITUTE(TRIM(F877)," ",""),"-?\d+(\.\d+)?$"))&gt;=-180,VALUE(REGEXEXTRACT(SUBSTITUTE(TRIM(F877)," ",""),"-?\d+(\.\d+)?$"))&lt;=180),"OK","REVISAR"),"REVISAR"),"")</f>
        <v/>
      </c>
      <c r="O877">
        <f>IF(A877&lt;&gt;"","https://direcciones507.github.io/direcciones507/panel.html?codigo="&amp;A877&amp;"&amp;nombre="&amp;ENCODEURL(B877)&amp;"&amp;telefono="&amp;SUBSTITUTE(C877,"-","")&amp;"&amp;referencia="&amp;ENCODEURL(E877)&amp;"&amp;lat="&amp;IZQUIERDA(SUBSTITUTE(F877," ",""),ENCONTRAR(",",SUBSTITUTE(F877," ",""))-1)&amp;"&amp;lng="&amp;DERECHA(SUBSTITUTE(F877," ",""),LARGO(SUBSTITUTE(F877," ",""))-ENCONTRAR(",",SUBSTITUTE(F877," ",""))),"")</f>
        <v/>
      </c>
    </row>
    <row r="878" ht="15.75" customHeight="1" s="10">
      <c r="A878" s="8">
        <f>CONCAT("AD507-",TEXT(ROW()-2,"0000"))</f>
        <v/>
      </c>
      <c r="C878" s="8" t="n"/>
      <c r="F878" s="8" t="n"/>
      <c r="G878" s="8">
        <f>IF(F878&lt;&gt;"",HYPERLINK("https://www.google.com/maps/search/?api=1&amp;query="&amp;SUBSTITUTE(F878," ",""),"🗺 Google Maps"),"")</f>
        <v/>
      </c>
      <c r="H878" s="8">
        <f>IF(F878&lt;&gt;"",HYPERLINK("https://waze.com/ul?ll="&amp;SUBSTITUTE(F878," ","")&amp;"&amp;navigate=yes","🚗 Waze"),"")</f>
        <v/>
      </c>
      <c r="I878" s="8">
        <f>IF(F878&lt;&gt;"",HYPERLINK("https://m.uber.com/ul/?action=setPickup&amp;pickup=my_location&amp;dropoff[latitude]="&amp;LEFT(SUBSTITUTE(F878," ",""),FIND(",",SUBSTITUTE(F878," ",""))-1)&amp;"&amp;dropoff[longitude]="&amp;MID(SUBSTITUTE(F878," ",""),FIND(",",SUBSTITUTE(F878," ",""))+1,99),"🚕 Uber"),"")</f>
        <v/>
      </c>
      <c r="J878" s="8">
        <f>IF(F878&lt;&gt;"","https://api.qrserver.com/v1/create-qr-code/?size=200x200&amp;data="&amp;ENCODEURL("https://www.google.com/maps/search/?api=1&amp;query="&amp;SUBSTITUTE(F878," ","")),"")</f>
        <v/>
      </c>
      <c r="K878" s="8">
        <f>IF(C878&lt;&gt;"",HYPERLINK("https://wa.me/507"&amp;REGEXREPLACE(C878,"[^0-9]","")&amp;"?text="&amp;ENCODEURL("Ya llegue. Codigo: "&amp;A878&amp;". Ubicacion: "&amp;"https://www.google.com/maps/search/?api=1&amp;query="&amp;SUBSTITUTE(F878," ","")),"📲 Avisar al cliente"),"")</f>
        <v/>
      </c>
      <c r="L878" s="8">
        <f>IF(C878&lt;&gt;"","https://api.qrserver.com/v1/create-qr-code/?size=200x200&amp;data="&amp;ENCODEURL("https://wa.me/507"&amp;REGEXREPLACE(C878,"[^0-9]","")&amp;"?text="&amp;ENCODEURL("Ya llegue. Codigo: "&amp;A878&amp;". Ubicacion: "&amp;"https://www.google.com/maps/search/?api=1&amp;query="&amp;SUBSTITUTE(F878," ",""))),"")</f>
        <v/>
      </c>
      <c r="M878" s="8">
        <f>IF(B878&lt;&gt;"",TODAY(),"")</f>
        <v/>
      </c>
      <c r="N878" s="8">
        <f>IF(F878&lt;&gt;"",IFERROR(IF(AND(REGEXMATCH(SUBSTITUTE(TRIM(F878)," ",""),"^-?\d+(\.\d+)?,-?\d+(\.\d+)?$"),VALUE(REGEXEXTRACT(SUBSTITUTE(TRIM(F878)," ",""),"^-?\d+(\.\d+)?"))&gt;=-90,VALUE(REGEXEXTRACT(SUBSTITUTE(TRIM(F878)," ",""),"^-?\d+(\.\d+)?"))&lt;=90,VALUE(REGEXEXTRACT(SUBSTITUTE(TRIM(F878)," ",""),"-?\d+(\.\d+)?$"))&gt;=-180,VALUE(REGEXEXTRACT(SUBSTITUTE(TRIM(F878)," ",""),"-?\d+(\.\d+)?$"))&lt;=180),"OK","REVISAR"),"REVISAR"),"")</f>
        <v/>
      </c>
      <c r="O878">
        <f>IF(A878&lt;&gt;"","https://direcciones507.github.io/direcciones507/panel.html?codigo="&amp;A878&amp;"&amp;nombre="&amp;ENCODEURL(B878)&amp;"&amp;telefono="&amp;SUBSTITUTE(C878,"-","")&amp;"&amp;referencia="&amp;ENCODEURL(E878)&amp;"&amp;lat="&amp;IZQUIERDA(SUBSTITUTE(F878," ",""),ENCONTRAR(",",SUBSTITUTE(F878," ",""))-1)&amp;"&amp;lng="&amp;DERECHA(SUBSTITUTE(F878," ",""),LARGO(SUBSTITUTE(F878," ",""))-ENCONTRAR(",",SUBSTITUTE(F878," ",""))),"")</f>
        <v/>
      </c>
    </row>
    <row r="879" ht="15.75" customHeight="1" s="10">
      <c r="A879" s="8">
        <f>CONCAT("AD507-",TEXT(ROW()-2,"0000"))</f>
        <v/>
      </c>
      <c r="C879" s="8" t="n"/>
      <c r="F879" s="8" t="n"/>
      <c r="G879" s="8">
        <f>IF(F879&lt;&gt;"",HYPERLINK("https://www.google.com/maps/search/?api=1&amp;query="&amp;SUBSTITUTE(F879," ",""),"🗺 Google Maps"),"")</f>
        <v/>
      </c>
      <c r="H879" s="8">
        <f>IF(F879&lt;&gt;"",HYPERLINK("https://waze.com/ul?ll="&amp;SUBSTITUTE(F879," ","")&amp;"&amp;navigate=yes","🚗 Waze"),"")</f>
        <v/>
      </c>
      <c r="I879" s="8">
        <f>IF(F879&lt;&gt;"",HYPERLINK("https://m.uber.com/ul/?action=setPickup&amp;pickup=my_location&amp;dropoff[latitude]="&amp;LEFT(SUBSTITUTE(F879," ",""),FIND(",",SUBSTITUTE(F879," ",""))-1)&amp;"&amp;dropoff[longitude]="&amp;MID(SUBSTITUTE(F879," ",""),FIND(",",SUBSTITUTE(F879," ",""))+1,99),"🚕 Uber"),"")</f>
        <v/>
      </c>
      <c r="J879" s="8">
        <f>IF(F879&lt;&gt;"","https://api.qrserver.com/v1/create-qr-code/?size=200x200&amp;data="&amp;ENCODEURL("https://www.google.com/maps/search/?api=1&amp;query="&amp;SUBSTITUTE(F879," ","")),"")</f>
        <v/>
      </c>
      <c r="K879" s="8">
        <f>IF(C879&lt;&gt;"",HYPERLINK("https://wa.me/507"&amp;REGEXREPLACE(C879,"[^0-9]","")&amp;"?text="&amp;ENCODEURL("Ya llegue. Codigo: "&amp;A879&amp;". Ubicacion: "&amp;"https://www.google.com/maps/search/?api=1&amp;query="&amp;SUBSTITUTE(F879," ","")),"📲 Avisar al cliente"),"")</f>
        <v/>
      </c>
      <c r="L879" s="8">
        <f>IF(C879&lt;&gt;"","https://api.qrserver.com/v1/create-qr-code/?size=200x200&amp;data="&amp;ENCODEURL("https://wa.me/507"&amp;REGEXREPLACE(C879,"[^0-9]","")&amp;"?text="&amp;ENCODEURL("Ya llegue. Codigo: "&amp;A879&amp;". Ubicacion: "&amp;"https://www.google.com/maps/search/?api=1&amp;query="&amp;SUBSTITUTE(F879," ",""))),"")</f>
        <v/>
      </c>
      <c r="M879" s="8">
        <f>IF(B879&lt;&gt;"",TODAY(),"")</f>
        <v/>
      </c>
      <c r="N879" s="8">
        <f>IF(F879&lt;&gt;"",IFERROR(IF(AND(REGEXMATCH(SUBSTITUTE(TRIM(F879)," ",""),"^-?\d+(\.\d+)?,-?\d+(\.\d+)?$"),VALUE(REGEXEXTRACT(SUBSTITUTE(TRIM(F879)," ",""),"^-?\d+(\.\d+)?"))&gt;=-90,VALUE(REGEXEXTRACT(SUBSTITUTE(TRIM(F879)," ",""),"^-?\d+(\.\d+)?"))&lt;=90,VALUE(REGEXEXTRACT(SUBSTITUTE(TRIM(F879)," ",""),"-?\d+(\.\d+)?$"))&gt;=-180,VALUE(REGEXEXTRACT(SUBSTITUTE(TRIM(F879)," ",""),"-?\d+(\.\d+)?$"))&lt;=180),"OK","REVISAR"),"REVISAR"),"")</f>
        <v/>
      </c>
      <c r="O879">
        <f>IF(A879&lt;&gt;"","https://direcciones507.github.io/direcciones507/panel.html?codigo="&amp;A879&amp;"&amp;nombre="&amp;ENCODEURL(B879)&amp;"&amp;telefono="&amp;SUBSTITUTE(C879,"-","")&amp;"&amp;referencia="&amp;ENCODEURL(E879)&amp;"&amp;lat="&amp;IZQUIERDA(SUBSTITUTE(F879," ",""),ENCONTRAR(",",SUBSTITUTE(F879," ",""))-1)&amp;"&amp;lng="&amp;DERECHA(SUBSTITUTE(F879," ",""),LARGO(SUBSTITUTE(F879," ",""))-ENCONTRAR(",",SUBSTITUTE(F879," ",""))),"")</f>
        <v/>
      </c>
    </row>
    <row r="880" ht="15.75" customHeight="1" s="10">
      <c r="A880" s="8">
        <f>CONCAT("AD507-",TEXT(ROW()-2,"0000"))</f>
        <v/>
      </c>
      <c r="C880" s="8" t="n"/>
      <c r="F880" s="8" t="n"/>
      <c r="G880" s="8">
        <f>IF(F880&lt;&gt;"",HYPERLINK("https://www.google.com/maps/search/?api=1&amp;query="&amp;SUBSTITUTE(F880," ",""),"🗺 Google Maps"),"")</f>
        <v/>
      </c>
      <c r="H880" s="8">
        <f>IF(F880&lt;&gt;"",HYPERLINK("https://waze.com/ul?ll="&amp;SUBSTITUTE(F880," ","")&amp;"&amp;navigate=yes","🚗 Waze"),"")</f>
        <v/>
      </c>
      <c r="I880" s="8">
        <f>IF(F880&lt;&gt;"",HYPERLINK("https://m.uber.com/ul/?action=setPickup&amp;pickup=my_location&amp;dropoff[latitude]="&amp;LEFT(SUBSTITUTE(F880," ",""),FIND(",",SUBSTITUTE(F880," ",""))-1)&amp;"&amp;dropoff[longitude]="&amp;MID(SUBSTITUTE(F880," ",""),FIND(",",SUBSTITUTE(F880," ",""))+1,99),"🚕 Uber"),"")</f>
        <v/>
      </c>
      <c r="J880" s="8">
        <f>IF(F880&lt;&gt;"","https://api.qrserver.com/v1/create-qr-code/?size=200x200&amp;data="&amp;ENCODEURL("https://www.google.com/maps/search/?api=1&amp;query="&amp;SUBSTITUTE(F880," ","")),"")</f>
        <v/>
      </c>
      <c r="K880" s="8">
        <f>IF(C880&lt;&gt;"",HYPERLINK("https://wa.me/507"&amp;REGEXREPLACE(C880,"[^0-9]","")&amp;"?text="&amp;ENCODEURL("Ya llegue. Codigo: "&amp;A880&amp;". Ubicacion: "&amp;"https://www.google.com/maps/search/?api=1&amp;query="&amp;SUBSTITUTE(F880," ","")),"📲 Avisar al cliente"),"")</f>
        <v/>
      </c>
      <c r="L880" s="8">
        <f>IF(C880&lt;&gt;"","https://api.qrserver.com/v1/create-qr-code/?size=200x200&amp;data="&amp;ENCODEURL("https://wa.me/507"&amp;REGEXREPLACE(C880,"[^0-9]","")&amp;"?text="&amp;ENCODEURL("Ya llegue. Codigo: "&amp;A880&amp;". Ubicacion: "&amp;"https://www.google.com/maps/search/?api=1&amp;query="&amp;SUBSTITUTE(F880," ",""))),"")</f>
        <v/>
      </c>
      <c r="M880" s="8">
        <f>IF(B880&lt;&gt;"",TODAY(),"")</f>
        <v/>
      </c>
      <c r="N880" s="8">
        <f>IF(F880&lt;&gt;"",IFERROR(IF(AND(REGEXMATCH(SUBSTITUTE(TRIM(F880)," ",""),"^-?\d+(\.\d+)?,-?\d+(\.\d+)?$"),VALUE(REGEXEXTRACT(SUBSTITUTE(TRIM(F880)," ",""),"^-?\d+(\.\d+)?"))&gt;=-90,VALUE(REGEXEXTRACT(SUBSTITUTE(TRIM(F880)," ",""),"^-?\d+(\.\d+)?"))&lt;=90,VALUE(REGEXEXTRACT(SUBSTITUTE(TRIM(F880)," ",""),"-?\d+(\.\d+)?$"))&gt;=-180,VALUE(REGEXEXTRACT(SUBSTITUTE(TRIM(F880)," ",""),"-?\d+(\.\d+)?$"))&lt;=180),"OK","REVISAR"),"REVISAR"),"")</f>
        <v/>
      </c>
      <c r="O880">
        <f>IF(A880&lt;&gt;"","https://direcciones507.github.io/direcciones507/panel.html?codigo="&amp;A880&amp;"&amp;nombre="&amp;ENCODEURL(B880)&amp;"&amp;telefono="&amp;SUBSTITUTE(C880,"-","")&amp;"&amp;referencia="&amp;ENCODEURL(E880)&amp;"&amp;lat="&amp;IZQUIERDA(SUBSTITUTE(F880," ",""),ENCONTRAR(",",SUBSTITUTE(F880," ",""))-1)&amp;"&amp;lng="&amp;DERECHA(SUBSTITUTE(F880," ",""),LARGO(SUBSTITUTE(F880," ",""))-ENCONTRAR(",",SUBSTITUTE(F880," ",""))),"")</f>
        <v/>
      </c>
    </row>
    <row r="881" ht="15.75" customHeight="1" s="10">
      <c r="A881" s="8">
        <f>CONCAT("AD507-",TEXT(ROW()-2,"0000"))</f>
        <v/>
      </c>
      <c r="C881" s="8" t="n"/>
      <c r="F881" s="8" t="n"/>
      <c r="G881" s="8">
        <f>IF(F881&lt;&gt;"",HYPERLINK("https://www.google.com/maps/search/?api=1&amp;query="&amp;SUBSTITUTE(F881," ",""),"🗺 Google Maps"),"")</f>
        <v/>
      </c>
      <c r="H881" s="8">
        <f>IF(F881&lt;&gt;"",HYPERLINK("https://waze.com/ul?ll="&amp;SUBSTITUTE(F881," ","")&amp;"&amp;navigate=yes","🚗 Waze"),"")</f>
        <v/>
      </c>
      <c r="I881" s="8">
        <f>IF(F881&lt;&gt;"",HYPERLINK("https://m.uber.com/ul/?action=setPickup&amp;pickup=my_location&amp;dropoff[latitude]="&amp;LEFT(SUBSTITUTE(F881," ",""),FIND(",",SUBSTITUTE(F881," ",""))-1)&amp;"&amp;dropoff[longitude]="&amp;MID(SUBSTITUTE(F881," ",""),FIND(",",SUBSTITUTE(F881," ",""))+1,99),"🚕 Uber"),"")</f>
        <v/>
      </c>
      <c r="J881" s="8">
        <f>IF(F881&lt;&gt;"","https://api.qrserver.com/v1/create-qr-code/?size=200x200&amp;data="&amp;ENCODEURL("https://www.google.com/maps/search/?api=1&amp;query="&amp;SUBSTITUTE(F881," ","")),"")</f>
        <v/>
      </c>
      <c r="K881" s="8">
        <f>IF(C881&lt;&gt;"",HYPERLINK("https://wa.me/507"&amp;REGEXREPLACE(C881,"[^0-9]","")&amp;"?text="&amp;ENCODEURL("Ya llegue. Codigo: "&amp;A881&amp;". Ubicacion: "&amp;"https://www.google.com/maps/search/?api=1&amp;query="&amp;SUBSTITUTE(F881," ","")),"📲 Avisar al cliente"),"")</f>
        <v/>
      </c>
      <c r="L881" s="8">
        <f>IF(C881&lt;&gt;"","https://api.qrserver.com/v1/create-qr-code/?size=200x200&amp;data="&amp;ENCODEURL("https://wa.me/507"&amp;REGEXREPLACE(C881,"[^0-9]","")&amp;"?text="&amp;ENCODEURL("Ya llegue. Codigo: "&amp;A881&amp;". Ubicacion: "&amp;"https://www.google.com/maps/search/?api=1&amp;query="&amp;SUBSTITUTE(F881," ",""))),"")</f>
        <v/>
      </c>
      <c r="M881" s="8">
        <f>IF(B881&lt;&gt;"",TODAY(),"")</f>
        <v/>
      </c>
      <c r="N881" s="8">
        <f>IF(F881&lt;&gt;"",IFERROR(IF(AND(REGEXMATCH(SUBSTITUTE(TRIM(F881)," ",""),"^-?\d+(\.\d+)?,-?\d+(\.\d+)?$"),VALUE(REGEXEXTRACT(SUBSTITUTE(TRIM(F881)," ",""),"^-?\d+(\.\d+)?"))&gt;=-90,VALUE(REGEXEXTRACT(SUBSTITUTE(TRIM(F881)," ",""),"^-?\d+(\.\d+)?"))&lt;=90,VALUE(REGEXEXTRACT(SUBSTITUTE(TRIM(F881)," ",""),"-?\d+(\.\d+)?$"))&gt;=-180,VALUE(REGEXEXTRACT(SUBSTITUTE(TRIM(F881)," ",""),"-?\d+(\.\d+)?$"))&lt;=180),"OK","REVISAR"),"REVISAR"),"")</f>
        <v/>
      </c>
      <c r="O881">
        <f>IF(A881&lt;&gt;"","https://direcciones507.github.io/direcciones507/panel.html?codigo="&amp;A881&amp;"&amp;nombre="&amp;ENCODEURL(B881)&amp;"&amp;telefono="&amp;SUBSTITUTE(C881,"-","")&amp;"&amp;referencia="&amp;ENCODEURL(E881)&amp;"&amp;lat="&amp;IZQUIERDA(SUBSTITUTE(F881," ",""),ENCONTRAR(",",SUBSTITUTE(F881," ",""))-1)&amp;"&amp;lng="&amp;DERECHA(SUBSTITUTE(F881," ",""),LARGO(SUBSTITUTE(F881," ",""))-ENCONTRAR(",",SUBSTITUTE(F881," ",""))),"")</f>
        <v/>
      </c>
    </row>
    <row r="882" ht="15.75" customHeight="1" s="10">
      <c r="A882" s="8">
        <f>CONCAT("AD507-",TEXT(ROW()-2,"0000"))</f>
        <v/>
      </c>
      <c r="C882" s="8" t="n"/>
      <c r="F882" s="8" t="n"/>
      <c r="G882" s="8">
        <f>IF(F882&lt;&gt;"",HYPERLINK("https://www.google.com/maps/search/?api=1&amp;query="&amp;SUBSTITUTE(F882," ",""),"🗺 Google Maps"),"")</f>
        <v/>
      </c>
      <c r="H882" s="8">
        <f>IF(F882&lt;&gt;"",HYPERLINK("https://waze.com/ul?ll="&amp;SUBSTITUTE(F882," ","")&amp;"&amp;navigate=yes","🚗 Waze"),"")</f>
        <v/>
      </c>
      <c r="I882" s="8">
        <f>IF(F882&lt;&gt;"",HYPERLINK("https://m.uber.com/ul/?action=setPickup&amp;pickup=my_location&amp;dropoff[latitude]="&amp;LEFT(SUBSTITUTE(F882," ",""),FIND(",",SUBSTITUTE(F882," ",""))-1)&amp;"&amp;dropoff[longitude]="&amp;MID(SUBSTITUTE(F882," ",""),FIND(",",SUBSTITUTE(F882," ",""))+1,99),"🚕 Uber"),"")</f>
        <v/>
      </c>
      <c r="J882" s="8">
        <f>IF(F882&lt;&gt;"","https://api.qrserver.com/v1/create-qr-code/?size=200x200&amp;data="&amp;ENCODEURL("https://www.google.com/maps/search/?api=1&amp;query="&amp;SUBSTITUTE(F882," ","")),"")</f>
        <v/>
      </c>
      <c r="K882" s="8">
        <f>IF(C882&lt;&gt;"",HYPERLINK("https://wa.me/507"&amp;REGEXREPLACE(C882,"[^0-9]","")&amp;"?text="&amp;ENCODEURL("Ya llegue. Codigo: "&amp;A882&amp;". Ubicacion: "&amp;"https://www.google.com/maps/search/?api=1&amp;query="&amp;SUBSTITUTE(F882," ","")),"📲 Avisar al cliente"),"")</f>
        <v/>
      </c>
      <c r="L882" s="8">
        <f>IF(C882&lt;&gt;"","https://api.qrserver.com/v1/create-qr-code/?size=200x200&amp;data="&amp;ENCODEURL("https://wa.me/507"&amp;REGEXREPLACE(C882,"[^0-9]","")&amp;"?text="&amp;ENCODEURL("Ya llegue. Codigo: "&amp;A882&amp;". Ubicacion: "&amp;"https://www.google.com/maps/search/?api=1&amp;query="&amp;SUBSTITUTE(F882," ",""))),"")</f>
        <v/>
      </c>
      <c r="M882" s="8">
        <f>IF(B882&lt;&gt;"",TODAY(),"")</f>
        <v/>
      </c>
      <c r="N882" s="8">
        <f>IF(F882&lt;&gt;"",IFERROR(IF(AND(REGEXMATCH(SUBSTITUTE(TRIM(F882)," ",""),"^-?\d+(\.\d+)?,-?\d+(\.\d+)?$"),VALUE(REGEXEXTRACT(SUBSTITUTE(TRIM(F882)," ",""),"^-?\d+(\.\d+)?"))&gt;=-90,VALUE(REGEXEXTRACT(SUBSTITUTE(TRIM(F882)," ",""),"^-?\d+(\.\d+)?"))&lt;=90,VALUE(REGEXEXTRACT(SUBSTITUTE(TRIM(F882)," ",""),"-?\d+(\.\d+)?$"))&gt;=-180,VALUE(REGEXEXTRACT(SUBSTITUTE(TRIM(F882)," ",""),"-?\d+(\.\d+)?$"))&lt;=180),"OK","REVISAR"),"REVISAR"),"")</f>
        <v/>
      </c>
      <c r="O882">
        <f>IF(A882&lt;&gt;"","https://direcciones507.github.io/direcciones507/panel.html?codigo="&amp;A882&amp;"&amp;nombre="&amp;ENCODEURL(B882)&amp;"&amp;telefono="&amp;SUBSTITUTE(C882,"-","")&amp;"&amp;referencia="&amp;ENCODEURL(E882)&amp;"&amp;lat="&amp;IZQUIERDA(SUBSTITUTE(F882," ",""),ENCONTRAR(",",SUBSTITUTE(F882," ",""))-1)&amp;"&amp;lng="&amp;DERECHA(SUBSTITUTE(F882," ",""),LARGO(SUBSTITUTE(F882," ",""))-ENCONTRAR(",",SUBSTITUTE(F882," ",""))),"")</f>
        <v/>
      </c>
    </row>
    <row r="883" ht="15.75" customHeight="1" s="10">
      <c r="A883" s="8">
        <f>CONCAT("AD507-",TEXT(ROW()-2,"0000"))</f>
        <v/>
      </c>
      <c r="C883" s="8" t="n"/>
      <c r="F883" s="8" t="n"/>
      <c r="G883" s="8">
        <f>IF(F883&lt;&gt;"",HYPERLINK("https://www.google.com/maps/search/?api=1&amp;query="&amp;SUBSTITUTE(F883," ",""),"🗺 Google Maps"),"")</f>
        <v/>
      </c>
      <c r="H883" s="8">
        <f>IF(F883&lt;&gt;"",HYPERLINK("https://waze.com/ul?ll="&amp;SUBSTITUTE(F883," ","")&amp;"&amp;navigate=yes","🚗 Waze"),"")</f>
        <v/>
      </c>
      <c r="I883" s="8">
        <f>IF(F883&lt;&gt;"",HYPERLINK("https://m.uber.com/ul/?action=setPickup&amp;pickup=my_location&amp;dropoff[latitude]="&amp;LEFT(SUBSTITUTE(F883," ",""),FIND(",",SUBSTITUTE(F883," ",""))-1)&amp;"&amp;dropoff[longitude]="&amp;MID(SUBSTITUTE(F883," ",""),FIND(",",SUBSTITUTE(F883," ",""))+1,99),"🚕 Uber"),"")</f>
        <v/>
      </c>
      <c r="J883" s="8">
        <f>IF(F883&lt;&gt;"","https://api.qrserver.com/v1/create-qr-code/?size=200x200&amp;data="&amp;ENCODEURL("https://www.google.com/maps/search/?api=1&amp;query="&amp;SUBSTITUTE(F883," ","")),"")</f>
        <v/>
      </c>
      <c r="K883" s="8">
        <f>IF(C883&lt;&gt;"",HYPERLINK("https://wa.me/507"&amp;REGEXREPLACE(C883,"[^0-9]","")&amp;"?text="&amp;ENCODEURL("Ya llegue. Codigo: "&amp;A883&amp;". Ubicacion: "&amp;"https://www.google.com/maps/search/?api=1&amp;query="&amp;SUBSTITUTE(F883," ","")),"📲 Avisar al cliente"),"")</f>
        <v/>
      </c>
      <c r="L883" s="8">
        <f>IF(C883&lt;&gt;"","https://api.qrserver.com/v1/create-qr-code/?size=200x200&amp;data="&amp;ENCODEURL("https://wa.me/507"&amp;REGEXREPLACE(C883,"[^0-9]","")&amp;"?text="&amp;ENCODEURL("Ya llegue. Codigo: "&amp;A883&amp;". Ubicacion: "&amp;"https://www.google.com/maps/search/?api=1&amp;query="&amp;SUBSTITUTE(F883," ",""))),"")</f>
        <v/>
      </c>
      <c r="M883" s="8">
        <f>IF(B883&lt;&gt;"",TODAY(),"")</f>
        <v/>
      </c>
      <c r="N883" s="8">
        <f>IF(F883&lt;&gt;"",IFERROR(IF(AND(REGEXMATCH(SUBSTITUTE(TRIM(F883)," ",""),"^-?\d+(\.\d+)?,-?\d+(\.\d+)?$"),VALUE(REGEXEXTRACT(SUBSTITUTE(TRIM(F883)," ",""),"^-?\d+(\.\d+)?"))&gt;=-90,VALUE(REGEXEXTRACT(SUBSTITUTE(TRIM(F883)," ",""),"^-?\d+(\.\d+)?"))&lt;=90,VALUE(REGEXEXTRACT(SUBSTITUTE(TRIM(F883)," ",""),"-?\d+(\.\d+)?$"))&gt;=-180,VALUE(REGEXEXTRACT(SUBSTITUTE(TRIM(F883)," ",""),"-?\d+(\.\d+)?$"))&lt;=180),"OK","REVISAR"),"REVISAR"),"")</f>
        <v/>
      </c>
      <c r="O883">
        <f>IF(A883&lt;&gt;"","https://direcciones507.github.io/direcciones507/panel.html?codigo="&amp;A883&amp;"&amp;nombre="&amp;ENCODEURL(B883)&amp;"&amp;telefono="&amp;SUBSTITUTE(C883,"-","")&amp;"&amp;referencia="&amp;ENCODEURL(E883)&amp;"&amp;lat="&amp;IZQUIERDA(SUBSTITUTE(F883," ",""),ENCONTRAR(",",SUBSTITUTE(F883," ",""))-1)&amp;"&amp;lng="&amp;DERECHA(SUBSTITUTE(F883," ",""),LARGO(SUBSTITUTE(F883," ",""))-ENCONTRAR(",",SUBSTITUTE(F883," ",""))),"")</f>
        <v/>
      </c>
    </row>
    <row r="884" ht="15.75" customHeight="1" s="10">
      <c r="A884" s="8">
        <f>CONCAT("AD507-",TEXT(ROW()-2,"0000"))</f>
        <v/>
      </c>
      <c r="C884" s="8" t="n"/>
      <c r="F884" s="8" t="n"/>
      <c r="G884" s="8">
        <f>IF(F884&lt;&gt;"",HYPERLINK("https://www.google.com/maps/search/?api=1&amp;query="&amp;SUBSTITUTE(F884," ",""),"🗺 Google Maps"),"")</f>
        <v/>
      </c>
      <c r="H884" s="8">
        <f>IF(F884&lt;&gt;"",HYPERLINK("https://waze.com/ul?ll="&amp;SUBSTITUTE(F884," ","")&amp;"&amp;navigate=yes","🚗 Waze"),"")</f>
        <v/>
      </c>
      <c r="I884" s="8">
        <f>IF(F884&lt;&gt;"",HYPERLINK("https://m.uber.com/ul/?action=setPickup&amp;pickup=my_location&amp;dropoff[latitude]="&amp;LEFT(SUBSTITUTE(F884," ",""),FIND(",",SUBSTITUTE(F884," ",""))-1)&amp;"&amp;dropoff[longitude]="&amp;MID(SUBSTITUTE(F884," ",""),FIND(",",SUBSTITUTE(F884," ",""))+1,99),"🚕 Uber"),"")</f>
        <v/>
      </c>
      <c r="J884" s="8">
        <f>IF(F884&lt;&gt;"","https://api.qrserver.com/v1/create-qr-code/?size=200x200&amp;data="&amp;ENCODEURL("https://www.google.com/maps/search/?api=1&amp;query="&amp;SUBSTITUTE(F884," ","")),"")</f>
        <v/>
      </c>
      <c r="K884" s="8">
        <f>IF(C884&lt;&gt;"",HYPERLINK("https://wa.me/507"&amp;REGEXREPLACE(C884,"[^0-9]","")&amp;"?text="&amp;ENCODEURL("Ya llegue. Codigo: "&amp;A884&amp;". Ubicacion: "&amp;"https://www.google.com/maps/search/?api=1&amp;query="&amp;SUBSTITUTE(F884," ","")),"📲 Avisar al cliente"),"")</f>
        <v/>
      </c>
      <c r="L884" s="8">
        <f>IF(C884&lt;&gt;"","https://api.qrserver.com/v1/create-qr-code/?size=200x200&amp;data="&amp;ENCODEURL("https://wa.me/507"&amp;REGEXREPLACE(C884,"[^0-9]","")&amp;"?text="&amp;ENCODEURL("Ya llegue. Codigo: "&amp;A884&amp;". Ubicacion: "&amp;"https://www.google.com/maps/search/?api=1&amp;query="&amp;SUBSTITUTE(F884," ",""))),"")</f>
        <v/>
      </c>
      <c r="M884" s="8">
        <f>IF(B884&lt;&gt;"",TODAY(),"")</f>
        <v/>
      </c>
      <c r="N884" s="8">
        <f>IF(F884&lt;&gt;"",IFERROR(IF(AND(REGEXMATCH(SUBSTITUTE(TRIM(F884)," ",""),"^-?\d+(\.\d+)?,-?\d+(\.\d+)?$"),VALUE(REGEXEXTRACT(SUBSTITUTE(TRIM(F884)," ",""),"^-?\d+(\.\d+)?"))&gt;=-90,VALUE(REGEXEXTRACT(SUBSTITUTE(TRIM(F884)," ",""),"^-?\d+(\.\d+)?"))&lt;=90,VALUE(REGEXEXTRACT(SUBSTITUTE(TRIM(F884)," ",""),"-?\d+(\.\d+)?$"))&gt;=-180,VALUE(REGEXEXTRACT(SUBSTITUTE(TRIM(F884)," ",""),"-?\d+(\.\d+)?$"))&lt;=180),"OK","REVISAR"),"REVISAR"),"")</f>
        <v/>
      </c>
      <c r="O884">
        <f>IF(A884&lt;&gt;"","https://direcciones507.github.io/direcciones507/panel.html?codigo="&amp;A884&amp;"&amp;nombre="&amp;ENCODEURL(B884)&amp;"&amp;telefono="&amp;SUBSTITUTE(C884,"-","")&amp;"&amp;referencia="&amp;ENCODEURL(E884)&amp;"&amp;lat="&amp;IZQUIERDA(SUBSTITUTE(F884," ",""),ENCONTRAR(",",SUBSTITUTE(F884," ",""))-1)&amp;"&amp;lng="&amp;DERECHA(SUBSTITUTE(F884," ",""),LARGO(SUBSTITUTE(F884," ",""))-ENCONTRAR(",",SUBSTITUTE(F884," ",""))),"")</f>
        <v/>
      </c>
    </row>
    <row r="885" ht="15.75" customHeight="1" s="10">
      <c r="A885" s="8">
        <f>CONCAT("AD507-",TEXT(ROW()-2,"0000"))</f>
        <v/>
      </c>
      <c r="C885" s="8" t="n"/>
      <c r="F885" s="8" t="n"/>
      <c r="G885" s="8">
        <f>IF(F885&lt;&gt;"",HYPERLINK("https://www.google.com/maps/search/?api=1&amp;query="&amp;SUBSTITUTE(F885," ",""),"🗺 Google Maps"),"")</f>
        <v/>
      </c>
      <c r="H885" s="8">
        <f>IF(F885&lt;&gt;"",HYPERLINK("https://waze.com/ul?ll="&amp;SUBSTITUTE(F885," ","")&amp;"&amp;navigate=yes","🚗 Waze"),"")</f>
        <v/>
      </c>
      <c r="I885" s="8">
        <f>IF(F885&lt;&gt;"",HYPERLINK("https://m.uber.com/ul/?action=setPickup&amp;pickup=my_location&amp;dropoff[latitude]="&amp;LEFT(SUBSTITUTE(F885," ",""),FIND(",",SUBSTITUTE(F885," ",""))-1)&amp;"&amp;dropoff[longitude]="&amp;MID(SUBSTITUTE(F885," ",""),FIND(",",SUBSTITUTE(F885," ",""))+1,99),"🚕 Uber"),"")</f>
        <v/>
      </c>
      <c r="J885" s="8">
        <f>IF(F885&lt;&gt;"","https://api.qrserver.com/v1/create-qr-code/?size=200x200&amp;data="&amp;ENCODEURL("https://www.google.com/maps/search/?api=1&amp;query="&amp;SUBSTITUTE(F885," ","")),"")</f>
        <v/>
      </c>
      <c r="K885" s="8">
        <f>IF(C885&lt;&gt;"",HYPERLINK("https://wa.me/507"&amp;REGEXREPLACE(C885,"[^0-9]","")&amp;"?text="&amp;ENCODEURL("Ya llegue. Codigo: "&amp;A885&amp;". Ubicacion: "&amp;"https://www.google.com/maps/search/?api=1&amp;query="&amp;SUBSTITUTE(F885," ","")),"📲 Avisar al cliente"),"")</f>
        <v/>
      </c>
      <c r="L885" s="8">
        <f>IF(C885&lt;&gt;"","https://api.qrserver.com/v1/create-qr-code/?size=200x200&amp;data="&amp;ENCODEURL("https://wa.me/507"&amp;REGEXREPLACE(C885,"[^0-9]","")&amp;"?text="&amp;ENCODEURL("Ya llegue. Codigo: "&amp;A885&amp;". Ubicacion: "&amp;"https://www.google.com/maps/search/?api=1&amp;query="&amp;SUBSTITUTE(F885," ",""))),"")</f>
        <v/>
      </c>
      <c r="M885" s="8">
        <f>IF(B885&lt;&gt;"",TODAY(),"")</f>
        <v/>
      </c>
      <c r="N885" s="8">
        <f>IF(F885&lt;&gt;"",IFERROR(IF(AND(REGEXMATCH(SUBSTITUTE(TRIM(F885)," ",""),"^-?\d+(\.\d+)?,-?\d+(\.\d+)?$"),VALUE(REGEXEXTRACT(SUBSTITUTE(TRIM(F885)," ",""),"^-?\d+(\.\d+)?"))&gt;=-90,VALUE(REGEXEXTRACT(SUBSTITUTE(TRIM(F885)," ",""),"^-?\d+(\.\d+)?"))&lt;=90,VALUE(REGEXEXTRACT(SUBSTITUTE(TRIM(F885)," ",""),"-?\d+(\.\d+)?$"))&gt;=-180,VALUE(REGEXEXTRACT(SUBSTITUTE(TRIM(F885)," ",""),"-?\d+(\.\d+)?$"))&lt;=180),"OK","REVISAR"),"REVISAR"),"")</f>
        <v/>
      </c>
      <c r="O885">
        <f>IF(A885&lt;&gt;"","https://direcciones507.github.io/direcciones507/panel.html?codigo="&amp;A885&amp;"&amp;nombre="&amp;ENCODEURL(B885)&amp;"&amp;telefono="&amp;SUBSTITUTE(C885,"-","")&amp;"&amp;referencia="&amp;ENCODEURL(E885)&amp;"&amp;lat="&amp;IZQUIERDA(SUBSTITUTE(F885," ",""),ENCONTRAR(",",SUBSTITUTE(F885," ",""))-1)&amp;"&amp;lng="&amp;DERECHA(SUBSTITUTE(F885," ",""),LARGO(SUBSTITUTE(F885," ",""))-ENCONTRAR(",",SUBSTITUTE(F885," ",""))),"")</f>
        <v/>
      </c>
    </row>
    <row r="886" ht="15.75" customHeight="1" s="10">
      <c r="A886" s="8">
        <f>CONCAT("AD507-",TEXT(ROW()-2,"0000"))</f>
        <v/>
      </c>
      <c r="C886" s="8" t="n"/>
      <c r="F886" s="8" t="n"/>
      <c r="G886" s="8">
        <f>IF(F886&lt;&gt;"",HYPERLINK("https://www.google.com/maps/search/?api=1&amp;query="&amp;SUBSTITUTE(F886," ",""),"🗺 Google Maps"),"")</f>
        <v/>
      </c>
      <c r="H886" s="8">
        <f>IF(F886&lt;&gt;"",HYPERLINK("https://waze.com/ul?ll="&amp;SUBSTITUTE(F886," ","")&amp;"&amp;navigate=yes","🚗 Waze"),"")</f>
        <v/>
      </c>
      <c r="I886" s="8">
        <f>IF(F886&lt;&gt;"",HYPERLINK("https://m.uber.com/ul/?action=setPickup&amp;pickup=my_location&amp;dropoff[latitude]="&amp;LEFT(SUBSTITUTE(F886," ",""),FIND(",",SUBSTITUTE(F886," ",""))-1)&amp;"&amp;dropoff[longitude]="&amp;MID(SUBSTITUTE(F886," ",""),FIND(",",SUBSTITUTE(F886," ",""))+1,99),"🚕 Uber"),"")</f>
        <v/>
      </c>
      <c r="J886" s="8">
        <f>IF(F886&lt;&gt;"","https://api.qrserver.com/v1/create-qr-code/?size=200x200&amp;data="&amp;ENCODEURL("https://www.google.com/maps/search/?api=1&amp;query="&amp;SUBSTITUTE(F886," ","")),"")</f>
        <v/>
      </c>
      <c r="K886" s="8">
        <f>IF(C886&lt;&gt;"",HYPERLINK("https://wa.me/507"&amp;REGEXREPLACE(C886,"[^0-9]","")&amp;"?text="&amp;ENCODEURL("Ya llegue. Codigo: "&amp;A886&amp;". Ubicacion: "&amp;"https://www.google.com/maps/search/?api=1&amp;query="&amp;SUBSTITUTE(F886," ","")),"📲 Avisar al cliente"),"")</f>
        <v/>
      </c>
      <c r="L886" s="8">
        <f>IF(C886&lt;&gt;"","https://api.qrserver.com/v1/create-qr-code/?size=200x200&amp;data="&amp;ENCODEURL("https://wa.me/507"&amp;REGEXREPLACE(C886,"[^0-9]","")&amp;"?text="&amp;ENCODEURL("Ya llegue. Codigo: "&amp;A886&amp;". Ubicacion: "&amp;"https://www.google.com/maps/search/?api=1&amp;query="&amp;SUBSTITUTE(F886," ",""))),"")</f>
        <v/>
      </c>
      <c r="M886" s="8">
        <f>IF(B886&lt;&gt;"",TODAY(),"")</f>
        <v/>
      </c>
      <c r="N886" s="8">
        <f>IF(F886&lt;&gt;"",IFERROR(IF(AND(REGEXMATCH(SUBSTITUTE(TRIM(F886)," ",""),"^-?\d+(\.\d+)?,-?\d+(\.\d+)?$"),VALUE(REGEXEXTRACT(SUBSTITUTE(TRIM(F886)," ",""),"^-?\d+(\.\d+)?"))&gt;=-90,VALUE(REGEXEXTRACT(SUBSTITUTE(TRIM(F886)," ",""),"^-?\d+(\.\d+)?"))&lt;=90,VALUE(REGEXEXTRACT(SUBSTITUTE(TRIM(F886)," ",""),"-?\d+(\.\d+)?$"))&gt;=-180,VALUE(REGEXEXTRACT(SUBSTITUTE(TRIM(F886)," ",""),"-?\d+(\.\d+)?$"))&lt;=180),"OK","REVISAR"),"REVISAR"),"")</f>
        <v/>
      </c>
      <c r="O886">
        <f>IF(A886&lt;&gt;"","https://direcciones507.github.io/direcciones507/panel.html?codigo="&amp;A886&amp;"&amp;nombre="&amp;ENCODEURL(B886)&amp;"&amp;telefono="&amp;SUBSTITUTE(C886,"-","")&amp;"&amp;referencia="&amp;ENCODEURL(E886)&amp;"&amp;lat="&amp;IZQUIERDA(SUBSTITUTE(F886," ",""),ENCONTRAR(",",SUBSTITUTE(F886," ",""))-1)&amp;"&amp;lng="&amp;DERECHA(SUBSTITUTE(F886," ",""),LARGO(SUBSTITUTE(F886," ",""))-ENCONTRAR(",",SUBSTITUTE(F886," ",""))),"")</f>
        <v/>
      </c>
    </row>
    <row r="887" ht="15.75" customHeight="1" s="10">
      <c r="A887" s="8">
        <f>CONCAT("AD507-",TEXT(ROW()-2,"0000"))</f>
        <v/>
      </c>
      <c r="C887" s="8" t="n"/>
      <c r="F887" s="8" t="n"/>
      <c r="G887" s="8">
        <f>IF(F887&lt;&gt;"",HYPERLINK("https://www.google.com/maps/search/?api=1&amp;query="&amp;SUBSTITUTE(F887," ",""),"🗺 Google Maps"),"")</f>
        <v/>
      </c>
      <c r="H887" s="8">
        <f>IF(F887&lt;&gt;"",HYPERLINK("https://waze.com/ul?ll="&amp;SUBSTITUTE(F887," ","")&amp;"&amp;navigate=yes","🚗 Waze"),"")</f>
        <v/>
      </c>
      <c r="I887" s="8">
        <f>IF(F887&lt;&gt;"",HYPERLINK("https://m.uber.com/ul/?action=setPickup&amp;pickup=my_location&amp;dropoff[latitude]="&amp;LEFT(SUBSTITUTE(F887," ",""),FIND(",",SUBSTITUTE(F887," ",""))-1)&amp;"&amp;dropoff[longitude]="&amp;MID(SUBSTITUTE(F887," ",""),FIND(",",SUBSTITUTE(F887," ",""))+1,99),"🚕 Uber"),"")</f>
        <v/>
      </c>
      <c r="J887" s="8">
        <f>IF(F887&lt;&gt;"","https://api.qrserver.com/v1/create-qr-code/?size=200x200&amp;data="&amp;ENCODEURL("https://www.google.com/maps/search/?api=1&amp;query="&amp;SUBSTITUTE(F887," ","")),"")</f>
        <v/>
      </c>
      <c r="K887" s="8">
        <f>IF(C887&lt;&gt;"",HYPERLINK("https://wa.me/507"&amp;REGEXREPLACE(C887,"[^0-9]","")&amp;"?text="&amp;ENCODEURL("Ya llegue. Codigo: "&amp;A887&amp;". Ubicacion: "&amp;"https://www.google.com/maps/search/?api=1&amp;query="&amp;SUBSTITUTE(F887," ","")),"📲 Avisar al cliente"),"")</f>
        <v/>
      </c>
      <c r="L887" s="8">
        <f>IF(C887&lt;&gt;"","https://api.qrserver.com/v1/create-qr-code/?size=200x200&amp;data="&amp;ENCODEURL("https://wa.me/507"&amp;REGEXREPLACE(C887,"[^0-9]","")&amp;"?text="&amp;ENCODEURL("Ya llegue. Codigo: "&amp;A887&amp;". Ubicacion: "&amp;"https://www.google.com/maps/search/?api=1&amp;query="&amp;SUBSTITUTE(F887," ",""))),"")</f>
        <v/>
      </c>
      <c r="M887" s="8">
        <f>IF(B887&lt;&gt;"",TODAY(),"")</f>
        <v/>
      </c>
      <c r="N887" s="8">
        <f>IF(F887&lt;&gt;"",IFERROR(IF(AND(REGEXMATCH(SUBSTITUTE(TRIM(F887)," ",""),"^-?\d+(\.\d+)?,-?\d+(\.\d+)?$"),VALUE(REGEXEXTRACT(SUBSTITUTE(TRIM(F887)," ",""),"^-?\d+(\.\d+)?"))&gt;=-90,VALUE(REGEXEXTRACT(SUBSTITUTE(TRIM(F887)," ",""),"^-?\d+(\.\d+)?"))&lt;=90,VALUE(REGEXEXTRACT(SUBSTITUTE(TRIM(F887)," ",""),"-?\d+(\.\d+)?$"))&gt;=-180,VALUE(REGEXEXTRACT(SUBSTITUTE(TRIM(F887)," ",""),"-?\d+(\.\d+)?$"))&lt;=180),"OK","REVISAR"),"REVISAR"),"")</f>
        <v/>
      </c>
      <c r="O887">
        <f>IF(A887&lt;&gt;"","https://direcciones507.github.io/direcciones507/panel.html?codigo="&amp;A887&amp;"&amp;nombre="&amp;ENCODEURL(B887)&amp;"&amp;telefono="&amp;SUBSTITUTE(C887,"-","")&amp;"&amp;referencia="&amp;ENCODEURL(E887)&amp;"&amp;lat="&amp;IZQUIERDA(SUBSTITUTE(F887," ",""),ENCONTRAR(",",SUBSTITUTE(F887," ",""))-1)&amp;"&amp;lng="&amp;DERECHA(SUBSTITUTE(F887," ",""),LARGO(SUBSTITUTE(F887," ",""))-ENCONTRAR(",",SUBSTITUTE(F887," ",""))),"")</f>
        <v/>
      </c>
    </row>
    <row r="888" ht="15.75" customHeight="1" s="10">
      <c r="A888" s="8">
        <f>CONCAT("AD507-",TEXT(ROW()-2,"0000"))</f>
        <v/>
      </c>
      <c r="C888" s="8" t="n"/>
      <c r="F888" s="8" t="n"/>
      <c r="G888" s="8">
        <f>IF(F888&lt;&gt;"",HYPERLINK("https://www.google.com/maps/search/?api=1&amp;query="&amp;SUBSTITUTE(F888," ",""),"🗺 Google Maps"),"")</f>
        <v/>
      </c>
      <c r="H888" s="8">
        <f>IF(F888&lt;&gt;"",HYPERLINK("https://waze.com/ul?ll="&amp;SUBSTITUTE(F888," ","")&amp;"&amp;navigate=yes","🚗 Waze"),"")</f>
        <v/>
      </c>
      <c r="I888" s="8">
        <f>IF(F888&lt;&gt;"",HYPERLINK("https://m.uber.com/ul/?action=setPickup&amp;pickup=my_location&amp;dropoff[latitude]="&amp;LEFT(SUBSTITUTE(F888," ",""),FIND(",",SUBSTITUTE(F888," ",""))-1)&amp;"&amp;dropoff[longitude]="&amp;MID(SUBSTITUTE(F888," ",""),FIND(",",SUBSTITUTE(F888," ",""))+1,99),"🚕 Uber"),"")</f>
        <v/>
      </c>
      <c r="J888" s="8">
        <f>IF(F888&lt;&gt;"","https://api.qrserver.com/v1/create-qr-code/?size=200x200&amp;data="&amp;ENCODEURL("https://www.google.com/maps/search/?api=1&amp;query="&amp;SUBSTITUTE(F888," ","")),"")</f>
        <v/>
      </c>
      <c r="K888" s="8">
        <f>IF(C888&lt;&gt;"",HYPERLINK("https://wa.me/507"&amp;REGEXREPLACE(C888,"[^0-9]","")&amp;"?text="&amp;ENCODEURL("Ya llegue. Codigo: "&amp;A888&amp;". Ubicacion: "&amp;"https://www.google.com/maps/search/?api=1&amp;query="&amp;SUBSTITUTE(F888," ","")),"📲 Avisar al cliente"),"")</f>
        <v/>
      </c>
      <c r="L888" s="8">
        <f>IF(C888&lt;&gt;"","https://api.qrserver.com/v1/create-qr-code/?size=200x200&amp;data="&amp;ENCODEURL("https://wa.me/507"&amp;REGEXREPLACE(C888,"[^0-9]","")&amp;"?text="&amp;ENCODEURL("Ya llegue. Codigo: "&amp;A888&amp;". Ubicacion: "&amp;"https://www.google.com/maps/search/?api=1&amp;query="&amp;SUBSTITUTE(F888," ",""))),"")</f>
        <v/>
      </c>
      <c r="M888" s="8">
        <f>IF(B888&lt;&gt;"",TODAY(),"")</f>
        <v/>
      </c>
      <c r="N888" s="8">
        <f>IF(F888&lt;&gt;"",IFERROR(IF(AND(REGEXMATCH(SUBSTITUTE(TRIM(F888)," ",""),"^-?\d+(\.\d+)?,-?\d+(\.\d+)?$"),VALUE(REGEXEXTRACT(SUBSTITUTE(TRIM(F888)," ",""),"^-?\d+(\.\d+)?"))&gt;=-90,VALUE(REGEXEXTRACT(SUBSTITUTE(TRIM(F888)," ",""),"^-?\d+(\.\d+)?"))&lt;=90,VALUE(REGEXEXTRACT(SUBSTITUTE(TRIM(F888)," ",""),"-?\d+(\.\d+)?$"))&gt;=-180,VALUE(REGEXEXTRACT(SUBSTITUTE(TRIM(F888)," ",""),"-?\d+(\.\d+)?$"))&lt;=180),"OK","REVISAR"),"REVISAR"),"")</f>
        <v/>
      </c>
      <c r="O888">
        <f>IF(A888&lt;&gt;"","https://direcciones507.github.io/direcciones507/panel.html?codigo="&amp;A888&amp;"&amp;nombre="&amp;ENCODEURL(B888)&amp;"&amp;telefono="&amp;SUBSTITUTE(C888,"-","")&amp;"&amp;referencia="&amp;ENCODEURL(E888)&amp;"&amp;lat="&amp;IZQUIERDA(SUBSTITUTE(F888," ",""),ENCONTRAR(",",SUBSTITUTE(F888," ",""))-1)&amp;"&amp;lng="&amp;DERECHA(SUBSTITUTE(F888," ",""),LARGO(SUBSTITUTE(F888," ",""))-ENCONTRAR(",",SUBSTITUTE(F888," ",""))),"")</f>
        <v/>
      </c>
    </row>
    <row r="889" ht="15.75" customHeight="1" s="10">
      <c r="A889" s="8">
        <f>CONCAT("AD507-",TEXT(ROW()-2,"0000"))</f>
        <v/>
      </c>
      <c r="C889" s="8" t="n"/>
      <c r="F889" s="8" t="n"/>
      <c r="G889" s="8">
        <f>IF(F889&lt;&gt;"",HYPERLINK("https://www.google.com/maps/search/?api=1&amp;query="&amp;SUBSTITUTE(F889," ",""),"🗺 Google Maps"),"")</f>
        <v/>
      </c>
      <c r="H889" s="8">
        <f>IF(F889&lt;&gt;"",HYPERLINK("https://waze.com/ul?ll="&amp;SUBSTITUTE(F889," ","")&amp;"&amp;navigate=yes","🚗 Waze"),"")</f>
        <v/>
      </c>
      <c r="I889" s="8">
        <f>IF(F889&lt;&gt;"",HYPERLINK("https://m.uber.com/ul/?action=setPickup&amp;pickup=my_location&amp;dropoff[latitude]="&amp;LEFT(SUBSTITUTE(F889," ",""),FIND(",",SUBSTITUTE(F889," ",""))-1)&amp;"&amp;dropoff[longitude]="&amp;MID(SUBSTITUTE(F889," ",""),FIND(",",SUBSTITUTE(F889," ",""))+1,99),"🚕 Uber"),"")</f>
        <v/>
      </c>
      <c r="J889" s="8">
        <f>IF(F889&lt;&gt;"","https://api.qrserver.com/v1/create-qr-code/?size=200x200&amp;data="&amp;ENCODEURL("https://www.google.com/maps/search/?api=1&amp;query="&amp;SUBSTITUTE(F889," ","")),"")</f>
        <v/>
      </c>
      <c r="K889" s="8">
        <f>IF(C889&lt;&gt;"",HYPERLINK("https://wa.me/507"&amp;REGEXREPLACE(C889,"[^0-9]","")&amp;"?text="&amp;ENCODEURL("Ya llegue. Codigo: "&amp;A889&amp;". Ubicacion: "&amp;"https://www.google.com/maps/search/?api=1&amp;query="&amp;SUBSTITUTE(F889," ","")),"📲 Avisar al cliente"),"")</f>
        <v/>
      </c>
      <c r="L889" s="8">
        <f>IF(C889&lt;&gt;"","https://api.qrserver.com/v1/create-qr-code/?size=200x200&amp;data="&amp;ENCODEURL("https://wa.me/507"&amp;REGEXREPLACE(C889,"[^0-9]","")&amp;"?text="&amp;ENCODEURL("Ya llegue. Codigo: "&amp;A889&amp;". Ubicacion: "&amp;"https://www.google.com/maps/search/?api=1&amp;query="&amp;SUBSTITUTE(F889," ",""))),"")</f>
        <v/>
      </c>
      <c r="M889" s="8">
        <f>IF(B889&lt;&gt;"",TODAY(),"")</f>
        <v/>
      </c>
      <c r="N889" s="8">
        <f>IF(F889&lt;&gt;"",IFERROR(IF(AND(REGEXMATCH(SUBSTITUTE(TRIM(F889)," ",""),"^-?\d+(\.\d+)?,-?\d+(\.\d+)?$"),VALUE(REGEXEXTRACT(SUBSTITUTE(TRIM(F889)," ",""),"^-?\d+(\.\d+)?"))&gt;=-90,VALUE(REGEXEXTRACT(SUBSTITUTE(TRIM(F889)," ",""),"^-?\d+(\.\d+)?"))&lt;=90,VALUE(REGEXEXTRACT(SUBSTITUTE(TRIM(F889)," ",""),"-?\d+(\.\d+)?$"))&gt;=-180,VALUE(REGEXEXTRACT(SUBSTITUTE(TRIM(F889)," ",""),"-?\d+(\.\d+)?$"))&lt;=180),"OK","REVISAR"),"REVISAR"),"")</f>
        <v/>
      </c>
      <c r="O889">
        <f>IF(A889&lt;&gt;"","https://direcciones507.github.io/direcciones507/panel.html?codigo="&amp;A889&amp;"&amp;nombre="&amp;ENCODEURL(B889)&amp;"&amp;telefono="&amp;SUBSTITUTE(C889,"-","")&amp;"&amp;referencia="&amp;ENCODEURL(E889)&amp;"&amp;lat="&amp;IZQUIERDA(SUBSTITUTE(F889," ",""),ENCONTRAR(",",SUBSTITUTE(F889," ",""))-1)&amp;"&amp;lng="&amp;DERECHA(SUBSTITUTE(F889," ",""),LARGO(SUBSTITUTE(F889," ",""))-ENCONTRAR(",",SUBSTITUTE(F889," ",""))),"")</f>
        <v/>
      </c>
    </row>
    <row r="890" ht="15.75" customHeight="1" s="10">
      <c r="A890" s="8">
        <f>CONCAT("AD507-",TEXT(ROW()-2,"0000"))</f>
        <v/>
      </c>
      <c r="C890" s="8" t="n"/>
      <c r="F890" s="8" t="n"/>
      <c r="G890" s="8">
        <f>IF(F890&lt;&gt;"",HYPERLINK("https://www.google.com/maps/search/?api=1&amp;query="&amp;SUBSTITUTE(F890," ",""),"🗺 Google Maps"),"")</f>
        <v/>
      </c>
      <c r="H890" s="8">
        <f>IF(F890&lt;&gt;"",HYPERLINK("https://waze.com/ul?ll="&amp;SUBSTITUTE(F890," ","")&amp;"&amp;navigate=yes","🚗 Waze"),"")</f>
        <v/>
      </c>
      <c r="I890" s="8">
        <f>IF(F890&lt;&gt;"",HYPERLINK("https://m.uber.com/ul/?action=setPickup&amp;pickup=my_location&amp;dropoff[latitude]="&amp;LEFT(SUBSTITUTE(F890," ",""),FIND(",",SUBSTITUTE(F890," ",""))-1)&amp;"&amp;dropoff[longitude]="&amp;MID(SUBSTITUTE(F890," ",""),FIND(",",SUBSTITUTE(F890," ",""))+1,99),"🚕 Uber"),"")</f>
        <v/>
      </c>
      <c r="J890" s="8">
        <f>IF(F890&lt;&gt;"","https://api.qrserver.com/v1/create-qr-code/?size=200x200&amp;data="&amp;ENCODEURL("https://www.google.com/maps/search/?api=1&amp;query="&amp;SUBSTITUTE(F890," ","")),"")</f>
        <v/>
      </c>
      <c r="K890" s="8">
        <f>IF(C890&lt;&gt;"",HYPERLINK("https://wa.me/507"&amp;REGEXREPLACE(C890,"[^0-9]","")&amp;"?text="&amp;ENCODEURL("Ya llegue. Codigo: "&amp;A890&amp;". Ubicacion: "&amp;"https://www.google.com/maps/search/?api=1&amp;query="&amp;SUBSTITUTE(F890," ","")),"📲 Avisar al cliente"),"")</f>
        <v/>
      </c>
      <c r="L890" s="8">
        <f>IF(C890&lt;&gt;"","https://api.qrserver.com/v1/create-qr-code/?size=200x200&amp;data="&amp;ENCODEURL("https://wa.me/507"&amp;REGEXREPLACE(C890,"[^0-9]","")&amp;"?text="&amp;ENCODEURL("Ya llegue. Codigo: "&amp;A890&amp;". Ubicacion: "&amp;"https://www.google.com/maps/search/?api=1&amp;query="&amp;SUBSTITUTE(F890," ",""))),"")</f>
        <v/>
      </c>
      <c r="M890" s="8">
        <f>IF(B890&lt;&gt;"",TODAY(),"")</f>
        <v/>
      </c>
      <c r="N890" s="8">
        <f>IF(F890&lt;&gt;"",IFERROR(IF(AND(REGEXMATCH(SUBSTITUTE(TRIM(F890)," ",""),"^-?\d+(\.\d+)?,-?\d+(\.\d+)?$"),VALUE(REGEXEXTRACT(SUBSTITUTE(TRIM(F890)," ",""),"^-?\d+(\.\d+)?"))&gt;=-90,VALUE(REGEXEXTRACT(SUBSTITUTE(TRIM(F890)," ",""),"^-?\d+(\.\d+)?"))&lt;=90,VALUE(REGEXEXTRACT(SUBSTITUTE(TRIM(F890)," ",""),"-?\d+(\.\d+)?$"))&gt;=-180,VALUE(REGEXEXTRACT(SUBSTITUTE(TRIM(F890)," ",""),"-?\d+(\.\d+)?$"))&lt;=180),"OK","REVISAR"),"REVISAR"),"")</f>
        <v/>
      </c>
      <c r="O890">
        <f>IF(A890&lt;&gt;"","https://direcciones507.github.io/direcciones507/panel.html?codigo="&amp;A890&amp;"&amp;nombre="&amp;ENCODEURL(B890)&amp;"&amp;telefono="&amp;SUBSTITUTE(C890,"-","")&amp;"&amp;referencia="&amp;ENCODEURL(E890)&amp;"&amp;lat="&amp;IZQUIERDA(SUBSTITUTE(F890," ",""),ENCONTRAR(",",SUBSTITUTE(F890," ",""))-1)&amp;"&amp;lng="&amp;DERECHA(SUBSTITUTE(F890," ",""),LARGO(SUBSTITUTE(F890," ",""))-ENCONTRAR(",",SUBSTITUTE(F890," ",""))),"")</f>
        <v/>
      </c>
    </row>
    <row r="891" ht="15.75" customHeight="1" s="10">
      <c r="A891" s="8">
        <f>CONCAT("AD507-",TEXT(ROW()-2,"0000"))</f>
        <v/>
      </c>
      <c r="C891" s="8" t="n"/>
      <c r="F891" s="8" t="n"/>
      <c r="G891" s="8">
        <f>IF(F891&lt;&gt;"",HYPERLINK("https://www.google.com/maps/search/?api=1&amp;query="&amp;SUBSTITUTE(F891," ",""),"🗺 Google Maps"),"")</f>
        <v/>
      </c>
      <c r="H891" s="8">
        <f>IF(F891&lt;&gt;"",HYPERLINK("https://waze.com/ul?ll="&amp;SUBSTITUTE(F891," ","")&amp;"&amp;navigate=yes","🚗 Waze"),"")</f>
        <v/>
      </c>
      <c r="I891" s="8">
        <f>IF(F891&lt;&gt;"",HYPERLINK("https://m.uber.com/ul/?action=setPickup&amp;pickup=my_location&amp;dropoff[latitude]="&amp;LEFT(SUBSTITUTE(F891," ",""),FIND(",",SUBSTITUTE(F891," ",""))-1)&amp;"&amp;dropoff[longitude]="&amp;MID(SUBSTITUTE(F891," ",""),FIND(",",SUBSTITUTE(F891," ",""))+1,99),"🚕 Uber"),"")</f>
        <v/>
      </c>
      <c r="J891" s="8">
        <f>IF(F891&lt;&gt;"","https://api.qrserver.com/v1/create-qr-code/?size=200x200&amp;data="&amp;ENCODEURL("https://www.google.com/maps/search/?api=1&amp;query="&amp;SUBSTITUTE(F891," ","")),"")</f>
        <v/>
      </c>
      <c r="K891" s="8">
        <f>IF(C891&lt;&gt;"",HYPERLINK("https://wa.me/507"&amp;REGEXREPLACE(C891,"[^0-9]","")&amp;"?text="&amp;ENCODEURL("Ya llegue. Codigo: "&amp;A891&amp;". Ubicacion: "&amp;"https://www.google.com/maps/search/?api=1&amp;query="&amp;SUBSTITUTE(F891," ","")),"📲 Avisar al cliente"),"")</f>
        <v/>
      </c>
      <c r="L891" s="8">
        <f>IF(C891&lt;&gt;"","https://api.qrserver.com/v1/create-qr-code/?size=200x200&amp;data="&amp;ENCODEURL("https://wa.me/507"&amp;REGEXREPLACE(C891,"[^0-9]","")&amp;"?text="&amp;ENCODEURL("Ya llegue. Codigo: "&amp;A891&amp;". Ubicacion: "&amp;"https://www.google.com/maps/search/?api=1&amp;query="&amp;SUBSTITUTE(F891," ",""))),"")</f>
        <v/>
      </c>
      <c r="M891" s="8">
        <f>IF(B891&lt;&gt;"",TODAY(),"")</f>
        <v/>
      </c>
      <c r="N891" s="8">
        <f>IF(F891&lt;&gt;"",IFERROR(IF(AND(REGEXMATCH(SUBSTITUTE(TRIM(F891)," ",""),"^-?\d+(\.\d+)?,-?\d+(\.\d+)?$"),VALUE(REGEXEXTRACT(SUBSTITUTE(TRIM(F891)," ",""),"^-?\d+(\.\d+)?"))&gt;=-90,VALUE(REGEXEXTRACT(SUBSTITUTE(TRIM(F891)," ",""),"^-?\d+(\.\d+)?"))&lt;=90,VALUE(REGEXEXTRACT(SUBSTITUTE(TRIM(F891)," ",""),"-?\d+(\.\d+)?$"))&gt;=-180,VALUE(REGEXEXTRACT(SUBSTITUTE(TRIM(F891)," ",""),"-?\d+(\.\d+)?$"))&lt;=180),"OK","REVISAR"),"REVISAR"),"")</f>
        <v/>
      </c>
      <c r="O891">
        <f>IF(A891&lt;&gt;"","https://direcciones507.github.io/direcciones507/panel.html?codigo="&amp;A891&amp;"&amp;nombre="&amp;ENCODEURL(B891)&amp;"&amp;telefono="&amp;SUBSTITUTE(C891,"-","")&amp;"&amp;referencia="&amp;ENCODEURL(E891)&amp;"&amp;lat="&amp;IZQUIERDA(SUBSTITUTE(F891," ",""),ENCONTRAR(",",SUBSTITUTE(F891," ",""))-1)&amp;"&amp;lng="&amp;DERECHA(SUBSTITUTE(F891," ",""),LARGO(SUBSTITUTE(F891," ",""))-ENCONTRAR(",",SUBSTITUTE(F891," ",""))),"")</f>
        <v/>
      </c>
    </row>
    <row r="892" ht="15.75" customHeight="1" s="10">
      <c r="A892" s="8">
        <f>CONCAT("AD507-",TEXT(ROW()-2,"0000"))</f>
        <v/>
      </c>
      <c r="C892" s="8" t="n"/>
      <c r="F892" s="8" t="n"/>
      <c r="G892" s="8">
        <f>IF(F892&lt;&gt;"",HYPERLINK("https://www.google.com/maps/search/?api=1&amp;query="&amp;SUBSTITUTE(F892," ",""),"🗺 Google Maps"),"")</f>
        <v/>
      </c>
      <c r="H892" s="8">
        <f>IF(F892&lt;&gt;"",HYPERLINK("https://waze.com/ul?ll="&amp;SUBSTITUTE(F892," ","")&amp;"&amp;navigate=yes","🚗 Waze"),"")</f>
        <v/>
      </c>
      <c r="I892" s="8">
        <f>IF(F892&lt;&gt;"",HYPERLINK("https://m.uber.com/ul/?action=setPickup&amp;pickup=my_location&amp;dropoff[latitude]="&amp;LEFT(SUBSTITUTE(F892," ",""),FIND(",",SUBSTITUTE(F892," ",""))-1)&amp;"&amp;dropoff[longitude]="&amp;MID(SUBSTITUTE(F892," ",""),FIND(",",SUBSTITUTE(F892," ",""))+1,99),"🚕 Uber"),"")</f>
        <v/>
      </c>
      <c r="J892" s="8">
        <f>IF(F892&lt;&gt;"","https://api.qrserver.com/v1/create-qr-code/?size=200x200&amp;data="&amp;ENCODEURL("https://www.google.com/maps/search/?api=1&amp;query="&amp;SUBSTITUTE(F892," ","")),"")</f>
        <v/>
      </c>
      <c r="K892" s="8">
        <f>IF(C892&lt;&gt;"",HYPERLINK("https://wa.me/507"&amp;REGEXREPLACE(C892,"[^0-9]","")&amp;"?text="&amp;ENCODEURL("Ya llegue. Codigo: "&amp;A892&amp;". Ubicacion: "&amp;"https://www.google.com/maps/search/?api=1&amp;query="&amp;SUBSTITUTE(F892," ","")),"📲 Avisar al cliente"),"")</f>
        <v/>
      </c>
      <c r="L892" s="8">
        <f>IF(C892&lt;&gt;"","https://api.qrserver.com/v1/create-qr-code/?size=200x200&amp;data="&amp;ENCODEURL("https://wa.me/507"&amp;REGEXREPLACE(C892,"[^0-9]","")&amp;"?text="&amp;ENCODEURL("Ya llegue. Codigo: "&amp;A892&amp;". Ubicacion: "&amp;"https://www.google.com/maps/search/?api=1&amp;query="&amp;SUBSTITUTE(F892," ",""))),"")</f>
        <v/>
      </c>
      <c r="M892" s="8">
        <f>IF(B892&lt;&gt;"",TODAY(),"")</f>
        <v/>
      </c>
      <c r="N892" s="8">
        <f>IF(F892&lt;&gt;"",IFERROR(IF(AND(REGEXMATCH(SUBSTITUTE(TRIM(F892)," ",""),"^-?\d+(\.\d+)?,-?\d+(\.\d+)?$"),VALUE(REGEXEXTRACT(SUBSTITUTE(TRIM(F892)," ",""),"^-?\d+(\.\d+)?"))&gt;=-90,VALUE(REGEXEXTRACT(SUBSTITUTE(TRIM(F892)," ",""),"^-?\d+(\.\d+)?"))&lt;=90,VALUE(REGEXEXTRACT(SUBSTITUTE(TRIM(F892)," ",""),"-?\d+(\.\d+)?$"))&gt;=-180,VALUE(REGEXEXTRACT(SUBSTITUTE(TRIM(F892)," ",""),"-?\d+(\.\d+)?$"))&lt;=180),"OK","REVISAR"),"REVISAR"),"")</f>
        <v/>
      </c>
      <c r="O892">
        <f>IF(A892&lt;&gt;"","https://direcciones507.github.io/direcciones507/panel.html?codigo="&amp;A892&amp;"&amp;nombre="&amp;ENCODEURL(B892)&amp;"&amp;telefono="&amp;SUBSTITUTE(C892,"-","")&amp;"&amp;referencia="&amp;ENCODEURL(E892)&amp;"&amp;lat="&amp;IZQUIERDA(SUBSTITUTE(F892," ",""),ENCONTRAR(",",SUBSTITUTE(F892," ",""))-1)&amp;"&amp;lng="&amp;DERECHA(SUBSTITUTE(F892," ",""),LARGO(SUBSTITUTE(F892," ",""))-ENCONTRAR(",",SUBSTITUTE(F892," ",""))),"")</f>
        <v/>
      </c>
    </row>
    <row r="893" ht="15.75" customHeight="1" s="10">
      <c r="A893" s="8">
        <f>CONCAT("AD507-",TEXT(ROW()-2,"0000"))</f>
        <v/>
      </c>
      <c r="C893" s="8" t="n"/>
      <c r="F893" s="8" t="n"/>
      <c r="G893" s="8">
        <f>IF(F893&lt;&gt;"",HYPERLINK("https://www.google.com/maps/search/?api=1&amp;query="&amp;SUBSTITUTE(F893," ",""),"🗺 Google Maps"),"")</f>
        <v/>
      </c>
      <c r="H893" s="8">
        <f>IF(F893&lt;&gt;"",HYPERLINK("https://waze.com/ul?ll="&amp;SUBSTITUTE(F893," ","")&amp;"&amp;navigate=yes","🚗 Waze"),"")</f>
        <v/>
      </c>
      <c r="I893" s="8">
        <f>IF(F893&lt;&gt;"",HYPERLINK("https://m.uber.com/ul/?action=setPickup&amp;pickup=my_location&amp;dropoff[latitude]="&amp;LEFT(SUBSTITUTE(F893," ",""),FIND(",",SUBSTITUTE(F893," ",""))-1)&amp;"&amp;dropoff[longitude]="&amp;MID(SUBSTITUTE(F893," ",""),FIND(",",SUBSTITUTE(F893," ",""))+1,99),"🚕 Uber"),"")</f>
        <v/>
      </c>
      <c r="J893" s="8">
        <f>IF(F893&lt;&gt;"","https://api.qrserver.com/v1/create-qr-code/?size=200x200&amp;data="&amp;ENCODEURL("https://www.google.com/maps/search/?api=1&amp;query="&amp;SUBSTITUTE(F893," ","")),"")</f>
        <v/>
      </c>
      <c r="K893" s="8">
        <f>IF(C893&lt;&gt;"",HYPERLINK("https://wa.me/507"&amp;REGEXREPLACE(C893,"[^0-9]","")&amp;"?text="&amp;ENCODEURL("Ya llegue. Codigo: "&amp;A893&amp;". Ubicacion: "&amp;"https://www.google.com/maps/search/?api=1&amp;query="&amp;SUBSTITUTE(F893," ","")),"📲 Avisar al cliente"),"")</f>
        <v/>
      </c>
      <c r="L893" s="8">
        <f>IF(C893&lt;&gt;"","https://api.qrserver.com/v1/create-qr-code/?size=200x200&amp;data="&amp;ENCODEURL("https://wa.me/507"&amp;REGEXREPLACE(C893,"[^0-9]","")&amp;"?text="&amp;ENCODEURL("Ya llegue. Codigo: "&amp;A893&amp;". Ubicacion: "&amp;"https://www.google.com/maps/search/?api=1&amp;query="&amp;SUBSTITUTE(F893," ",""))),"")</f>
        <v/>
      </c>
      <c r="M893" s="8">
        <f>IF(B893&lt;&gt;"",TODAY(),"")</f>
        <v/>
      </c>
      <c r="N893" s="8">
        <f>IF(F893&lt;&gt;"",IFERROR(IF(AND(REGEXMATCH(SUBSTITUTE(TRIM(F893)," ",""),"^-?\d+(\.\d+)?,-?\d+(\.\d+)?$"),VALUE(REGEXEXTRACT(SUBSTITUTE(TRIM(F893)," ",""),"^-?\d+(\.\d+)?"))&gt;=-90,VALUE(REGEXEXTRACT(SUBSTITUTE(TRIM(F893)," ",""),"^-?\d+(\.\d+)?"))&lt;=90,VALUE(REGEXEXTRACT(SUBSTITUTE(TRIM(F893)," ",""),"-?\d+(\.\d+)?$"))&gt;=-180,VALUE(REGEXEXTRACT(SUBSTITUTE(TRIM(F893)," ",""),"-?\d+(\.\d+)?$"))&lt;=180),"OK","REVISAR"),"REVISAR"),"")</f>
        <v/>
      </c>
      <c r="O893">
        <f>IF(A893&lt;&gt;"","https://direcciones507.github.io/direcciones507/panel.html?codigo="&amp;A893&amp;"&amp;nombre="&amp;ENCODEURL(B893)&amp;"&amp;telefono="&amp;SUBSTITUTE(C893,"-","")&amp;"&amp;referencia="&amp;ENCODEURL(E893)&amp;"&amp;lat="&amp;IZQUIERDA(SUBSTITUTE(F893," ",""),ENCONTRAR(",",SUBSTITUTE(F893," ",""))-1)&amp;"&amp;lng="&amp;DERECHA(SUBSTITUTE(F893," ",""),LARGO(SUBSTITUTE(F893," ",""))-ENCONTRAR(",",SUBSTITUTE(F893," ",""))),"")</f>
        <v/>
      </c>
    </row>
    <row r="894" ht="15.75" customHeight="1" s="10">
      <c r="A894" s="8">
        <f>CONCAT("AD507-",TEXT(ROW()-2,"0000"))</f>
        <v/>
      </c>
      <c r="C894" s="8" t="n"/>
      <c r="F894" s="8" t="n"/>
      <c r="G894" s="8">
        <f>IF(F894&lt;&gt;"",HYPERLINK("https://www.google.com/maps/search/?api=1&amp;query="&amp;SUBSTITUTE(F894," ",""),"🗺 Google Maps"),"")</f>
        <v/>
      </c>
      <c r="H894" s="8">
        <f>IF(F894&lt;&gt;"",HYPERLINK("https://waze.com/ul?ll="&amp;SUBSTITUTE(F894," ","")&amp;"&amp;navigate=yes","🚗 Waze"),"")</f>
        <v/>
      </c>
      <c r="I894" s="8">
        <f>IF(F894&lt;&gt;"",HYPERLINK("https://m.uber.com/ul/?action=setPickup&amp;pickup=my_location&amp;dropoff[latitude]="&amp;LEFT(SUBSTITUTE(F894," ",""),FIND(",",SUBSTITUTE(F894," ",""))-1)&amp;"&amp;dropoff[longitude]="&amp;MID(SUBSTITUTE(F894," ",""),FIND(",",SUBSTITUTE(F894," ",""))+1,99),"🚕 Uber"),"")</f>
        <v/>
      </c>
      <c r="J894" s="8">
        <f>IF(F894&lt;&gt;"","https://api.qrserver.com/v1/create-qr-code/?size=200x200&amp;data="&amp;ENCODEURL("https://www.google.com/maps/search/?api=1&amp;query="&amp;SUBSTITUTE(F894," ","")),"")</f>
        <v/>
      </c>
      <c r="K894" s="8">
        <f>IF(C894&lt;&gt;"",HYPERLINK("https://wa.me/507"&amp;REGEXREPLACE(C894,"[^0-9]","")&amp;"?text="&amp;ENCODEURL("Ya llegue. Codigo: "&amp;A894&amp;". Ubicacion: "&amp;"https://www.google.com/maps/search/?api=1&amp;query="&amp;SUBSTITUTE(F894," ","")),"📲 Avisar al cliente"),"")</f>
        <v/>
      </c>
      <c r="L894" s="8">
        <f>IF(C894&lt;&gt;"","https://api.qrserver.com/v1/create-qr-code/?size=200x200&amp;data="&amp;ENCODEURL("https://wa.me/507"&amp;REGEXREPLACE(C894,"[^0-9]","")&amp;"?text="&amp;ENCODEURL("Ya llegue. Codigo: "&amp;A894&amp;". Ubicacion: "&amp;"https://www.google.com/maps/search/?api=1&amp;query="&amp;SUBSTITUTE(F894," ",""))),"")</f>
        <v/>
      </c>
      <c r="M894" s="8">
        <f>IF(B894&lt;&gt;"",TODAY(),"")</f>
        <v/>
      </c>
      <c r="N894" s="8">
        <f>IF(F894&lt;&gt;"",IFERROR(IF(AND(REGEXMATCH(SUBSTITUTE(TRIM(F894)," ",""),"^-?\d+(\.\d+)?,-?\d+(\.\d+)?$"),VALUE(REGEXEXTRACT(SUBSTITUTE(TRIM(F894)," ",""),"^-?\d+(\.\d+)?"))&gt;=-90,VALUE(REGEXEXTRACT(SUBSTITUTE(TRIM(F894)," ",""),"^-?\d+(\.\d+)?"))&lt;=90,VALUE(REGEXEXTRACT(SUBSTITUTE(TRIM(F894)," ",""),"-?\d+(\.\d+)?$"))&gt;=-180,VALUE(REGEXEXTRACT(SUBSTITUTE(TRIM(F894)," ",""),"-?\d+(\.\d+)?$"))&lt;=180),"OK","REVISAR"),"REVISAR"),"")</f>
        <v/>
      </c>
      <c r="O894">
        <f>IF(A894&lt;&gt;"","https://direcciones507.github.io/direcciones507/panel.html?codigo="&amp;A894&amp;"&amp;nombre="&amp;ENCODEURL(B894)&amp;"&amp;telefono="&amp;SUBSTITUTE(C894,"-","")&amp;"&amp;referencia="&amp;ENCODEURL(E894)&amp;"&amp;lat="&amp;IZQUIERDA(SUBSTITUTE(F894," ",""),ENCONTRAR(",",SUBSTITUTE(F894," ",""))-1)&amp;"&amp;lng="&amp;DERECHA(SUBSTITUTE(F894," ",""),LARGO(SUBSTITUTE(F894," ",""))-ENCONTRAR(",",SUBSTITUTE(F894," ",""))),"")</f>
        <v/>
      </c>
    </row>
    <row r="895" ht="15.75" customHeight="1" s="10">
      <c r="A895" s="8">
        <f>CONCAT("AD507-",TEXT(ROW()-2,"0000"))</f>
        <v/>
      </c>
      <c r="C895" s="8" t="n"/>
      <c r="F895" s="8" t="n"/>
      <c r="G895" s="8">
        <f>IF(F895&lt;&gt;"",HYPERLINK("https://www.google.com/maps/search/?api=1&amp;query="&amp;SUBSTITUTE(F895," ",""),"🗺 Google Maps"),"")</f>
        <v/>
      </c>
      <c r="H895" s="8">
        <f>IF(F895&lt;&gt;"",HYPERLINK("https://waze.com/ul?ll="&amp;SUBSTITUTE(F895," ","")&amp;"&amp;navigate=yes","🚗 Waze"),"")</f>
        <v/>
      </c>
      <c r="I895" s="8">
        <f>IF(F895&lt;&gt;"",HYPERLINK("https://m.uber.com/ul/?action=setPickup&amp;pickup=my_location&amp;dropoff[latitude]="&amp;LEFT(SUBSTITUTE(F895," ",""),FIND(",",SUBSTITUTE(F895," ",""))-1)&amp;"&amp;dropoff[longitude]="&amp;MID(SUBSTITUTE(F895," ",""),FIND(",",SUBSTITUTE(F895," ",""))+1,99),"🚕 Uber"),"")</f>
        <v/>
      </c>
      <c r="J895" s="8">
        <f>IF(F895&lt;&gt;"","https://api.qrserver.com/v1/create-qr-code/?size=200x200&amp;data="&amp;ENCODEURL("https://www.google.com/maps/search/?api=1&amp;query="&amp;SUBSTITUTE(F895," ","")),"")</f>
        <v/>
      </c>
      <c r="K895" s="8">
        <f>IF(C895&lt;&gt;"",HYPERLINK("https://wa.me/507"&amp;REGEXREPLACE(C895,"[^0-9]","")&amp;"?text="&amp;ENCODEURL("Ya llegue. Codigo: "&amp;A895&amp;". Ubicacion: "&amp;"https://www.google.com/maps/search/?api=1&amp;query="&amp;SUBSTITUTE(F895," ","")),"📲 Avisar al cliente"),"")</f>
        <v/>
      </c>
      <c r="L895" s="8">
        <f>IF(C895&lt;&gt;"","https://api.qrserver.com/v1/create-qr-code/?size=200x200&amp;data="&amp;ENCODEURL("https://wa.me/507"&amp;REGEXREPLACE(C895,"[^0-9]","")&amp;"?text="&amp;ENCODEURL("Ya llegue. Codigo: "&amp;A895&amp;". Ubicacion: "&amp;"https://www.google.com/maps/search/?api=1&amp;query="&amp;SUBSTITUTE(F895," ",""))),"")</f>
        <v/>
      </c>
      <c r="M895" s="8">
        <f>IF(B895&lt;&gt;"",TODAY(),"")</f>
        <v/>
      </c>
      <c r="N895" s="8">
        <f>IF(F895&lt;&gt;"",IFERROR(IF(AND(REGEXMATCH(SUBSTITUTE(TRIM(F895)," ",""),"^-?\d+(\.\d+)?,-?\d+(\.\d+)?$"),VALUE(REGEXEXTRACT(SUBSTITUTE(TRIM(F895)," ",""),"^-?\d+(\.\d+)?"))&gt;=-90,VALUE(REGEXEXTRACT(SUBSTITUTE(TRIM(F895)," ",""),"^-?\d+(\.\d+)?"))&lt;=90,VALUE(REGEXEXTRACT(SUBSTITUTE(TRIM(F895)," ",""),"-?\d+(\.\d+)?$"))&gt;=-180,VALUE(REGEXEXTRACT(SUBSTITUTE(TRIM(F895)," ",""),"-?\d+(\.\d+)?$"))&lt;=180),"OK","REVISAR"),"REVISAR"),"")</f>
        <v/>
      </c>
      <c r="O895">
        <f>IF(A895&lt;&gt;"","https://direcciones507.github.io/direcciones507/panel.html?codigo="&amp;A895&amp;"&amp;nombre="&amp;ENCODEURL(B895)&amp;"&amp;telefono="&amp;SUBSTITUTE(C895,"-","")&amp;"&amp;referencia="&amp;ENCODEURL(E895)&amp;"&amp;lat="&amp;IZQUIERDA(SUBSTITUTE(F895," ",""),ENCONTRAR(",",SUBSTITUTE(F895," ",""))-1)&amp;"&amp;lng="&amp;DERECHA(SUBSTITUTE(F895," ",""),LARGO(SUBSTITUTE(F895," ",""))-ENCONTRAR(",",SUBSTITUTE(F895," ",""))),"")</f>
        <v/>
      </c>
    </row>
    <row r="896" ht="15.75" customHeight="1" s="10">
      <c r="A896" s="8">
        <f>CONCAT("AD507-",TEXT(ROW()-2,"0000"))</f>
        <v/>
      </c>
      <c r="C896" s="8" t="n"/>
      <c r="F896" s="8" t="n"/>
      <c r="G896" s="8">
        <f>IF(F896&lt;&gt;"",HYPERLINK("https://www.google.com/maps/search/?api=1&amp;query="&amp;SUBSTITUTE(F896," ",""),"🗺 Google Maps"),"")</f>
        <v/>
      </c>
      <c r="H896" s="8">
        <f>IF(F896&lt;&gt;"",HYPERLINK("https://waze.com/ul?ll="&amp;SUBSTITUTE(F896," ","")&amp;"&amp;navigate=yes","🚗 Waze"),"")</f>
        <v/>
      </c>
      <c r="I896" s="8">
        <f>IF(F896&lt;&gt;"",HYPERLINK("https://m.uber.com/ul/?action=setPickup&amp;pickup=my_location&amp;dropoff[latitude]="&amp;LEFT(SUBSTITUTE(F896," ",""),FIND(",",SUBSTITUTE(F896," ",""))-1)&amp;"&amp;dropoff[longitude]="&amp;MID(SUBSTITUTE(F896," ",""),FIND(",",SUBSTITUTE(F896," ",""))+1,99),"🚕 Uber"),"")</f>
        <v/>
      </c>
      <c r="J896" s="8">
        <f>IF(F896&lt;&gt;"","https://api.qrserver.com/v1/create-qr-code/?size=200x200&amp;data="&amp;ENCODEURL("https://www.google.com/maps/search/?api=1&amp;query="&amp;SUBSTITUTE(F896," ","")),"")</f>
        <v/>
      </c>
      <c r="K896" s="8">
        <f>IF(C896&lt;&gt;"",HYPERLINK("https://wa.me/507"&amp;REGEXREPLACE(C896,"[^0-9]","")&amp;"?text="&amp;ENCODEURL("Ya llegue. Codigo: "&amp;A896&amp;". Ubicacion: "&amp;"https://www.google.com/maps/search/?api=1&amp;query="&amp;SUBSTITUTE(F896," ","")),"📲 Avisar al cliente"),"")</f>
        <v/>
      </c>
      <c r="L896" s="8">
        <f>IF(C896&lt;&gt;"","https://api.qrserver.com/v1/create-qr-code/?size=200x200&amp;data="&amp;ENCODEURL("https://wa.me/507"&amp;REGEXREPLACE(C896,"[^0-9]","")&amp;"?text="&amp;ENCODEURL("Ya llegue. Codigo: "&amp;A896&amp;". Ubicacion: "&amp;"https://www.google.com/maps/search/?api=1&amp;query="&amp;SUBSTITUTE(F896," ",""))),"")</f>
        <v/>
      </c>
      <c r="M896" s="8">
        <f>IF(B896&lt;&gt;"",TODAY(),"")</f>
        <v/>
      </c>
      <c r="N896" s="8">
        <f>IF(F896&lt;&gt;"",IFERROR(IF(AND(REGEXMATCH(SUBSTITUTE(TRIM(F896)," ",""),"^-?\d+(\.\d+)?,-?\d+(\.\d+)?$"),VALUE(REGEXEXTRACT(SUBSTITUTE(TRIM(F896)," ",""),"^-?\d+(\.\d+)?"))&gt;=-90,VALUE(REGEXEXTRACT(SUBSTITUTE(TRIM(F896)," ",""),"^-?\d+(\.\d+)?"))&lt;=90,VALUE(REGEXEXTRACT(SUBSTITUTE(TRIM(F896)," ",""),"-?\d+(\.\d+)?$"))&gt;=-180,VALUE(REGEXEXTRACT(SUBSTITUTE(TRIM(F896)," ",""),"-?\d+(\.\d+)?$"))&lt;=180),"OK","REVISAR"),"REVISAR"),"")</f>
        <v/>
      </c>
      <c r="O896">
        <f>IF(A896&lt;&gt;"","https://direcciones507.github.io/direcciones507/panel.html?codigo="&amp;A896&amp;"&amp;nombre="&amp;ENCODEURL(B896)&amp;"&amp;telefono="&amp;SUBSTITUTE(C896,"-","")&amp;"&amp;referencia="&amp;ENCODEURL(E896)&amp;"&amp;lat="&amp;IZQUIERDA(SUBSTITUTE(F896," ",""),ENCONTRAR(",",SUBSTITUTE(F896," ",""))-1)&amp;"&amp;lng="&amp;DERECHA(SUBSTITUTE(F896," ",""),LARGO(SUBSTITUTE(F896," ",""))-ENCONTRAR(",",SUBSTITUTE(F896," ",""))),"")</f>
        <v/>
      </c>
    </row>
    <row r="897" ht="15.75" customHeight="1" s="10">
      <c r="A897" s="8">
        <f>CONCAT("AD507-",TEXT(ROW()-2,"0000"))</f>
        <v/>
      </c>
      <c r="C897" s="8" t="n"/>
      <c r="F897" s="8" t="n"/>
      <c r="G897" s="8">
        <f>IF(F897&lt;&gt;"",HYPERLINK("https://www.google.com/maps/search/?api=1&amp;query="&amp;SUBSTITUTE(F897," ",""),"🗺 Google Maps"),"")</f>
        <v/>
      </c>
      <c r="H897" s="8">
        <f>IF(F897&lt;&gt;"",HYPERLINK("https://waze.com/ul?ll="&amp;SUBSTITUTE(F897," ","")&amp;"&amp;navigate=yes","🚗 Waze"),"")</f>
        <v/>
      </c>
      <c r="I897" s="8">
        <f>IF(F897&lt;&gt;"",HYPERLINK("https://m.uber.com/ul/?action=setPickup&amp;pickup=my_location&amp;dropoff[latitude]="&amp;LEFT(SUBSTITUTE(F897," ",""),FIND(",",SUBSTITUTE(F897," ",""))-1)&amp;"&amp;dropoff[longitude]="&amp;MID(SUBSTITUTE(F897," ",""),FIND(",",SUBSTITUTE(F897," ",""))+1,99),"🚕 Uber"),"")</f>
        <v/>
      </c>
      <c r="J897" s="8">
        <f>IF(F897&lt;&gt;"","https://api.qrserver.com/v1/create-qr-code/?size=200x200&amp;data="&amp;ENCODEURL("https://www.google.com/maps/search/?api=1&amp;query="&amp;SUBSTITUTE(F897," ","")),"")</f>
        <v/>
      </c>
      <c r="K897" s="8">
        <f>IF(C897&lt;&gt;"",HYPERLINK("https://wa.me/507"&amp;REGEXREPLACE(C897,"[^0-9]","")&amp;"?text="&amp;ENCODEURL("Ya llegue. Codigo: "&amp;A897&amp;". Ubicacion: "&amp;"https://www.google.com/maps/search/?api=1&amp;query="&amp;SUBSTITUTE(F897," ","")),"📲 Avisar al cliente"),"")</f>
        <v/>
      </c>
      <c r="L897" s="8">
        <f>IF(C897&lt;&gt;"","https://api.qrserver.com/v1/create-qr-code/?size=200x200&amp;data="&amp;ENCODEURL("https://wa.me/507"&amp;REGEXREPLACE(C897,"[^0-9]","")&amp;"?text="&amp;ENCODEURL("Ya llegue. Codigo: "&amp;A897&amp;". Ubicacion: "&amp;"https://www.google.com/maps/search/?api=1&amp;query="&amp;SUBSTITUTE(F897," ",""))),"")</f>
        <v/>
      </c>
      <c r="M897" s="8">
        <f>IF(B897&lt;&gt;"",TODAY(),"")</f>
        <v/>
      </c>
      <c r="N897" s="8">
        <f>IF(F897&lt;&gt;"",IFERROR(IF(AND(REGEXMATCH(SUBSTITUTE(TRIM(F897)," ",""),"^-?\d+(\.\d+)?,-?\d+(\.\d+)?$"),VALUE(REGEXEXTRACT(SUBSTITUTE(TRIM(F897)," ",""),"^-?\d+(\.\d+)?"))&gt;=-90,VALUE(REGEXEXTRACT(SUBSTITUTE(TRIM(F897)," ",""),"^-?\d+(\.\d+)?"))&lt;=90,VALUE(REGEXEXTRACT(SUBSTITUTE(TRIM(F897)," ",""),"-?\d+(\.\d+)?$"))&gt;=-180,VALUE(REGEXEXTRACT(SUBSTITUTE(TRIM(F897)," ",""),"-?\d+(\.\d+)?$"))&lt;=180),"OK","REVISAR"),"REVISAR"),"")</f>
        <v/>
      </c>
      <c r="O897">
        <f>IF(A897&lt;&gt;"","https://direcciones507.github.io/direcciones507/panel.html?codigo="&amp;A897&amp;"&amp;nombre="&amp;ENCODEURL(B897)&amp;"&amp;telefono="&amp;SUBSTITUTE(C897,"-","")&amp;"&amp;referencia="&amp;ENCODEURL(E897)&amp;"&amp;lat="&amp;IZQUIERDA(SUBSTITUTE(F897," ",""),ENCONTRAR(",",SUBSTITUTE(F897," ",""))-1)&amp;"&amp;lng="&amp;DERECHA(SUBSTITUTE(F897," ",""),LARGO(SUBSTITUTE(F897," ",""))-ENCONTRAR(",",SUBSTITUTE(F897," ",""))),"")</f>
        <v/>
      </c>
    </row>
    <row r="898" ht="15.75" customHeight="1" s="10">
      <c r="A898" s="8">
        <f>CONCAT("AD507-",TEXT(ROW()-2,"0000"))</f>
        <v/>
      </c>
      <c r="C898" s="8" t="n"/>
      <c r="F898" s="8" t="n"/>
      <c r="G898" s="8">
        <f>IF(F898&lt;&gt;"",HYPERLINK("https://www.google.com/maps/search/?api=1&amp;query="&amp;SUBSTITUTE(F898," ",""),"🗺 Google Maps"),"")</f>
        <v/>
      </c>
      <c r="H898" s="8">
        <f>IF(F898&lt;&gt;"",HYPERLINK("https://waze.com/ul?ll="&amp;SUBSTITUTE(F898," ","")&amp;"&amp;navigate=yes","🚗 Waze"),"")</f>
        <v/>
      </c>
      <c r="I898" s="8">
        <f>IF(F898&lt;&gt;"",HYPERLINK("https://m.uber.com/ul/?action=setPickup&amp;pickup=my_location&amp;dropoff[latitude]="&amp;LEFT(SUBSTITUTE(F898," ",""),FIND(",",SUBSTITUTE(F898," ",""))-1)&amp;"&amp;dropoff[longitude]="&amp;MID(SUBSTITUTE(F898," ",""),FIND(",",SUBSTITUTE(F898," ",""))+1,99),"🚕 Uber"),"")</f>
        <v/>
      </c>
      <c r="J898" s="8">
        <f>IF(F898&lt;&gt;"","https://api.qrserver.com/v1/create-qr-code/?size=200x200&amp;data="&amp;ENCODEURL("https://www.google.com/maps/search/?api=1&amp;query="&amp;SUBSTITUTE(F898," ","")),"")</f>
        <v/>
      </c>
      <c r="K898" s="8">
        <f>IF(C898&lt;&gt;"",HYPERLINK("https://wa.me/507"&amp;REGEXREPLACE(C898,"[^0-9]","")&amp;"?text="&amp;ENCODEURL("Ya llegue. Codigo: "&amp;A898&amp;". Ubicacion: "&amp;"https://www.google.com/maps/search/?api=1&amp;query="&amp;SUBSTITUTE(F898," ","")),"📲 Avisar al cliente"),"")</f>
        <v/>
      </c>
      <c r="L898" s="8">
        <f>IF(C898&lt;&gt;"","https://api.qrserver.com/v1/create-qr-code/?size=200x200&amp;data="&amp;ENCODEURL("https://wa.me/507"&amp;REGEXREPLACE(C898,"[^0-9]","")&amp;"?text="&amp;ENCODEURL("Ya llegue. Codigo: "&amp;A898&amp;". Ubicacion: "&amp;"https://www.google.com/maps/search/?api=1&amp;query="&amp;SUBSTITUTE(F898," ",""))),"")</f>
        <v/>
      </c>
      <c r="M898" s="8">
        <f>IF(B898&lt;&gt;"",TODAY(),"")</f>
        <v/>
      </c>
      <c r="N898" s="8">
        <f>IF(F898&lt;&gt;"",IFERROR(IF(AND(REGEXMATCH(SUBSTITUTE(TRIM(F898)," ",""),"^-?\d+(\.\d+)?,-?\d+(\.\d+)?$"),VALUE(REGEXEXTRACT(SUBSTITUTE(TRIM(F898)," ",""),"^-?\d+(\.\d+)?"))&gt;=-90,VALUE(REGEXEXTRACT(SUBSTITUTE(TRIM(F898)," ",""),"^-?\d+(\.\d+)?"))&lt;=90,VALUE(REGEXEXTRACT(SUBSTITUTE(TRIM(F898)," ",""),"-?\d+(\.\d+)?$"))&gt;=-180,VALUE(REGEXEXTRACT(SUBSTITUTE(TRIM(F898)," ",""),"-?\d+(\.\d+)?$"))&lt;=180),"OK","REVISAR"),"REVISAR"),"")</f>
        <v/>
      </c>
      <c r="O898">
        <f>IF(A898&lt;&gt;"","https://direcciones507.github.io/direcciones507/panel.html?codigo="&amp;A898&amp;"&amp;nombre="&amp;ENCODEURL(B898)&amp;"&amp;telefono="&amp;SUBSTITUTE(C898,"-","")&amp;"&amp;referencia="&amp;ENCODEURL(E898)&amp;"&amp;lat="&amp;IZQUIERDA(SUBSTITUTE(F898," ",""),ENCONTRAR(",",SUBSTITUTE(F898," ",""))-1)&amp;"&amp;lng="&amp;DERECHA(SUBSTITUTE(F898," ",""),LARGO(SUBSTITUTE(F898," ",""))-ENCONTRAR(",",SUBSTITUTE(F898," ",""))),"")</f>
        <v/>
      </c>
    </row>
    <row r="899" ht="15.75" customHeight="1" s="10">
      <c r="A899" s="8">
        <f>CONCAT("AD507-",TEXT(ROW()-2,"0000"))</f>
        <v/>
      </c>
      <c r="C899" s="8" t="n"/>
      <c r="F899" s="8" t="n"/>
      <c r="G899" s="8">
        <f>IF(F899&lt;&gt;"",HYPERLINK("https://www.google.com/maps/search/?api=1&amp;query="&amp;SUBSTITUTE(F899," ",""),"🗺 Google Maps"),"")</f>
        <v/>
      </c>
      <c r="H899" s="8">
        <f>IF(F899&lt;&gt;"",HYPERLINK("https://waze.com/ul?ll="&amp;SUBSTITUTE(F899," ","")&amp;"&amp;navigate=yes","🚗 Waze"),"")</f>
        <v/>
      </c>
      <c r="I899" s="8">
        <f>IF(F899&lt;&gt;"",HYPERLINK("https://m.uber.com/ul/?action=setPickup&amp;pickup=my_location&amp;dropoff[latitude]="&amp;LEFT(SUBSTITUTE(F899," ",""),FIND(",",SUBSTITUTE(F899," ",""))-1)&amp;"&amp;dropoff[longitude]="&amp;MID(SUBSTITUTE(F899," ",""),FIND(",",SUBSTITUTE(F899," ",""))+1,99),"🚕 Uber"),"")</f>
        <v/>
      </c>
      <c r="J899" s="8">
        <f>IF(F899&lt;&gt;"","https://api.qrserver.com/v1/create-qr-code/?size=200x200&amp;data="&amp;ENCODEURL("https://www.google.com/maps/search/?api=1&amp;query="&amp;SUBSTITUTE(F899," ","")),"")</f>
        <v/>
      </c>
      <c r="K899" s="8">
        <f>IF(C899&lt;&gt;"",HYPERLINK("https://wa.me/507"&amp;REGEXREPLACE(C899,"[^0-9]","")&amp;"?text="&amp;ENCODEURL("Ya llegue. Codigo: "&amp;A899&amp;". Ubicacion: "&amp;"https://www.google.com/maps/search/?api=1&amp;query="&amp;SUBSTITUTE(F899," ","")),"📲 Avisar al cliente"),"")</f>
        <v/>
      </c>
      <c r="L899" s="8">
        <f>IF(C899&lt;&gt;"","https://api.qrserver.com/v1/create-qr-code/?size=200x200&amp;data="&amp;ENCODEURL("https://wa.me/507"&amp;REGEXREPLACE(C899,"[^0-9]","")&amp;"?text="&amp;ENCODEURL("Ya llegue. Codigo: "&amp;A899&amp;". Ubicacion: "&amp;"https://www.google.com/maps/search/?api=1&amp;query="&amp;SUBSTITUTE(F899," ",""))),"")</f>
        <v/>
      </c>
      <c r="M899" s="8">
        <f>IF(B899&lt;&gt;"",TODAY(),"")</f>
        <v/>
      </c>
      <c r="N899" s="8">
        <f>IF(F899&lt;&gt;"",IFERROR(IF(AND(REGEXMATCH(SUBSTITUTE(TRIM(F899)," ",""),"^-?\d+(\.\d+)?,-?\d+(\.\d+)?$"),VALUE(REGEXEXTRACT(SUBSTITUTE(TRIM(F899)," ",""),"^-?\d+(\.\d+)?"))&gt;=-90,VALUE(REGEXEXTRACT(SUBSTITUTE(TRIM(F899)," ",""),"^-?\d+(\.\d+)?"))&lt;=90,VALUE(REGEXEXTRACT(SUBSTITUTE(TRIM(F899)," ",""),"-?\d+(\.\d+)?$"))&gt;=-180,VALUE(REGEXEXTRACT(SUBSTITUTE(TRIM(F899)," ",""),"-?\d+(\.\d+)?$"))&lt;=180),"OK","REVISAR"),"REVISAR"),"")</f>
        <v/>
      </c>
      <c r="O899">
        <f>IF(A899&lt;&gt;"","https://direcciones507.github.io/direcciones507/panel.html?codigo="&amp;A899&amp;"&amp;nombre="&amp;ENCODEURL(B899)&amp;"&amp;telefono="&amp;SUBSTITUTE(C899,"-","")&amp;"&amp;referencia="&amp;ENCODEURL(E899)&amp;"&amp;lat="&amp;IZQUIERDA(SUBSTITUTE(F899," ",""),ENCONTRAR(",",SUBSTITUTE(F899," ",""))-1)&amp;"&amp;lng="&amp;DERECHA(SUBSTITUTE(F899," ",""),LARGO(SUBSTITUTE(F899," ",""))-ENCONTRAR(",",SUBSTITUTE(F899," ",""))),"")</f>
        <v/>
      </c>
    </row>
    <row r="900" ht="15.75" customHeight="1" s="10">
      <c r="A900" s="8">
        <f>CONCAT("AD507-",TEXT(ROW()-2,"0000"))</f>
        <v/>
      </c>
      <c r="C900" s="8" t="n"/>
      <c r="F900" s="8" t="n"/>
      <c r="G900" s="8">
        <f>IF(F900&lt;&gt;"",HYPERLINK("https://www.google.com/maps/search/?api=1&amp;query="&amp;SUBSTITUTE(F900," ",""),"🗺 Google Maps"),"")</f>
        <v/>
      </c>
      <c r="H900" s="8">
        <f>IF(F900&lt;&gt;"",HYPERLINK("https://waze.com/ul?ll="&amp;SUBSTITUTE(F900," ","")&amp;"&amp;navigate=yes","🚗 Waze"),"")</f>
        <v/>
      </c>
      <c r="I900" s="8">
        <f>IF(F900&lt;&gt;"",HYPERLINK("https://m.uber.com/ul/?action=setPickup&amp;pickup=my_location&amp;dropoff[latitude]="&amp;LEFT(SUBSTITUTE(F900," ",""),FIND(",",SUBSTITUTE(F900," ",""))-1)&amp;"&amp;dropoff[longitude]="&amp;MID(SUBSTITUTE(F900," ",""),FIND(",",SUBSTITUTE(F900," ",""))+1,99),"🚕 Uber"),"")</f>
        <v/>
      </c>
      <c r="J900" s="8">
        <f>IF(F900&lt;&gt;"","https://api.qrserver.com/v1/create-qr-code/?size=200x200&amp;data="&amp;ENCODEURL("https://www.google.com/maps/search/?api=1&amp;query="&amp;SUBSTITUTE(F900," ","")),"")</f>
        <v/>
      </c>
      <c r="K900" s="8">
        <f>IF(C900&lt;&gt;"",HYPERLINK("https://wa.me/507"&amp;REGEXREPLACE(C900,"[^0-9]","")&amp;"?text="&amp;ENCODEURL("Ya llegue. Codigo: "&amp;A900&amp;". Ubicacion: "&amp;"https://www.google.com/maps/search/?api=1&amp;query="&amp;SUBSTITUTE(F900," ","")),"📲 Avisar al cliente"),"")</f>
        <v/>
      </c>
      <c r="L900" s="8">
        <f>IF(C900&lt;&gt;"","https://api.qrserver.com/v1/create-qr-code/?size=200x200&amp;data="&amp;ENCODEURL("https://wa.me/507"&amp;REGEXREPLACE(C900,"[^0-9]","")&amp;"?text="&amp;ENCODEURL("Ya llegue. Codigo: "&amp;A900&amp;". Ubicacion: "&amp;"https://www.google.com/maps/search/?api=1&amp;query="&amp;SUBSTITUTE(F900," ",""))),"")</f>
        <v/>
      </c>
      <c r="M900" s="8">
        <f>IF(B900&lt;&gt;"",TODAY(),"")</f>
        <v/>
      </c>
      <c r="N900" s="8">
        <f>IF(F900&lt;&gt;"",IFERROR(IF(AND(REGEXMATCH(SUBSTITUTE(TRIM(F900)," ",""),"^-?\d+(\.\d+)?,-?\d+(\.\d+)?$"),VALUE(REGEXEXTRACT(SUBSTITUTE(TRIM(F900)," ",""),"^-?\d+(\.\d+)?"))&gt;=-90,VALUE(REGEXEXTRACT(SUBSTITUTE(TRIM(F900)," ",""),"^-?\d+(\.\d+)?"))&lt;=90,VALUE(REGEXEXTRACT(SUBSTITUTE(TRIM(F900)," ",""),"-?\d+(\.\d+)?$"))&gt;=-180,VALUE(REGEXEXTRACT(SUBSTITUTE(TRIM(F900)," ",""),"-?\d+(\.\d+)?$"))&lt;=180),"OK","REVISAR"),"REVISAR"),"")</f>
        <v/>
      </c>
      <c r="O900">
        <f>IF(A900&lt;&gt;"","https://direcciones507.github.io/direcciones507/panel.html?codigo="&amp;A900&amp;"&amp;nombre="&amp;ENCODEURL(B900)&amp;"&amp;telefono="&amp;SUBSTITUTE(C900,"-","")&amp;"&amp;referencia="&amp;ENCODEURL(E900)&amp;"&amp;lat="&amp;IZQUIERDA(SUBSTITUTE(F900," ",""),ENCONTRAR(",",SUBSTITUTE(F900," ",""))-1)&amp;"&amp;lng="&amp;DERECHA(SUBSTITUTE(F900," ",""),LARGO(SUBSTITUTE(F900," ",""))-ENCONTRAR(",",SUBSTITUTE(F900," ",""))),"")</f>
        <v/>
      </c>
    </row>
    <row r="901" ht="15.75" customHeight="1" s="10">
      <c r="A901" s="8">
        <f>CONCAT("AD507-",TEXT(ROW()-2,"0000"))</f>
        <v/>
      </c>
      <c r="C901" s="8" t="n"/>
      <c r="F901" s="8" t="n"/>
      <c r="G901" s="8">
        <f>IF(F901&lt;&gt;"",HYPERLINK("https://www.google.com/maps/search/?api=1&amp;query="&amp;SUBSTITUTE(F901," ",""),"🗺 Google Maps"),"")</f>
        <v/>
      </c>
      <c r="H901" s="8">
        <f>IF(F901&lt;&gt;"",HYPERLINK("https://waze.com/ul?ll="&amp;SUBSTITUTE(F901," ","")&amp;"&amp;navigate=yes","🚗 Waze"),"")</f>
        <v/>
      </c>
      <c r="I901" s="8">
        <f>IF(F901&lt;&gt;"",HYPERLINK("https://m.uber.com/ul/?action=setPickup&amp;pickup=my_location&amp;dropoff[latitude]="&amp;LEFT(SUBSTITUTE(F901," ",""),FIND(",",SUBSTITUTE(F901," ",""))-1)&amp;"&amp;dropoff[longitude]="&amp;MID(SUBSTITUTE(F901," ",""),FIND(",",SUBSTITUTE(F901," ",""))+1,99),"🚕 Uber"),"")</f>
        <v/>
      </c>
      <c r="J901" s="8">
        <f>IF(F901&lt;&gt;"","https://api.qrserver.com/v1/create-qr-code/?size=200x200&amp;data="&amp;ENCODEURL("https://www.google.com/maps/search/?api=1&amp;query="&amp;SUBSTITUTE(F901," ","")),"")</f>
        <v/>
      </c>
      <c r="K901" s="8">
        <f>IF(C901&lt;&gt;"",HYPERLINK("https://wa.me/507"&amp;REGEXREPLACE(C901,"[^0-9]","")&amp;"?text="&amp;ENCODEURL("Ya llegue. Codigo: "&amp;A901&amp;". Ubicacion: "&amp;"https://www.google.com/maps/search/?api=1&amp;query="&amp;SUBSTITUTE(F901," ","")),"📲 Avisar al cliente"),"")</f>
        <v/>
      </c>
      <c r="L901" s="8">
        <f>IF(C901&lt;&gt;"","https://api.qrserver.com/v1/create-qr-code/?size=200x200&amp;data="&amp;ENCODEURL("https://wa.me/507"&amp;REGEXREPLACE(C901,"[^0-9]","")&amp;"?text="&amp;ENCODEURL("Ya llegue. Codigo: "&amp;A901&amp;". Ubicacion: "&amp;"https://www.google.com/maps/search/?api=1&amp;query="&amp;SUBSTITUTE(F901," ",""))),"")</f>
        <v/>
      </c>
      <c r="M901" s="8">
        <f>IF(B901&lt;&gt;"",TODAY(),"")</f>
        <v/>
      </c>
      <c r="N901" s="8">
        <f>IF(F901&lt;&gt;"",IFERROR(IF(AND(REGEXMATCH(SUBSTITUTE(TRIM(F901)," ",""),"^-?\d+(\.\d+)?,-?\d+(\.\d+)?$"),VALUE(REGEXEXTRACT(SUBSTITUTE(TRIM(F901)," ",""),"^-?\d+(\.\d+)?"))&gt;=-90,VALUE(REGEXEXTRACT(SUBSTITUTE(TRIM(F901)," ",""),"^-?\d+(\.\d+)?"))&lt;=90,VALUE(REGEXEXTRACT(SUBSTITUTE(TRIM(F901)," ",""),"-?\d+(\.\d+)?$"))&gt;=-180,VALUE(REGEXEXTRACT(SUBSTITUTE(TRIM(F901)," ",""),"-?\d+(\.\d+)?$"))&lt;=180),"OK","REVISAR"),"REVISAR"),"")</f>
        <v/>
      </c>
      <c r="O901">
        <f>IF(A901&lt;&gt;"","https://direcciones507.github.io/direcciones507/panel.html?codigo="&amp;A901&amp;"&amp;nombre="&amp;ENCODEURL(B901)&amp;"&amp;telefono="&amp;SUBSTITUTE(C901,"-","")&amp;"&amp;referencia="&amp;ENCODEURL(E901)&amp;"&amp;lat="&amp;IZQUIERDA(SUBSTITUTE(F901," ",""),ENCONTRAR(",",SUBSTITUTE(F901," ",""))-1)&amp;"&amp;lng="&amp;DERECHA(SUBSTITUTE(F901," ",""),LARGO(SUBSTITUTE(F901," ",""))-ENCONTRAR(",",SUBSTITUTE(F901," ",""))),"")</f>
        <v/>
      </c>
    </row>
    <row r="902" ht="15.75" customHeight="1" s="10">
      <c r="A902" s="8">
        <f>CONCAT("AD507-",TEXT(ROW()-2,"0000"))</f>
        <v/>
      </c>
      <c r="C902" s="8" t="n"/>
      <c r="F902" s="8" t="n"/>
      <c r="G902" s="8">
        <f>IF(F902&lt;&gt;"",HYPERLINK("https://www.google.com/maps/search/?api=1&amp;query="&amp;SUBSTITUTE(F902," ",""),"🗺 Google Maps"),"")</f>
        <v/>
      </c>
      <c r="H902" s="8">
        <f>IF(F902&lt;&gt;"",HYPERLINK("https://waze.com/ul?ll="&amp;SUBSTITUTE(F902," ","")&amp;"&amp;navigate=yes","🚗 Waze"),"")</f>
        <v/>
      </c>
      <c r="I902" s="8">
        <f>IF(F902&lt;&gt;"",HYPERLINK("https://m.uber.com/ul/?action=setPickup&amp;pickup=my_location&amp;dropoff[latitude]="&amp;LEFT(SUBSTITUTE(F902," ",""),FIND(",",SUBSTITUTE(F902," ",""))-1)&amp;"&amp;dropoff[longitude]="&amp;MID(SUBSTITUTE(F902," ",""),FIND(",",SUBSTITUTE(F902," ",""))+1,99),"🚕 Uber"),"")</f>
        <v/>
      </c>
      <c r="J902" s="8">
        <f>IF(F902&lt;&gt;"","https://api.qrserver.com/v1/create-qr-code/?size=200x200&amp;data="&amp;ENCODEURL("https://www.google.com/maps/search/?api=1&amp;query="&amp;SUBSTITUTE(F902," ","")),"")</f>
        <v/>
      </c>
      <c r="K902" s="8">
        <f>IF(C902&lt;&gt;"",HYPERLINK("https://wa.me/507"&amp;REGEXREPLACE(C902,"[^0-9]","")&amp;"?text="&amp;ENCODEURL("Ya llegue. Codigo: "&amp;A902&amp;". Ubicacion: "&amp;"https://www.google.com/maps/search/?api=1&amp;query="&amp;SUBSTITUTE(F902," ","")),"📲 Avisar al cliente"),"")</f>
        <v/>
      </c>
      <c r="L902" s="8">
        <f>IF(C902&lt;&gt;"","https://api.qrserver.com/v1/create-qr-code/?size=200x200&amp;data="&amp;ENCODEURL("https://wa.me/507"&amp;REGEXREPLACE(C902,"[^0-9]","")&amp;"?text="&amp;ENCODEURL("Ya llegue. Codigo: "&amp;A902&amp;". Ubicacion: "&amp;"https://www.google.com/maps/search/?api=1&amp;query="&amp;SUBSTITUTE(F902," ",""))),"")</f>
        <v/>
      </c>
      <c r="M902" s="8">
        <f>IF(B902&lt;&gt;"",TODAY(),"")</f>
        <v/>
      </c>
      <c r="N902" s="8">
        <f>IF(F902&lt;&gt;"",IFERROR(IF(AND(REGEXMATCH(SUBSTITUTE(TRIM(F902)," ",""),"^-?\d+(\.\d+)?,-?\d+(\.\d+)?$"),VALUE(REGEXEXTRACT(SUBSTITUTE(TRIM(F902)," ",""),"^-?\d+(\.\d+)?"))&gt;=-90,VALUE(REGEXEXTRACT(SUBSTITUTE(TRIM(F902)," ",""),"^-?\d+(\.\d+)?"))&lt;=90,VALUE(REGEXEXTRACT(SUBSTITUTE(TRIM(F902)," ",""),"-?\d+(\.\d+)?$"))&gt;=-180,VALUE(REGEXEXTRACT(SUBSTITUTE(TRIM(F902)," ",""),"-?\d+(\.\d+)?$"))&lt;=180),"OK","REVISAR"),"REVISAR"),"")</f>
        <v/>
      </c>
      <c r="O902">
        <f>IF(A902&lt;&gt;"","https://direcciones507.github.io/direcciones507/panel.html?codigo="&amp;A902&amp;"&amp;nombre="&amp;ENCODEURL(B902)&amp;"&amp;telefono="&amp;SUBSTITUTE(C902,"-","")&amp;"&amp;referencia="&amp;ENCODEURL(E902)&amp;"&amp;lat="&amp;IZQUIERDA(SUBSTITUTE(F902," ",""),ENCONTRAR(",",SUBSTITUTE(F902," ",""))-1)&amp;"&amp;lng="&amp;DERECHA(SUBSTITUTE(F902," ",""),LARGO(SUBSTITUTE(F902," ",""))-ENCONTRAR(",",SUBSTITUTE(F902," ",""))),"")</f>
        <v/>
      </c>
    </row>
    <row r="903" ht="15.75" customHeight="1" s="10">
      <c r="A903" s="8">
        <f>CONCAT("AD507-",TEXT(ROW()-2,"0000"))</f>
        <v/>
      </c>
      <c r="C903" s="8" t="n"/>
      <c r="F903" s="8" t="n"/>
      <c r="G903" s="8">
        <f>IF(F903&lt;&gt;"",HYPERLINK("https://www.google.com/maps/search/?api=1&amp;query="&amp;SUBSTITUTE(F903," ",""),"🗺 Google Maps"),"")</f>
        <v/>
      </c>
      <c r="H903" s="8">
        <f>IF(F903&lt;&gt;"",HYPERLINK("https://waze.com/ul?ll="&amp;SUBSTITUTE(F903," ","")&amp;"&amp;navigate=yes","🚗 Waze"),"")</f>
        <v/>
      </c>
      <c r="I903" s="8">
        <f>IF(F903&lt;&gt;"",HYPERLINK("https://m.uber.com/ul/?action=setPickup&amp;pickup=my_location&amp;dropoff[latitude]="&amp;LEFT(SUBSTITUTE(F903," ",""),FIND(",",SUBSTITUTE(F903," ",""))-1)&amp;"&amp;dropoff[longitude]="&amp;MID(SUBSTITUTE(F903," ",""),FIND(",",SUBSTITUTE(F903," ",""))+1,99),"🚕 Uber"),"")</f>
        <v/>
      </c>
      <c r="J903" s="8">
        <f>IF(F903&lt;&gt;"","https://api.qrserver.com/v1/create-qr-code/?size=200x200&amp;data="&amp;ENCODEURL("https://www.google.com/maps/search/?api=1&amp;query="&amp;SUBSTITUTE(F903," ","")),"")</f>
        <v/>
      </c>
      <c r="K903" s="8">
        <f>IF(C903&lt;&gt;"",HYPERLINK("https://wa.me/507"&amp;REGEXREPLACE(C903,"[^0-9]","")&amp;"?text="&amp;ENCODEURL("Ya llegue. Codigo: "&amp;A903&amp;". Ubicacion: "&amp;"https://www.google.com/maps/search/?api=1&amp;query="&amp;SUBSTITUTE(F903," ","")),"📲 Avisar al cliente"),"")</f>
        <v/>
      </c>
      <c r="L903" s="8">
        <f>IF(C903&lt;&gt;"","https://api.qrserver.com/v1/create-qr-code/?size=200x200&amp;data="&amp;ENCODEURL("https://wa.me/507"&amp;REGEXREPLACE(C903,"[^0-9]","")&amp;"?text="&amp;ENCODEURL("Ya llegue. Codigo: "&amp;A903&amp;". Ubicacion: "&amp;"https://www.google.com/maps/search/?api=1&amp;query="&amp;SUBSTITUTE(F903," ",""))),"")</f>
        <v/>
      </c>
      <c r="M903" s="8">
        <f>IF(B903&lt;&gt;"",TODAY(),"")</f>
        <v/>
      </c>
      <c r="N903" s="8">
        <f>IF(F903&lt;&gt;"",IFERROR(IF(AND(REGEXMATCH(SUBSTITUTE(TRIM(F903)," ",""),"^-?\d+(\.\d+)?,-?\d+(\.\d+)?$"),VALUE(REGEXEXTRACT(SUBSTITUTE(TRIM(F903)," ",""),"^-?\d+(\.\d+)?"))&gt;=-90,VALUE(REGEXEXTRACT(SUBSTITUTE(TRIM(F903)," ",""),"^-?\d+(\.\d+)?"))&lt;=90,VALUE(REGEXEXTRACT(SUBSTITUTE(TRIM(F903)," ",""),"-?\d+(\.\d+)?$"))&gt;=-180,VALUE(REGEXEXTRACT(SUBSTITUTE(TRIM(F903)," ",""),"-?\d+(\.\d+)?$"))&lt;=180),"OK","REVISAR"),"REVISAR"),"")</f>
        <v/>
      </c>
      <c r="O903">
        <f>IF(A903&lt;&gt;"","https://direcciones507.github.io/direcciones507/panel.html?codigo="&amp;A903&amp;"&amp;nombre="&amp;ENCODEURL(B903)&amp;"&amp;telefono="&amp;SUBSTITUTE(C903,"-","")&amp;"&amp;referencia="&amp;ENCODEURL(E903)&amp;"&amp;lat="&amp;IZQUIERDA(SUBSTITUTE(F903," ",""),ENCONTRAR(",",SUBSTITUTE(F903," ",""))-1)&amp;"&amp;lng="&amp;DERECHA(SUBSTITUTE(F903," ",""),LARGO(SUBSTITUTE(F903," ",""))-ENCONTRAR(",",SUBSTITUTE(F903," ",""))),"")</f>
        <v/>
      </c>
    </row>
    <row r="904" ht="15.75" customHeight="1" s="10">
      <c r="A904" s="8">
        <f>CONCAT("AD507-",TEXT(ROW()-2,"0000"))</f>
        <v/>
      </c>
      <c r="C904" s="8" t="n"/>
      <c r="F904" s="8" t="n"/>
      <c r="G904" s="8">
        <f>IF(F904&lt;&gt;"",HYPERLINK("https://www.google.com/maps/search/?api=1&amp;query="&amp;SUBSTITUTE(F904," ",""),"🗺 Google Maps"),"")</f>
        <v/>
      </c>
      <c r="H904" s="8">
        <f>IF(F904&lt;&gt;"",HYPERLINK("https://waze.com/ul?ll="&amp;SUBSTITUTE(F904," ","")&amp;"&amp;navigate=yes","🚗 Waze"),"")</f>
        <v/>
      </c>
      <c r="I904" s="8">
        <f>IF(F904&lt;&gt;"",HYPERLINK("https://m.uber.com/ul/?action=setPickup&amp;pickup=my_location&amp;dropoff[latitude]="&amp;LEFT(SUBSTITUTE(F904," ",""),FIND(",",SUBSTITUTE(F904," ",""))-1)&amp;"&amp;dropoff[longitude]="&amp;MID(SUBSTITUTE(F904," ",""),FIND(",",SUBSTITUTE(F904," ",""))+1,99),"🚕 Uber"),"")</f>
        <v/>
      </c>
      <c r="J904" s="8">
        <f>IF(F904&lt;&gt;"","https://api.qrserver.com/v1/create-qr-code/?size=200x200&amp;data="&amp;ENCODEURL("https://www.google.com/maps/search/?api=1&amp;query="&amp;SUBSTITUTE(F904," ","")),"")</f>
        <v/>
      </c>
      <c r="K904" s="8">
        <f>IF(C904&lt;&gt;"",HYPERLINK("https://wa.me/507"&amp;REGEXREPLACE(C904,"[^0-9]","")&amp;"?text="&amp;ENCODEURL("Ya llegue. Codigo: "&amp;A904&amp;". Ubicacion: "&amp;"https://www.google.com/maps/search/?api=1&amp;query="&amp;SUBSTITUTE(F904," ","")),"📲 Avisar al cliente"),"")</f>
        <v/>
      </c>
      <c r="L904" s="8">
        <f>IF(C904&lt;&gt;"","https://api.qrserver.com/v1/create-qr-code/?size=200x200&amp;data="&amp;ENCODEURL("https://wa.me/507"&amp;REGEXREPLACE(C904,"[^0-9]","")&amp;"?text="&amp;ENCODEURL("Ya llegue. Codigo: "&amp;A904&amp;". Ubicacion: "&amp;"https://www.google.com/maps/search/?api=1&amp;query="&amp;SUBSTITUTE(F904," ",""))),"")</f>
        <v/>
      </c>
      <c r="M904" s="8">
        <f>IF(B904&lt;&gt;"",TODAY(),"")</f>
        <v/>
      </c>
      <c r="N904" s="8">
        <f>IF(F904&lt;&gt;"",IFERROR(IF(AND(REGEXMATCH(SUBSTITUTE(TRIM(F904)," ",""),"^-?\d+(\.\d+)?,-?\d+(\.\d+)?$"),VALUE(REGEXEXTRACT(SUBSTITUTE(TRIM(F904)," ",""),"^-?\d+(\.\d+)?"))&gt;=-90,VALUE(REGEXEXTRACT(SUBSTITUTE(TRIM(F904)," ",""),"^-?\d+(\.\d+)?"))&lt;=90,VALUE(REGEXEXTRACT(SUBSTITUTE(TRIM(F904)," ",""),"-?\d+(\.\d+)?$"))&gt;=-180,VALUE(REGEXEXTRACT(SUBSTITUTE(TRIM(F904)," ",""),"-?\d+(\.\d+)?$"))&lt;=180),"OK","REVISAR"),"REVISAR"),"")</f>
        <v/>
      </c>
      <c r="O904">
        <f>IF(A904&lt;&gt;"","https://direcciones507.github.io/direcciones507/panel.html?codigo="&amp;A904&amp;"&amp;nombre="&amp;ENCODEURL(B904)&amp;"&amp;telefono="&amp;SUBSTITUTE(C904,"-","")&amp;"&amp;referencia="&amp;ENCODEURL(E904)&amp;"&amp;lat="&amp;IZQUIERDA(SUBSTITUTE(F904," ",""),ENCONTRAR(",",SUBSTITUTE(F904," ",""))-1)&amp;"&amp;lng="&amp;DERECHA(SUBSTITUTE(F904," ",""),LARGO(SUBSTITUTE(F904," ",""))-ENCONTRAR(",",SUBSTITUTE(F904," ",""))),"")</f>
        <v/>
      </c>
    </row>
    <row r="905" ht="15.75" customHeight="1" s="10">
      <c r="A905" s="8">
        <f>CONCAT("AD507-",TEXT(ROW()-2,"0000"))</f>
        <v/>
      </c>
      <c r="C905" s="8" t="n"/>
      <c r="F905" s="8" t="n"/>
      <c r="G905" s="8">
        <f>IF(F905&lt;&gt;"",HYPERLINK("https://www.google.com/maps/search/?api=1&amp;query="&amp;SUBSTITUTE(F905," ",""),"🗺 Google Maps"),"")</f>
        <v/>
      </c>
      <c r="H905" s="8">
        <f>IF(F905&lt;&gt;"",HYPERLINK("https://waze.com/ul?ll="&amp;SUBSTITUTE(F905," ","")&amp;"&amp;navigate=yes","🚗 Waze"),"")</f>
        <v/>
      </c>
      <c r="I905" s="8">
        <f>IF(F905&lt;&gt;"",HYPERLINK("https://m.uber.com/ul/?action=setPickup&amp;pickup=my_location&amp;dropoff[latitude]="&amp;LEFT(SUBSTITUTE(F905," ",""),FIND(",",SUBSTITUTE(F905," ",""))-1)&amp;"&amp;dropoff[longitude]="&amp;MID(SUBSTITUTE(F905," ",""),FIND(",",SUBSTITUTE(F905," ",""))+1,99),"🚕 Uber"),"")</f>
        <v/>
      </c>
      <c r="J905" s="8">
        <f>IF(F905&lt;&gt;"","https://api.qrserver.com/v1/create-qr-code/?size=200x200&amp;data="&amp;ENCODEURL("https://www.google.com/maps/search/?api=1&amp;query="&amp;SUBSTITUTE(F905," ","")),"")</f>
        <v/>
      </c>
      <c r="K905" s="8">
        <f>IF(C905&lt;&gt;"",HYPERLINK("https://wa.me/507"&amp;REGEXREPLACE(C905,"[^0-9]","")&amp;"?text="&amp;ENCODEURL("Ya llegue. Codigo: "&amp;A905&amp;". Ubicacion: "&amp;"https://www.google.com/maps/search/?api=1&amp;query="&amp;SUBSTITUTE(F905," ","")),"📲 Avisar al cliente"),"")</f>
        <v/>
      </c>
      <c r="L905" s="8">
        <f>IF(C905&lt;&gt;"","https://api.qrserver.com/v1/create-qr-code/?size=200x200&amp;data="&amp;ENCODEURL("https://wa.me/507"&amp;REGEXREPLACE(C905,"[^0-9]","")&amp;"?text="&amp;ENCODEURL("Ya llegue. Codigo: "&amp;A905&amp;". Ubicacion: "&amp;"https://www.google.com/maps/search/?api=1&amp;query="&amp;SUBSTITUTE(F905," ",""))),"")</f>
        <v/>
      </c>
      <c r="M905" s="8">
        <f>IF(B905&lt;&gt;"",TODAY(),"")</f>
        <v/>
      </c>
      <c r="N905" s="8">
        <f>IF(F905&lt;&gt;"",IFERROR(IF(AND(REGEXMATCH(SUBSTITUTE(TRIM(F905)," ",""),"^-?\d+(\.\d+)?,-?\d+(\.\d+)?$"),VALUE(REGEXEXTRACT(SUBSTITUTE(TRIM(F905)," ",""),"^-?\d+(\.\d+)?"))&gt;=-90,VALUE(REGEXEXTRACT(SUBSTITUTE(TRIM(F905)," ",""),"^-?\d+(\.\d+)?"))&lt;=90,VALUE(REGEXEXTRACT(SUBSTITUTE(TRIM(F905)," ",""),"-?\d+(\.\d+)?$"))&gt;=-180,VALUE(REGEXEXTRACT(SUBSTITUTE(TRIM(F905)," ",""),"-?\d+(\.\d+)?$"))&lt;=180),"OK","REVISAR"),"REVISAR"),"")</f>
        <v/>
      </c>
      <c r="O905">
        <f>IF(A905&lt;&gt;"","https://direcciones507.github.io/direcciones507/panel.html?codigo="&amp;A905&amp;"&amp;nombre="&amp;ENCODEURL(B905)&amp;"&amp;telefono="&amp;SUBSTITUTE(C905,"-","")&amp;"&amp;referencia="&amp;ENCODEURL(E905)&amp;"&amp;lat="&amp;IZQUIERDA(SUBSTITUTE(F905," ",""),ENCONTRAR(",",SUBSTITUTE(F905," ",""))-1)&amp;"&amp;lng="&amp;DERECHA(SUBSTITUTE(F905," ",""),LARGO(SUBSTITUTE(F905," ",""))-ENCONTRAR(",",SUBSTITUTE(F905," ",""))),"")</f>
        <v/>
      </c>
    </row>
    <row r="906" ht="15.75" customHeight="1" s="10">
      <c r="A906" s="8">
        <f>CONCAT("AD507-",TEXT(ROW()-2,"0000"))</f>
        <v/>
      </c>
      <c r="C906" s="8" t="n"/>
      <c r="F906" s="8" t="n"/>
      <c r="G906" s="8">
        <f>IF(F906&lt;&gt;"",HYPERLINK("https://www.google.com/maps/search/?api=1&amp;query="&amp;SUBSTITUTE(F906," ",""),"🗺 Google Maps"),"")</f>
        <v/>
      </c>
      <c r="H906" s="8">
        <f>IF(F906&lt;&gt;"",HYPERLINK("https://waze.com/ul?ll="&amp;SUBSTITUTE(F906," ","")&amp;"&amp;navigate=yes","🚗 Waze"),"")</f>
        <v/>
      </c>
      <c r="I906" s="8">
        <f>IF(F906&lt;&gt;"",HYPERLINK("https://m.uber.com/ul/?action=setPickup&amp;pickup=my_location&amp;dropoff[latitude]="&amp;LEFT(SUBSTITUTE(F906," ",""),FIND(",",SUBSTITUTE(F906," ",""))-1)&amp;"&amp;dropoff[longitude]="&amp;MID(SUBSTITUTE(F906," ",""),FIND(",",SUBSTITUTE(F906," ",""))+1,99),"🚕 Uber"),"")</f>
        <v/>
      </c>
      <c r="J906" s="8">
        <f>IF(F906&lt;&gt;"","https://api.qrserver.com/v1/create-qr-code/?size=200x200&amp;data="&amp;ENCODEURL("https://www.google.com/maps/search/?api=1&amp;query="&amp;SUBSTITUTE(F906," ","")),"")</f>
        <v/>
      </c>
      <c r="K906" s="8">
        <f>IF(C906&lt;&gt;"",HYPERLINK("https://wa.me/507"&amp;REGEXREPLACE(C906,"[^0-9]","")&amp;"?text="&amp;ENCODEURL("Ya llegue. Codigo: "&amp;A906&amp;". Ubicacion: "&amp;"https://www.google.com/maps/search/?api=1&amp;query="&amp;SUBSTITUTE(F906," ","")),"📲 Avisar al cliente"),"")</f>
        <v/>
      </c>
      <c r="L906" s="8">
        <f>IF(C906&lt;&gt;"","https://api.qrserver.com/v1/create-qr-code/?size=200x200&amp;data="&amp;ENCODEURL("https://wa.me/507"&amp;REGEXREPLACE(C906,"[^0-9]","")&amp;"?text="&amp;ENCODEURL("Ya llegue. Codigo: "&amp;A906&amp;". Ubicacion: "&amp;"https://www.google.com/maps/search/?api=1&amp;query="&amp;SUBSTITUTE(F906," ",""))),"")</f>
        <v/>
      </c>
      <c r="M906" s="8">
        <f>IF(B906&lt;&gt;"",TODAY(),"")</f>
        <v/>
      </c>
      <c r="N906" s="8">
        <f>IF(F906&lt;&gt;"",IFERROR(IF(AND(REGEXMATCH(SUBSTITUTE(TRIM(F906)," ",""),"^-?\d+(\.\d+)?,-?\d+(\.\d+)?$"),VALUE(REGEXEXTRACT(SUBSTITUTE(TRIM(F906)," ",""),"^-?\d+(\.\d+)?"))&gt;=-90,VALUE(REGEXEXTRACT(SUBSTITUTE(TRIM(F906)," ",""),"^-?\d+(\.\d+)?"))&lt;=90,VALUE(REGEXEXTRACT(SUBSTITUTE(TRIM(F906)," ",""),"-?\d+(\.\d+)?$"))&gt;=-180,VALUE(REGEXEXTRACT(SUBSTITUTE(TRIM(F906)," ",""),"-?\d+(\.\d+)?$"))&lt;=180),"OK","REVISAR"),"REVISAR"),"")</f>
        <v/>
      </c>
      <c r="O906">
        <f>IF(A906&lt;&gt;"","https://direcciones507.github.io/direcciones507/panel.html?codigo="&amp;A906&amp;"&amp;nombre="&amp;ENCODEURL(B906)&amp;"&amp;telefono="&amp;SUBSTITUTE(C906,"-","")&amp;"&amp;referencia="&amp;ENCODEURL(E906)&amp;"&amp;lat="&amp;IZQUIERDA(SUBSTITUTE(F906," ",""),ENCONTRAR(",",SUBSTITUTE(F906," ",""))-1)&amp;"&amp;lng="&amp;DERECHA(SUBSTITUTE(F906," ",""),LARGO(SUBSTITUTE(F906," ",""))-ENCONTRAR(",",SUBSTITUTE(F906," ",""))),"")</f>
        <v/>
      </c>
    </row>
    <row r="907" ht="15.75" customHeight="1" s="10">
      <c r="A907" s="8">
        <f>CONCAT("AD507-",TEXT(ROW()-2,"0000"))</f>
        <v/>
      </c>
      <c r="C907" s="8" t="n"/>
      <c r="F907" s="8" t="n"/>
      <c r="G907" s="8">
        <f>IF(F907&lt;&gt;"",HYPERLINK("https://www.google.com/maps/search/?api=1&amp;query="&amp;SUBSTITUTE(F907," ",""),"🗺 Google Maps"),"")</f>
        <v/>
      </c>
      <c r="H907" s="8">
        <f>IF(F907&lt;&gt;"",HYPERLINK("https://waze.com/ul?ll="&amp;SUBSTITUTE(F907," ","")&amp;"&amp;navigate=yes","🚗 Waze"),"")</f>
        <v/>
      </c>
      <c r="I907" s="8">
        <f>IF(F907&lt;&gt;"",HYPERLINK("https://m.uber.com/ul/?action=setPickup&amp;pickup=my_location&amp;dropoff[latitude]="&amp;LEFT(SUBSTITUTE(F907," ",""),FIND(",",SUBSTITUTE(F907," ",""))-1)&amp;"&amp;dropoff[longitude]="&amp;MID(SUBSTITUTE(F907," ",""),FIND(",",SUBSTITUTE(F907," ",""))+1,99),"🚕 Uber"),"")</f>
        <v/>
      </c>
      <c r="J907" s="8">
        <f>IF(F907&lt;&gt;"","https://api.qrserver.com/v1/create-qr-code/?size=200x200&amp;data="&amp;ENCODEURL("https://www.google.com/maps/search/?api=1&amp;query="&amp;SUBSTITUTE(F907," ","")),"")</f>
        <v/>
      </c>
      <c r="K907" s="8">
        <f>IF(C907&lt;&gt;"",HYPERLINK("https://wa.me/507"&amp;REGEXREPLACE(C907,"[^0-9]","")&amp;"?text="&amp;ENCODEURL("Ya llegue. Codigo: "&amp;A907&amp;". Ubicacion: "&amp;"https://www.google.com/maps/search/?api=1&amp;query="&amp;SUBSTITUTE(F907," ","")),"📲 Avisar al cliente"),"")</f>
        <v/>
      </c>
      <c r="L907" s="8">
        <f>IF(C907&lt;&gt;"","https://api.qrserver.com/v1/create-qr-code/?size=200x200&amp;data="&amp;ENCODEURL("https://wa.me/507"&amp;REGEXREPLACE(C907,"[^0-9]","")&amp;"?text="&amp;ENCODEURL("Ya llegue. Codigo: "&amp;A907&amp;". Ubicacion: "&amp;"https://www.google.com/maps/search/?api=1&amp;query="&amp;SUBSTITUTE(F907," ",""))),"")</f>
        <v/>
      </c>
      <c r="M907" s="8">
        <f>IF(B907&lt;&gt;"",TODAY(),"")</f>
        <v/>
      </c>
      <c r="N907" s="8">
        <f>IF(F907&lt;&gt;"",IFERROR(IF(AND(REGEXMATCH(SUBSTITUTE(TRIM(F907)," ",""),"^-?\d+(\.\d+)?,-?\d+(\.\d+)?$"),VALUE(REGEXEXTRACT(SUBSTITUTE(TRIM(F907)," ",""),"^-?\d+(\.\d+)?"))&gt;=-90,VALUE(REGEXEXTRACT(SUBSTITUTE(TRIM(F907)," ",""),"^-?\d+(\.\d+)?"))&lt;=90,VALUE(REGEXEXTRACT(SUBSTITUTE(TRIM(F907)," ",""),"-?\d+(\.\d+)?$"))&gt;=-180,VALUE(REGEXEXTRACT(SUBSTITUTE(TRIM(F907)," ",""),"-?\d+(\.\d+)?$"))&lt;=180),"OK","REVISAR"),"REVISAR"),"")</f>
        <v/>
      </c>
      <c r="O907">
        <f>IF(A907&lt;&gt;"","https://direcciones507.github.io/direcciones507/panel.html?codigo="&amp;A907&amp;"&amp;nombre="&amp;ENCODEURL(B907)&amp;"&amp;telefono="&amp;SUBSTITUTE(C907,"-","")&amp;"&amp;referencia="&amp;ENCODEURL(E907)&amp;"&amp;lat="&amp;IZQUIERDA(SUBSTITUTE(F907," ",""),ENCONTRAR(",",SUBSTITUTE(F907," ",""))-1)&amp;"&amp;lng="&amp;DERECHA(SUBSTITUTE(F907," ",""),LARGO(SUBSTITUTE(F907," ",""))-ENCONTRAR(",",SUBSTITUTE(F907," ",""))),"")</f>
        <v/>
      </c>
    </row>
    <row r="908" ht="15.75" customHeight="1" s="10">
      <c r="A908" s="8">
        <f>CONCAT("AD507-",TEXT(ROW()-2,"0000"))</f>
        <v/>
      </c>
      <c r="C908" s="8" t="n"/>
      <c r="F908" s="8" t="n"/>
      <c r="G908" s="8">
        <f>IF(F908&lt;&gt;"",HYPERLINK("https://www.google.com/maps/search/?api=1&amp;query="&amp;SUBSTITUTE(F908," ",""),"🗺 Google Maps"),"")</f>
        <v/>
      </c>
      <c r="H908" s="8">
        <f>IF(F908&lt;&gt;"",HYPERLINK("https://waze.com/ul?ll="&amp;SUBSTITUTE(F908," ","")&amp;"&amp;navigate=yes","🚗 Waze"),"")</f>
        <v/>
      </c>
      <c r="I908" s="8">
        <f>IF(F908&lt;&gt;"",HYPERLINK("https://m.uber.com/ul/?action=setPickup&amp;pickup=my_location&amp;dropoff[latitude]="&amp;LEFT(SUBSTITUTE(F908," ",""),FIND(",",SUBSTITUTE(F908," ",""))-1)&amp;"&amp;dropoff[longitude]="&amp;MID(SUBSTITUTE(F908," ",""),FIND(",",SUBSTITUTE(F908," ",""))+1,99),"🚕 Uber"),"")</f>
        <v/>
      </c>
      <c r="J908" s="8">
        <f>IF(F908&lt;&gt;"","https://api.qrserver.com/v1/create-qr-code/?size=200x200&amp;data="&amp;ENCODEURL("https://www.google.com/maps/search/?api=1&amp;query="&amp;SUBSTITUTE(F908," ","")),"")</f>
        <v/>
      </c>
      <c r="K908" s="8">
        <f>IF(C908&lt;&gt;"",HYPERLINK("https://wa.me/507"&amp;REGEXREPLACE(C908,"[^0-9]","")&amp;"?text="&amp;ENCODEURL("Ya llegue. Codigo: "&amp;A908&amp;". Ubicacion: "&amp;"https://www.google.com/maps/search/?api=1&amp;query="&amp;SUBSTITUTE(F908," ","")),"📲 Avisar al cliente"),"")</f>
        <v/>
      </c>
      <c r="L908" s="8">
        <f>IF(C908&lt;&gt;"","https://api.qrserver.com/v1/create-qr-code/?size=200x200&amp;data="&amp;ENCODEURL("https://wa.me/507"&amp;REGEXREPLACE(C908,"[^0-9]","")&amp;"?text="&amp;ENCODEURL("Ya llegue. Codigo: "&amp;A908&amp;". Ubicacion: "&amp;"https://www.google.com/maps/search/?api=1&amp;query="&amp;SUBSTITUTE(F908," ",""))),"")</f>
        <v/>
      </c>
      <c r="M908" s="8">
        <f>IF(B908&lt;&gt;"",TODAY(),"")</f>
        <v/>
      </c>
      <c r="N908" s="8">
        <f>IF(F908&lt;&gt;"",IFERROR(IF(AND(REGEXMATCH(SUBSTITUTE(TRIM(F908)," ",""),"^-?\d+(\.\d+)?,-?\d+(\.\d+)?$"),VALUE(REGEXEXTRACT(SUBSTITUTE(TRIM(F908)," ",""),"^-?\d+(\.\d+)?"))&gt;=-90,VALUE(REGEXEXTRACT(SUBSTITUTE(TRIM(F908)," ",""),"^-?\d+(\.\d+)?"))&lt;=90,VALUE(REGEXEXTRACT(SUBSTITUTE(TRIM(F908)," ",""),"-?\d+(\.\d+)?$"))&gt;=-180,VALUE(REGEXEXTRACT(SUBSTITUTE(TRIM(F908)," ",""),"-?\d+(\.\d+)?$"))&lt;=180),"OK","REVISAR"),"REVISAR"),"")</f>
        <v/>
      </c>
      <c r="O908">
        <f>IF(A908&lt;&gt;"","https://direcciones507.github.io/direcciones507/panel.html?codigo="&amp;A908&amp;"&amp;nombre="&amp;ENCODEURL(B908)&amp;"&amp;telefono="&amp;SUBSTITUTE(C908,"-","")&amp;"&amp;referencia="&amp;ENCODEURL(E908)&amp;"&amp;lat="&amp;IZQUIERDA(SUBSTITUTE(F908," ",""),ENCONTRAR(",",SUBSTITUTE(F908," ",""))-1)&amp;"&amp;lng="&amp;DERECHA(SUBSTITUTE(F908," ",""),LARGO(SUBSTITUTE(F908," ",""))-ENCONTRAR(",",SUBSTITUTE(F908," ",""))),"")</f>
        <v/>
      </c>
    </row>
    <row r="909" ht="15.75" customHeight="1" s="10">
      <c r="A909" s="8">
        <f>CONCAT("AD507-",TEXT(ROW()-2,"0000"))</f>
        <v/>
      </c>
      <c r="C909" s="8" t="n"/>
      <c r="F909" s="8" t="n"/>
      <c r="G909" s="8">
        <f>IF(F909&lt;&gt;"",HYPERLINK("https://www.google.com/maps/search/?api=1&amp;query="&amp;SUBSTITUTE(F909," ",""),"🗺 Google Maps"),"")</f>
        <v/>
      </c>
      <c r="H909" s="8">
        <f>IF(F909&lt;&gt;"",HYPERLINK("https://waze.com/ul?ll="&amp;SUBSTITUTE(F909," ","")&amp;"&amp;navigate=yes","🚗 Waze"),"")</f>
        <v/>
      </c>
      <c r="I909" s="8">
        <f>IF(F909&lt;&gt;"",HYPERLINK("https://m.uber.com/ul/?action=setPickup&amp;pickup=my_location&amp;dropoff[latitude]="&amp;LEFT(SUBSTITUTE(F909," ",""),FIND(",",SUBSTITUTE(F909," ",""))-1)&amp;"&amp;dropoff[longitude]="&amp;MID(SUBSTITUTE(F909," ",""),FIND(",",SUBSTITUTE(F909," ",""))+1,99),"🚕 Uber"),"")</f>
        <v/>
      </c>
      <c r="J909" s="8">
        <f>IF(F909&lt;&gt;"","https://api.qrserver.com/v1/create-qr-code/?size=200x200&amp;data="&amp;ENCODEURL("https://www.google.com/maps/search/?api=1&amp;query="&amp;SUBSTITUTE(F909," ","")),"")</f>
        <v/>
      </c>
      <c r="K909" s="8">
        <f>IF(C909&lt;&gt;"",HYPERLINK("https://wa.me/507"&amp;REGEXREPLACE(C909,"[^0-9]","")&amp;"?text="&amp;ENCODEURL("Ya llegue. Codigo: "&amp;A909&amp;". Ubicacion: "&amp;"https://www.google.com/maps/search/?api=1&amp;query="&amp;SUBSTITUTE(F909," ","")),"📲 Avisar al cliente"),"")</f>
        <v/>
      </c>
      <c r="L909" s="8">
        <f>IF(C909&lt;&gt;"","https://api.qrserver.com/v1/create-qr-code/?size=200x200&amp;data="&amp;ENCODEURL("https://wa.me/507"&amp;REGEXREPLACE(C909,"[^0-9]","")&amp;"?text="&amp;ENCODEURL("Ya llegue. Codigo: "&amp;A909&amp;". Ubicacion: "&amp;"https://www.google.com/maps/search/?api=1&amp;query="&amp;SUBSTITUTE(F909," ",""))),"")</f>
        <v/>
      </c>
      <c r="M909" s="8">
        <f>IF(B909&lt;&gt;"",TODAY(),"")</f>
        <v/>
      </c>
      <c r="N909" s="8">
        <f>IF(F909&lt;&gt;"",IFERROR(IF(AND(REGEXMATCH(SUBSTITUTE(TRIM(F909)," ",""),"^-?\d+(\.\d+)?,-?\d+(\.\d+)?$"),VALUE(REGEXEXTRACT(SUBSTITUTE(TRIM(F909)," ",""),"^-?\d+(\.\d+)?"))&gt;=-90,VALUE(REGEXEXTRACT(SUBSTITUTE(TRIM(F909)," ",""),"^-?\d+(\.\d+)?"))&lt;=90,VALUE(REGEXEXTRACT(SUBSTITUTE(TRIM(F909)," ",""),"-?\d+(\.\d+)?$"))&gt;=-180,VALUE(REGEXEXTRACT(SUBSTITUTE(TRIM(F909)," ",""),"-?\d+(\.\d+)?$"))&lt;=180),"OK","REVISAR"),"REVISAR"),"")</f>
        <v/>
      </c>
      <c r="O909">
        <f>IF(A909&lt;&gt;"","https://direcciones507.github.io/direcciones507/panel.html?codigo="&amp;A909&amp;"&amp;nombre="&amp;ENCODEURL(B909)&amp;"&amp;telefono="&amp;SUBSTITUTE(C909,"-","")&amp;"&amp;referencia="&amp;ENCODEURL(E909)&amp;"&amp;lat="&amp;IZQUIERDA(SUBSTITUTE(F909," ",""),ENCONTRAR(",",SUBSTITUTE(F909," ",""))-1)&amp;"&amp;lng="&amp;DERECHA(SUBSTITUTE(F909," ",""),LARGO(SUBSTITUTE(F909," ",""))-ENCONTRAR(",",SUBSTITUTE(F909," ",""))),"")</f>
        <v/>
      </c>
    </row>
    <row r="910" ht="15.75" customHeight="1" s="10">
      <c r="A910" s="8">
        <f>CONCAT("AD507-",TEXT(ROW()-2,"0000"))</f>
        <v/>
      </c>
      <c r="C910" s="8" t="n"/>
      <c r="F910" s="8" t="n"/>
      <c r="G910" s="8">
        <f>IF(F910&lt;&gt;"",HYPERLINK("https://www.google.com/maps/search/?api=1&amp;query="&amp;SUBSTITUTE(F910," ",""),"🗺 Google Maps"),"")</f>
        <v/>
      </c>
      <c r="H910" s="8">
        <f>IF(F910&lt;&gt;"",HYPERLINK("https://waze.com/ul?ll="&amp;SUBSTITUTE(F910," ","")&amp;"&amp;navigate=yes","🚗 Waze"),"")</f>
        <v/>
      </c>
      <c r="I910" s="8">
        <f>IF(F910&lt;&gt;"",HYPERLINK("https://m.uber.com/ul/?action=setPickup&amp;pickup=my_location&amp;dropoff[latitude]="&amp;LEFT(SUBSTITUTE(F910," ",""),FIND(",",SUBSTITUTE(F910," ",""))-1)&amp;"&amp;dropoff[longitude]="&amp;MID(SUBSTITUTE(F910," ",""),FIND(",",SUBSTITUTE(F910," ",""))+1,99),"🚕 Uber"),"")</f>
        <v/>
      </c>
      <c r="J910" s="8">
        <f>IF(F910&lt;&gt;"","https://api.qrserver.com/v1/create-qr-code/?size=200x200&amp;data="&amp;ENCODEURL("https://www.google.com/maps/search/?api=1&amp;query="&amp;SUBSTITUTE(F910," ","")),"")</f>
        <v/>
      </c>
      <c r="K910" s="8">
        <f>IF(C910&lt;&gt;"",HYPERLINK("https://wa.me/507"&amp;REGEXREPLACE(C910,"[^0-9]","")&amp;"?text="&amp;ENCODEURL("Ya llegue. Codigo: "&amp;A910&amp;". Ubicacion: "&amp;"https://www.google.com/maps/search/?api=1&amp;query="&amp;SUBSTITUTE(F910," ","")),"📲 Avisar al cliente"),"")</f>
        <v/>
      </c>
      <c r="L910" s="8">
        <f>IF(C910&lt;&gt;"","https://api.qrserver.com/v1/create-qr-code/?size=200x200&amp;data="&amp;ENCODEURL("https://wa.me/507"&amp;REGEXREPLACE(C910,"[^0-9]","")&amp;"?text="&amp;ENCODEURL("Ya llegue. Codigo: "&amp;A910&amp;". Ubicacion: "&amp;"https://www.google.com/maps/search/?api=1&amp;query="&amp;SUBSTITUTE(F910," ",""))),"")</f>
        <v/>
      </c>
      <c r="M910" s="8">
        <f>IF(B910&lt;&gt;"",TODAY(),"")</f>
        <v/>
      </c>
      <c r="N910" s="8">
        <f>IF(F910&lt;&gt;"",IFERROR(IF(AND(REGEXMATCH(SUBSTITUTE(TRIM(F910)," ",""),"^-?\d+(\.\d+)?,-?\d+(\.\d+)?$"),VALUE(REGEXEXTRACT(SUBSTITUTE(TRIM(F910)," ",""),"^-?\d+(\.\d+)?"))&gt;=-90,VALUE(REGEXEXTRACT(SUBSTITUTE(TRIM(F910)," ",""),"^-?\d+(\.\d+)?"))&lt;=90,VALUE(REGEXEXTRACT(SUBSTITUTE(TRIM(F910)," ",""),"-?\d+(\.\d+)?$"))&gt;=-180,VALUE(REGEXEXTRACT(SUBSTITUTE(TRIM(F910)," ",""),"-?\d+(\.\d+)?$"))&lt;=180),"OK","REVISAR"),"REVISAR"),"")</f>
        <v/>
      </c>
      <c r="O910">
        <f>IF(A910&lt;&gt;"","https://direcciones507.github.io/direcciones507/panel.html?codigo="&amp;A910&amp;"&amp;nombre="&amp;ENCODEURL(B910)&amp;"&amp;telefono="&amp;SUBSTITUTE(C910,"-","")&amp;"&amp;referencia="&amp;ENCODEURL(E910)&amp;"&amp;lat="&amp;IZQUIERDA(SUBSTITUTE(F910," ",""),ENCONTRAR(",",SUBSTITUTE(F910," ",""))-1)&amp;"&amp;lng="&amp;DERECHA(SUBSTITUTE(F910," ",""),LARGO(SUBSTITUTE(F910," ",""))-ENCONTRAR(",",SUBSTITUTE(F910," ",""))),"")</f>
        <v/>
      </c>
    </row>
    <row r="911" ht="15.75" customHeight="1" s="10">
      <c r="A911" s="8">
        <f>CONCAT("AD507-",TEXT(ROW()-2,"0000"))</f>
        <v/>
      </c>
      <c r="C911" s="8" t="n"/>
      <c r="F911" s="8" t="n"/>
      <c r="G911" s="8">
        <f>IF(F911&lt;&gt;"",HYPERLINK("https://www.google.com/maps/search/?api=1&amp;query="&amp;SUBSTITUTE(F911," ",""),"🗺 Google Maps"),"")</f>
        <v/>
      </c>
      <c r="H911" s="8">
        <f>IF(F911&lt;&gt;"",HYPERLINK("https://waze.com/ul?ll="&amp;SUBSTITUTE(F911," ","")&amp;"&amp;navigate=yes","🚗 Waze"),"")</f>
        <v/>
      </c>
      <c r="I911" s="8">
        <f>IF(F911&lt;&gt;"",HYPERLINK("https://m.uber.com/ul/?action=setPickup&amp;pickup=my_location&amp;dropoff[latitude]="&amp;LEFT(SUBSTITUTE(F911," ",""),FIND(",",SUBSTITUTE(F911," ",""))-1)&amp;"&amp;dropoff[longitude]="&amp;MID(SUBSTITUTE(F911," ",""),FIND(",",SUBSTITUTE(F911," ",""))+1,99),"🚕 Uber"),"")</f>
        <v/>
      </c>
      <c r="J911" s="8">
        <f>IF(F911&lt;&gt;"","https://api.qrserver.com/v1/create-qr-code/?size=200x200&amp;data="&amp;ENCODEURL("https://www.google.com/maps/search/?api=1&amp;query="&amp;SUBSTITUTE(F911," ","")),"")</f>
        <v/>
      </c>
      <c r="K911" s="8">
        <f>IF(C911&lt;&gt;"",HYPERLINK("https://wa.me/507"&amp;REGEXREPLACE(C911,"[^0-9]","")&amp;"?text="&amp;ENCODEURL("Ya llegue. Codigo: "&amp;A911&amp;". Ubicacion: "&amp;"https://www.google.com/maps/search/?api=1&amp;query="&amp;SUBSTITUTE(F911," ","")),"📲 Avisar al cliente"),"")</f>
        <v/>
      </c>
      <c r="L911" s="8">
        <f>IF(C911&lt;&gt;"","https://api.qrserver.com/v1/create-qr-code/?size=200x200&amp;data="&amp;ENCODEURL("https://wa.me/507"&amp;REGEXREPLACE(C911,"[^0-9]","")&amp;"?text="&amp;ENCODEURL("Ya llegue. Codigo: "&amp;A911&amp;". Ubicacion: "&amp;"https://www.google.com/maps/search/?api=1&amp;query="&amp;SUBSTITUTE(F911," ",""))),"")</f>
        <v/>
      </c>
      <c r="M911" s="8">
        <f>IF(B911&lt;&gt;"",TODAY(),"")</f>
        <v/>
      </c>
      <c r="N911" s="8">
        <f>IF(F911&lt;&gt;"",IFERROR(IF(AND(REGEXMATCH(SUBSTITUTE(TRIM(F911)," ",""),"^-?\d+(\.\d+)?,-?\d+(\.\d+)?$"),VALUE(REGEXEXTRACT(SUBSTITUTE(TRIM(F911)," ",""),"^-?\d+(\.\d+)?"))&gt;=-90,VALUE(REGEXEXTRACT(SUBSTITUTE(TRIM(F911)," ",""),"^-?\d+(\.\d+)?"))&lt;=90,VALUE(REGEXEXTRACT(SUBSTITUTE(TRIM(F911)," ",""),"-?\d+(\.\d+)?$"))&gt;=-180,VALUE(REGEXEXTRACT(SUBSTITUTE(TRIM(F911)," ",""),"-?\d+(\.\d+)?$"))&lt;=180),"OK","REVISAR"),"REVISAR"),"")</f>
        <v/>
      </c>
      <c r="O911">
        <f>IF(A911&lt;&gt;"","https://direcciones507.github.io/direcciones507/panel.html?codigo="&amp;A911&amp;"&amp;nombre="&amp;ENCODEURL(B911)&amp;"&amp;telefono="&amp;SUBSTITUTE(C911,"-","")&amp;"&amp;referencia="&amp;ENCODEURL(E911)&amp;"&amp;lat="&amp;IZQUIERDA(SUBSTITUTE(F911," ",""),ENCONTRAR(",",SUBSTITUTE(F911," ",""))-1)&amp;"&amp;lng="&amp;DERECHA(SUBSTITUTE(F911," ",""),LARGO(SUBSTITUTE(F911," ",""))-ENCONTRAR(",",SUBSTITUTE(F911," ",""))),"")</f>
        <v/>
      </c>
    </row>
    <row r="912" ht="15.75" customHeight="1" s="10">
      <c r="A912" s="8">
        <f>CONCAT("AD507-",TEXT(ROW()-2,"0000"))</f>
        <v/>
      </c>
      <c r="C912" s="8" t="n"/>
      <c r="F912" s="8" t="n"/>
      <c r="G912" s="8">
        <f>IF(F912&lt;&gt;"",HYPERLINK("https://www.google.com/maps/search/?api=1&amp;query="&amp;SUBSTITUTE(F912," ",""),"🗺 Google Maps"),"")</f>
        <v/>
      </c>
      <c r="H912" s="8">
        <f>IF(F912&lt;&gt;"",HYPERLINK("https://waze.com/ul?ll="&amp;SUBSTITUTE(F912," ","")&amp;"&amp;navigate=yes","🚗 Waze"),"")</f>
        <v/>
      </c>
      <c r="I912" s="8">
        <f>IF(F912&lt;&gt;"",HYPERLINK("https://m.uber.com/ul/?action=setPickup&amp;pickup=my_location&amp;dropoff[latitude]="&amp;LEFT(SUBSTITUTE(F912," ",""),FIND(",",SUBSTITUTE(F912," ",""))-1)&amp;"&amp;dropoff[longitude]="&amp;MID(SUBSTITUTE(F912," ",""),FIND(",",SUBSTITUTE(F912," ",""))+1,99),"🚕 Uber"),"")</f>
        <v/>
      </c>
      <c r="J912" s="8">
        <f>IF(F912&lt;&gt;"","https://api.qrserver.com/v1/create-qr-code/?size=200x200&amp;data="&amp;ENCODEURL("https://www.google.com/maps/search/?api=1&amp;query="&amp;SUBSTITUTE(F912," ","")),"")</f>
        <v/>
      </c>
      <c r="K912" s="8">
        <f>IF(C912&lt;&gt;"",HYPERLINK("https://wa.me/507"&amp;REGEXREPLACE(C912,"[^0-9]","")&amp;"?text="&amp;ENCODEURL("Ya llegue. Codigo: "&amp;A912&amp;". Ubicacion: "&amp;"https://www.google.com/maps/search/?api=1&amp;query="&amp;SUBSTITUTE(F912," ","")),"📲 Avisar al cliente"),"")</f>
        <v/>
      </c>
      <c r="L912" s="8">
        <f>IF(C912&lt;&gt;"","https://api.qrserver.com/v1/create-qr-code/?size=200x200&amp;data="&amp;ENCODEURL("https://wa.me/507"&amp;REGEXREPLACE(C912,"[^0-9]","")&amp;"?text="&amp;ENCODEURL("Ya llegue. Codigo: "&amp;A912&amp;". Ubicacion: "&amp;"https://www.google.com/maps/search/?api=1&amp;query="&amp;SUBSTITUTE(F912," ",""))),"")</f>
        <v/>
      </c>
      <c r="M912" s="8">
        <f>IF(B912&lt;&gt;"",TODAY(),"")</f>
        <v/>
      </c>
      <c r="N912" s="8">
        <f>IF(F912&lt;&gt;"",IFERROR(IF(AND(REGEXMATCH(SUBSTITUTE(TRIM(F912)," ",""),"^-?\d+(\.\d+)?,-?\d+(\.\d+)?$"),VALUE(REGEXEXTRACT(SUBSTITUTE(TRIM(F912)," ",""),"^-?\d+(\.\d+)?"))&gt;=-90,VALUE(REGEXEXTRACT(SUBSTITUTE(TRIM(F912)," ",""),"^-?\d+(\.\d+)?"))&lt;=90,VALUE(REGEXEXTRACT(SUBSTITUTE(TRIM(F912)," ",""),"-?\d+(\.\d+)?$"))&gt;=-180,VALUE(REGEXEXTRACT(SUBSTITUTE(TRIM(F912)," ",""),"-?\d+(\.\d+)?$"))&lt;=180),"OK","REVISAR"),"REVISAR"),"")</f>
        <v/>
      </c>
      <c r="O912">
        <f>IF(A912&lt;&gt;"","https://direcciones507.github.io/direcciones507/panel.html?codigo="&amp;A912&amp;"&amp;nombre="&amp;ENCODEURL(B912)&amp;"&amp;telefono="&amp;SUBSTITUTE(C912,"-","")&amp;"&amp;referencia="&amp;ENCODEURL(E912)&amp;"&amp;lat="&amp;IZQUIERDA(SUBSTITUTE(F912," ",""),ENCONTRAR(",",SUBSTITUTE(F912," ",""))-1)&amp;"&amp;lng="&amp;DERECHA(SUBSTITUTE(F912," ",""),LARGO(SUBSTITUTE(F912," ",""))-ENCONTRAR(",",SUBSTITUTE(F912," ",""))),"")</f>
        <v/>
      </c>
    </row>
    <row r="913" ht="15.75" customHeight="1" s="10">
      <c r="A913" s="8">
        <f>CONCAT("AD507-",TEXT(ROW()-2,"0000"))</f>
        <v/>
      </c>
      <c r="C913" s="8" t="n"/>
      <c r="F913" s="8" t="n"/>
      <c r="G913" s="8">
        <f>IF(F913&lt;&gt;"",HYPERLINK("https://www.google.com/maps/search/?api=1&amp;query="&amp;SUBSTITUTE(F913," ",""),"🗺 Google Maps"),"")</f>
        <v/>
      </c>
      <c r="H913" s="8">
        <f>IF(F913&lt;&gt;"",HYPERLINK("https://waze.com/ul?ll="&amp;SUBSTITUTE(F913," ","")&amp;"&amp;navigate=yes","🚗 Waze"),"")</f>
        <v/>
      </c>
      <c r="I913" s="8">
        <f>IF(F913&lt;&gt;"",HYPERLINK("https://m.uber.com/ul/?action=setPickup&amp;pickup=my_location&amp;dropoff[latitude]="&amp;LEFT(SUBSTITUTE(F913," ",""),FIND(",",SUBSTITUTE(F913," ",""))-1)&amp;"&amp;dropoff[longitude]="&amp;MID(SUBSTITUTE(F913," ",""),FIND(",",SUBSTITUTE(F913," ",""))+1,99),"🚕 Uber"),"")</f>
        <v/>
      </c>
      <c r="J913" s="8">
        <f>IF(F913&lt;&gt;"","https://api.qrserver.com/v1/create-qr-code/?size=200x200&amp;data="&amp;ENCODEURL("https://www.google.com/maps/search/?api=1&amp;query="&amp;SUBSTITUTE(F913," ","")),"")</f>
        <v/>
      </c>
      <c r="K913" s="8">
        <f>IF(C913&lt;&gt;"",HYPERLINK("https://wa.me/507"&amp;REGEXREPLACE(C913,"[^0-9]","")&amp;"?text="&amp;ENCODEURL("Ya llegue. Codigo: "&amp;A913&amp;". Ubicacion: "&amp;"https://www.google.com/maps/search/?api=1&amp;query="&amp;SUBSTITUTE(F913," ","")),"📲 Avisar al cliente"),"")</f>
        <v/>
      </c>
      <c r="L913" s="8">
        <f>IF(C913&lt;&gt;"","https://api.qrserver.com/v1/create-qr-code/?size=200x200&amp;data="&amp;ENCODEURL("https://wa.me/507"&amp;REGEXREPLACE(C913,"[^0-9]","")&amp;"?text="&amp;ENCODEURL("Ya llegue. Codigo: "&amp;A913&amp;". Ubicacion: "&amp;"https://www.google.com/maps/search/?api=1&amp;query="&amp;SUBSTITUTE(F913," ",""))),"")</f>
        <v/>
      </c>
      <c r="M913" s="8">
        <f>IF(B913&lt;&gt;"",TODAY(),"")</f>
        <v/>
      </c>
      <c r="N913" s="8">
        <f>IF(F913&lt;&gt;"",IFERROR(IF(AND(REGEXMATCH(SUBSTITUTE(TRIM(F913)," ",""),"^-?\d+(\.\d+)?,-?\d+(\.\d+)?$"),VALUE(REGEXEXTRACT(SUBSTITUTE(TRIM(F913)," ",""),"^-?\d+(\.\d+)?"))&gt;=-90,VALUE(REGEXEXTRACT(SUBSTITUTE(TRIM(F913)," ",""),"^-?\d+(\.\d+)?"))&lt;=90,VALUE(REGEXEXTRACT(SUBSTITUTE(TRIM(F913)," ",""),"-?\d+(\.\d+)?$"))&gt;=-180,VALUE(REGEXEXTRACT(SUBSTITUTE(TRIM(F913)," ",""),"-?\d+(\.\d+)?$"))&lt;=180),"OK","REVISAR"),"REVISAR"),"")</f>
        <v/>
      </c>
      <c r="O913">
        <f>IF(A913&lt;&gt;"","https://direcciones507.github.io/direcciones507/panel.html?codigo="&amp;A913&amp;"&amp;nombre="&amp;ENCODEURL(B913)&amp;"&amp;telefono="&amp;SUBSTITUTE(C913,"-","")&amp;"&amp;referencia="&amp;ENCODEURL(E913)&amp;"&amp;lat="&amp;IZQUIERDA(SUBSTITUTE(F913," ",""),ENCONTRAR(",",SUBSTITUTE(F913," ",""))-1)&amp;"&amp;lng="&amp;DERECHA(SUBSTITUTE(F913," ",""),LARGO(SUBSTITUTE(F913," ",""))-ENCONTRAR(",",SUBSTITUTE(F913," ",""))),"")</f>
        <v/>
      </c>
    </row>
    <row r="914" ht="15.75" customHeight="1" s="10">
      <c r="A914" s="8">
        <f>CONCAT("AD507-",TEXT(ROW()-2,"0000"))</f>
        <v/>
      </c>
      <c r="C914" s="8" t="n"/>
      <c r="F914" s="8" t="n"/>
      <c r="G914" s="8">
        <f>IF(F914&lt;&gt;"",HYPERLINK("https://www.google.com/maps/search/?api=1&amp;query="&amp;SUBSTITUTE(F914," ",""),"🗺 Google Maps"),"")</f>
        <v/>
      </c>
      <c r="H914" s="8">
        <f>IF(F914&lt;&gt;"",HYPERLINK("https://waze.com/ul?ll="&amp;SUBSTITUTE(F914," ","")&amp;"&amp;navigate=yes","🚗 Waze"),"")</f>
        <v/>
      </c>
      <c r="I914" s="8">
        <f>IF(F914&lt;&gt;"",HYPERLINK("https://m.uber.com/ul/?action=setPickup&amp;pickup=my_location&amp;dropoff[latitude]="&amp;LEFT(SUBSTITUTE(F914," ",""),FIND(",",SUBSTITUTE(F914," ",""))-1)&amp;"&amp;dropoff[longitude]="&amp;MID(SUBSTITUTE(F914," ",""),FIND(",",SUBSTITUTE(F914," ",""))+1,99),"🚕 Uber"),"")</f>
        <v/>
      </c>
      <c r="J914" s="8">
        <f>IF(F914&lt;&gt;"","https://api.qrserver.com/v1/create-qr-code/?size=200x200&amp;data="&amp;ENCODEURL("https://www.google.com/maps/search/?api=1&amp;query="&amp;SUBSTITUTE(F914," ","")),"")</f>
        <v/>
      </c>
      <c r="K914" s="8">
        <f>IF(C914&lt;&gt;"",HYPERLINK("https://wa.me/507"&amp;REGEXREPLACE(C914,"[^0-9]","")&amp;"?text="&amp;ENCODEURL("Ya llegue. Codigo: "&amp;A914&amp;". Ubicacion: "&amp;"https://www.google.com/maps/search/?api=1&amp;query="&amp;SUBSTITUTE(F914," ","")),"📲 Avisar al cliente"),"")</f>
        <v/>
      </c>
      <c r="L914" s="8">
        <f>IF(C914&lt;&gt;"","https://api.qrserver.com/v1/create-qr-code/?size=200x200&amp;data="&amp;ENCODEURL("https://wa.me/507"&amp;REGEXREPLACE(C914,"[^0-9]","")&amp;"?text="&amp;ENCODEURL("Ya llegue. Codigo: "&amp;A914&amp;". Ubicacion: "&amp;"https://www.google.com/maps/search/?api=1&amp;query="&amp;SUBSTITUTE(F914," ",""))),"")</f>
        <v/>
      </c>
      <c r="M914" s="8">
        <f>IF(B914&lt;&gt;"",TODAY(),"")</f>
        <v/>
      </c>
      <c r="N914" s="8">
        <f>IF(F914&lt;&gt;"",IFERROR(IF(AND(REGEXMATCH(SUBSTITUTE(TRIM(F914)," ",""),"^-?\d+(\.\d+)?,-?\d+(\.\d+)?$"),VALUE(REGEXEXTRACT(SUBSTITUTE(TRIM(F914)," ",""),"^-?\d+(\.\d+)?"))&gt;=-90,VALUE(REGEXEXTRACT(SUBSTITUTE(TRIM(F914)," ",""),"^-?\d+(\.\d+)?"))&lt;=90,VALUE(REGEXEXTRACT(SUBSTITUTE(TRIM(F914)," ",""),"-?\d+(\.\d+)?$"))&gt;=-180,VALUE(REGEXEXTRACT(SUBSTITUTE(TRIM(F914)," ",""),"-?\d+(\.\d+)?$"))&lt;=180),"OK","REVISAR"),"REVISAR"),"")</f>
        <v/>
      </c>
      <c r="O914">
        <f>IF(A914&lt;&gt;"","https://direcciones507.github.io/direcciones507/panel.html?codigo="&amp;A914&amp;"&amp;nombre="&amp;ENCODEURL(B914)&amp;"&amp;telefono="&amp;SUBSTITUTE(C914,"-","")&amp;"&amp;referencia="&amp;ENCODEURL(E914)&amp;"&amp;lat="&amp;IZQUIERDA(SUBSTITUTE(F914," ",""),ENCONTRAR(",",SUBSTITUTE(F914," ",""))-1)&amp;"&amp;lng="&amp;DERECHA(SUBSTITUTE(F914," ",""),LARGO(SUBSTITUTE(F914," ",""))-ENCONTRAR(",",SUBSTITUTE(F914," ",""))),"")</f>
        <v/>
      </c>
    </row>
    <row r="915" ht="15.75" customHeight="1" s="10">
      <c r="A915" s="8">
        <f>CONCAT("AD507-",TEXT(ROW()-2,"0000"))</f>
        <v/>
      </c>
      <c r="C915" s="8" t="n"/>
      <c r="F915" s="8" t="n"/>
      <c r="G915" s="8">
        <f>IF(F915&lt;&gt;"",HYPERLINK("https://www.google.com/maps/search/?api=1&amp;query="&amp;SUBSTITUTE(F915," ",""),"🗺 Google Maps"),"")</f>
        <v/>
      </c>
      <c r="H915" s="8">
        <f>IF(F915&lt;&gt;"",HYPERLINK("https://waze.com/ul?ll="&amp;SUBSTITUTE(F915," ","")&amp;"&amp;navigate=yes","🚗 Waze"),"")</f>
        <v/>
      </c>
      <c r="I915" s="8">
        <f>IF(F915&lt;&gt;"",HYPERLINK("https://m.uber.com/ul/?action=setPickup&amp;pickup=my_location&amp;dropoff[latitude]="&amp;LEFT(SUBSTITUTE(F915," ",""),FIND(",",SUBSTITUTE(F915," ",""))-1)&amp;"&amp;dropoff[longitude]="&amp;MID(SUBSTITUTE(F915," ",""),FIND(",",SUBSTITUTE(F915," ",""))+1,99),"🚕 Uber"),"")</f>
        <v/>
      </c>
      <c r="J915" s="8">
        <f>IF(F915&lt;&gt;"","https://api.qrserver.com/v1/create-qr-code/?size=200x200&amp;data="&amp;ENCODEURL("https://www.google.com/maps/search/?api=1&amp;query="&amp;SUBSTITUTE(F915," ","")),"")</f>
        <v/>
      </c>
      <c r="K915" s="8">
        <f>IF(C915&lt;&gt;"",HYPERLINK("https://wa.me/507"&amp;REGEXREPLACE(C915,"[^0-9]","")&amp;"?text="&amp;ENCODEURL("Ya llegue. Codigo: "&amp;A915&amp;". Ubicacion: "&amp;"https://www.google.com/maps/search/?api=1&amp;query="&amp;SUBSTITUTE(F915," ","")),"📲 Avisar al cliente"),"")</f>
        <v/>
      </c>
      <c r="L915" s="8">
        <f>IF(C915&lt;&gt;"","https://api.qrserver.com/v1/create-qr-code/?size=200x200&amp;data="&amp;ENCODEURL("https://wa.me/507"&amp;REGEXREPLACE(C915,"[^0-9]","")&amp;"?text="&amp;ENCODEURL("Ya llegue. Codigo: "&amp;A915&amp;". Ubicacion: "&amp;"https://www.google.com/maps/search/?api=1&amp;query="&amp;SUBSTITUTE(F915," ",""))),"")</f>
        <v/>
      </c>
      <c r="M915" s="8">
        <f>IF(B915&lt;&gt;"",TODAY(),"")</f>
        <v/>
      </c>
      <c r="N915" s="8">
        <f>IF(F915&lt;&gt;"",IFERROR(IF(AND(REGEXMATCH(SUBSTITUTE(TRIM(F915)," ",""),"^-?\d+(\.\d+)?,-?\d+(\.\d+)?$"),VALUE(REGEXEXTRACT(SUBSTITUTE(TRIM(F915)," ",""),"^-?\d+(\.\d+)?"))&gt;=-90,VALUE(REGEXEXTRACT(SUBSTITUTE(TRIM(F915)," ",""),"^-?\d+(\.\d+)?"))&lt;=90,VALUE(REGEXEXTRACT(SUBSTITUTE(TRIM(F915)," ",""),"-?\d+(\.\d+)?$"))&gt;=-180,VALUE(REGEXEXTRACT(SUBSTITUTE(TRIM(F915)," ",""),"-?\d+(\.\d+)?$"))&lt;=180),"OK","REVISAR"),"REVISAR"),"")</f>
        <v/>
      </c>
      <c r="O915">
        <f>IF(A915&lt;&gt;"","https://direcciones507.github.io/direcciones507/panel.html?codigo="&amp;A915&amp;"&amp;nombre="&amp;ENCODEURL(B915)&amp;"&amp;telefono="&amp;SUBSTITUTE(C915,"-","")&amp;"&amp;referencia="&amp;ENCODEURL(E915)&amp;"&amp;lat="&amp;IZQUIERDA(SUBSTITUTE(F915," ",""),ENCONTRAR(",",SUBSTITUTE(F915," ",""))-1)&amp;"&amp;lng="&amp;DERECHA(SUBSTITUTE(F915," ",""),LARGO(SUBSTITUTE(F915," ",""))-ENCONTRAR(",",SUBSTITUTE(F915," ",""))),"")</f>
        <v/>
      </c>
    </row>
    <row r="916" ht="15.75" customHeight="1" s="10">
      <c r="A916" s="8">
        <f>CONCAT("AD507-",TEXT(ROW()-2,"0000"))</f>
        <v/>
      </c>
      <c r="C916" s="8" t="n"/>
      <c r="F916" s="8" t="n"/>
      <c r="G916" s="8">
        <f>IF(F916&lt;&gt;"",HYPERLINK("https://www.google.com/maps/search/?api=1&amp;query="&amp;SUBSTITUTE(F916," ",""),"🗺 Google Maps"),"")</f>
        <v/>
      </c>
      <c r="H916" s="8">
        <f>IF(F916&lt;&gt;"",HYPERLINK("https://waze.com/ul?ll="&amp;SUBSTITUTE(F916," ","")&amp;"&amp;navigate=yes","🚗 Waze"),"")</f>
        <v/>
      </c>
      <c r="I916" s="8">
        <f>IF(F916&lt;&gt;"",HYPERLINK("https://m.uber.com/ul/?action=setPickup&amp;pickup=my_location&amp;dropoff[latitude]="&amp;LEFT(SUBSTITUTE(F916," ",""),FIND(",",SUBSTITUTE(F916," ",""))-1)&amp;"&amp;dropoff[longitude]="&amp;MID(SUBSTITUTE(F916," ",""),FIND(",",SUBSTITUTE(F916," ",""))+1,99),"🚕 Uber"),"")</f>
        <v/>
      </c>
      <c r="J916" s="8">
        <f>IF(F916&lt;&gt;"","https://api.qrserver.com/v1/create-qr-code/?size=200x200&amp;data="&amp;ENCODEURL("https://www.google.com/maps/search/?api=1&amp;query="&amp;SUBSTITUTE(F916," ","")),"")</f>
        <v/>
      </c>
      <c r="K916" s="8">
        <f>IF(C916&lt;&gt;"",HYPERLINK("https://wa.me/507"&amp;REGEXREPLACE(C916,"[^0-9]","")&amp;"?text="&amp;ENCODEURL("Ya llegue. Codigo: "&amp;A916&amp;". Ubicacion: "&amp;"https://www.google.com/maps/search/?api=1&amp;query="&amp;SUBSTITUTE(F916," ","")),"📲 Avisar al cliente"),"")</f>
        <v/>
      </c>
      <c r="L916" s="8">
        <f>IF(C916&lt;&gt;"","https://api.qrserver.com/v1/create-qr-code/?size=200x200&amp;data="&amp;ENCODEURL("https://wa.me/507"&amp;REGEXREPLACE(C916,"[^0-9]","")&amp;"?text="&amp;ENCODEURL("Ya llegue. Codigo: "&amp;A916&amp;". Ubicacion: "&amp;"https://www.google.com/maps/search/?api=1&amp;query="&amp;SUBSTITUTE(F916," ",""))),"")</f>
        <v/>
      </c>
      <c r="M916" s="8">
        <f>IF(B916&lt;&gt;"",TODAY(),"")</f>
        <v/>
      </c>
      <c r="N916" s="8">
        <f>IF(F916&lt;&gt;"",IFERROR(IF(AND(REGEXMATCH(SUBSTITUTE(TRIM(F916)," ",""),"^-?\d+(\.\d+)?,-?\d+(\.\d+)?$"),VALUE(REGEXEXTRACT(SUBSTITUTE(TRIM(F916)," ",""),"^-?\d+(\.\d+)?"))&gt;=-90,VALUE(REGEXEXTRACT(SUBSTITUTE(TRIM(F916)," ",""),"^-?\d+(\.\d+)?"))&lt;=90,VALUE(REGEXEXTRACT(SUBSTITUTE(TRIM(F916)," ",""),"-?\d+(\.\d+)?$"))&gt;=-180,VALUE(REGEXEXTRACT(SUBSTITUTE(TRIM(F916)," ",""),"-?\d+(\.\d+)?$"))&lt;=180),"OK","REVISAR"),"REVISAR"),"")</f>
        <v/>
      </c>
      <c r="O916">
        <f>IF(A916&lt;&gt;"","https://direcciones507.github.io/direcciones507/panel.html?codigo="&amp;A916&amp;"&amp;nombre="&amp;ENCODEURL(B916)&amp;"&amp;telefono="&amp;SUBSTITUTE(C916,"-","")&amp;"&amp;referencia="&amp;ENCODEURL(E916)&amp;"&amp;lat="&amp;IZQUIERDA(SUBSTITUTE(F916," ",""),ENCONTRAR(",",SUBSTITUTE(F916," ",""))-1)&amp;"&amp;lng="&amp;DERECHA(SUBSTITUTE(F916," ",""),LARGO(SUBSTITUTE(F916," ",""))-ENCONTRAR(",",SUBSTITUTE(F916," ",""))),"")</f>
        <v/>
      </c>
    </row>
    <row r="917" ht="15.75" customHeight="1" s="10">
      <c r="A917" s="8">
        <f>CONCAT("AD507-",TEXT(ROW()-2,"0000"))</f>
        <v/>
      </c>
      <c r="C917" s="8" t="n"/>
      <c r="F917" s="8" t="n"/>
      <c r="G917" s="8">
        <f>IF(F917&lt;&gt;"",HYPERLINK("https://www.google.com/maps/search/?api=1&amp;query="&amp;SUBSTITUTE(F917," ",""),"🗺 Google Maps"),"")</f>
        <v/>
      </c>
      <c r="H917" s="8">
        <f>IF(F917&lt;&gt;"",HYPERLINK("https://waze.com/ul?ll="&amp;SUBSTITUTE(F917," ","")&amp;"&amp;navigate=yes","🚗 Waze"),"")</f>
        <v/>
      </c>
      <c r="I917" s="8">
        <f>IF(F917&lt;&gt;"",HYPERLINK("https://m.uber.com/ul/?action=setPickup&amp;pickup=my_location&amp;dropoff[latitude]="&amp;LEFT(SUBSTITUTE(F917," ",""),FIND(",",SUBSTITUTE(F917," ",""))-1)&amp;"&amp;dropoff[longitude]="&amp;MID(SUBSTITUTE(F917," ",""),FIND(",",SUBSTITUTE(F917," ",""))+1,99),"🚕 Uber"),"")</f>
        <v/>
      </c>
      <c r="J917" s="8">
        <f>IF(F917&lt;&gt;"","https://api.qrserver.com/v1/create-qr-code/?size=200x200&amp;data="&amp;ENCODEURL("https://www.google.com/maps/search/?api=1&amp;query="&amp;SUBSTITUTE(F917," ","")),"")</f>
        <v/>
      </c>
      <c r="K917" s="8">
        <f>IF(C917&lt;&gt;"",HYPERLINK("https://wa.me/507"&amp;REGEXREPLACE(C917,"[^0-9]","")&amp;"?text="&amp;ENCODEURL("Ya llegue. Codigo: "&amp;A917&amp;". Ubicacion: "&amp;"https://www.google.com/maps/search/?api=1&amp;query="&amp;SUBSTITUTE(F917," ","")),"📲 Avisar al cliente"),"")</f>
        <v/>
      </c>
      <c r="L917" s="8">
        <f>IF(C917&lt;&gt;"","https://api.qrserver.com/v1/create-qr-code/?size=200x200&amp;data="&amp;ENCODEURL("https://wa.me/507"&amp;REGEXREPLACE(C917,"[^0-9]","")&amp;"?text="&amp;ENCODEURL("Ya llegue. Codigo: "&amp;A917&amp;". Ubicacion: "&amp;"https://www.google.com/maps/search/?api=1&amp;query="&amp;SUBSTITUTE(F917," ",""))),"")</f>
        <v/>
      </c>
      <c r="M917" s="8">
        <f>IF(B917&lt;&gt;"",TODAY(),"")</f>
        <v/>
      </c>
      <c r="N917" s="8">
        <f>IF(F917&lt;&gt;"",IFERROR(IF(AND(REGEXMATCH(SUBSTITUTE(TRIM(F917)," ",""),"^-?\d+(\.\d+)?,-?\d+(\.\d+)?$"),VALUE(REGEXEXTRACT(SUBSTITUTE(TRIM(F917)," ",""),"^-?\d+(\.\d+)?"))&gt;=-90,VALUE(REGEXEXTRACT(SUBSTITUTE(TRIM(F917)," ",""),"^-?\d+(\.\d+)?"))&lt;=90,VALUE(REGEXEXTRACT(SUBSTITUTE(TRIM(F917)," ",""),"-?\d+(\.\d+)?$"))&gt;=-180,VALUE(REGEXEXTRACT(SUBSTITUTE(TRIM(F917)," ",""),"-?\d+(\.\d+)?$"))&lt;=180),"OK","REVISAR"),"REVISAR"),"")</f>
        <v/>
      </c>
      <c r="O917">
        <f>IF(A917&lt;&gt;"","https://direcciones507.github.io/direcciones507/panel.html?codigo="&amp;A917&amp;"&amp;nombre="&amp;ENCODEURL(B917)&amp;"&amp;telefono="&amp;SUBSTITUTE(C917,"-","")&amp;"&amp;referencia="&amp;ENCODEURL(E917)&amp;"&amp;lat="&amp;IZQUIERDA(SUBSTITUTE(F917," ",""),ENCONTRAR(",",SUBSTITUTE(F917," ",""))-1)&amp;"&amp;lng="&amp;DERECHA(SUBSTITUTE(F917," ",""),LARGO(SUBSTITUTE(F917," ",""))-ENCONTRAR(",",SUBSTITUTE(F917," ",""))),"")</f>
        <v/>
      </c>
    </row>
    <row r="918" ht="15.75" customHeight="1" s="10">
      <c r="A918" s="8">
        <f>CONCAT("AD507-",TEXT(ROW()-2,"0000"))</f>
        <v/>
      </c>
      <c r="C918" s="8" t="n"/>
      <c r="F918" s="8" t="n"/>
      <c r="G918" s="8">
        <f>IF(F918&lt;&gt;"",HYPERLINK("https://www.google.com/maps/search/?api=1&amp;query="&amp;SUBSTITUTE(F918," ",""),"🗺 Google Maps"),"")</f>
        <v/>
      </c>
      <c r="H918" s="8">
        <f>IF(F918&lt;&gt;"",HYPERLINK("https://waze.com/ul?ll="&amp;SUBSTITUTE(F918," ","")&amp;"&amp;navigate=yes","🚗 Waze"),"")</f>
        <v/>
      </c>
      <c r="I918" s="8">
        <f>IF(F918&lt;&gt;"",HYPERLINK("https://m.uber.com/ul/?action=setPickup&amp;pickup=my_location&amp;dropoff[latitude]="&amp;LEFT(SUBSTITUTE(F918," ",""),FIND(",",SUBSTITUTE(F918," ",""))-1)&amp;"&amp;dropoff[longitude]="&amp;MID(SUBSTITUTE(F918," ",""),FIND(",",SUBSTITUTE(F918," ",""))+1,99),"🚕 Uber"),"")</f>
        <v/>
      </c>
      <c r="J918" s="8">
        <f>IF(F918&lt;&gt;"","https://api.qrserver.com/v1/create-qr-code/?size=200x200&amp;data="&amp;ENCODEURL("https://www.google.com/maps/search/?api=1&amp;query="&amp;SUBSTITUTE(F918," ","")),"")</f>
        <v/>
      </c>
      <c r="K918" s="8">
        <f>IF(C918&lt;&gt;"",HYPERLINK("https://wa.me/507"&amp;REGEXREPLACE(C918,"[^0-9]","")&amp;"?text="&amp;ENCODEURL("Ya llegue. Codigo: "&amp;A918&amp;". Ubicacion: "&amp;"https://www.google.com/maps/search/?api=1&amp;query="&amp;SUBSTITUTE(F918," ","")),"📲 Avisar al cliente"),"")</f>
        <v/>
      </c>
      <c r="L918" s="8">
        <f>IF(C918&lt;&gt;"","https://api.qrserver.com/v1/create-qr-code/?size=200x200&amp;data="&amp;ENCODEURL("https://wa.me/507"&amp;REGEXREPLACE(C918,"[^0-9]","")&amp;"?text="&amp;ENCODEURL("Ya llegue. Codigo: "&amp;A918&amp;". Ubicacion: "&amp;"https://www.google.com/maps/search/?api=1&amp;query="&amp;SUBSTITUTE(F918," ",""))),"")</f>
        <v/>
      </c>
      <c r="M918" s="8">
        <f>IF(B918&lt;&gt;"",TODAY(),"")</f>
        <v/>
      </c>
      <c r="N918" s="8">
        <f>IF(F918&lt;&gt;"",IFERROR(IF(AND(REGEXMATCH(SUBSTITUTE(TRIM(F918)," ",""),"^-?\d+(\.\d+)?,-?\d+(\.\d+)?$"),VALUE(REGEXEXTRACT(SUBSTITUTE(TRIM(F918)," ",""),"^-?\d+(\.\d+)?"))&gt;=-90,VALUE(REGEXEXTRACT(SUBSTITUTE(TRIM(F918)," ",""),"^-?\d+(\.\d+)?"))&lt;=90,VALUE(REGEXEXTRACT(SUBSTITUTE(TRIM(F918)," ",""),"-?\d+(\.\d+)?$"))&gt;=-180,VALUE(REGEXEXTRACT(SUBSTITUTE(TRIM(F918)," ",""),"-?\d+(\.\d+)?$"))&lt;=180),"OK","REVISAR"),"REVISAR"),"")</f>
        <v/>
      </c>
      <c r="O918">
        <f>IF(A918&lt;&gt;"","https://direcciones507.github.io/direcciones507/panel.html?codigo="&amp;A918&amp;"&amp;nombre="&amp;ENCODEURL(B918)&amp;"&amp;telefono="&amp;SUBSTITUTE(C918,"-","")&amp;"&amp;referencia="&amp;ENCODEURL(E918)&amp;"&amp;lat="&amp;IZQUIERDA(SUBSTITUTE(F918," ",""),ENCONTRAR(",",SUBSTITUTE(F918," ",""))-1)&amp;"&amp;lng="&amp;DERECHA(SUBSTITUTE(F918," ",""),LARGO(SUBSTITUTE(F918," ",""))-ENCONTRAR(",",SUBSTITUTE(F918," ",""))),"")</f>
        <v/>
      </c>
    </row>
    <row r="919" ht="15.75" customHeight="1" s="10">
      <c r="A919" s="8">
        <f>CONCAT("AD507-",TEXT(ROW()-2,"0000"))</f>
        <v/>
      </c>
      <c r="C919" s="8" t="n"/>
      <c r="F919" s="8" t="n"/>
      <c r="G919" s="8">
        <f>IF(F919&lt;&gt;"",HYPERLINK("https://www.google.com/maps/search/?api=1&amp;query="&amp;SUBSTITUTE(F919," ",""),"🗺 Google Maps"),"")</f>
        <v/>
      </c>
      <c r="H919" s="8">
        <f>IF(F919&lt;&gt;"",HYPERLINK("https://waze.com/ul?ll="&amp;SUBSTITUTE(F919," ","")&amp;"&amp;navigate=yes","🚗 Waze"),"")</f>
        <v/>
      </c>
      <c r="I919" s="8">
        <f>IF(F919&lt;&gt;"",HYPERLINK("https://m.uber.com/ul/?action=setPickup&amp;pickup=my_location&amp;dropoff[latitude]="&amp;LEFT(SUBSTITUTE(F919," ",""),FIND(",",SUBSTITUTE(F919," ",""))-1)&amp;"&amp;dropoff[longitude]="&amp;MID(SUBSTITUTE(F919," ",""),FIND(",",SUBSTITUTE(F919," ",""))+1,99),"🚕 Uber"),"")</f>
        <v/>
      </c>
      <c r="J919" s="8">
        <f>IF(F919&lt;&gt;"","https://api.qrserver.com/v1/create-qr-code/?size=200x200&amp;data="&amp;ENCODEURL("https://www.google.com/maps/search/?api=1&amp;query="&amp;SUBSTITUTE(F919," ","")),"")</f>
        <v/>
      </c>
      <c r="K919" s="8">
        <f>IF(C919&lt;&gt;"",HYPERLINK("https://wa.me/507"&amp;REGEXREPLACE(C919,"[^0-9]","")&amp;"?text="&amp;ENCODEURL("Ya llegue. Codigo: "&amp;A919&amp;". Ubicacion: "&amp;"https://www.google.com/maps/search/?api=1&amp;query="&amp;SUBSTITUTE(F919," ","")),"📲 Avisar al cliente"),"")</f>
        <v/>
      </c>
      <c r="L919" s="8">
        <f>IF(C919&lt;&gt;"","https://api.qrserver.com/v1/create-qr-code/?size=200x200&amp;data="&amp;ENCODEURL("https://wa.me/507"&amp;REGEXREPLACE(C919,"[^0-9]","")&amp;"?text="&amp;ENCODEURL("Ya llegue. Codigo: "&amp;A919&amp;". Ubicacion: "&amp;"https://www.google.com/maps/search/?api=1&amp;query="&amp;SUBSTITUTE(F919," ",""))),"")</f>
        <v/>
      </c>
      <c r="M919" s="8">
        <f>IF(B919&lt;&gt;"",TODAY(),"")</f>
        <v/>
      </c>
      <c r="N919" s="8">
        <f>IF(F919&lt;&gt;"",IFERROR(IF(AND(REGEXMATCH(SUBSTITUTE(TRIM(F919)," ",""),"^-?\d+(\.\d+)?,-?\d+(\.\d+)?$"),VALUE(REGEXEXTRACT(SUBSTITUTE(TRIM(F919)," ",""),"^-?\d+(\.\d+)?"))&gt;=-90,VALUE(REGEXEXTRACT(SUBSTITUTE(TRIM(F919)," ",""),"^-?\d+(\.\d+)?"))&lt;=90,VALUE(REGEXEXTRACT(SUBSTITUTE(TRIM(F919)," ",""),"-?\d+(\.\d+)?$"))&gt;=-180,VALUE(REGEXEXTRACT(SUBSTITUTE(TRIM(F919)," ",""),"-?\d+(\.\d+)?$"))&lt;=180),"OK","REVISAR"),"REVISAR"),"")</f>
        <v/>
      </c>
      <c r="O919">
        <f>IF(A919&lt;&gt;"","https://direcciones507.github.io/direcciones507/panel.html?codigo="&amp;A919&amp;"&amp;nombre="&amp;ENCODEURL(B919)&amp;"&amp;telefono="&amp;SUBSTITUTE(C919,"-","")&amp;"&amp;referencia="&amp;ENCODEURL(E919)&amp;"&amp;lat="&amp;IZQUIERDA(SUBSTITUTE(F919," ",""),ENCONTRAR(",",SUBSTITUTE(F919," ",""))-1)&amp;"&amp;lng="&amp;DERECHA(SUBSTITUTE(F919," ",""),LARGO(SUBSTITUTE(F919," ",""))-ENCONTRAR(",",SUBSTITUTE(F919," ",""))),"")</f>
        <v/>
      </c>
    </row>
    <row r="920" ht="15.75" customHeight="1" s="10">
      <c r="A920" s="8">
        <f>CONCAT("AD507-",TEXT(ROW()-2,"0000"))</f>
        <v/>
      </c>
      <c r="C920" s="8" t="n"/>
      <c r="F920" s="8" t="n"/>
      <c r="G920" s="8">
        <f>IF(F920&lt;&gt;"",HYPERLINK("https://www.google.com/maps/search/?api=1&amp;query="&amp;SUBSTITUTE(F920," ",""),"🗺 Google Maps"),"")</f>
        <v/>
      </c>
      <c r="H920" s="8">
        <f>IF(F920&lt;&gt;"",HYPERLINK("https://waze.com/ul?ll="&amp;SUBSTITUTE(F920," ","")&amp;"&amp;navigate=yes","🚗 Waze"),"")</f>
        <v/>
      </c>
      <c r="I920" s="8">
        <f>IF(F920&lt;&gt;"",HYPERLINK("https://m.uber.com/ul/?action=setPickup&amp;pickup=my_location&amp;dropoff[latitude]="&amp;LEFT(SUBSTITUTE(F920," ",""),FIND(",",SUBSTITUTE(F920," ",""))-1)&amp;"&amp;dropoff[longitude]="&amp;MID(SUBSTITUTE(F920," ",""),FIND(",",SUBSTITUTE(F920," ",""))+1,99),"🚕 Uber"),"")</f>
        <v/>
      </c>
      <c r="J920" s="8">
        <f>IF(F920&lt;&gt;"","https://api.qrserver.com/v1/create-qr-code/?size=200x200&amp;data="&amp;ENCODEURL("https://www.google.com/maps/search/?api=1&amp;query="&amp;SUBSTITUTE(F920," ","")),"")</f>
        <v/>
      </c>
      <c r="K920" s="8">
        <f>IF(C920&lt;&gt;"",HYPERLINK("https://wa.me/507"&amp;REGEXREPLACE(C920,"[^0-9]","")&amp;"?text="&amp;ENCODEURL("Ya llegue. Codigo: "&amp;A920&amp;". Ubicacion: "&amp;"https://www.google.com/maps/search/?api=1&amp;query="&amp;SUBSTITUTE(F920," ","")),"📲 Avisar al cliente"),"")</f>
        <v/>
      </c>
      <c r="L920" s="8">
        <f>IF(C920&lt;&gt;"","https://api.qrserver.com/v1/create-qr-code/?size=200x200&amp;data="&amp;ENCODEURL("https://wa.me/507"&amp;REGEXREPLACE(C920,"[^0-9]","")&amp;"?text="&amp;ENCODEURL("Ya llegue. Codigo: "&amp;A920&amp;". Ubicacion: "&amp;"https://www.google.com/maps/search/?api=1&amp;query="&amp;SUBSTITUTE(F920," ",""))),"")</f>
        <v/>
      </c>
      <c r="M920" s="8">
        <f>IF(B920&lt;&gt;"",TODAY(),"")</f>
        <v/>
      </c>
      <c r="N920" s="8">
        <f>IF(F920&lt;&gt;"",IFERROR(IF(AND(REGEXMATCH(SUBSTITUTE(TRIM(F920)," ",""),"^-?\d+(\.\d+)?,-?\d+(\.\d+)?$"),VALUE(REGEXEXTRACT(SUBSTITUTE(TRIM(F920)," ",""),"^-?\d+(\.\d+)?"))&gt;=-90,VALUE(REGEXEXTRACT(SUBSTITUTE(TRIM(F920)," ",""),"^-?\d+(\.\d+)?"))&lt;=90,VALUE(REGEXEXTRACT(SUBSTITUTE(TRIM(F920)," ",""),"-?\d+(\.\d+)?$"))&gt;=-180,VALUE(REGEXEXTRACT(SUBSTITUTE(TRIM(F920)," ",""),"-?\d+(\.\d+)?$"))&lt;=180),"OK","REVISAR"),"REVISAR"),"")</f>
        <v/>
      </c>
      <c r="O920">
        <f>IF(A920&lt;&gt;"","https://direcciones507.github.io/direcciones507/panel.html?codigo="&amp;A920&amp;"&amp;nombre="&amp;ENCODEURL(B920)&amp;"&amp;telefono="&amp;SUBSTITUTE(C920,"-","")&amp;"&amp;referencia="&amp;ENCODEURL(E920)&amp;"&amp;lat="&amp;IZQUIERDA(SUBSTITUTE(F920," ",""),ENCONTRAR(",",SUBSTITUTE(F920," ",""))-1)&amp;"&amp;lng="&amp;DERECHA(SUBSTITUTE(F920," ",""),LARGO(SUBSTITUTE(F920," ",""))-ENCONTRAR(",",SUBSTITUTE(F920," ",""))),"")</f>
        <v/>
      </c>
    </row>
    <row r="921" ht="15.75" customHeight="1" s="10">
      <c r="A921" s="8">
        <f>CONCAT("AD507-",TEXT(ROW()-2,"0000"))</f>
        <v/>
      </c>
      <c r="C921" s="8" t="n"/>
      <c r="F921" s="8" t="n"/>
      <c r="G921" s="8">
        <f>IF(F921&lt;&gt;"",HYPERLINK("https://www.google.com/maps/search/?api=1&amp;query="&amp;SUBSTITUTE(F921," ",""),"🗺 Google Maps"),"")</f>
        <v/>
      </c>
      <c r="H921" s="8">
        <f>IF(F921&lt;&gt;"",HYPERLINK("https://waze.com/ul?ll="&amp;SUBSTITUTE(F921," ","")&amp;"&amp;navigate=yes","🚗 Waze"),"")</f>
        <v/>
      </c>
      <c r="I921" s="8">
        <f>IF(F921&lt;&gt;"",HYPERLINK("https://m.uber.com/ul/?action=setPickup&amp;pickup=my_location&amp;dropoff[latitude]="&amp;LEFT(SUBSTITUTE(F921," ",""),FIND(",",SUBSTITUTE(F921," ",""))-1)&amp;"&amp;dropoff[longitude]="&amp;MID(SUBSTITUTE(F921," ",""),FIND(",",SUBSTITUTE(F921," ",""))+1,99),"🚕 Uber"),"")</f>
        <v/>
      </c>
      <c r="J921" s="8">
        <f>IF(F921&lt;&gt;"","https://api.qrserver.com/v1/create-qr-code/?size=200x200&amp;data="&amp;ENCODEURL("https://www.google.com/maps/search/?api=1&amp;query="&amp;SUBSTITUTE(F921," ","")),"")</f>
        <v/>
      </c>
      <c r="K921" s="8">
        <f>IF(C921&lt;&gt;"",HYPERLINK("https://wa.me/507"&amp;REGEXREPLACE(C921,"[^0-9]","")&amp;"?text="&amp;ENCODEURL("Ya llegue. Codigo: "&amp;A921&amp;". Ubicacion: "&amp;"https://www.google.com/maps/search/?api=1&amp;query="&amp;SUBSTITUTE(F921," ","")),"📲 Avisar al cliente"),"")</f>
        <v/>
      </c>
      <c r="L921" s="8">
        <f>IF(C921&lt;&gt;"","https://api.qrserver.com/v1/create-qr-code/?size=200x200&amp;data="&amp;ENCODEURL("https://wa.me/507"&amp;REGEXREPLACE(C921,"[^0-9]","")&amp;"?text="&amp;ENCODEURL("Ya llegue. Codigo: "&amp;A921&amp;". Ubicacion: "&amp;"https://www.google.com/maps/search/?api=1&amp;query="&amp;SUBSTITUTE(F921," ",""))),"")</f>
        <v/>
      </c>
      <c r="M921" s="8">
        <f>IF(B921&lt;&gt;"",TODAY(),"")</f>
        <v/>
      </c>
      <c r="N921" s="8">
        <f>IF(F921&lt;&gt;"",IFERROR(IF(AND(REGEXMATCH(SUBSTITUTE(TRIM(F921)," ",""),"^-?\d+(\.\d+)?,-?\d+(\.\d+)?$"),VALUE(REGEXEXTRACT(SUBSTITUTE(TRIM(F921)," ",""),"^-?\d+(\.\d+)?"))&gt;=-90,VALUE(REGEXEXTRACT(SUBSTITUTE(TRIM(F921)," ",""),"^-?\d+(\.\d+)?"))&lt;=90,VALUE(REGEXEXTRACT(SUBSTITUTE(TRIM(F921)," ",""),"-?\d+(\.\d+)?$"))&gt;=-180,VALUE(REGEXEXTRACT(SUBSTITUTE(TRIM(F921)," ",""),"-?\d+(\.\d+)?$"))&lt;=180),"OK","REVISAR"),"REVISAR"),"")</f>
        <v/>
      </c>
      <c r="O921">
        <f>IF(A921&lt;&gt;"","https://direcciones507.github.io/direcciones507/panel.html?codigo="&amp;A921&amp;"&amp;nombre="&amp;ENCODEURL(B921)&amp;"&amp;telefono="&amp;SUBSTITUTE(C921,"-","")&amp;"&amp;referencia="&amp;ENCODEURL(E921)&amp;"&amp;lat="&amp;IZQUIERDA(SUBSTITUTE(F921," ",""),ENCONTRAR(",",SUBSTITUTE(F921," ",""))-1)&amp;"&amp;lng="&amp;DERECHA(SUBSTITUTE(F921," ",""),LARGO(SUBSTITUTE(F921," ",""))-ENCONTRAR(",",SUBSTITUTE(F921," ",""))),"")</f>
        <v/>
      </c>
    </row>
    <row r="922" ht="15.75" customHeight="1" s="10">
      <c r="A922" s="8">
        <f>CONCAT("AD507-",TEXT(ROW()-2,"0000"))</f>
        <v/>
      </c>
      <c r="C922" s="8" t="n"/>
      <c r="F922" s="8" t="n"/>
      <c r="G922" s="8">
        <f>IF(F922&lt;&gt;"",HYPERLINK("https://www.google.com/maps/search/?api=1&amp;query="&amp;SUBSTITUTE(F922," ",""),"🗺 Google Maps"),"")</f>
        <v/>
      </c>
      <c r="H922" s="8">
        <f>IF(F922&lt;&gt;"",HYPERLINK("https://waze.com/ul?ll="&amp;SUBSTITUTE(F922," ","")&amp;"&amp;navigate=yes","🚗 Waze"),"")</f>
        <v/>
      </c>
      <c r="I922" s="8">
        <f>IF(F922&lt;&gt;"",HYPERLINK("https://m.uber.com/ul/?action=setPickup&amp;pickup=my_location&amp;dropoff[latitude]="&amp;LEFT(SUBSTITUTE(F922," ",""),FIND(",",SUBSTITUTE(F922," ",""))-1)&amp;"&amp;dropoff[longitude]="&amp;MID(SUBSTITUTE(F922," ",""),FIND(",",SUBSTITUTE(F922," ",""))+1,99),"🚕 Uber"),"")</f>
        <v/>
      </c>
      <c r="J922" s="8">
        <f>IF(F922&lt;&gt;"","https://api.qrserver.com/v1/create-qr-code/?size=200x200&amp;data="&amp;ENCODEURL("https://www.google.com/maps/search/?api=1&amp;query="&amp;SUBSTITUTE(F922," ","")),"")</f>
        <v/>
      </c>
      <c r="K922" s="8">
        <f>IF(C922&lt;&gt;"",HYPERLINK("https://wa.me/507"&amp;REGEXREPLACE(C922,"[^0-9]","")&amp;"?text="&amp;ENCODEURL("Ya llegue. Codigo: "&amp;A922&amp;". Ubicacion: "&amp;"https://www.google.com/maps/search/?api=1&amp;query="&amp;SUBSTITUTE(F922," ","")),"📲 Avisar al cliente"),"")</f>
        <v/>
      </c>
      <c r="L922" s="8">
        <f>IF(C922&lt;&gt;"","https://api.qrserver.com/v1/create-qr-code/?size=200x200&amp;data="&amp;ENCODEURL("https://wa.me/507"&amp;REGEXREPLACE(C922,"[^0-9]","")&amp;"?text="&amp;ENCODEURL("Ya llegue. Codigo: "&amp;A922&amp;". Ubicacion: "&amp;"https://www.google.com/maps/search/?api=1&amp;query="&amp;SUBSTITUTE(F922," ",""))),"")</f>
        <v/>
      </c>
      <c r="M922" s="8">
        <f>IF(B922&lt;&gt;"",TODAY(),"")</f>
        <v/>
      </c>
      <c r="N922" s="8">
        <f>IF(F922&lt;&gt;"",IFERROR(IF(AND(REGEXMATCH(SUBSTITUTE(TRIM(F922)," ",""),"^-?\d+(\.\d+)?,-?\d+(\.\d+)?$"),VALUE(REGEXEXTRACT(SUBSTITUTE(TRIM(F922)," ",""),"^-?\d+(\.\d+)?"))&gt;=-90,VALUE(REGEXEXTRACT(SUBSTITUTE(TRIM(F922)," ",""),"^-?\d+(\.\d+)?"))&lt;=90,VALUE(REGEXEXTRACT(SUBSTITUTE(TRIM(F922)," ",""),"-?\d+(\.\d+)?$"))&gt;=-180,VALUE(REGEXEXTRACT(SUBSTITUTE(TRIM(F922)," ",""),"-?\d+(\.\d+)?$"))&lt;=180),"OK","REVISAR"),"REVISAR"),"")</f>
        <v/>
      </c>
      <c r="O922">
        <f>IF(A922&lt;&gt;"","https://direcciones507.github.io/direcciones507/panel.html?codigo="&amp;A922&amp;"&amp;nombre="&amp;ENCODEURL(B922)&amp;"&amp;telefono="&amp;SUBSTITUTE(C922,"-","")&amp;"&amp;referencia="&amp;ENCODEURL(E922)&amp;"&amp;lat="&amp;IZQUIERDA(SUBSTITUTE(F922," ",""),ENCONTRAR(",",SUBSTITUTE(F922," ",""))-1)&amp;"&amp;lng="&amp;DERECHA(SUBSTITUTE(F922," ",""),LARGO(SUBSTITUTE(F922," ",""))-ENCONTRAR(",",SUBSTITUTE(F922," ",""))),"")</f>
        <v/>
      </c>
    </row>
    <row r="923" ht="15.75" customHeight="1" s="10">
      <c r="A923" s="8">
        <f>CONCAT("AD507-",TEXT(ROW()-2,"0000"))</f>
        <v/>
      </c>
      <c r="C923" s="8" t="n"/>
      <c r="F923" s="8" t="n"/>
      <c r="G923" s="8">
        <f>IF(F923&lt;&gt;"",HYPERLINK("https://www.google.com/maps/search/?api=1&amp;query="&amp;SUBSTITUTE(F923," ",""),"🗺 Google Maps"),"")</f>
        <v/>
      </c>
      <c r="H923" s="8">
        <f>IF(F923&lt;&gt;"",HYPERLINK("https://waze.com/ul?ll="&amp;SUBSTITUTE(F923," ","")&amp;"&amp;navigate=yes","🚗 Waze"),"")</f>
        <v/>
      </c>
      <c r="I923" s="8">
        <f>IF(F923&lt;&gt;"",HYPERLINK("https://m.uber.com/ul/?action=setPickup&amp;pickup=my_location&amp;dropoff[latitude]="&amp;LEFT(SUBSTITUTE(F923," ",""),FIND(",",SUBSTITUTE(F923," ",""))-1)&amp;"&amp;dropoff[longitude]="&amp;MID(SUBSTITUTE(F923," ",""),FIND(",",SUBSTITUTE(F923," ",""))+1,99),"🚕 Uber"),"")</f>
        <v/>
      </c>
      <c r="J923" s="8">
        <f>IF(F923&lt;&gt;"","https://api.qrserver.com/v1/create-qr-code/?size=200x200&amp;data="&amp;ENCODEURL("https://www.google.com/maps/search/?api=1&amp;query="&amp;SUBSTITUTE(F923," ","")),"")</f>
        <v/>
      </c>
      <c r="K923" s="8">
        <f>IF(C923&lt;&gt;"",HYPERLINK("https://wa.me/507"&amp;REGEXREPLACE(C923,"[^0-9]","")&amp;"?text="&amp;ENCODEURL("Ya llegue. Codigo: "&amp;A923&amp;". Ubicacion: "&amp;"https://www.google.com/maps/search/?api=1&amp;query="&amp;SUBSTITUTE(F923," ","")),"📲 Avisar al cliente"),"")</f>
        <v/>
      </c>
      <c r="L923" s="8">
        <f>IF(C923&lt;&gt;"","https://api.qrserver.com/v1/create-qr-code/?size=200x200&amp;data="&amp;ENCODEURL("https://wa.me/507"&amp;REGEXREPLACE(C923,"[^0-9]","")&amp;"?text="&amp;ENCODEURL("Ya llegue. Codigo: "&amp;A923&amp;". Ubicacion: "&amp;"https://www.google.com/maps/search/?api=1&amp;query="&amp;SUBSTITUTE(F923," ",""))),"")</f>
        <v/>
      </c>
      <c r="M923" s="8">
        <f>IF(B923&lt;&gt;"",TODAY(),"")</f>
        <v/>
      </c>
      <c r="N923" s="8">
        <f>IF(F923&lt;&gt;"",IFERROR(IF(AND(REGEXMATCH(SUBSTITUTE(TRIM(F923)," ",""),"^-?\d+(\.\d+)?,-?\d+(\.\d+)?$"),VALUE(REGEXEXTRACT(SUBSTITUTE(TRIM(F923)," ",""),"^-?\d+(\.\d+)?"))&gt;=-90,VALUE(REGEXEXTRACT(SUBSTITUTE(TRIM(F923)," ",""),"^-?\d+(\.\d+)?"))&lt;=90,VALUE(REGEXEXTRACT(SUBSTITUTE(TRIM(F923)," ",""),"-?\d+(\.\d+)?$"))&gt;=-180,VALUE(REGEXEXTRACT(SUBSTITUTE(TRIM(F923)," ",""),"-?\d+(\.\d+)?$"))&lt;=180),"OK","REVISAR"),"REVISAR"),"")</f>
        <v/>
      </c>
      <c r="O923">
        <f>IF(A923&lt;&gt;"","https://direcciones507.github.io/direcciones507/panel.html?codigo="&amp;A923&amp;"&amp;nombre="&amp;ENCODEURL(B923)&amp;"&amp;telefono="&amp;SUBSTITUTE(C923,"-","")&amp;"&amp;referencia="&amp;ENCODEURL(E923)&amp;"&amp;lat="&amp;IZQUIERDA(SUBSTITUTE(F923," ",""),ENCONTRAR(",",SUBSTITUTE(F923," ",""))-1)&amp;"&amp;lng="&amp;DERECHA(SUBSTITUTE(F923," ",""),LARGO(SUBSTITUTE(F923," ",""))-ENCONTRAR(",",SUBSTITUTE(F923," ",""))),"")</f>
        <v/>
      </c>
    </row>
    <row r="924" ht="15.75" customHeight="1" s="10">
      <c r="A924" s="8">
        <f>CONCAT("AD507-",TEXT(ROW()-2,"0000"))</f>
        <v/>
      </c>
      <c r="C924" s="8" t="n"/>
      <c r="F924" s="8" t="n"/>
      <c r="G924" s="8">
        <f>IF(F924&lt;&gt;"",HYPERLINK("https://www.google.com/maps/search/?api=1&amp;query="&amp;SUBSTITUTE(F924," ",""),"🗺 Google Maps"),"")</f>
        <v/>
      </c>
      <c r="H924" s="8">
        <f>IF(F924&lt;&gt;"",HYPERLINK("https://waze.com/ul?ll="&amp;SUBSTITUTE(F924," ","")&amp;"&amp;navigate=yes","🚗 Waze"),"")</f>
        <v/>
      </c>
      <c r="I924" s="8">
        <f>IF(F924&lt;&gt;"",HYPERLINK("https://m.uber.com/ul/?action=setPickup&amp;pickup=my_location&amp;dropoff[latitude]="&amp;LEFT(SUBSTITUTE(F924," ",""),FIND(",",SUBSTITUTE(F924," ",""))-1)&amp;"&amp;dropoff[longitude]="&amp;MID(SUBSTITUTE(F924," ",""),FIND(",",SUBSTITUTE(F924," ",""))+1,99),"🚕 Uber"),"")</f>
        <v/>
      </c>
      <c r="J924" s="8">
        <f>IF(F924&lt;&gt;"","https://api.qrserver.com/v1/create-qr-code/?size=200x200&amp;data="&amp;ENCODEURL("https://www.google.com/maps/search/?api=1&amp;query="&amp;SUBSTITUTE(F924," ","")),"")</f>
        <v/>
      </c>
      <c r="K924" s="8">
        <f>IF(C924&lt;&gt;"",HYPERLINK("https://wa.me/507"&amp;REGEXREPLACE(C924,"[^0-9]","")&amp;"?text="&amp;ENCODEURL("Ya llegue. Codigo: "&amp;A924&amp;". Ubicacion: "&amp;"https://www.google.com/maps/search/?api=1&amp;query="&amp;SUBSTITUTE(F924," ","")),"📲 Avisar al cliente"),"")</f>
        <v/>
      </c>
      <c r="L924" s="8">
        <f>IF(C924&lt;&gt;"","https://api.qrserver.com/v1/create-qr-code/?size=200x200&amp;data="&amp;ENCODEURL("https://wa.me/507"&amp;REGEXREPLACE(C924,"[^0-9]","")&amp;"?text="&amp;ENCODEURL("Ya llegue. Codigo: "&amp;A924&amp;". Ubicacion: "&amp;"https://www.google.com/maps/search/?api=1&amp;query="&amp;SUBSTITUTE(F924," ",""))),"")</f>
        <v/>
      </c>
      <c r="M924" s="8">
        <f>IF(B924&lt;&gt;"",TODAY(),"")</f>
        <v/>
      </c>
      <c r="N924" s="8">
        <f>IF(F924&lt;&gt;"",IFERROR(IF(AND(REGEXMATCH(SUBSTITUTE(TRIM(F924)," ",""),"^-?\d+(\.\d+)?,-?\d+(\.\d+)?$"),VALUE(REGEXEXTRACT(SUBSTITUTE(TRIM(F924)," ",""),"^-?\d+(\.\d+)?"))&gt;=-90,VALUE(REGEXEXTRACT(SUBSTITUTE(TRIM(F924)," ",""),"^-?\d+(\.\d+)?"))&lt;=90,VALUE(REGEXEXTRACT(SUBSTITUTE(TRIM(F924)," ",""),"-?\d+(\.\d+)?$"))&gt;=-180,VALUE(REGEXEXTRACT(SUBSTITUTE(TRIM(F924)," ",""),"-?\d+(\.\d+)?$"))&lt;=180),"OK","REVISAR"),"REVISAR"),"")</f>
        <v/>
      </c>
      <c r="O924">
        <f>IF(A924&lt;&gt;"","https://direcciones507.github.io/direcciones507/panel.html?codigo="&amp;A924&amp;"&amp;nombre="&amp;ENCODEURL(B924)&amp;"&amp;telefono="&amp;SUBSTITUTE(C924,"-","")&amp;"&amp;referencia="&amp;ENCODEURL(E924)&amp;"&amp;lat="&amp;IZQUIERDA(SUBSTITUTE(F924," ",""),ENCONTRAR(",",SUBSTITUTE(F924," ",""))-1)&amp;"&amp;lng="&amp;DERECHA(SUBSTITUTE(F924," ",""),LARGO(SUBSTITUTE(F924," ",""))-ENCONTRAR(",",SUBSTITUTE(F924," ",""))),"")</f>
        <v/>
      </c>
    </row>
    <row r="925" ht="15.75" customHeight="1" s="10">
      <c r="A925" s="8">
        <f>CONCAT("AD507-",TEXT(ROW()-2,"0000"))</f>
        <v/>
      </c>
      <c r="C925" s="8" t="n"/>
      <c r="F925" s="8" t="n"/>
      <c r="G925" s="8">
        <f>IF(F925&lt;&gt;"",HYPERLINK("https://www.google.com/maps/search/?api=1&amp;query="&amp;SUBSTITUTE(F925," ",""),"🗺 Google Maps"),"")</f>
        <v/>
      </c>
      <c r="H925" s="8">
        <f>IF(F925&lt;&gt;"",HYPERLINK("https://waze.com/ul?ll="&amp;SUBSTITUTE(F925," ","")&amp;"&amp;navigate=yes","🚗 Waze"),"")</f>
        <v/>
      </c>
      <c r="I925" s="8">
        <f>IF(F925&lt;&gt;"",HYPERLINK("https://m.uber.com/ul/?action=setPickup&amp;pickup=my_location&amp;dropoff[latitude]="&amp;LEFT(SUBSTITUTE(F925," ",""),FIND(",",SUBSTITUTE(F925," ",""))-1)&amp;"&amp;dropoff[longitude]="&amp;MID(SUBSTITUTE(F925," ",""),FIND(",",SUBSTITUTE(F925," ",""))+1,99),"🚕 Uber"),"")</f>
        <v/>
      </c>
      <c r="J925" s="8">
        <f>IF(F925&lt;&gt;"","https://api.qrserver.com/v1/create-qr-code/?size=200x200&amp;data="&amp;ENCODEURL("https://www.google.com/maps/search/?api=1&amp;query="&amp;SUBSTITUTE(F925," ","")),"")</f>
        <v/>
      </c>
      <c r="K925" s="8">
        <f>IF(C925&lt;&gt;"",HYPERLINK("https://wa.me/507"&amp;REGEXREPLACE(C925,"[^0-9]","")&amp;"?text="&amp;ENCODEURL("Ya llegue. Codigo: "&amp;A925&amp;". Ubicacion: "&amp;"https://www.google.com/maps/search/?api=1&amp;query="&amp;SUBSTITUTE(F925," ","")),"📲 Avisar al cliente"),"")</f>
        <v/>
      </c>
      <c r="L925" s="8">
        <f>IF(C925&lt;&gt;"","https://api.qrserver.com/v1/create-qr-code/?size=200x200&amp;data="&amp;ENCODEURL("https://wa.me/507"&amp;REGEXREPLACE(C925,"[^0-9]","")&amp;"?text="&amp;ENCODEURL("Ya llegue. Codigo: "&amp;A925&amp;". Ubicacion: "&amp;"https://www.google.com/maps/search/?api=1&amp;query="&amp;SUBSTITUTE(F925," ",""))),"")</f>
        <v/>
      </c>
      <c r="M925" s="8">
        <f>IF(B925&lt;&gt;"",TODAY(),"")</f>
        <v/>
      </c>
      <c r="N925" s="8">
        <f>IF(F925&lt;&gt;"",IFERROR(IF(AND(REGEXMATCH(SUBSTITUTE(TRIM(F925)," ",""),"^-?\d+(\.\d+)?,-?\d+(\.\d+)?$"),VALUE(REGEXEXTRACT(SUBSTITUTE(TRIM(F925)," ",""),"^-?\d+(\.\d+)?"))&gt;=-90,VALUE(REGEXEXTRACT(SUBSTITUTE(TRIM(F925)," ",""),"^-?\d+(\.\d+)?"))&lt;=90,VALUE(REGEXEXTRACT(SUBSTITUTE(TRIM(F925)," ",""),"-?\d+(\.\d+)?$"))&gt;=-180,VALUE(REGEXEXTRACT(SUBSTITUTE(TRIM(F925)," ",""),"-?\d+(\.\d+)?$"))&lt;=180),"OK","REVISAR"),"REVISAR"),"")</f>
        <v/>
      </c>
      <c r="O925">
        <f>IF(A925&lt;&gt;"","https://direcciones507.github.io/direcciones507/panel.html?codigo="&amp;A925&amp;"&amp;nombre="&amp;ENCODEURL(B925)&amp;"&amp;telefono="&amp;SUBSTITUTE(C925,"-","")&amp;"&amp;referencia="&amp;ENCODEURL(E925)&amp;"&amp;lat="&amp;IZQUIERDA(SUBSTITUTE(F925," ",""),ENCONTRAR(",",SUBSTITUTE(F925," ",""))-1)&amp;"&amp;lng="&amp;DERECHA(SUBSTITUTE(F925," ",""),LARGO(SUBSTITUTE(F925," ",""))-ENCONTRAR(",",SUBSTITUTE(F925," ",""))),"")</f>
        <v/>
      </c>
    </row>
    <row r="926" ht="15.75" customHeight="1" s="10">
      <c r="A926" s="8">
        <f>CONCAT("AD507-",TEXT(ROW()-2,"0000"))</f>
        <v/>
      </c>
      <c r="C926" s="8" t="n"/>
      <c r="F926" s="8" t="n"/>
      <c r="G926" s="8">
        <f>IF(F926&lt;&gt;"",HYPERLINK("https://www.google.com/maps/search/?api=1&amp;query="&amp;SUBSTITUTE(F926," ",""),"🗺 Google Maps"),"")</f>
        <v/>
      </c>
      <c r="H926" s="8">
        <f>IF(F926&lt;&gt;"",HYPERLINK("https://waze.com/ul?ll="&amp;SUBSTITUTE(F926," ","")&amp;"&amp;navigate=yes","🚗 Waze"),"")</f>
        <v/>
      </c>
      <c r="I926" s="8">
        <f>IF(F926&lt;&gt;"",HYPERLINK("https://m.uber.com/ul/?action=setPickup&amp;pickup=my_location&amp;dropoff[latitude]="&amp;LEFT(SUBSTITUTE(F926," ",""),FIND(",",SUBSTITUTE(F926," ",""))-1)&amp;"&amp;dropoff[longitude]="&amp;MID(SUBSTITUTE(F926," ",""),FIND(",",SUBSTITUTE(F926," ",""))+1,99),"🚕 Uber"),"")</f>
        <v/>
      </c>
      <c r="J926" s="8">
        <f>IF(F926&lt;&gt;"","https://api.qrserver.com/v1/create-qr-code/?size=200x200&amp;data="&amp;ENCODEURL("https://www.google.com/maps/search/?api=1&amp;query="&amp;SUBSTITUTE(F926," ","")),"")</f>
        <v/>
      </c>
      <c r="K926" s="8">
        <f>IF(C926&lt;&gt;"",HYPERLINK("https://wa.me/507"&amp;REGEXREPLACE(C926,"[^0-9]","")&amp;"?text="&amp;ENCODEURL("Ya llegue. Codigo: "&amp;A926&amp;". Ubicacion: "&amp;"https://www.google.com/maps/search/?api=1&amp;query="&amp;SUBSTITUTE(F926," ","")),"📲 Avisar al cliente"),"")</f>
        <v/>
      </c>
      <c r="L926" s="8">
        <f>IF(C926&lt;&gt;"","https://api.qrserver.com/v1/create-qr-code/?size=200x200&amp;data="&amp;ENCODEURL("https://wa.me/507"&amp;REGEXREPLACE(C926,"[^0-9]","")&amp;"?text="&amp;ENCODEURL("Ya llegue. Codigo: "&amp;A926&amp;". Ubicacion: "&amp;"https://www.google.com/maps/search/?api=1&amp;query="&amp;SUBSTITUTE(F926," ",""))),"")</f>
        <v/>
      </c>
      <c r="M926" s="8">
        <f>IF(B926&lt;&gt;"",TODAY(),"")</f>
        <v/>
      </c>
      <c r="N926" s="8">
        <f>IF(F926&lt;&gt;"",IFERROR(IF(AND(REGEXMATCH(SUBSTITUTE(TRIM(F926)," ",""),"^-?\d+(\.\d+)?,-?\d+(\.\d+)?$"),VALUE(REGEXEXTRACT(SUBSTITUTE(TRIM(F926)," ",""),"^-?\d+(\.\d+)?"))&gt;=-90,VALUE(REGEXEXTRACT(SUBSTITUTE(TRIM(F926)," ",""),"^-?\d+(\.\d+)?"))&lt;=90,VALUE(REGEXEXTRACT(SUBSTITUTE(TRIM(F926)," ",""),"-?\d+(\.\d+)?$"))&gt;=-180,VALUE(REGEXEXTRACT(SUBSTITUTE(TRIM(F926)," ",""),"-?\d+(\.\d+)?$"))&lt;=180),"OK","REVISAR"),"REVISAR"),"")</f>
        <v/>
      </c>
      <c r="O926">
        <f>IF(A926&lt;&gt;"","https://direcciones507.github.io/direcciones507/panel.html?codigo="&amp;A926&amp;"&amp;nombre="&amp;ENCODEURL(B926)&amp;"&amp;telefono="&amp;SUBSTITUTE(C926,"-","")&amp;"&amp;referencia="&amp;ENCODEURL(E926)&amp;"&amp;lat="&amp;IZQUIERDA(SUBSTITUTE(F926," ",""),ENCONTRAR(",",SUBSTITUTE(F926," ",""))-1)&amp;"&amp;lng="&amp;DERECHA(SUBSTITUTE(F926," ",""),LARGO(SUBSTITUTE(F926," ",""))-ENCONTRAR(",",SUBSTITUTE(F926," ",""))),"")</f>
        <v/>
      </c>
    </row>
    <row r="927" ht="15.75" customHeight="1" s="10">
      <c r="A927" s="8">
        <f>CONCAT("AD507-",TEXT(ROW()-2,"0000"))</f>
        <v/>
      </c>
      <c r="C927" s="8" t="n"/>
      <c r="F927" s="8" t="n"/>
      <c r="G927" s="8">
        <f>IF(F927&lt;&gt;"",HYPERLINK("https://www.google.com/maps/search/?api=1&amp;query="&amp;SUBSTITUTE(F927," ",""),"🗺 Google Maps"),"")</f>
        <v/>
      </c>
      <c r="H927" s="8">
        <f>IF(F927&lt;&gt;"",HYPERLINK("https://waze.com/ul?ll="&amp;SUBSTITUTE(F927," ","")&amp;"&amp;navigate=yes","🚗 Waze"),"")</f>
        <v/>
      </c>
      <c r="I927" s="8">
        <f>IF(F927&lt;&gt;"",HYPERLINK("https://m.uber.com/ul/?action=setPickup&amp;pickup=my_location&amp;dropoff[latitude]="&amp;LEFT(SUBSTITUTE(F927," ",""),FIND(",",SUBSTITUTE(F927," ",""))-1)&amp;"&amp;dropoff[longitude]="&amp;MID(SUBSTITUTE(F927," ",""),FIND(",",SUBSTITUTE(F927," ",""))+1,99),"🚕 Uber"),"")</f>
        <v/>
      </c>
      <c r="J927" s="8">
        <f>IF(F927&lt;&gt;"","https://api.qrserver.com/v1/create-qr-code/?size=200x200&amp;data="&amp;ENCODEURL("https://www.google.com/maps/search/?api=1&amp;query="&amp;SUBSTITUTE(F927," ","")),"")</f>
        <v/>
      </c>
      <c r="K927" s="8">
        <f>IF(C927&lt;&gt;"",HYPERLINK("https://wa.me/507"&amp;REGEXREPLACE(C927,"[^0-9]","")&amp;"?text="&amp;ENCODEURL("Ya llegue. Codigo: "&amp;A927&amp;". Ubicacion: "&amp;"https://www.google.com/maps/search/?api=1&amp;query="&amp;SUBSTITUTE(F927," ","")),"📲 Avisar al cliente"),"")</f>
        <v/>
      </c>
      <c r="L927" s="8">
        <f>IF(C927&lt;&gt;"","https://api.qrserver.com/v1/create-qr-code/?size=200x200&amp;data="&amp;ENCODEURL("https://wa.me/507"&amp;REGEXREPLACE(C927,"[^0-9]","")&amp;"?text="&amp;ENCODEURL("Ya llegue. Codigo: "&amp;A927&amp;". Ubicacion: "&amp;"https://www.google.com/maps/search/?api=1&amp;query="&amp;SUBSTITUTE(F927," ",""))),"")</f>
        <v/>
      </c>
      <c r="M927" s="8">
        <f>IF(B927&lt;&gt;"",TODAY(),"")</f>
        <v/>
      </c>
      <c r="N927" s="8">
        <f>IF(F927&lt;&gt;"",IFERROR(IF(AND(REGEXMATCH(SUBSTITUTE(TRIM(F927)," ",""),"^-?\d+(\.\d+)?,-?\d+(\.\d+)?$"),VALUE(REGEXEXTRACT(SUBSTITUTE(TRIM(F927)," ",""),"^-?\d+(\.\d+)?"))&gt;=-90,VALUE(REGEXEXTRACT(SUBSTITUTE(TRIM(F927)," ",""),"^-?\d+(\.\d+)?"))&lt;=90,VALUE(REGEXEXTRACT(SUBSTITUTE(TRIM(F927)," ",""),"-?\d+(\.\d+)?$"))&gt;=-180,VALUE(REGEXEXTRACT(SUBSTITUTE(TRIM(F927)," ",""),"-?\d+(\.\d+)?$"))&lt;=180),"OK","REVISAR"),"REVISAR"),"")</f>
        <v/>
      </c>
      <c r="O927">
        <f>IF(A927&lt;&gt;"","https://direcciones507.github.io/direcciones507/panel.html?codigo="&amp;A927&amp;"&amp;nombre="&amp;ENCODEURL(B927)&amp;"&amp;telefono="&amp;SUBSTITUTE(C927,"-","")&amp;"&amp;referencia="&amp;ENCODEURL(E927)&amp;"&amp;lat="&amp;IZQUIERDA(SUBSTITUTE(F927," ",""),ENCONTRAR(",",SUBSTITUTE(F927," ",""))-1)&amp;"&amp;lng="&amp;DERECHA(SUBSTITUTE(F927," ",""),LARGO(SUBSTITUTE(F927," ",""))-ENCONTRAR(",",SUBSTITUTE(F927," ",""))),"")</f>
        <v/>
      </c>
    </row>
    <row r="928" ht="15.75" customHeight="1" s="10">
      <c r="A928" s="8">
        <f>CONCAT("AD507-",TEXT(ROW()-2,"0000"))</f>
        <v/>
      </c>
      <c r="C928" s="8" t="n"/>
      <c r="F928" s="8" t="n"/>
      <c r="G928" s="8">
        <f>IF(F928&lt;&gt;"",HYPERLINK("https://www.google.com/maps/search/?api=1&amp;query="&amp;SUBSTITUTE(F928," ",""),"🗺 Google Maps"),"")</f>
        <v/>
      </c>
      <c r="H928" s="8">
        <f>IF(F928&lt;&gt;"",HYPERLINK("https://waze.com/ul?ll="&amp;SUBSTITUTE(F928," ","")&amp;"&amp;navigate=yes","🚗 Waze"),"")</f>
        <v/>
      </c>
      <c r="I928" s="8">
        <f>IF(F928&lt;&gt;"",HYPERLINK("https://m.uber.com/ul/?action=setPickup&amp;pickup=my_location&amp;dropoff[latitude]="&amp;LEFT(SUBSTITUTE(F928," ",""),FIND(",",SUBSTITUTE(F928," ",""))-1)&amp;"&amp;dropoff[longitude]="&amp;MID(SUBSTITUTE(F928," ",""),FIND(",",SUBSTITUTE(F928," ",""))+1,99),"🚕 Uber"),"")</f>
        <v/>
      </c>
      <c r="J928" s="8">
        <f>IF(F928&lt;&gt;"","https://api.qrserver.com/v1/create-qr-code/?size=200x200&amp;data="&amp;ENCODEURL("https://www.google.com/maps/search/?api=1&amp;query="&amp;SUBSTITUTE(F928," ","")),"")</f>
        <v/>
      </c>
      <c r="K928" s="8">
        <f>IF(C928&lt;&gt;"",HYPERLINK("https://wa.me/507"&amp;REGEXREPLACE(C928,"[^0-9]","")&amp;"?text="&amp;ENCODEURL("Ya llegue. Codigo: "&amp;A928&amp;". Ubicacion: "&amp;"https://www.google.com/maps/search/?api=1&amp;query="&amp;SUBSTITUTE(F928," ","")),"📲 Avisar al cliente"),"")</f>
        <v/>
      </c>
      <c r="L928" s="8">
        <f>IF(C928&lt;&gt;"","https://api.qrserver.com/v1/create-qr-code/?size=200x200&amp;data="&amp;ENCODEURL("https://wa.me/507"&amp;REGEXREPLACE(C928,"[^0-9]","")&amp;"?text="&amp;ENCODEURL("Ya llegue. Codigo: "&amp;A928&amp;". Ubicacion: "&amp;"https://www.google.com/maps/search/?api=1&amp;query="&amp;SUBSTITUTE(F928," ",""))),"")</f>
        <v/>
      </c>
      <c r="M928" s="8">
        <f>IF(B928&lt;&gt;"",TODAY(),"")</f>
        <v/>
      </c>
      <c r="N928" s="8">
        <f>IF(F928&lt;&gt;"",IFERROR(IF(AND(REGEXMATCH(SUBSTITUTE(TRIM(F928)," ",""),"^-?\d+(\.\d+)?,-?\d+(\.\d+)?$"),VALUE(REGEXEXTRACT(SUBSTITUTE(TRIM(F928)," ",""),"^-?\d+(\.\d+)?"))&gt;=-90,VALUE(REGEXEXTRACT(SUBSTITUTE(TRIM(F928)," ",""),"^-?\d+(\.\d+)?"))&lt;=90,VALUE(REGEXEXTRACT(SUBSTITUTE(TRIM(F928)," ",""),"-?\d+(\.\d+)?$"))&gt;=-180,VALUE(REGEXEXTRACT(SUBSTITUTE(TRIM(F928)," ",""),"-?\d+(\.\d+)?$"))&lt;=180),"OK","REVISAR"),"REVISAR"),"")</f>
        <v/>
      </c>
      <c r="O928">
        <f>IF(A928&lt;&gt;"","https://direcciones507.github.io/direcciones507/panel.html?codigo="&amp;A928&amp;"&amp;nombre="&amp;ENCODEURL(B928)&amp;"&amp;telefono="&amp;SUBSTITUTE(C928,"-","")&amp;"&amp;referencia="&amp;ENCODEURL(E928)&amp;"&amp;lat="&amp;IZQUIERDA(SUBSTITUTE(F928," ",""),ENCONTRAR(",",SUBSTITUTE(F928," ",""))-1)&amp;"&amp;lng="&amp;DERECHA(SUBSTITUTE(F928," ",""),LARGO(SUBSTITUTE(F928," ",""))-ENCONTRAR(",",SUBSTITUTE(F928," ",""))),"")</f>
        <v/>
      </c>
    </row>
    <row r="929" ht="15.75" customHeight="1" s="10">
      <c r="A929" s="8">
        <f>CONCAT("AD507-",TEXT(ROW()-2,"0000"))</f>
        <v/>
      </c>
      <c r="C929" s="8" t="n"/>
      <c r="F929" s="8" t="n"/>
      <c r="G929" s="8">
        <f>IF(F929&lt;&gt;"",HYPERLINK("https://www.google.com/maps/search/?api=1&amp;query="&amp;SUBSTITUTE(F929," ",""),"🗺 Google Maps"),"")</f>
        <v/>
      </c>
      <c r="H929" s="8">
        <f>IF(F929&lt;&gt;"",HYPERLINK("https://waze.com/ul?ll="&amp;SUBSTITUTE(F929," ","")&amp;"&amp;navigate=yes","🚗 Waze"),"")</f>
        <v/>
      </c>
      <c r="I929" s="8">
        <f>IF(F929&lt;&gt;"",HYPERLINK("https://m.uber.com/ul/?action=setPickup&amp;pickup=my_location&amp;dropoff[latitude]="&amp;LEFT(SUBSTITUTE(F929," ",""),FIND(",",SUBSTITUTE(F929," ",""))-1)&amp;"&amp;dropoff[longitude]="&amp;MID(SUBSTITUTE(F929," ",""),FIND(",",SUBSTITUTE(F929," ",""))+1,99),"🚕 Uber"),"")</f>
        <v/>
      </c>
      <c r="J929" s="8">
        <f>IF(F929&lt;&gt;"","https://api.qrserver.com/v1/create-qr-code/?size=200x200&amp;data="&amp;ENCODEURL("https://www.google.com/maps/search/?api=1&amp;query="&amp;SUBSTITUTE(F929," ","")),"")</f>
        <v/>
      </c>
      <c r="K929" s="8">
        <f>IF(C929&lt;&gt;"",HYPERLINK("https://wa.me/507"&amp;REGEXREPLACE(C929,"[^0-9]","")&amp;"?text="&amp;ENCODEURL("Ya llegue. Codigo: "&amp;A929&amp;". Ubicacion: "&amp;"https://www.google.com/maps/search/?api=1&amp;query="&amp;SUBSTITUTE(F929," ","")),"📲 Avisar al cliente"),"")</f>
        <v/>
      </c>
      <c r="L929" s="8">
        <f>IF(C929&lt;&gt;"","https://api.qrserver.com/v1/create-qr-code/?size=200x200&amp;data="&amp;ENCODEURL("https://wa.me/507"&amp;REGEXREPLACE(C929,"[^0-9]","")&amp;"?text="&amp;ENCODEURL("Ya llegue. Codigo: "&amp;A929&amp;". Ubicacion: "&amp;"https://www.google.com/maps/search/?api=1&amp;query="&amp;SUBSTITUTE(F929," ",""))),"")</f>
        <v/>
      </c>
      <c r="M929" s="8">
        <f>IF(B929&lt;&gt;"",TODAY(),"")</f>
        <v/>
      </c>
      <c r="N929" s="8">
        <f>IF(F929&lt;&gt;"",IFERROR(IF(AND(REGEXMATCH(SUBSTITUTE(TRIM(F929)," ",""),"^-?\d+(\.\d+)?,-?\d+(\.\d+)?$"),VALUE(REGEXEXTRACT(SUBSTITUTE(TRIM(F929)," ",""),"^-?\d+(\.\d+)?"))&gt;=-90,VALUE(REGEXEXTRACT(SUBSTITUTE(TRIM(F929)," ",""),"^-?\d+(\.\d+)?"))&lt;=90,VALUE(REGEXEXTRACT(SUBSTITUTE(TRIM(F929)," ",""),"-?\d+(\.\d+)?$"))&gt;=-180,VALUE(REGEXEXTRACT(SUBSTITUTE(TRIM(F929)," ",""),"-?\d+(\.\d+)?$"))&lt;=180),"OK","REVISAR"),"REVISAR"),"")</f>
        <v/>
      </c>
      <c r="O929">
        <f>IF(A929&lt;&gt;"","https://direcciones507.github.io/direcciones507/panel.html?codigo="&amp;A929&amp;"&amp;nombre="&amp;ENCODEURL(B929)&amp;"&amp;telefono="&amp;SUBSTITUTE(C929,"-","")&amp;"&amp;referencia="&amp;ENCODEURL(E929)&amp;"&amp;lat="&amp;IZQUIERDA(SUBSTITUTE(F929," ",""),ENCONTRAR(",",SUBSTITUTE(F929," ",""))-1)&amp;"&amp;lng="&amp;DERECHA(SUBSTITUTE(F929," ",""),LARGO(SUBSTITUTE(F929," ",""))-ENCONTRAR(",",SUBSTITUTE(F929," ",""))),"")</f>
        <v/>
      </c>
    </row>
    <row r="930" ht="15.75" customHeight="1" s="10">
      <c r="A930" s="8">
        <f>CONCAT("AD507-",TEXT(ROW()-2,"0000"))</f>
        <v/>
      </c>
      <c r="C930" s="8" t="n"/>
      <c r="F930" s="8" t="n"/>
      <c r="G930" s="8">
        <f>IF(F930&lt;&gt;"",HYPERLINK("https://www.google.com/maps/search/?api=1&amp;query="&amp;SUBSTITUTE(F930," ",""),"🗺 Google Maps"),"")</f>
        <v/>
      </c>
      <c r="H930" s="8">
        <f>IF(F930&lt;&gt;"",HYPERLINK("https://waze.com/ul?ll="&amp;SUBSTITUTE(F930," ","")&amp;"&amp;navigate=yes","🚗 Waze"),"")</f>
        <v/>
      </c>
      <c r="I930" s="8">
        <f>IF(F930&lt;&gt;"",HYPERLINK("https://m.uber.com/ul/?action=setPickup&amp;pickup=my_location&amp;dropoff[latitude]="&amp;LEFT(SUBSTITUTE(F930," ",""),FIND(",",SUBSTITUTE(F930," ",""))-1)&amp;"&amp;dropoff[longitude]="&amp;MID(SUBSTITUTE(F930," ",""),FIND(",",SUBSTITUTE(F930," ",""))+1,99),"🚕 Uber"),"")</f>
        <v/>
      </c>
      <c r="J930" s="8">
        <f>IF(F930&lt;&gt;"","https://api.qrserver.com/v1/create-qr-code/?size=200x200&amp;data="&amp;ENCODEURL("https://www.google.com/maps/search/?api=1&amp;query="&amp;SUBSTITUTE(F930," ","")),"")</f>
        <v/>
      </c>
      <c r="K930" s="8">
        <f>IF(C930&lt;&gt;"",HYPERLINK("https://wa.me/507"&amp;REGEXREPLACE(C930,"[^0-9]","")&amp;"?text="&amp;ENCODEURL("Ya llegue. Codigo: "&amp;A930&amp;". Ubicacion: "&amp;"https://www.google.com/maps/search/?api=1&amp;query="&amp;SUBSTITUTE(F930," ","")),"📲 Avisar al cliente"),"")</f>
        <v/>
      </c>
      <c r="L930" s="8">
        <f>IF(C930&lt;&gt;"","https://api.qrserver.com/v1/create-qr-code/?size=200x200&amp;data="&amp;ENCODEURL("https://wa.me/507"&amp;REGEXREPLACE(C930,"[^0-9]","")&amp;"?text="&amp;ENCODEURL("Ya llegue. Codigo: "&amp;A930&amp;". Ubicacion: "&amp;"https://www.google.com/maps/search/?api=1&amp;query="&amp;SUBSTITUTE(F930," ",""))),"")</f>
        <v/>
      </c>
      <c r="M930" s="8">
        <f>IF(B930&lt;&gt;"",TODAY(),"")</f>
        <v/>
      </c>
      <c r="N930" s="8">
        <f>IF(F930&lt;&gt;"",IFERROR(IF(AND(REGEXMATCH(SUBSTITUTE(TRIM(F930)," ",""),"^-?\d+(\.\d+)?,-?\d+(\.\d+)?$"),VALUE(REGEXEXTRACT(SUBSTITUTE(TRIM(F930)," ",""),"^-?\d+(\.\d+)?"))&gt;=-90,VALUE(REGEXEXTRACT(SUBSTITUTE(TRIM(F930)," ",""),"^-?\d+(\.\d+)?"))&lt;=90,VALUE(REGEXEXTRACT(SUBSTITUTE(TRIM(F930)," ",""),"-?\d+(\.\d+)?$"))&gt;=-180,VALUE(REGEXEXTRACT(SUBSTITUTE(TRIM(F930)," ",""),"-?\d+(\.\d+)?$"))&lt;=180),"OK","REVISAR"),"REVISAR"),"")</f>
        <v/>
      </c>
      <c r="O930">
        <f>IF(A930&lt;&gt;"","https://direcciones507.github.io/direcciones507/panel.html?codigo="&amp;A930&amp;"&amp;nombre="&amp;ENCODEURL(B930)&amp;"&amp;telefono="&amp;SUBSTITUTE(C930,"-","")&amp;"&amp;referencia="&amp;ENCODEURL(E930)&amp;"&amp;lat="&amp;IZQUIERDA(SUBSTITUTE(F930," ",""),ENCONTRAR(",",SUBSTITUTE(F930," ",""))-1)&amp;"&amp;lng="&amp;DERECHA(SUBSTITUTE(F930," ",""),LARGO(SUBSTITUTE(F930," ",""))-ENCONTRAR(",",SUBSTITUTE(F930," ",""))),"")</f>
        <v/>
      </c>
    </row>
    <row r="931" ht="15.75" customHeight="1" s="10">
      <c r="A931" s="8">
        <f>CONCAT("AD507-",TEXT(ROW()-2,"0000"))</f>
        <v/>
      </c>
      <c r="C931" s="8" t="n"/>
      <c r="F931" s="8" t="n"/>
      <c r="G931" s="8">
        <f>IF(F931&lt;&gt;"",HYPERLINK("https://www.google.com/maps/search/?api=1&amp;query="&amp;SUBSTITUTE(F931," ",""),"🗺 Google Maps"),"")</f>
        <v/>
      </c>
      <c r="H931" s="8">
        <f>IF(F931&lt;&gt;"",HYPERLINK("https://waze.com/ul?ll="&amp;SUBSTITUTE(F931," ","")&amp;"&amp;navigate=yes","🚗 Waze"),"")</f>
        <v/>
      </c>
      <c r="I931" s="8">
        <f>IF(F931&lt;&gt;"",HYPERLINK("https://m.uber.com/ul/?action=setPickup&amp;pickup=my_location&amp;dropoff[latitude]="&amp;LEFT(SUBSTITUTE(F931," ",""),FIND(",",SUBSTITUTE(F931," ",""))-1)&amp;"&amp;dropoff[longitude]="&amp;MID(SUBSTITUTE(F931," ",""),FIND(",",SUBSTITUTE(F931," ",""))+1,99),"🚕 Uber"),"")</f>
        <v/>
      </c>
      <c r="J931" s="8">
        <f>IF(F931&lt;&gt;"","https://api.qrserver.com/v1/create-qr-code/?size=200x200&amp;data="&amp;ENCODEURL("https://www.google.com/maps/search/?api=1&amp;query="&amp;SUBSTITUTE(F931," ","")),"")</f>
        <v/>
      </c>
      <c r="K931" s="8">
        <f>IF(C931&lt;&gt;"",HYPERLINK("https://wa.me/507"&amp;REGEXREPLACE(C931,"[^0-9]","")&amp;"?text="&amp;ENCODEURL("Ya llegue. Codigo: "&amp;A931&amp;". Ubicacion: "&amp;"https://www.google.com/maps/search/?api=1&amp;query="&amp;SUBSTITUTE(F931," ","")),"📲 Avisar al cliente"),"")</f>
        <v/>
      </c>
      <c r="L931" s="8">
        <f>IF(C931&lt;&gt;"","https://api.qrserver.com/v1/create-qr-code/?size=200x200&amp;data="&amp;ENCODEURL("https://wa.me/507"&amp;REGEXREPLACE(C931,"[^0-9]","")&amp;"?text="&amp;ENCODEURL("Ya llegue. Codigo: "&amp;A931&amp;". Ubicacion: "&amp;"https://www.google.com/maps/search/?api=1&amp;query="&amp;SUBSTITUTE(F931," ",""))),"")</f>
        <v/>
      </c>
      <c r="M931" s="8">
        <f>IF(B931&lt;&gt;"",TODAY(),"")</f>
        <v/>
      </c>
      <c r="N931" s="8">
        <f>IF(F931&lt;&gt;"",IFERROR(IF(AND(REGEXMATCH(SUBSTITUTE(TRIM(F931)," ",""),"^-?\d+(\.\d+)?,-?\d+(\.\d+)?$"),VALUE(REGEXEXTRACT(SUBSTITUTE(TRIM(F931)," ",""),"^-?\d+(\.\d+)?"))&gt;=-90,VALUE(REGEXEXTRACT(SUBSTITUTE(TRIM(F931)," ",""),"^-?\d+(\.\d+)?"))&lt;=90,VALUE(REGEXEXTRACT(SUBSTITUTE(TRIM(F931)," ",""),"-?\d+(\.\d+)?$"))&gt;=-180,VALUE(REGEXEXTRACT(SUBSTITUTE(TRIM(F931)," ",""),"-?\d+(\.\d+)?$"))&lt;=180),"OK","REVISAR"),"REVISAR"),"")</f>
        <v/>
      </c>
      <c r="O931">
        <f>IF(A931&lt;&gt;"","https://direcciones507.github.io/direcciones507/panel.html?codigo="&amp;A931&amp;"&amp;nombre="&amp;ENCODEURL(B931)&amp;"&amp;telefono="&amp;SUBSTITUTE(C931,"-","")&amp;"&amp;referencia="&amp;ENCODEURL(E931)&amp;"&amp;lat="&amp;IZQUIERDA(SUBSTITUTE(F931," ",""),ENCONTRAR(",",SUBSTITUTE(F931," ",""))-1)&amp;"&amp;lng="&amp;DERECHA(SUBSTITUTE(F931," ",""),LARGO(SUBSTITUTE(F931," ",""))-ENCONTRAR(",",SUBSTITUTE(F931," ",""))),"")</f>
        <v/>
      </c>
    </row>
    <row r="932" ht="15.75" customHeight="1" s="10">
      <c r="A932" s="8">
        <f>CONCAT("AD507-",TEXT(ROW()-2,"0000"))</f>
        <v/>
      </c>
      <c r="C932" s="8" t="n"/>
      <c r="F932" s="8" t="n"/>
      <c r="G932" s="8">
        <f>IF(F932&lt;&gt;"",HYPERLINK("https://www.google.com/maps/search/?api=1&amp;query="&amp;SUBSTITUTE(F932," ",""),"🗺 Google Maps"),"")</f>
        <v/>
      </c>
      <c r="H932" s="8">
        <f>IF(F932&lt;&gt;"",HYPERLINK("https://waze.com/ul?ll="&amp;SUBSTITUTE(F932," ","")&amp;"&amp;navigate=yes","🚗 Waze"),"")</f>
        <v/>
      </c>
      <c r="I932" s="8">
        <f>IF(F932&lt;&gt;"",HYPERLINK("https://m.uber.com/ul/?action=setPickup&amp;pickup=my_location&amp;dropoff[latitude]="&amp;LEFT(SUBSTITUTE(F932," ",""),FIND(",",SUBSTITUTE(F932," ",""))-1)&amp;"&amp;dropoff[longitude]="&amp;MID(SUBSTITUTE(F932," ",""),FIND(",",SUBSTITUTE(F932," ",""))+1,99),"🚕 Uber"),"")</f>
        <v/>
      </c>
      <c r="J932" s="8">
        <f>IF(F932&lt;&gt;"","https://api.qrserver.com/v1/create-qr-code/?size=200x200&amp;data="&amp;ENCODEURL("https://www.google.com/maps/search/?api=1&amp;query="&amp;SUBSTITUTE(F932," ","")),"")</f>
        <v/>
      </c>
      <c r="K932" s="8">
        <f>IF(C932&lt;&gt;"",HYPERLINK("https://wa.me/507"&amp;REGEXREPLACE(C932,"[^0-9]","")&amp;"?text="&amp;ENCODEURL("Ya llegue. Codigo: "&amp;A932&amp;". Ubicacion: "&amp;"https://www.google.com/maps/search/?api=1&amp;query="&amp;SUBSTITUTE(F932," ","")),"📲 Avisar al cliente"),"")</f>
        <v/>
      </c>
      <c r="L932" s="8">
        <f>IF(C932&lt;&gt;"","https://api.qrserver.com/v1/create-qr-code/?size=200x200&amp;data="&amp;ENCODEURL("https://wa.me/507"&amp;REGEXREPLACE(C932,"[^0-9]","")&amp;"?text="&amp;ENCODEURL("Ya llegue. Codigo: "&amp;A932&amp;". Ubicacion: "&amp;"https://www.google.com/maps/search/?api=1&amp;query="&amp;SUBSTITUTE(F932," ",""))),"")</f>
        <v/>
      </c>
      <c r="M932" s="8">
        <f>IF(B932&lt;&gt;"",TODAY(),"")</f>
        <v/>
      </c>
      <c r="N932" s="8">
        <f>IF(F932&lt;&gt;"",IFERROR(IF(AND(REGEXMATCH(SUBSTITUTE(TRIM(F932)," ",""),"^-?\d+(\.\d+)?,-?\d+(\.\d+)?$"),VALUE(REGEXEXTRACT(SUBSTITUTE(TRIM(F932)," ",""),"^-?\d+(\.\d+)?"))&gt;=-90,VALUE(REGEXEXTRACT(SUBSTITUTE(TRIM(F932)," ",""),"^-?\d+(\.\d+)?"))&lt;=90,VALUE(REGEXEXTRACT(SUBSTITUTE(TRIM(F932)," ",""),"-?\d+(\.\d+)?$"))&gt;=-180,VALUE(REGEXEXTRACT(SUBSTITUTE(TRIM(F932)," ",""),"-?\d+(\.\d+)?$"))&lt;=180),"OK","REVISAR"),"REVISAR"),"")</f>
        <v/>
      </c>
      <c r="O932">
        <f>IF(A932&lt;&gt;"","https://direcciones507.github.io/direcciones507/panel.html?codigo="&amp;A932&amp;"&amp;nombre="&amp;ENCODEURL(B932)&amp;"&amp;telefono="&amp;SUBSTITUTE(C932,"-","")&amp;"&amp;referencia="&amp;ENCODEURL(E932)&amp;"&amp;lat="&amp;IZQUIERDA(SUBSTITUTE(F932," ",""),ENCONTRAR(",",SUBSTITUTE(F932," ",""))-1)&amp;"&amp;lng="&amp;DERECHA(SUBSTITUTE(F932," ",""),LARGO(SUBSTITUTE(F932," ",""))-ENCONTRAR(",",SUBSTITUTE(F932," ",""))),"")</f>
        <v/>
      </c>
    </row>
    <row r="933" ht="15.75" customHeight="1" s="10">
      <c r="A933" s="8">
        <f>CONCAT("AD507-",TEXT(ROW()-2,"0000"))</f>
        <v/>
      </c>
      <c r="C933" s="8" t="n"/>
      <c r="F933" s="8" t="n"/>
      <c r="G933" s="8">
        <f>IF(F933&lt;&gt;"",HYPERLINK("https://www.google.com/maps/search/?api=1&amp;query="&amp;SUBSTITUTE(F933," ",""),"🗺 Google Maps"),"")</f>
        <v/>
      </c>
      <c r="H933" s="8">
        <f>IF(F933&lt;&gt;"",HYPERLINK("https://waze.com/ul?ll="&amp;SUBSTITUTE(F933," ","")&amp;"&amp;navigate=yes","🚗 Waze"),"")</f>
        <v/>
      </c>
      <c r="I933" s="8">
        <f>IF(F933&lt;&gt;"",HYPERLINK("https://m.uber.com/ul/?action=setPickup&amp;pickup=my_location&amp;dropoff[latitude]="&amp;LEFT(SUBSTITUTE(F933," ",""),FIND(",",SUBSTITUTE(F933," ",""))-1)&amp;"&amp;dropoff[longitude]="&amp;MID(SUBSTITUTE(F933," ",""),FIND(",",SUBSTITUTE(F933," ",""))+1,99),"🚕 Uber"),"")</f>
        <v/>
      </c>
      <c r="J933" s="8">
        <f>IF(F933&lt;&gt;"","https://api.qrserver.com/v1/create-qr-code/?size=200x200&amp;data="&amp;ENCODEURL("https://www.google.com/maps/search/?api=1&amp;query="&amp;SUBSTITUTE(F933," ","")),"")</f>
        <v/>
      </c>
      <c r="K933" s="8">
        <f>IF(C933&lt;&gt;"",HYPERLINK("https://wa.me/507"&amp;REGEXREPLACE(C933,"[^0-9]","")&amp;"?text="&amp;ENCODEURL("Ya llegue. Codigo: "&amp;A933&amp;". Ubicacion: "&amp;"https://www.google.com/maps/search/?api=1&amp;query="&amp;SUBSTITUTE(F933," ","")),"📲 Avisar al cliente"),"")</f>
        <v/>
      </c>
      <c r="L933" s="8">
        <f>IF(C933&lt;&gt;"","https://api.qrserver.com/v1/create-qr-code/?size=200x200&amp;data="&amp;ENCODEURL("https://wa.me/507"&amp;REGEXREPLACE(C933,"[^0-9]","")&amp;"?text="&amp;ENCODEURL("Ya llegue. Codigo: "&amp;A933&amp;". Ubicacion: "&amp;"https://www.google.com/maps/search/?api=1&amp;query="&amp;SUBSTITUTE(F933," ",""))),"")</f>
        <v/>
      </c>
      <c r="M933" s="8">
        <f>IF(B933&lt;&gt;"",TODAY(),"")</f>
        <v/>
      </c>
      <c r="N933" s="8">
        <f>IF(F933&lt;&gt;"",IFERROR(IF(AND(REGEXMATCH(SUBSTITUTE(TRIM(F933)," ",""),"^-?\d+(\.\d+)?,-?\d+(\.\d+)?$"),VALUE(REGEXEXTRACT(SUBSTITUTE(TRIM(F933)," ",""),"^-?\d+(\.\d+)?"))&gt;=-90,VALUE(REGEXEXTRACT(SUBSTITUTE(TRIM(F933)," ",""),"^-?\d+(\.\d+)?"))&lt;=90,VALUE(REGEXEXTRACT(SUBSTITUTE(TRIM(F933)," ",""),"-?\d+(\.\d+)?$"))&gt;=-180,VALUE(REGEXEXTRACT(SUBSTITUTE(TRIM(F933)," ",""),"-?\d+(\.\d+)?$"))&lt;=180),"OK","REVISAR"),"REVISAR"),"")</f>
        <v/>
      </c>
      <c r="O933">
        <f>IF(A933&lt;&gt;"","https://direcciones507.github.io/direcciones507/panel.html?codigo="&amp;A933&amp;"&amp;nombre="&amp;ENCODEURL(B933)&amp;"&amp;telefono="&amp;SUBSTITUTE(C933,"-","")&amp;"&amp;referencia="&amp;ENCODEURL(E933)&amp;"&amp;lat="&amp;IZQUIERDA(SUBSTITUTE(F933," ",""),ENCONTRAR(",",SUBSTITUTE(F933," ",""))-1)&amp;"&amp;lng="&amp;DERECHA(SUBSTITUTE(F933," ",""),LARGO(SUBSTITUTE(F933," ",""))-ENCONTRAR(",",SUBSTITUTE(F933," ",""))),"")</f>
        <v/>
      </c>
    </row>
    <row r="934" ht="15.75" customHeight="1" s="10">
      <c r="A934" s="8">
        <f>CONCAT("AD507-",TEXT(ROW()-2,"0000"))</f>
        <v/>
      </c>
      <c r="C934" s="8" t="n"/>
      <c r="F934" s="8" t="n"/>
      <c r="G934" s="8">
        <f>IF(F934&lt;&gt;"",HYPERLINK("https://www.google.com/maps/search/?api=1&amp;query="&amp;SUBSTITUTE(F934," ",""),"🗺 Google Maps"),"")</f>
        <v/>
      </c>
      <c r="H934" s="8">
        <f>IF(F934&lt;&gt;"",HYPERLINK("https://waze.com/ul?ll="&amp;SUBSTITUTE(F934," ","")&amp;"&amp;navigate=yes","🚗 Waze"),"")</f>
        <v/>
      </c>
      <c r="I934" s="8">
        <f>IF(F934&lt;&gt;"",HYPERLINK("https://m.uber.com/ul/?action=setPickup&amp;pickup=my_location&amp;dropoff[latitude]="&amp;LEFT(SUBSTITUTE(F934," ",""),FIND(",",SUBSTITUTE(F934," ",""))-1)&amp;"&amp;dropoff[longitude]="&amp;MID(SUBSTITUTE(F934," ",""),FIND(",",SUBSTITUTE(F934," ",""))+1,99),"🚕 Uber"),"")</f>
        <v/>
      </c>
      <c r="J934" s="8">
        <f>IF(F934&lt;&gt;"","https://api.qrserver.com/v1/create-qr-code/?size=200x200&amp;data="&amp;ENCODEURL("https://www.google.com/maps/search/?api=1&amp;query="&amp;SUBSTITUTE(F934," ","")),"")</f>
        <v/>
      </c>
      <c r="K934" s="8">
        <f>IF(C934&lt;&gt;"",HYPERLINK("https://wa.me/507"&amp;REGEXREPLACE(C934,"[^0-9]","")&amp;"?text="&amp;ENCODEURL("Ya llegue. Codigo: "&amp;A934&amp;". Ubicacion: "&amp;"https://www.google.com/maps/search/?api=1&amp;query="&amp;SUBSTITUTE(F934," ","")),"📲 Avisar al cliente"),"")</f>
        <v/>
      </c>
      <c r="L934" s="8">
        <f>IF(C934&lt;&gt;"","https://api.qrserver.com/v1/create-qr-code/?size=200x200&amp;data="&amp;ENCODEURL("https://wa.me/507"&amp;REGEXREPLACE(C934,"[^0-9]","")&amp;"?text="&amp;ENCODEURL("Ya llegue. Codigo: "&amp;A934&amp;". Ubicacion: "&amp;"https://www.google.com/maps/search/?api=1&amp;query="&amp;SUBSTITUTE(F934," ",""))),"")</f>
        <v/>
      </c>
      <c r="M934" s="8">
        <f>IF(B934&lt;&gt;"",TODAY(),"")</f>
        <v/>
      </c>
      <c r="N934" s="8">
        <f>IF(F934&lt;&gt;"",IFERROR(IF(AND(REGEXMATCH(SUBSTITUTE(TRIM(F934)," ",""),"^-?\d+(\.\d+)?,-?\d+(\.\d+)?$"),VALUE(REGEXEXTRACT(SUBSTITUTE(TRIM(F934)," ",""),"^-?\d+(\.\d+)?"))&gt;=-90,VALUE(REGEXEXTRACT(SUBSTITUTE(TRIM(F934)," ",""),"^-?\d+(\.\d+)?"))&lt;=90,VALUE(REGEXEXTRACT(SUBSTITUTE(TRIM(F934)," ",""),"-?\d+(\.\d+)?$"))&gt;=-180,VALUE(REGEXEXTRACT(SUBSTITUTE(TRIM(F934)," ",""),"-?\d+(\.\d+)?$"))&lt;=180),"OK","REVISAR"),"REVISAR"),"")</f>
        <v/>
      </c>
      <c r="O934">
        <f>IF(A934&lt;&gt;"","https://direcciones507.github.io/direcciones507/panel.html?codigo="&amp;A934&amp;"&amp;nombre="&amp;ENCODEURL(B934)&amp;"&amp;telefono="&amp;SUBSTITUTE(C934,"-","")&amp;"&amp;referencia="&amp;ENCODEURL(E934)&amp;"&amp;lat="&amp;IZQUIERDA(SUBSTITUTE(F934," ",""),ENCONTRAR(",",SUBSTITUTE(F934," ",""))-1)&amp;"&amp;lng="&amp;DERECHA(SUBSTITUTE(F934," ",""),LARGO(SUBSTITUTE(F934," ",""))-ENCONTRAR(",",SUBSTITUTE(F934," ",""))),"")</f>
        <v/>
      </c>
    </row>
    <row r="935" ht="15.75" customHeight="1" s="10">
      <c r="A935" s="8">
        <f>CONCAT("AD507-",TEXT(ROW()-2,"0000"))</f>
        <v/>
      </c>
      <c r="C935" s="8" t="n"/>
      <c r="F935" s="8" t="n"/>
      <c r="G935" s="8">
        <f>IF(F935&lt;&gt;"",HYPERLINK("https://www.google.com/maps/search/?api=1&amp;query="&amp;SUBSTITUTE(F935," ",""),"🗺 Google Maps"),"")</f>
        <v/>
      </c>
      <c r="H935" s="8">
        <f>IF(F935&lt;&gt;"",HYPERLINK("https://waze.com/ul?ll="&amp;SUBSTITUTE(F935," ","")&amp;"&amp;navigate=yes","🚗 Waze"),"")</f>
        <v/>
      </c>
      <c r="I935" s="8">
        <f>IF(F935&lt;&gt;"",HYPERLINK("https://m.uber.com/ul/?action=setPickup&amp;pickup=my_location&amp;dropoff[latitude]="&amp;LEFT(SUBSTITUTE(F935," ",""),FIND(",",SUBSTITUTE(F935," ",""))-1)&amp;"&amp;dropoff[longitude]="&amp;MID(SUBSTITUTE(F935," ",""),FIND(",",SUBSTITUTE(F935," ",""))+1,99),"🚕 Uber"),"")</f>
        <v/>
      </c>
      <c r="J935" s="8">
        <f>IF(F935&lt;&gt;"","https://api.qrserver.com/v1/create-qr-code/?size=200x200&amp;data="&amp;ENCODEURL("https://www.google.com/maps/search/?api=1&amp;query="&amp;SUBSTITUTE(F935," ","")),"")</f>
        <v/>
      </c>
      <c r="K935" s="8">
        <f>IF(C935&lt;&gt;"",HYPERLINK("https://wa.me/507"&amp;REGEXREPLACE(C935,"[^0-9]","")&amp;"?text="&amp;ENCODEURL("Ya llegue. Codigo: "&amp;A935&amp;". Ubicacion: "&amp;"https://www.google.com/maps/search/?api=1&amp;query="&amp;SUBSTITUTE(F935," ","")),"📲 Avisar al cliente"),"")</f>
        <v/>
      </c>
      <c r="L935" s="8">
        <f>IF(C935&lt;&gt;"","https://api.qrserver.com/v1/create-qr-code/?size=200x200&amp;data="&amp;ENCODEURL("https://wa.me/507"&amp;REGEXREPLACE(C935,"[^0-9]","")&amp;"?text="&amp;ENCODEURL("Ya llegue. Codigo: "&amp;A935&amp;". Ubicacion: "&amp;"https://www.google.com/maps/search/?api=1&amp;query="&amp;SUBSTITUTE(F935," ",""))),"")</f>
        <v/>
      </c>
      <c r="M935" s="8">
        <f>IF(B935&lt;&gt;"",TODAY(),"")</f>
        <v/>
      </c>
      <c r="N935" s="8">
        <f>IF(F935&lt;&gt;"",IFERROR(IF(AND(REGEXMATCH(SUBSTITUTE(TRIM(F935)," ",""),"^-?\d+(\.\d+)?,-?\d+(\.\d+)?$"),VALUE(REGEXEXTRACT(SUBSTITUTE(TRIM(F935)," ",""),"^-?\d+(\.\d+)?"))&gt;=-90,VALUE(REGEXEXTRACT(SUBSTITUTE(TRIM(F935)," ",""),"^-?\d+(\.\d+)?"))&lt;=90,VALUE(REGEXEXTRACT(SUBSTITUTE(TRIM(F935)," ",""),"-?\d+(\.\d+)?$"))&gt;=-180,VALUE(REGEXEXTRACT(SUBSTITUTE(TRIM(F935)," ",""),"-?\d+(\.\d+)?$"))&lt;=180),"OK","REVISAR"),"REVISAR"),"")</f>
        <v/>
      </c>
      <c r="O935">
        <f>IF(A935&lt;&gt;"","https://direcciones507.github.io/direcciones507/panel.html?codigo="&amp;A935&amp;"&amp;nombre="&amp;ENCODEURL(B935)&amp;"&amp;telefono="&amp;SUBSTITUTE(C935,"-","")&amp;"&amp;referencia="&amp;ENCODEURL(E935)&amp;"&amp;lat="&amp;IZQUIERDA(SUBSTITUTE(F935," ",""),ENCONTRAR(",",SUBSTITUTE(F935," ",""))-1)&amp;"&amp;lng="&amp;DERECHA(SUBSTITUTE(F935," ",""),LARGO(SUBSTITUTE(F935," ",""))-ENCONTRAR(",",SUBSTITUTE(F935," ",""))),"")</f>
        <v/>
      </c>
    </row>
    <row r="936" ht="15.75" customHeight="1" s="10">
      <c r="A936" s="8">
        <f>CONCAT("AD507-",TEXT(ROW()-2,"0000"))</f>
        <v/>
      </c>
      <c r="C936" s="8" t="n"/>
      <c r="F936" s="8" t="n"/>
      <c r="G936" s="8">
        <f>IF(F936&lt;&gt;"",HYPERLINK("https://www.google.com/maps/search/?api=1&amp;query="&amp;SUBSTITUTE(F936," ",""),"🗺 Google Maps"),"")</f>
        <v/>
      </c>
      <c r="H936" s="8">
        <f>IF(F936&lt;&gt;"",HYPERLINK("https://waze.com/ul?ll="&amp;SUBSTITUTE(F936," ","")&amp;"&amp;navigate=yes","🚗 Waze"),"")</f>
        <v/>
      </c>
      <c r="I936" s="8">
        <f>IF(F936&lt;&gt;"",HYPERLINK("https://m.uber.com/ul/?action=setPickup&amp;pickup=my_location&amp;dropoff[latitude]="&amp;LEFT(SUBSTITUTE(F936," ",""),FIND(",",SUBSTITUTE(F936," ",""))-1)&amp;"&amp;dropoff[longitude]="&amp;MID(SUBSTITUTE(F936," ",""),FIND(",",SUBSTITUTE(F936," ",""))+1,99),"🚕 Uber"),"")</f>
        <v/>
      </c>
      <c r="J936" s="8">
        <f>IF(F936&lt;&gt;"","https://api.qrserver.com/v1/create-qr-code/?size=200x200&amp;data="&amp;ENCODEURL("https://www.google.com/maps/search/?api=1&amp;query="&amp;SUBSTITUTE(F936," ","")),"")</f>
        <v/>
      </c>
      <c r="K936" s="8">
        <f>IF(C936&lt;&gt;"",HYPERLINK("https://wa.me/507"&amp;REGEXREPLACE(C936,"[^0-9]","")&amp;"?text="&amp;ENCODEURL("Ya llegue. Codigo: "&amp;A936&amp;". Ubicacion: "&amp;"https://www.google.com/maps/search/?api=1&amp;query="&amp;SUBSTITUTE(F936," ","")),"📲 Avisar al cliente"),"")</f>
        <v/>
      </c>
      <c r="L936" s="8">
        <f>IF(C936&lt;&gt;"","https://api.qrserver.com/v1/create-qr-code/?size=200x200&amp;data="&amp;ENCODEURL("https://wa.me/507"&amp;REGEXREPLACE(C936,"[^0-9]","")&amp;"?text="&amp;ENCODEURL("Ya llegue. Codigo: "&amp;A936&amp;". Ubicacion: "&amp;"https://www.google.com/maps/search/?api=1&amp;query="&amp;SUBSTITUTE(F936," ",""))),"")</f>
        <v/>
      </c>
      <c r="M936" s="8">
        <f>IF(B936&lt;&gt;"",TODAY(),"")</f>
        <v/>
      </c>
      <c r="N936" s="8">
        <f>IF(F936&lt;&gt;"",IFERROR(IF(AND(REGEXMATCH(SUBSTITUTE(TRIM(F936)," ",""),"^-?\d+(\.\d+)?,-?\d+(\.\d+)?$"),VALUE(REGEXEXTRACT(SUBSTITUTE(TRIM(F936)," ",""),"^-?\d+(\.\d+)?"))&gt;=-90,VALUE(REGEXEXTRACT(SUBSTITUTE(TRIM(F936)," ",""),"^-?\d+(\.\d+)?"))&lt;=90,VALUE(REGEXEXTRACT(SUBSTITUTE(TRIM(F936)," ",""),"-?\d+(\.\d+)?$"))&gt;=-180,VALUE(REGEXEXTRACT(SUBSTITUTE(TRIM(F936)," ",""),"-?\d+(\.\d+)?$"))&lt;=180),"OK","REVISAR"),"REVISAR"),"")</f>
        <v/>
      </c>
      <c r="O936">
        <f>IF(A936&lt;&gt;"","https://direcciones507.github.io/direcciones507/panel.html?codigo="&amp;A936&amp;"&amp;nombre="&amp;ENCODEURL(B936)&amp;"&amp;telefono="&amp;SUBSTITUTE(C936,"-","")&amp;"&amp;referencia="&amp;ENCODEURL(E936)&amp;"&amp;lat="&amp;IZQUIERDA(SUBSTITUTE(F936," ",""),ENCONTRAR(",",SUBSTITUTE(F936," ",""))-1)&amp;"&amp;lng="&amp;DERECHA(SUBSTITUTE(F936," ",""),LARGO(SUBSTITUTE(F936," ",""))-ENCONTRAR(",",SUBSTITUTE(F936," ",""))),"")</f>
        <v/>
      </c>
    </row>
    <row r="937" ht="15.75" customHeight="1" s="10">
      <c r="A937" s="8">
        <f>CONCAT("AD507-",TEXT(ROW()-2,"0000"))</f>
        <v/>
      </c>
      <c r="C937" s="8" t="n"/>
      <c r="F937" s="8" t="n"/>
      <c r="G937" s="8">
        <f>IF(F937&lt;&gt;"",HYPERLINK("https://www.google.com/maps/search/?api=1&amp;query="&amp;SUBSTITUTE(F937," ",""),"🗺 Google Maps"),"")</f>
        <v/>
      </c>
      <c r="H937" s="8">
        <f>IF(F937&lt;&gt;"",HYPERLINK("https://waze.com/ul?ll="&amp;SUBSTITUTE(F937," ","")&amp;"&amp;navigate=yes","🚗 Waze"),"")</f>
        <v/>
      </c>
      <c r="I937" s="8">
        <f>IF(F937&lt;&gt;"",HYPERLINK("https://m.uber.com/ul/?action=setPickup&amp;pickup=my_location&amp;dropoff[latitude]="&amp;LEFT(SUBSTITUTE(F937," ",""),FIND(",",SUBSTITUTE(F937," ",""))-1)&amp;"&amp;dropoff[longitude]="&amp;MID(SUBSTITUTE(F937," ",""),FIND(",",SUBSTITUTE(F937," ",""))+1,99),"🚕 Uber"),"")</f>
        <v/>
      </c>
      <c r="J937" s="8">
        <f>IF(F937&lt;&gt;"","https://api.qrserver.com/v1/create-qr-code/?size=200x200&amp;data="&amp;ENCODEURL("https://www.google.com/maps/search/?api=1&amp;query="&amp;SUBSTITUTE(F937," ","")),"")</f>
        <v/>
      </c>
      <c r="K937" s="8">
        <f>IF(C937&lt;&gt;"",HYPERLINK("https://wa.me/507"&amp;REGEXREPLACE(C937,"[^0-9]","")&amp;"?text="&amp;ENCODEURL("Ya llegue. Codigo: "&amp;A937&amp;". Ubicacion: "&amp;"https://www.google.com/maps/search/?api=1&amp;query="&amp;SUBSTITUTE(F937," ","")),"📲 Avisar al cliente"),"")</f>
        <v/>
      </c>
      <c r="L937" s="8">
        <f>IF(C937&lt;&gt;"","https://api.qrserver.com/v1/create-qr-code/?size=200x200&amp;data="&amp;ENCODEURL("https://wa.me/507"&amp;REGEXREPLACE(C937,"[^0-9]","")&amp;"?text="&amp;ENCODEURL("Ya llegue. Codigo: "&amp;A937&amp;". Ubicacion: "&amp;"https://www.google.com/maps/search/?api=1&amp;query="&amp;SUBSTITUTE(F937," ",""))),"")</f>
        <v/>
      </c>
      <c r="M937" s="8">
        <f>IF(B937&lt;&gt;"",TODAY(),"")</f>
        <v/>
      </c>
      <c r="N937" s="8">
        <f>IF(F937&lt;&gt;"",IFERROR(IF(AND(REGEXMATCH(SUBSTITUTE(TRIM(F937)," ",""),"^-?\d+(\.\d+)?,-?\d+(\.\d+)?$"),VALUE(REGEXEXTRACT(SUBSTITUTE(TRIM(F937)," ",""),"^-?\d+(\.\d+)?"))&gt;=-90,VALUE(REGEXEXTRACT(SUBSTITUTE(TRIM(F937)," ",""),"^-?\d+(\.\d+)?"))&lt;=90,VALUE(REGEXEXTRACT(SUBSTITUTE(TRIM(F937)," ",""),"-?\d+(\.\d+)?$"))&gt;=-180,VALUE(REGEXEXTRACT(SUBSTITUTE(TRIM(F937)," ",""),"-?\d+(\.\d+)?$"))&lt;=180),"OK","REVISAR"),"REVISAR"),"")</f>
        <v/>
      </c>
      <c r="O937">
        <f>IF(A937&lt;&gt;"","https://direcciones507.github.io/direcciones507/panel.html?codigo="&amp;A937&amp;"&amp;nombre="&amp;ENCODEURL(B937)&amp;"&amp;telefono="&amp;SUBSTITUTE(C937,"-","")&amp;"&amp;referencia="&amp;ENCODEURL(E937)&amp;"&amp;lat="&amp;IZQUIERDA(SUBSTITUTE(F937," ",""),ENCONTRAR(",",SUBSTITUTE(F937," ",""))-1)&amp;"&amp;lng="&amp;DERECHA(SUBSTITUTE(F937," ",""),LARGO(SUBSTITUTE(F937," ",""))-ENCONTRAR(",",SUBSTITUTE(F937," ",""))),"")</f>
        <v/>
      </c>
    </row>
    <row r="938" ht="15.75" customHeight="1" s="10">
      <c r="A938" s="8">
        <f>CONCAT("AD507-",TEXT(ROW()-2,"0000"))</f>
        <v/>
      </c>
      <c r="C938" s="8" t="n"/>
      <c r="F938" s="8" t="n"/>
      <c r="G938" s="8">
        <f>IF(F938&lt;&gt;"",HYPERLINK("https://www.google.com/maps/search/?api=1&amp;query="&amp;SUBSTITUTE(F938," ",""),"🗺 Google Maps"),"")</f>
        <v/>
      </c>
      <c r="H938" s="8">
        <f>IF(F938&lt;&gt;"",HYPERLINK("https://waze.com/ul?ll="&amp;SUBSTITUTE(F938," ","")&amp;"&amp;navigate=yes","🚗 Waze"),"")</f>
        <v/>
      </c>
      <c r="I938" s="8">
        <f>IF(F938&lt;&gt;"",HYPERLINK("https://m.uber.com/ul/?action=setPickup&amp;pickup=my_location&amp;dropoff[latitude]="&amp;LEFT(SUBSTITUTE(F938," ",""),FIND(",",SUBSTITUTE(F938," ",""))-1)&amp;"&amp;dropoff[longitude]="&amp;MID(SUBSTITUTE(F938," ",""),FIND(",",SUBSTITUTE(F938," ",""))+1,99),"🚕 Uber"),"")</f>
        <v/>
      </c>
      <c r="J938" s="8">
        <f>IF(F938&lt;&gt;"","https://api.qrserver.com/v1/create-qr-code/?size=200x200&amp;data="&amp;ENCODEURL("https://www.google.com/maps/search/?api=1&amp;query="&amp;SUBSTITUTE(F938," ","")),"")</f>
        <v/>
      </c>
      <c r="K938" s="8">
        <f>IF(C938&lt;&gt;"",HYPERLINK("https://wa.me/507"&amp;REGEXREPLACE(C938,"[^0-9]","")&amp;"?text="&amp;ENCODEURL("Ya llegue. Codigo: "&amp;A938&amp;". Ubicacion: "&amp;"https://www.google.com/maps/search/?api=1&amp;query="&amp;SUBSTITUTE(F938," ","")),"📲 Avisar al cliente"),"")</f>
        <v/>
      </c>
      <c r="L938" s="8">
        <f>IF(C938&lt;&gt;"","https://api.qrserver.com/v1/create-qr-code/?size=200x200&amp;data="&amp;ENCODEURL("https://wa.me/507"&amp;REGEXREPLACE(C938,"[^0-9]","")&amp;"?text="&amp;ENCODEURL("Ya llegue. Codigo: "&amp;A938&amp;". Ubicacion: "&amp;"https://www.google.com/maps/search/?api=1&amp;query="&amp;SUBSTITUTE(F938," ",""))),"")</f>
        <v/>
      </c>
      <c r="M938" s="8">
        <f>IF(B938&lt;&gt;"",TODAY(),"")</f>
        <v/>
      </c>
      <c r="N938" s="8">
        <f>IF(F938&lt;&gt;"",IFERROR(IF(AND(REGEXMATCH(SUBSTITUTE(TRIM(F938)," ",""),"^-?\d+(\.\d+)?,-?\d+(\.\d+)?$"),VALUE(REGEXEXTRACT(SUBSTITUTE(TRIM(F938)," ",""),"^-?\d+(\.\d+)?"))&gt;=-90,VALUE(REGEXEXTRACT(SUBSTITUTE(TRIM(F938)," ",""),"^-?\d+(\.\d+)?"))&lt;=90,VALUE(REGEXEXTRACT(SUBSTITUTE(TRIM(F938)," ",""),"-?\d+(\.\d+)?$"))&gt;=-180,VALUE(REGEXEXTRACT(SUBSTITUTE(TRIM(F938)," ",""),"-?\d+(\.\d+)?$"))&lt;=180),"OK","REVISAR"),"REVISAR"),"")</f>
        <v/>
      </c>
      <c r="O938">
        <f>IF(A938&lt;&gt;"","https://direcciones507.github.io/direcciones507/panel.html?codigo="&amp;A938&amp;"&amp;nombre="&amp;ENCODEURL(B938)&amp;"&amp;telefono="&amp;SUBSTITUTE(C938,"-","")&amp;"&amp;referencia="&amp;ENCODEURL(E938)&amp;"&amp;lat="&amp;IZQUIERDA(SUBSTITUTE(F938," ",""),ENCONTRAR(",",SUBSTITUTE(F938," ",""))-1)&amp;"&amp;lng="&amp;DERECHA(SUBSTITUTE(F938," ",""),LARGO(SUBSTITUTE(F938," ",""))-ENCONTRAR(",",SUBSTITUTE(F938," ",""))),"")</f>
        <v/>
      </c>
    </row>
    <row r="939" ht="15.75" customHeight="1" s="10">
      <c r="A939" s="8">
        <f>CONCAT("AD507-",TEXT(ROW()-2,"0000"))</f>
        <v/>
      </c>
      <c r="C939" s="8" t="n"/>
      <c r="F939" s="8" t="n"/>
      <c r="G939" s="8">
        <f>IF(F939&lt;&gt;"",HYPERLINK("https://www.google.com/maps/search/?api=1&amp;query="&amp;SUBSTITUTE(F939," ",""),"🗺 Google Maps"),"")</f>
        <v/>
      </c>
      <c r="H939" s="8">
        <f>IF(F939&lt;&gt;"",HYPERLINK("https://waze.com/ul?ll="&amp;SUBSTITUTE(F939," ","")&amp;"&amp;navigate=yes","🚗 Waze"),"")</f>
        <v/>
      </c>
      <c r="I939" s="8">
        <f>IF(F939&lt;&gt;"",HYPERLINK("https://m.uber.com/ul/?action=setPickup&amp;pickup=my_location&amp;dropoff[latitude]="&amp;LEFT(SUBSTITUTE(F939," ",""),FIND(",",SUBSTITUTE(F939," ",""))-1)&amp;"&amp;dropoff[longitude]="&amp;MID(SUBSTITUTE(F939," ",""),FIND(",",SUBSTITUTE(F939," ",""))+1,99),"🚕 Uber"),"")</f>
        <v/>
      </c>
      <c r="J939" s="8">
        <f>IF(F939&lt;&gt;"","https://api.qrserver.com/v1/create-qr-code/?size=200x200&amp;data="&amp;ENCODEURL("https://www.google.com/maps/search/?api=1&amp;query="&amp;SUBSTITUTE(F939," ","")),"")</f>
        <v/>
      </c>
      <c r="K939" s="8">
        <f>IF(C939&lt;&gt;"",HYPERLINK("https://wa.me/507"&amp;REGEXREPLACE(C939,"[^0-9]","")&amp;"?text="&amp;ENCODEURL("Ya llegue. Codigo: "&amp;A939&amp;". Ubicacion: "&amp;"https://www.google.com/maps/search/?api=1&amp;query="&amp;SUBSTITUTE(F939," ","")),"📲 Avisar al cliente"),"")</f>
        <v/>
      </c>
      <c r="L939" s="8">
        <f>IF(C939&lt;&gt;"","https://api.qrserver.com/v1/create-qr-code/?size=200x200&amp;data="&amp;ENCODEURL("https://wa.me/507"&amp;REGEXREPLACE(C939,"[^0-9]","")&amp;"?text="&amp;ENCODEURL("Ya llegue. Codigo: "&amp;A939&amp;". Ubicacion: "&amp;"https://www.google.com/maps/search/?api=1&amp;query="&amp;SUBSTITUTE(F939," ",""))),"")</f>
        <v/>
      </c>
      <c r="M939" s="8">
        <f>IF(B939&lt;&gt;"",TODAY(),"")</f>
        <v/>
      </c>
      <c r="N939" s="8">
        <f>IF(F939&lt;&gt;"",IFERROR(IF(AND(REGEXMATCH(SUBSTITUTE(TRIM(F939)," ",""),"^-?\d+(\.\d+)?,-?\d+(\.\d+)?$"),VALUE(REGEXEXTRACT(SUBSTITUTE(TRIM(F939)," ",""),"^-?\d+(\.\d+)?"))&gt;=-90,VALUE(REGEXEXTRACT(SUBSTITUTE(TRIM(F939)," ",""),"^-?\d+(\.\d+)?"))&lt;=90,VALUE(REGEXEXTRACT(SUBSTITUTE(TRIM(F939)," ",""),"-?\d+(\.\d+)?$"))&gt;=-180,VALUE(REGEXEXTRACT(SUBSTITUTE(TRIM(F939)," ",""),"-?\d+(\.\d+)?$"))&lt;=180),"OK","REVISAR"),"REVISAR"),"")</f>
        <v/>
      </c>
      <c r="O939">
        <f>IF(A939&lt;&gt;"","https://direcciones507.github.io/direcciones507/panel.html?codigo="&amp;A939&amp;"&amp;nombre="&amp;ENCODEURL(B939)&amp;"&amp;telefono="&amp;SUBSTITUTE(C939,"-","")&amp;"&amp;referencia="&amp;ENCODEURL(E939)&amp;"&amp;lat="&amp;IZQUIERDA(SUBSTITUTE(F939," ",""),ENCONTRAR(",",SUBSTITUTE(F939," ",""))-1)&amp;"&amp;lng="&amp;DERECHA(SUBSTITUTE(F939," ",""),LARGO(SUBSTITUTE(F939," ",""))-ENCONTRAR(",",SUBSTITUTE(F939," ",""))),"")</f>
        <v/>
      </c>
    </row>
    <row r="940" ht="15.75" customHeight="1" s="10">
      <c r="A940" s="8">
        <f>CONCAT("AD507-",TEXT(ROW()-2,"0000"))</f>
        <v/>
      </c>
      <c r="C940" s="8" t="n"/>
      <c r="F940" s="8" t="n"/>
      <c r="G940" s="8">
        <f>IF(F940&lt;&gt;"",HYPERLINK("https://www.google.com/maps/search/?api=1&amp;query="&amp;SUBSTITUTE(F940," ",""),"🗺 Google Maps"),"")</f>
        <v/>
      </c>
      <c r="H940" s="8">
        <f>IF(F940&lt;&gt;"",HYPERLINK("https://waze.com/ul?ll="&amp;SUBSTITUTE(F940," ","")&amp;"&amp;navigate=yes","🚗 Waze"),"")</f>
        <v/>
      </c>
      <c r="I940" s="8">
        <f>IF(F940&lt;&gt;"",HYPERLINK("https://m.uber.com/ul/?action=setPickup&amp;pickup=my_location&amp;dropoff[latitude]="&amp;LEFT(SUBSTITUTE(F940," ",""),FIND(",",SUBSTITUTE(F940," ",""))-1)&amp;"&amp;dropoff[longitude]="&amp;MID(SUBSTITUTE(F940," ",""),FIND(",",SUBSTITUTE(F940," ",""))+1,99),"🚕 Uber"),"")</f>
        <v/>
      </c>
      <c r="J940" s="8">
        <f>IF(F940&lt;&gt;"","https://api.qrserver.com/v1/create-qr-code/?size=200x200&amp;data="&amp;ENCODEURL("https://www.google.com/maps/search/?api=1&amp;query="&amp;SUBSTITUTE(F940," ","")),"")</f>
        <v/>
      </c>
      <c r="K940" s="8">
        <f>IF(C940&lt;&gt;"",HYPERLINK("https://wa.me/507"&amp;REGEXREPLACE(C940,"[^0-9]","")&amp;"?text="&amp;ENCODEURL("Ya llegue. Codigo: "&amp;A940&amp;". Ubicacion: "&amp;"https://www.google.com/maps/search/?api=1&amp;query="&amp;SUBSTITUTE(F940," ","")),"📲 Avisar al cliente"),"")</f>
        <v/>
      </c>
      <c r="L940" s="8">
        <f>IF(C940&lt;&gt;"","https://api.qrserver.com/v1/create-qr-code/?size=200x200&amp;data="&amp;ENCODEURL("https://wa.me/507"&amp;REGEXREPLACE(C940,"[^0-9]","")&amp;"?text="&amp;ENCODEURL("Ya llegue. Codigo: "&amp;A940&amp;". Ubicacion: "&amp;"https://www.google.com/maps/search/?api=1&amp;query="&amp;SUBSTITUTE(F940," ",""))),"")</f>
        <v/>
      </c>
      <c r="M940" s="8">
        <f>IF(B940&lt;&gt;"",TODAY(),"")</f>
        <v/>
      </c>
      <c r="N940" s="8">
        <f>IF(F940&lt;&gt;"",IFERROR(IF(AND(REGEXMATCH(SUBSTITUTE(TRIM(F940)," ",""),"^-?\d+(\.\d+)?,-?\d+(\.\d+)?$"),VALUE(REGEXEXTRACT(SUBSTITUTE(TRIM(F940)," ",""),"^-?\d+(\.\d+)?"))&gt;=-90,VALUE(REGEXEXTRACT(SUBSTITUTE(TRIM(F940)," ",""),"^-?\d+(\.\d+)?"))&lt;=90,VALUE(REGEXEXTRACT(SUBSTITUTE(TRIM(F940)," ",""),"-?\d+(\.\d+)?$"))&gt;=-180,VALUE(REGEXEXTRACT(SUBSTITUTE(TRIM(F940)," ",""),"-?\d+(\.\d+)?$"))&lt;=180),"OK","REVISAR"),"REVISAR"),"")</f>
        <v/>
      </c>
      <c r="O940">
        <f>IF(A940&lt;&gt;"","https://direcciones507.github.io/direcciones507/panel.html?codigo="&amp;A940&amp;"&amp;nombre="&amp;ENCODEURL(B940)&amp;"&amp;telefono="&amp;SUBSTITUTE(C940,"-","")&amp;"&amp;referencia="&amp;ENCODEURL(E940)&amp;"&amp;lat="&amp;IZQUIERDA(SUBSTITUTE(F940," ",""),ENCONTRAR(",",SUBSTITUTE(F940," ",""))-1)&amp;"&amp;lng="&amp;DERECHA(SUBSTITUTE(F940," ",""),LARGO(SUBSTITUTE(F940," ",""))-ENCONTRAR(",",SUBSTITUTE(F940," ",""))),"")</f>
        <v/>
      </c>
    </row>
    <row r="941" ht="15.75" customHeight="1" s="10">
      <c r="A941" s="8">
        <f>CONCAT("AD507-",TEXT(ROW()-2,"0000"))</f>
        <v/>
      </c>
      <c r="C941" s="8" t="n"/>
      <c r="F941" s="8" t="n"/>
      <c r="G941" s="8">
        <f>IF(F941&lt;&gt;"",HYPERLINK("https://www.google.com/maps/search/?api=1&amp;query="&amp;SUBSTITUTE(F941," ",""),"🗺 Google Maps"),"")</f>
        <v/>
      </c>
      <c r="H941" s="8">
        <f>IF(F941&lt;&gt;"",HYPERLINK("https://waze.com/ul?ll="&amp;SUBSTITUTE(F941," ","")&amp;"&amp;navigate=yes","🚗 Waze"),"")</f>
        <v/>
      </c>
      <c r="I941" s="8">
        <f>IF(F941&lt;&gt;"",HYPERLINK("https://m.uber.com/ul/?action=setPickup&amp;pickup=my_location&amp;dropoff[latitude]="&amp;LEFT(SUBSTITUTE(F941," ",""),FIND(",",SUBSTITUTE(F941," ",""))-1)&amp;"&amp;dropoff[longitude]="&amp;MID(SUBSTITUTE(F941," ",""),FIND(",",SUBSTITUTE(F941," ",""))+1,99),"🚕 Uber"),"")</f>
        <v/>
      </c>
      <c r="J941" s="8">
        <f>IF(F941&lt;&gt;"","https://api.qrserver.com/v1/create-qr-code/?size=200x200&amp;data="&amp;ENCODEURL("https://www.google.com/maps/search/?api=1&amp;query="&amp;SUBSTITUTE(F941," ","")),"")</f>
        <v/>
      </c>
      <c r="K941" s="8">
        <f>IF(C941&lt;&gt;"",HYPERLINK("https://wa.me/507"&amp;REGEXREPLACE(C941,"[^0-9]","")&amp;"?text="&amp;ENCODEURL("Ya llegue. Codigo: "&amp;A941&amp;". Ubicacion: "&amp;"https://www.google.com/maps/search/?api=1&amp;query="&amp;SUBSTITUTE(F941," ","")),"📲 Avisar al cliente"),"")</f>
        <v/>
      </c>
      <c r="L941" s="8">
        <f>IF(C941&lt;&gt;"","https://api.qrserver.com/v1/create-qr-code/?size=200x200&amp;data="&amp;ENCODEURL("https://wa.me/507"&amp;REGEXREPLACE(C941,"[^0-9]","")&amp;"?text="&amp;ENCODEURL("Ya llegue. Codigo: "&amp;A941&amp;". Ubicacion: "&amp;"https://www.google.com/maps/search/?api=1&amp;query="&amp;SUBSTITUTE(F941," ",""))),"")</f>
        <v/>
      </c>
      <c r="M941" s="8">
        <f>IF(B941&lt;&gt;"",TODAY(),"")</f>
        <v/>
      </c>
      <c r="N941" s="8">
        <f>IF(F941&lt;&gt;"",IFERROR(IF(AND(REGEXMATCH(SUBSTITUTE(TRIM(F941)," ",""),"^-?\d+(\.\d+)?,-?\d+(\.\d+)?$"),VALUE(REGEXEXTRACT(SUBSTITUTE(TRIM(F941)," ",""),"^-?\d+(\.\d+)?"))&gt;=-90,VALUE(REGEXEXTRACT(SUBSTITUTE(TRIM(F941)," ",""),"^-?\d+(\.\d+)?"))&lt;=90,VALUE(REGEXEXTRACT(SUBSTITUTE(TRIM(F941)," ",""),"-?\d+(\.\d+)?$"))&gt;=-180,VALUE(REGEXEXTRACT(SUBSTITUTE(TRIM(F941)," ",""),"-?\d+(\.\d+)?$"))&lt;=180),"OK","REVISAR"),"REVISAR"),"")</f>
        <v/>
      </c>
      <c r="O941">
        <f>IF(A941&lt;&gt;"","https://direcciones507.github.io/direcciones507/panel.html?codigo="&amp;A941&amp;"&amp;nombre="&amp;ENCODEURL(B941)&amp;"&amp;telefono="&amp;SUBSTITUTE(C941,"-","")&amp;"&amp;referencia="&amp;ENCODEURL(E941)&amp;"&amp;lat="&amp;IZQUIERDA(SUBSTITUTE(F941," ",""),ENCONTRAR(",",SUBSTITUTE(F941," ",""))-1)&amp;"&amp;lng="&amp;DERECHA(SUBSTITUTE(F941," ",""),LARGO(SUBSTITUTE(F941," ",""))-ENCONTRAR(",",SUBSTITUTE(F941," ",""))),"")</f>
        <v/>
      </c>
    </row>
    <row r="942" ht="15.75" customHeight="1" s="10">
      <c r="A942" s="8">
        <f>CONCAT("AD507-",TEXT(ROW()-2,"0000"))</f>
        <v/>
      </c>
      <c r="C942" s="8" t="n"/>
      <c r="F942" s="8" t="n"/>
      <c r="G942" s="8">
        <f>IF(F942&lt;&gt;"",HYPERLINK("https://www.google.com/maps/search/?api=1&amp;query="&amp;SUBSTITUTE(F942," ",""),"🗺 Google Maps"),"")</f>
        <v/>
      </c>
      <c r="H942" s="8">
        <f>IF(F942&lt;&gt;"",HYPERLINK("https://waze.com/ul?ll="&amp;SUBSTITUTE(F942," ","")&amp;"&amp;navigate=yes","🚗 Waze"),"")</f>
        <v/>
      </c>
      <c r="I942" s="8">
        <f>IF(F942&lt;&gt;"",HYPERLINK("https://m.uber.com/ul/?action=setPickup&amp;pickup=my_location&amp;dropoff[latitude]="&amp;LEFT(SUBSTITUTE(F942," ",""),FIND(",",SUBSTITUTE(F942," ",""))-1)&amp;"&amp;dropoff[longitude]="&amp;MID(SUBSTITUTE(F942," ",""),FIND(",",SUBSTITUTE(F942," ",""))+1,99),"🚕 Uber"),"")</f>
        <v/>
      </c>
      <c r="J942" s="8">
        <f>IF(F942&lt;&gt;"","https://api.qrserver.com/v1/create-qr-code/?size=200x200&amp;data="&amp;ENCODEURL("https://www.google.com/maps/search/?api=1&amp;query="&amp;SUBSTITUTE(F942," ","")),"")</f>
        <v/>
      </c>
      <c r="K942" s="8">
        <f>IF(C942&lt;&gt;"",HYPERLINK("https://wa.me/507"&amp;REGEXREPLACE(C942,"[^0-9]","")&amp;"?text="&amp;ENCODEURL("Ya llegue. Codigo: "&amp;A942&amp;". Ubicacion: "&amp;"https://www.google.com/maps/search/?api=1&amp;query="&amp;SUBSTITUTE(F942," ","")),"📲 Avisar al cliente"),"")</f>
        <v/>
      </c>
      <c r="L942" s="8">
        <f>IF(C942&lt;&gt;"","https://api.qrserver.com/v1/create-qr-code/?size=200x200&amp;data="&amp;ENCODEURL("https://wa.me/507"&amp;REGEXREPLACE(C942,"[^0-9]","")&amp;"?text="&amp;ENCODEURL("Ya llegue. Codigo: "&amp;A942&amp;". Ubicacion: "&amp;"https://www.google.com/maps/search/?api=1&amp;query="&amp;SUBSTITUTE(F942," ",""))),"")</f>
        <v/>
      </c>
      <c r="M942" s="8">
        <f>IF(B942&lt;&gt;"",TODAY(),"")</f>
        <v/>
      </c>
      <c r="N942" s="8">
        <f>IF(F942&lt;&gt;"",IFERROR(IF(AND(REGEXMATCH(SUBSTITUTE(TRIM(F942)," ",""),"^-?\d+(\.\d+)?,-?\d+(\.\d+)?$"),VALUE(REGEXEXTRACT(SUBSTITUTE(TRIM(F942)," ",""),"^-?\d+(\.\d+)?"))&gt;=-90,VALUE(REGEXEXTRACT(SUBSTITUTE(TRIM(F942)," ",""),"^-?\d+(\.\d+)?"))&lt;=90,VALUE(REGEXEXTRACT(SUBSTITUTE(TRIM(F942)," ",""),"-?\d+(\.\d+)?$"))&gt;=-180,VALUE(REGEXEXTRACT(SUBSTITUTE(TRIM(F942)," ",""),"-?\d+(\.\d+)?$"))&lt;=180),"OK","REVISAR"),"REVISAR"),"")</f>
        <v/>
      </c>
      <c r="O942">
        <f>IF(A942&lt;&gt;"","https://direcciones507.github.io/direcciones507/panel.html?codigo="&amp;A942&amp;"&amp;nombre="&amp;ENCODEURL(B942)&amp;"&amp;telefono="&amp;SUBSTITUTE(C942,"-","")&amp;"&amp;referencia="&amp;ENCODEURL(E942)&amp;"&amp;lat="&amp;IZQUIERDA(SUBSTITUTE(F942," ",""),ENCONTRAR(",",SUBSTITUTE(F942," ",""))-1)&amp;"&amp;lng="&amp;DERECHA(SUBSTITUTE(F942," ",""),LARGO(SUBSTITUTE(F942," ",""))-ENCONTRAR(",",SUBSTITUTE(F942," ",""))),"")</f>
        <v/>
      </c>
    </row>
    <row r="943" ht="15.75" customHeight="1" s="10">
      <c r="A943" s="8">
        <f>CONCAT("AD507-",TEXT(ROW()-2,"0000"))</f>
        <v/>
      </c>
      <c r="C943" s="8" t="n"/>
      <c r="F943" s="8" t="n"/>
      <c r="G943" s="8">
        <f>IF(F943&lt;&gt;"",HYPERLINK("https://www.google.com/maps/search/?api=1&amp;query="&amp;SUBSTITUTE(F943," ",""),"🗺 Google Maps"),"")</f>
        <v/>
      </c>
      <c r="H943" s="8">
        <f>IF(F943&lt;&gt;"",HYPERLINK("https://waze.com/ul?ll="&amp;SUBSTITUTE(F943," ","")&amp;"&amp;navigate=yes","🚗 Waze"),"")</f>
        <v/>
      </c>
      <c r="I943" s="8">
        <f>IF(F943&lt;&gt;"",HYPERLINK("https://m.uber.com/ul/?action=setPickup&amp;pickup=my_location&amp;dropoff[latitude]="&amp;LEFT(SUBSTITUTE(F943," ",""),FIND(",",SUBSTITUTE(F943," ",""))-1)&amp;"&amp;dropoff[longitude]="&amp;MID(SUBSTITUTE(F943," ",""),FIND(",",SUBSTITUTE(F943," ",""))+1,99),"🚕 Uber"),"")</f>
        <v/>
      </c>
      <c r="J943" s="8">
        <f>IF(F943&lt;&gt;"","https://api.qrserver.com/v1/create-qr-code/?size=200x200&amp;data="&amp;ENCODEURL("https://www.google.com/maps/search/?api=1&amp;query="&amp;SUBSTITUTE(F943," ","")),"")</f>
        <v/>
      </c>
      <c r="K943" s="8">
        <f>IF(C943&lt;&gt;"",HYPERLINK("https://wa.me/507"&amp;REGEXREPLACE(C943,"[^0-9]","")&amp;"?text="&amp;ENCODEURL("Ya llegue. Codigo: "&amp;A943&amp;". Ubicacion: "&amp;"https://www.google.com/maps/search/?api=1&amp;query="&amp;SUBSTITUTE(F943," ","")),"📲 Avisar al cliente"),"")</f>
        <v/>
      </c>
      <c r="L943" s="8">
        <f>IF(C943&lt;&gt;"","https://api.qrserver.com/v1/create-qr-code/?size=200x200&amp;data="&amp;ENCODEURL("https://wa.me/507"&amp;REGEXREPLACE(C943,"[^0-9]","")&amp;"?text="&amp;ENCODEURL("Ya llegue. Codigo: "&amp;A943&amp;". Ubicacion: "&amp;"https://www.google.com/maps/search/?api=1&amp;query="&amp;SUBSTITUTE(F943," ",""))),"")</f>
        <v/>
      </c>
      <c r="M943" s="8">
        <f>IF(B943&lt;&gt;"",TODAY(),"")</f>
        <v/>
      </c>
      <c r="N943" s="8">
        <f>IF(F943&lt;&gt;"",IFERROR(IF(AND(REGEXMATCH(SUBSTITUTE(TRIM(F943)," ",""),"^-?\d+(\.\d+)?,-?\d+(\.\d+)?$"),VALUE(REGEXEXTRACT(SUBSTITUTE(TRIM(F943)," ",""),"^-?\d+(\.\d+)?"))&gt;=-90,VALUE(REGEXEXTRACT(SUBSTITUTE(TRIM(F943)," ",""),"^-?\d+(\.\d+)?"))&lt;=90,VALUE(REGEXEXTRACT(SUBSTITUTE(TRIM(F943)," ",""),"-?\d+(\.\d+)?$"))&gt;=-180,VALUE(REGEXEXTRACT(SUBSTITUTE(TRIM(F943)," ",""),"-?\d+(\.\d+)?$"))&lt;=180),"OK","REVISAR"),"REVISAR"),"")</f>
        <v/>
      </c>
      <c r="O943">
        <f>IF(A943&lt;&gt;"","https://direcciones507.github.io/direcciones507/panel.html?codigo="&amp;A943&amp;"&amp;nombre="&amp;ENCODEURL(B943)&amp;"&amp;telefono="&amp;SUBSTITUTE(C943,"-","")&amp;"&amp;referencia="&amp;ENCODEURL(E943)&amp;"&amp;lat="&amp;IZQUIERDA(SUBSTITUTE(F943," ",""),ENCONTRAR(",",SUBSTITUTE(F943," ",""))-1)&amp;"&amp;lng="&amp;DERECHA(SUBSTITUTE(F943," ",""),LARGO(SUBSTITUTE(F943," ",""))-ENCONTRAR(",",SUBSTITUTE(F943," ",""))),"")</f>
        <v/>
      </c>
    </row>
    <row r="944" ht="15.75" customHeight="1" s="10">
      <c r="A944" s="8">
        <f>CONCAT("AD507-",TEXT(ROW()-2,"0000"))</f>
        <v/>
      </c>
      <c r="C944" s="8" t="n"/>
      <c r="F944" s="8" t="n"/>
      <c r="G944" s="8">
        <f>IF(F944&lt;&gt;"",HYPERLINK("https://www.google.com/maps/search/?api=1&amp;query="&amp;SUBSTITUTE(F944," ",""),"🗺 Google Maps"),"")</f>
        <v/>
      </c>
      <c r="H944" s="8">
        <f>IF(F944&lt;&gt;"",HYPERLINK("https://waze.com/ul?ll="&amp;SUBSTITUTE(F944," ","")&amp;"&amp;navigate=yes","🚗 Waze"),"")</f>
        <v/>
      </c>
      <c r="I944" s="8">
        <f>IF(F944&lt;&gt;"",HYPERLINK("https://m.uber.com/ul/?action=setPickup&amp;pickup=my_location&amp;dropoff[latitude]="&amp;LEFT(SUBSTITUTE(F944," ",""),FIND(",",SUBSTITUTE(F944," ",""))-1)&amp;"&amp;dropoff[longitude]="&amp;MID(SUBSTITUTE(F944," ",""),FIND(",",SUBSTITUTE(F944," ",""))+1,99),"🚕 Uber"),"")</f>
        <v/>
      </c>
      <c r="J944" s="8">
        <f>IF(F944&lt;&gt;"","https://api.qrserver.com/v1/create-qr-code/?size=200x200&amp;data="&amp;ENCODEURL("https://www.google.com/maps/search/?api=1&amp;query="&amp;SUBSTITUTE(F944," ","")),"")</f>
        <v/>
      </c>
      <c r="K944" s="8">
        <f>IF(C944&lt;&gt;"",HYPERLINK("https://wa.me/507"&amp;REGEXREPLACE(C944,"[^0-9]","")&amp;"?text="&amp;ENCODEURL("Ya llegue. Codigo: "&amp;A944&amp;". Ubicacion: "&amp;"https://www.google.com/maps/search/?api=1&amp;query="&amp;SUBSTITUTE(F944," ","")),"📲 Avisar al cliente"),"")</f>
        <v/>
      </c>
      <c r="L944" s="8">
        <f>IF(C944&lt;&gt;"","https://api.qrserver.com/v1/create-qr-code/?size=200x200&amp;data="&amp;ENCODEURL("https://wa.me/507"&amp;REGEXREPLACE(C944,"[^0-9]","")&amp;"?text="&amp;ENCODEURL("Ya llegue. Codigo: "&amp;A944&amp;". Ubicacion: "&amp;"https://www.google.com/maps/search/?api=1&amp;query="&amp;SUBSTITUTE(F944," ",""))),"")</f>
        <v/>
      </c>
      <c r="M944" s="8">
        <f>IF(B944&lt;&gt;"",TODAY(),"")</f>
        <v/>
      </c>
      <c r="N944" s="8">
        <f>IF(F944&lt;&gt;"",IFERROR(IF(AND(REGEXMATCH(SUBSTITUTE(TRIM(F944)," ",""),"^-?\d+(\.\d+)?,-?\d+(\.\d+)?$"),VALUE(REGEXEXTRACT(SUBSTITUTE(TRIM(F944)," ",""),"^-?\d+(\.\d+)?"))&gt;=-90,VALUE(REGEXEXTRACT(SUBSTITUTE(TRIM(F944)," ",""),"^-?\d+(\.\d+)?"))&lt;=90,VALUE(REGEXEXTRACT(SUBSTITUTE(TRIM(F944)," ",""),"-?\d+(\.\d+)?$"))&gt;=-180,VALUE(REGEXEXTRACT(SUBSTITUTE(TRIM(F944)," ",""),"-?\d+(\.\d+)?$"))&lt;=180),"OK","REVISAR"),"REVISAR"),"")</f>
        <v/>
      </c>
      <c r="O944">
        <f>IF(A944&lt;&gt;"","https://direcciones507.github.io/direcciones507/panel.html?codigo="&amp;A944&amp;"&amp;nombre="&amp;ENCODEURL(B944)&amp;"&amp;telefono="&amp;SUBSTITUTE(C944,"-","")&amp;"&amp;referencia="&amp;ENCODEURL(E944)&amp;"&amp;lat="&amp;IZQUIERDA(SUBSTITUTE(F944," ",""),ENCONTRAR(",",SUBSTITUTE(F944," ",""))-1)&amp;"&amp;lng="&amp;DERECHA(SUBSTITUTE(F944," ",""),LARGO(SUBSTITUTE(F944," ",""))-ENCONTRAR(",",SUBSTITUTE(F944," ",""))),"")</f>
        <v/>
      </c>
    </row>
    <row r="945" ht="15.75" customHeight="1" s="10">
      <c r="A945" s="8">
        <f>CONCAT("AD507-",TEXT(ROW()-2,"0000"))</f>
        <v/>
      </c>
      <c r="C945" s="8" t="n"/>
      <c r="F945" s="8" t="n"/>
      <c r="G945" s="8">
        <f>IF(F945&lt;&gt;"",HYPERLINK("https://www.google.com/maps/search/?api=1&amp;query="&amp;SUBSTITUTE(F945," ",""),"🗺 Google Maps"),"")</f>
        <v/>
      </c>
      <c r="H945" s="8">
        <f>IF(F945&lt;&gt;"",HYPERLINK("https://waze.com/ul?ll="&amp;SUBSTITUTE(F945," ","")&amp;"&amp;navigate=yes","🚗 Waze"),"")</f>
        <v/>
      </c>
      <c r="I945" s="8">
        <f>IF(F945&lt;&gt;"",HYPERLINK("https://m.uber.com/ul/?action=setPickup&amp;pickup=my_location&amp;dropoff[latitude]="&amp;LEFT(SUBSTITUTE(F945," ",""),FIND(",",SUBSTITUTE(F945," ",""))-1)&amp;"&amp;dropoff[longitude]="&amp;MID(SUBSTITUTE(F945," ",""),FIND(",",SUBSTITUTE(F945," ",""))+1,99),"🚕 Uber"),"")</f>
        <v/>
      </c>
      <c r="J945" s="8">
        <f>IF(F945&lt;&gt;"","https://api.qrserver.com/v1/create-qr-code/?size=200x200&amp;data="&amp;ENCODEURL("https://www.google.com/maps/search/?api=1&amp;query="&amp;SUBSTITUTE(F945," ","")),"")</f>
        <v/>
      </c>
      <c r="K945" s="8">
        <f>IF(C945&lt;&gt;"",HYPERLINK("https://wa.me/507"&amp;REGEXREPLACE(C945,"[^0-9]","")&amp;"?text="&amp;ENCODEURL("Ya llegue. Codigo: "&amp;A945&amp;". Ubicacion: "&amp;"https://www.google.com/maps/search/?api=1&amp;query="&amp;SUBSTITUTE(F945," ","")),"📲 Avisar al cliente"),"")</f>
        <v/>
      </c>
      <c r="L945" s="8">
        <f>IF(C945&lt;&gt;"","https://api.qrserver.com/v1/create-qr-code/?size=200x200&amp;data="&amp;ENCODEURL("https://wa.me/507"&amp;REGEXREPLACE(C945,"[^0-9]","")&amp;"?text="&amp;ENCODEURL("Ya llegue. Codigo: "&amp;A945&amp;". Ubicacion: "&amp;"https://www.google.com/maps/search/?api=1&amp;query="&amp;SUBSTITUTE(F945," ",""))),"")</f>
        <v/>
      </c>
      <c r="M945" s="8">
        <f>IF(B945&lt;&gt;"",TODAY(),"")</f>
        <v/>
      </c>
      <c r="N945" s="8">
        <f>IF(F945&lt;&gt;"",IFERROR(IF(AND(REGEXMATCH(SUBSTITUTE(TRIM(F945)," ",""),"^-?\d+(\.\d+)?,-?\d+(\.\d+)?$"),VALUE(REGEXEXTRACT(SUBSTITUTE(TRIM(F945)," ",""),"^-?\d+(\.\d+)?"))&gt;=-90,VALUE(REGEXEXTRACT(SUBSTITUTE(TRIM(F945)," ",""),"^-?\d+(\.\d+)?"))&lt;=90,VALUE(REGEXEXTRACT(SUBSTITUTE(TRIM(F945)," ",""),"-?\d+(\.\d+)?$"))&gt;=-180,VALUE(REGEXEXTRACT(SUBSTITUTE(TRIM(F945)," ",""),"-?\d+(\.\d+)?$"))&lt;=180),"OK","REVISAR"),"REVISAR"),"")</f>
        <v/>
      </c>
      <c r="O945">
        <f>IF(A945&lt;&gt;"","https://direcciones507.github.io/direcciones507/panel.html?codigo="&amp;A945&amp;"&amp;nombre="&amp;ENCODEURL(B945)&amp;"&amp;telefono="&amp;SUBSTITUTE(C945,"-","")&amp;"&amp;referencia="&amp;ENCODEURL(E945)&amp;"&amp;lat="&amp;IZQUIERDA(SUBSTITUTE(F945," ",""),ENCONTRAR(",",SUBSTITUTE(F945," ",""))-1)&amp;"&amp;lng="&amp;DERECHA(SUBSTITUTE(F945," ",""),LARGO(SUBSTITUTE(F945," ",""))-ENCONTRAR(",",SUBSTITUTE(F945," ",""))),"")</f>
        <v/>
      </c>
    </row>
    <row r="946" ht="15.75" customHeight="1" s="10">
      <c r="A946" s="8">
        <f>CONCAT("AD507-",TEXT(ROW()-2,"0000"))</f>
        <v/>
      </c>
      <c r="C946" s="8" t="n"/>
      <c r="F946" s="8" t="n"/>
      <c r="G946" s="8">
        <f>IF(F946&lt;&gt;"",HYPERLINK("https://www.google.com/maps/search/?api=1&amp;query="&amp;SUBSTITUTE(F946," ",""),"🗺 Google Maps"),"")</f>
        <v/>
      </c>
      <c r="H946" s="8">
        <f>IF(F946&lt;&gt;"",HYPERLINK("https://waze.com/ul?ll="&amp;SUBSTITUTE(F946," ","")&amp;"&amp;navigate=yes","🚗 Waze"),"")</f>
        <v/>
      </c>
      <c r="I946" s="8">
        <f>IF(F946&lt;&gt;"",HYPERLINK("https://m.uber.com/ul/?action=setPickup&amp;pickup=my_location&amp;dropoff[latitude]="&amp;LEFT(SUBSTITUTE(F946," ",""),FIND(",",SUBSTITUTE(F946," ",""))-1)&amp;"&amp;dropoff[longitude]="&amp;MID(SUBSTITUTE(F946," ",""),FIND(",",SUBSTITUTE(F946," ",""))+1,99),"🚕 Uber"),"")</f>
        <v/>
      </c>
      <c r="J946" s="8">
        <f>IF(F946&lt;&gt;"","https://api.qrserver.com/v1/create-qr-code/?size=200x200&amp;data="&amp;ENCODEURL("https://www.google.com/maps/search/?api=1&amp;query="&amp;SUBSTITUTE(F946," ","")),"")</f>
        <v/>
      </c>
      <c r="K946" s="8">
        <f>IF(C946&lt;&gt;"",HYPERLINK("https://wa.me/507"&amp;REGEXREPLACE(C946,"[^0-9]","")&amp;"?text="&amp;ENCODEURL("Ya llegue. Codigo: "&amp;A946&amp;". Ubicacion: "&amp;"https://www.google.com/maps/search/?api=1&amp;query="&amp;SUBSTITUTE(F946," ","")),"📲 Avisar al cliente"),"")</f>
        <v/>
      </c>
      <c r="L946" s="8">
        <f>IF(C946&lt;&gt;"","https://api.qrserver.com/v1/create-qr-code/?size=200x200&amp;data="&amp;ENCODEURL("https://wa.me/507"&amp;REGEXREPLACE(C946,"[^0-9]","")&amp;"?text="&amp;ENCODEURL("Ya llegue. Codigo: "&amp;A946&amp;". Ubicacion: "&amp;"https://www.google.com/maps/search/?api=1&amp;query="&amp;SUBSTITUTE(F946," ",""))),"")</f>
        <v/>
      </c>
      <c r="M946" s="8">
        <f>IF(B946&lt;&gt;"",TODAY(),"")</f>
        <v/>
      </c>
      <c r="N946" s="8">
        <f>IF(F946&lt;&gt;"",IFERROR(IF(AND(REGEXMATCH(SUBSTITUTE(TRIM(F946)," ",""),"^-?\d+(\.\d+)?,-?\d+(\.\d+)?$"),VALUE(REGEXEXTRACT(SUBSTITUTE(TRIM(F946)," ",""),"^-?\d+(\.\d+)?"))&gt;=-90,VALUE(REGEXEXTRACT(SUBSTITUTE(TRIM(F946)," ",""),"^-?\d+(\.\d+)?"))&lt;=90,VALUE(REGEXEXTRACT(SUBSTITUTE(TRIM(F946)," ",""),"-?\d+(\.\d+)?$"))&gt;=-180,VALUE(REGEXEXTRACT(SUBSTITUTE(TRIM(F946)," ",""),"-?\d+(\.\d+)?$"))&lt;=180),"OK","REVISAR"),"REVISAR"),"")</f>
        <v/>
      </c>
      <c r="O946">
        <f>IF(A946&lt;&gt;"","https://direcciones507.github.io/direcciones507/panel.html?codigo="&amp;A946&amp;"&amp;nombre="&amp;ENCODEURL(B946)&amp;"&amp;telefono="&amp;SUBSTITUTE(C946,"-","")&amp;"&amp;referencia="&amp;ENCODEURL(E946)&amp;"&amp;lat="&amp;IZQUIERDA(SUBSTITUTE(F946," ",""),ENCONTRAR(",",SUBSTITUTE(F946," ",""))-1)&amp;"&amp;lng="&amp;DERECHA(SUBSTITUTE(F946," ",""),LARGO(SUBSTITUTE(F946," ",""))-ENCONTRAR(",",SUBSTITUTE(F946," ",""))),"")</f>
        <v/>
      </c>
    </row>
    <row r="947" ht="15.75" customHeight="1" s="10">
      <c r="A947" s="8">
        <f>CONCAT("AD507-",TEXT(ROW()-2,"0000"))</f>
        <v/>
      </c>
      <c r="C947" s="8" t="n"/>
      <c r="F947" s="8" t="n"/>
      <c r="G947" s="8">
        <f>IF(F947&lt;&gt;"",HYPERLINK("https://www.google.com/maps/search/?api=1&amp;query="&amp;SUBSTITUTE(F947," ",""),"🗺 Google Maps"),"")</f>
        <v/>
      </c>
      <c r="H947" s="8">
        <f>IF(F947&lt;&gt;"",HYPERLINK("https://waze.com/ul?ll="&amp;SUBSTITUTE(F947," ","")&amp;"&amp;navigate=yes","🚗 Waze"),"")</f>
        <v/>
      </c>
      <c r="I947" s="8">
        <f>IF(F947&lt;&gt;"",HYPERLINK("https://m.uber.com/ul/?action=setPickup&amp;pickup=my_location&amp;dropoff[latitude]="&amp;LEFT(SUBSTITUTE(F947," ",""),FIND(",",SUBSTITUTE(F947," ",""))-1)&amp;"&amp;dropoff[longitude]="&amp;MID(SUBSTITUTE(F947," ",""),FIND(",",SUBSTITUTE(F947," ",""))+1,99),"🚕 Uber"),"")</f>
        <v/>
      </c>
      <c r="J947" s="8">
        <f>IF(F947&lt;&gt;"","https://api.qrserver.com/v1/create-qr-code/?size=200x200&amp;data="&amp;ENCODEURL("https://www.google.com/maps/search/?api=1&amp;query="&amp;SUBSTITUTE(F947," ","")),"")</f>
        <v/>
      </c>
      <c r="K947" s="8">
        <f>IF(C947&lt;&gt;"",HYPERLINK("https://wa.me/507"&amp;REGEXREPLACE(C947,"[^0-9]","")&amp;"?text="&amp;ENCODEURL("Ya llegue. Codigo: "&amp;A947&amp;". Ubicacion: "&amp;"https://www.google.com/maps/search/?api=1&amp;query="&amp;SUBSTITUTE(F947," ","")),"📲 Avisar al cliente"),"")</f>
        <v/>
      </c>
      <c r="L947" s="8">
        <f>IF(C947&lt;&gt;"","https://api.qrserver.com/v1/create-qr-code/?size=200x200&amp;data="&amp;ENCODEURL("https://wa.me/507"&amp;REGEXREPLACE(C947,"[^0-9]","")&amp;"?text="&amp;ENCODEURL("Ya llegue. Codigo: "&amp;A947&amp;". Ubicacion: "&amp;"https://www.google.com/maps/search/?api=1&amp;query="&amp;SUBSTITUTE(F947," ",""))),"")</f>
        <v/>
      </c>
      <c r="M947" s="8">
        <f>IF(B947&lt;&gt;"",TODAY(),"")</f>
        <v/>
      </c>
      <c r="N947" s="8">
        <f>IF(F947&lt;&gt;"",IFERROR(IF(AND(REGEXMATCH(SUBSTITUTE(TRIM(F947)," ",""),"^-?\d+(\.\d+)?,-?\d+(\.\d+)?$"),VALUE(REGEXEXTRACT(SUBSTITUTE(TRIM(F947)," ",""),"^-?\d+(\.\d+)?"))&gt;=-90,VALUE(REGEXEXTRACT(SUBSTITUTE(TRIM(F947)," ",""),"^-?\d+(\.\d+)?"))&lt;=90,VALUE(REGEXEXTRACT(SUBSTITUTE(TRIM(F947)," ",""),"-?\d+(\.\d+)?$"))&gt;=-180,VALUE(REGEXEXTRACT(SUBSTITUTE(TRIM(F947)," ",""),"-?\d+(\.\d+)?$"))&lt;=180),"OK","REVISAR"),"REVISAR"),"")</f>
        <v/>
      </c>
      <c r="O947">
        <f>IF(A947&lt;&gt;"","https://direcciones507.github.io/direcciones507/panel.html?codigo="&amp;A947&amp;"&amp;nombre="&amp;ENCODEURL(B947)&amp;"&amp;telefono="&amp;SUBSTITUTE(C947,"-","")&amp;"&amp;referencia="&amp;ENCODEURL(E947)&amp;"&amp;lat="&amp;IZQUIERDA(SUBSTITUTE(F947," ",""),ENCONTRAR(",",SUBSTITUTE(F947," ",""))-1)&amp;"&amp;lng="&amp;DERECHA(SUBSTITUTE(F947," ",""),LARGO(SUBSTITUTE(F947," ",""))-ENCONTRAR(",",SUBSTITUTE(F947," ",""))),"")</f>
        <v/>
      </c>
    </row>
    <row r="948" ht="15.75" customHeight="1" s="10">
      <c r="A948" s="8">
        <f>CONCAT("AD507-",TEXT(ROW()-2,"0000"))</f>
        <v/>
      </c>
      <c r="C948" s="8" t="n"/>
      <c r="F948" s="8" t="n"/>
      <c r="G948" s="8">
        <f>IF(F948&lt;&gt;"",HYPERLINK("https://www.google.com/maps/search/?api=1&amp;query="&amp;SUBSTITUTE(F948," ",""),"🗺 Google Maps"),"")</f>
        <v/>
      </c>
      <c r="H948" s="8">
        <f>IF(F948&lt;&gt;"",HYPERLINK("https://waze.com/ul?ll="&amp;SUBSTITUTE(F948," ","")&amp;"&amp;navigate=yes","🚗 Waze"),"")</f>
        <v/>
      </c>
      <c r="I948" s="8">
        <f>IF(F948&lt;&gt;"",HYPERLINK("https://m.uber.com/ul/?action=setPickup&amp;pickup=my_location&amp;dropoff[latitude]="&amp;LEFT(SUBSTITUTE(F948," ",""),FIND(",",SUBSTITUTE(F948," ",""))-1)&amp;"&amp;dropoff[longitude]="&amp;MID(SUBSTITUTE(F948," ",""),FIND(",",SUBSTITUTE(F948," ",""))+1,99),"🚕 Uber"),"")</f>
        <v/>
      </c>
      <c r="J948" s="8">
        <f>IF(F948&lt;&gt;"","https://api.qrserver.com/v1/create-qr-code/?size=200x200&amp;data="&amp;ENCODEURL("https://www.google.com/maps/search/?api=1&amp;query="&amp;SUBSTITUTE(F948," ","")),"")</f>
        <v/>
      </c>
      <c r="K948" s="8">
        <f>IF(C948&lt;&gt;"",HYPERLINK("https://wa.me/507"&amp;REGEXREPLACE(C948,"[^0-9]","")&amp;"?text="&amp;ENCODEURL("Ya llegue. Codigo: "&amp;A948&amp;". Ubicacion: "&amp;"https://www.google.com/maps/search/?api=1&amp;query="&amp;SUBSTITUTE(F948," ","")),"📲 Avisar al cliente"),"")</f>
        <v/>
      </c>
      <c r="L948" s="8">
        <f>IF(C948&lt;&gt;"","https://api.qrserver.com/v1/create-qr-code/?size=200x200&amp;data="&amp;ENCODEURL("https://wa.me/507"&amp;REGEXREPLACE(C948,"[^0-9]","")&amp;"?text="&amp;ENCODEURL("Ya llegue. Codigo: "&amp;A948&amp;". Ubicacion: "&amp;"https://www.google.com/maps/search/?api=1&amp;query="&amp;SUBSTITUTE(F948," ",""))),"")</f>
        <v/>
      </c>
      <c r="M948" s="8">
        <f>IF(B948&lt;&gt;"",TODAY(),"")</f>
        <v/>
      </c>
      <c r="N948" s="8">
        <f>IF(F948&lt;&gt;"",IFERROR(IF(AND(REGEXMATCH(SUBSTITUTE(TRIM(F948)," ",""),"^-?\d+(\.\d+)?,-?\d+(\.\d+)?$"),VALUE(REGEXEXTRACT(SUBSTITUTE(TRIM(F948)," ",""),"^-?\d+(\.\d+)?"))&gt;=-90,VALUE(REGEXEXTRACT(SUBSTITUTE(TRIM(F948)," ",""),"^-?\d+(\.\d+)?"))&lt;=90,VALUE(REGEXEXTRACT(SUBSTITUTE(TRIM(F948)," ",""),"-?\d+(\.\d+)?$"))&gt;=-180,VALUE(REGEXEXTRACT(SUBSTITUTE(TRIM(F948)," ",""),"-?\d+(\.\d+)?$"))&lt;=180),"OK","REVISAR"),"REVISAR"),"")</f>
        <v/>
      </c>
      <c r="O948">
        <f>IF(A948&lt;&gt;"","https://direcciones507.github.io/direcciones507/panel.html?codigo="&amp;A948&amp;"&amp;nombre="&amp;ENCODEURL(B948)&amp;"&amp;telefono="&amp;SUBSTITUTE(C948,"-","")&amp;"&amp;referencia="&amp;ENCODEURL(E948)&amp;"&amp;lat="&amp;IZQUIERDA(SUBSTITUTE(F948," ",""),ENCONTRAR(",",SUBSTITUTE(F948," ",""))-1)&amp;"&amp;lng="&amp;DERECHA(SUBSTITUTE(F948," ",""),LARGO(SUBSTITUTE(F948," ",""))-ENCONTRAR(",",SUBSTITUTE(F948," ",""))),"")</f>
        <v/>
      </c>
    </row>
    <row r="949" ht="15.75" customHeight="1" s="10">
      <c r="A949" s="8">
        <f>CONCAT("AD507-",TEXT(ROW()-2,"0000"))</f>
        <v/>
      </c>
      <c r="C949" s="8" t="n"/>
      <c r="F949" s="8" t="n"/>
      <c r="G949" s="8">
        <f>IF(F949&lt;&gt;"",HYPERLINK("https://www.google.com/maps/search/?api=1&amp;query="&amp;SUBSTITUTE(F949," ",""),"🗺 Google Maps"),"")</f>
        <v/>
      </c>
      <c r="H949" s="8">
        <f>IF(F949&lt;&gt;"",HYPERLINK("https://waze.com/ul?ll="&amp;SUBSTITUTE(F949," ","")&amp;"&amp;navigate=yes","🚗 Waze"),"")</f>
        <v/>
      </c>
      <c r="I949" s="8">
        <f>IF(F949&lt;&gt;"",HYPERLINK("https://m.uber.com/ul/?action=setPickup&amp;pickup=my_location&amp;dropoff[latitude]="&amp;LEFT(SUBSTITUTE(F949," ",""),FIND(",",SUBSTITUTE(F949," ",""))-1)&amp;"&amp;dropoff[longitude]="&amp;MID(SUBSTITUTE(F949," ",""),FIND(",",SUBSTITUTE(F949," ",""))+1,99),"🚕 Uber"),"")</f>
        <v/>
      </c>
      <c r="J949" s="8">
        <f>IF(F949&lt;&gt;"","https://api.qrserver.com/v1/create-qr-code/?size=200x200&amp;data="&amp;ENCODEURL("https://www.google.com/maps/search/?api=1&amp;query="&amp;SUBSTITUTE(F949," ","")),"")</f>
        <v/>
      </c>
      <c r="K949" s="8">
        <f>IF(C949&lt;&gt;"",HYPERLINK("https://wa.me/507"&amp;REGEXREPLACE(C949,"[^0-9]","")&amp;"?text="&amp;ENCODEURL("Ya llegue. Codigo: "&amp;A949&amp;". Ubicacion: "&amp;"https://www.google.com/maps/search/?api=1&amp;query="&amp;SUBSTITUTE(F949," ","")),"📲 Avisar al cliente"),"")</f>
        <v/>
      </c>
      <c r="L949" s="8">
        <f>IF(C949&lt;&gt;"","https://api.qrserver.com/v1/create-qr-code/?size=200x200&amp;data="&amp;ENCODEURL("https://wa.me/507"&amp;REGEXREPLACE(C949,"[^0-9]","")&amp;"?text="&amp;ENCODEURL("Ya llegue. Codigo: "&amp;A949&amp;". Ubicacion: "&amp;"https://www.google.com/maps/search/?api=1&amp;query="&amp;SUBSTITUTE(F949," ",""))),"")</f>
        <v/>
      </c>
      <c r="M949" s="8">
        <f>IF(B949&lt;&gt;"",TODAY(),"")</f>
        <v/>
      </c>
      <c r="N949" s="8">
        <f>IF(F949&lt;&gt;"",IFERROR(IF(AND(REGEXMATCH(SUBSTITUTE(TRIM(F949)," ",""),"^-?\d+(\.\d+)?,-?\d+(\.\d+)?$"),VALUE(REGEXEXTRACT(SUBSTITUTE(TRIM(F949)," ",""),"^-?\d+(\.\d+)?"))&gt;=-90,VALUE(REGEXEXTRACT(SUBSTITUTE(TRIM(F949)," ",""),"^-?\d+(\.\d+)?"))&lt;=90,VALUE(REGEXEXTRACT(SUBSTITUTE(TRIM(F949)," ",""),"-?\d+(\.\d+)?$"))&gt;=-180,VALUE(REGEXEXTRACT(SUBSTITUTE(TRIM(F949)," ",""),"-?\d+(\.\d+)?$"))&lt;=180),"OK","REVISAR"),"REVISAR"),"")</f>
        <v/>
      </c>
      <c r="O949">
        <f>IF(A949&lt;&gt;"","https://direcciones507.github.io/direcciones507/panel.html?codigo="&amp;A949&amp;"&amp;nombre="&amp;ENCODEURL(B949)&amp;"&amp;telefono="&amp;SUBSTITUTE(C949,"-","")&amp;"&amp;referencia="&amp;ENCODEURL(E949)&amp;"&amp;lat="&amp;IZQUIERDA(SUBSTITUTE(F949," ",""),ENCONTRAR(",",SUBSTITUTE(F949," ",""))-1)&amp;"&amp;lng="&amp;DERECHA(SUBSTITUTE(F949," ",""),LARGO(SUBSTITUTE(F949," ",""))-ENCONTRAR(",",SUBSTITUTE(F949," ",""))),"")</f>
        <v/>
      </c>
    </row>
    <row r="950" ht="15.75" customHeight="1" s="10">
      <c r="A950" s="8">
        <f>CONCAT("AD507-",TEXT(ROW()-2,"0000"))</f>
        <v/>
      </c>
      <c r="C950" s="8" t="n"/>
      <c r="F950" s="8" t="n"/>
      <c r="G950" s="8">
        <f>IF(F950&lt;&gt;"",HYPERLINK("https://www.google.com/maps/search/?api=1&amp;query="&amp;SUBSTITUTE(F950," ",""),"🗺 Google Maps"),"")</f>
        <v/>
      </c>
      <c r="H950" s="8">
        <f>IF(F950&lt;&gt;"",HYPERLINK("https://waze.com/ul?ll="&amp;SUBSTITUTE(F950," ","")&amp;"&amp;navigate=yes","🚗 Waze"),"")</f>
        <v/>
      </c>
      <c r="I950" s="8">
        <f>IF(F950&lt;&gt;"",HYPERLINK("https://m.uber.com/ul/?action=setPickup&amp;pickup=my_location&amp;dropoff[latitude]="&amp;LEFT(SUBSTITUTE(F950," ",""),FIND(",",SUBSTITUTE(F950," ",""))-1)&amp;"&amp;dropoff[longitude]="&amp;MID(SUBSTITUTE(F950," ",""),FIND(",",SUBSTITUTE(F950," ",""))+1,99),"🚕 Uber"),"")</f>
        <v/>
      </c>
      <c r="J950" s="8">
        <f>IF(F950&lt;&gt;"","https://api.qrserver.com/v1/create-qr-code/?size=200x200&amp;data="&amp;ENCODEURL("https://www.google.com/maps/search/?api=1&amp;query="&amp;SUBSTITUTE(F950," ","")),"")</f>
        <v/>
      </c>
      <c r="K950" s="8">
        <f>IF(C950&lt;&gt;"",HYPERLINK("https://wa.me/507"&amp;REGEXREPLACE(C950,"[^0-9]","")&amp;"?text="&amp;ENCODEURL("Ya llegue. Codigo: "&amp;A950&amp;". Ubicacion: "&amp;"https://www.google.com/maps/search/?api=1&amp;query="&amp;SUBSTITUTE(F950," ","")),"📲 Avisar al cliente"),"")</f>
        <v/>
      </c>
      <c r="L950" s="8">
        <f>IF(C950&lt;&gt;"","https://api.qrserver.com/v1/create-qr-code/?size=200x200&amp;data="&amp;ENCODEURL("https://wa.me/507"&amp;REGEXREPLACE(C950,"[^0-9]","")&amp;"?text="&amp;ENCODEURL("Ya llegue. Codigo: "&amp;A950&amp;". Ubicacion: "&amp;"https://www.google.com/maps/search/?api=1&amp;query="&amp;SUBSTITUTE(F950," ",""))),"")</f>
        <v/>
      </c>
      <c r="M950" s="8">
        <f>IF(B950&lt;&gt;"",TODAY(),"")</f>
        <v/>
      </c>
      <c r="N950" s="8">
        <f>IF(F950&lt;&gt;"",IFERROR(IF(AND(REGEXMATCH(SUBSTITUTE(TRIM(F950)," ",""),"^-?\d+(\.\d+)?,-?\d+(\.\d+)?$"),VALUE(REGEXEXTRACT(SUBSTITUTE(TRIM(F950)," ",""),"^-?\d+(\.\d+)?"))&gt;=-90,VALUE(REGEXEXTRACT(SUBSTITUTE(TRIM(F950)," ",""),"^-?\d+(\.\d+)?"))&lt;=90,VALUE(REGEXEXTRACT(SUBSTITUTE(TRIM(F950)," ",""),"-?\d+(\.\d+)?$"))&gt;=-180,VALUE(REGEXEXTRACT(SUBSTITUTE(TRIM(F950)," ",""),"-?\d+(\.\d+)?$"))&lt;=180),"OK","REVISAR"),"REVISAR"),"")</f>
        <v/>
      </c>
      <c r="O950">
        <f>IF(A950&lt;&gt;"","https://direcciones507.github.io/direcciones507/panel.html?codigo="&amp;A950&amp;"&amp;nombre="&amp;ENCODEURL(B950)&amp;"&amp;telefono="&amp;SUBSTITUTE(C950,"-","")&amp;"&amp;referencia="&amp;ENCODEURL(E950)&amp;"&amp;lat="&amp;IZQUIERDA(SUBSTITUTE(F950," ",""),ENCONTRAR(",",SUBSTITUTE(F950," ",""))-1)&amp;"&amp;lng="&amp;DERECHA(SUBSTITUTE(F950," ",""),LARGO(SUBSTITUTE(F950," ",""))-ENCONTRAR(",",SUBSTITUTE(F950," ",""))),"")</f>
        <v/>
      </c>
    </row>
    <row r="951" ht="15.75" customHeight="1" s="10">
      <c r="A951" s="8">
        <f>CONCAT("AD507-",TEXT(ROW()-2,"0000"))</f>
        <v/>
      </c>
      <c r="C951" s="8" t="n"/>
      <c r="F951" s="8" t="n"/>
      <c r="G951" s="8">
        <f>IF(F951&lt;&gt;"",HYPERLINK("https://www.google.com/maps/search/?api=1&amp;query="&amp;SUBSTITUTE(F951," ",""),"🗺 Google Maps"),"")</f>
        <v/>
      </c>
      <c r="H951" s="8">
        <f>IF(F951&lt;&gt;"",HYPERLINK("https://waze.com/ul?ll="&amp;SUBSTITUTE(F951," ","")&amp;"&amp;navigate=yes","🚗 Waze"),"")</f>
        <v/>
      </c>
      <c r="I951" s="8">
        <f>IF(F951&lt;&gt;"",HYPERLINK("https://m.uber.com/ul/?action=setPickup&amp;pickup=my_location&amp;dropoff[latitude]="&amp;LEFT(SUBSTITUTE(F951," ",""),FIND(",",SUBSTITUTE(F951," ",""))-1)&amp;"&amp;dropoff[longitude]="&amp;MID(SUBSTITUTE(F951," ",""),FIND(",",SUBSTITUTE(F951," ",""))+1,99),"🚕 Uber"),"")</f>
        <v/>
      </c>
      <c r="J951" s="8">
        <f>IF(F951&lt;&gt;"","https://api.qrserver.com/v1/create-qr-code/?size=200x200&amp;data="&amp;ENCODEURL("https://www.google.com/maps/search/?api=1&amp;query="&amp;SUBSTITUTE(F951," ","")),"")</f>
        <v/>
      </c>
      <c r="K951" s="8">
        <f>IF(C951&lt;&gt;"",HYPERLINK("https://wa.me/507"&amp;REGEXREPLACE(C951,"[^0-9]","")&amp;"?text="&amp;ENCODEURL("Ya llegue. Codigo: "&amp;A951&amp;". Ubicacion: "&amp;"https://www.google.com/maps/search/?api=1&amp;query="&amp;SUBSTITUTE(F951," ","")),"📲 Avisar al cliente"),"")</f>
        <v/>
      </c>
      <c r="L951" s="8">
        <f>IF(C951&lt;&gt;"","https://api.qrserver.com/v1/create-qr-code/?size=200x200&amp;data="&amp;ENCODEURL("https://wa.me/507"&amp;REGEXREPLACE(C951,"[^0-9]","")&amp;"?text="&amp;ENCODEURL("Ya llegue. Codigo: "&amp;A951&amp;". Ubicacion: "&amp;"https://www.google.com/maps/search/?api=1&amp;query="&amp;SUBSTITUTE(F951," ",""))),"")</f>
        <v/>
      </c>
      <c r="M951" s="8">
        <f>IF(B951&lt;&gt;"",TODAY(),"")</f>
        <v/>
      </c>
      <c r="N951" s="8">
        <f>IF(F951&lt;&gt;"",IFERROR(IF(AND(REGEXMATCH(SUBSTITUTE(TRIM(F951)," ",""),"^-?\d+(\.\d+)?,-?\d+(\.\d+)?$"),VALUE(REGEXEXTRACT(SUBSTITUTE(TRIM(F951)," ",""),"^-?\d+(\.\d+)?"))&gt;=-90,VALUE(REGEXEXTRACT(SUBSTITUTE(TRIM(F951)," ",""),"^-?\d+(\.\d+)?"))&lt;=90,VALUE(REGEXEXTRACT(SUBSTITUTE(TRIM(F951)," ",""),"-?\d+(\.\d+)?$"))&gt;=-180,VALUE(REGEXEXTRACT(SUBSTITUTE(TRIM(F951)," ",""),"-?\d+(\.\d+)?$"))&lt;=180),"OK","REVISAR"),"REVISAR"),"")</f>
        <v/>
      </c>
      <c r="O951">
        <f>IF(A951&lt;&gt;"","https://direcciones507.github.io/direcciones507/panel.html?codigo="&amp;A951&amp;"&amp;nombre="&amp;ENCODEURL(B951)&amp;"&amp;telefono="&amp;SUBSTITUTE(C951,"-","")&amp;"&amp;referencia="&amp;ENCODEURL(E951)&amp;"&amp;lat="&amp;IZQUIERDA(SUBSTITUTE(F951," ",""),ENCONTRAR(",",SUBSTITUTE(F951," ",""))-1)&amp;"&amp;lng="&amp;DERECHA(SUBSTITUTE(F951," ",""),LARGO(SUBSTITUTE(F951," ",""))-ENCONTRAR(",",SUBSTITUTE(F951," ",""))),"")</f>
        <v/>
      </c>
    </row>
    <row r="952" ht="15.75" customHeight="1" s="10">
      <c r="A952" s="8">
        <f>CONCAT("AD507-",TEXT(ROW()-2,"0000"))</f>
        <v/>
      </c>
      <c r="C952" s="8" t="n"/>
      <c r="F952" s="8" t="n"/>
      <c r="G952" s="8">
        <f>IF(F952&lt;&gt;"",HYPERLINK("https://www.google.com/maps/search/?api=1&amp;query="&amp;SUBSTITUTE(F952," ",""),"🗺 Google Maps"),"")</f>
        <v/>
      </c>
      <c r="H952" s="8">
        <f>IF(F952&lt;&gt;"",HYPERLINK("https://waze.com/ul?ll="&amp;SUBSTITUTE(F952," ","")&amp;"&amp;navigate=yes","🚗 Waze"),"")</f>
        <v/>
      </c>
      <c r="I952" s="8">
        <f>IF(F952&lt;&gt;"",HYPERLINK("https://m.uber.com/ul/?action=setPickup&amp;pickup=my_location&amp;dropoff[latitude]="&amp;LEFT(SUBSTITUTE(F952," ",""),FIND(",",SUBSTITUTE(F952," ",""))-1)&amp;"&amp;dropoff[longitude]="&amp;MID(SUBSTITUTE(F952," ",""),FIND(",",SUBSTITUTE(F952," ",""))+1,99),"🚕 Uber"),"")</f>
        <v/>
      </c>
      <c r="J952" s="8">
        <f>IF(F952&lt;&gt;"","https://api.qrserver.com/v1/create-qr-code/?size=200x200&amp;data="&amp;ENCODEURL("https://www.google.com/maps/search/?api=1&amp;query="&amp;SUBSTITUTE(F952," ","")),"")</f>
        <v/>
      </c>
      <c r="K952" s="8">
        <f>IF(C952&lt;&gt;"",HYPERLINK("https://wa.me/507"&amp;REGEXREPLACE(C952,"[^0-9]","")&amp;"?text="&amp;ENCODEURL("Ya llegue. Codigo: "&amp;A952&amp;". Ubicacion: "&amp;"https://www.google.com/maps/search/?api=1&amp;query="&amp;SUBSTITUTE(F952," ","")),"📲 Avisar al cliente"),"")</f>
        <v/>
      </c>
      <c r="L952" s="8">
        <f>IF(C952&lt;&gt;"","https://api.qrserver.com/v1/create-qr-code/?size=200x200&amp;data="&amp;ENCODEURL("https://wa.me/507"&amp;REGEXREPLACE(C952,"[^0-9]","")&amp;"?text="&amp;ENCODEURL("Ya llegue. Codigo: "&amp;A952&amp;". Ubicacion: "&amp;"https://www.google.com/maps/search/?api=1&amp;query="&amp;SUBSTITUTE(F952," ",""))),"")</f>
        <v/>
      </c>
      <c r="M952" s="8">
        <f>IF(B952&lt;&gt;"",TODAY(),"")</f>
        <v/>
      </c>
      <c r="N952" s="8">
        <f>IF(F952&lt;&gt;"",IFERROR(IF(AND(REGEXMATCH(SUBSTITUTE(TRIM(F952)," ",""),"^-?\d+(\.\d+)?,-?\d+(\.\d+)?$"),VALUE(REGEXEXTRACT(SUBSTITUTE(TRIM(F952)," ",""),"^-?\d+(\.\d+)?"))&gt;=-90,VALUE(REGEXEXTRACT(SUBSTITUTE(TRIM(F952)," ",""),"^-?\d+(\.\d+)?"))&lt;=90,VALUE(REGEXEXTRACT(SUBSTITUTE(TRIM(F952)," ",""),"-?\d+(\.\d+)?$"))&gt;=-180,VALUE(REGEXEXTRACT(SUBSTITUTE(TRIM(F952)," ",""),"-?\d+(\.\d+)?$"))&lt;=180),"OK","REVISAR"),"REVISAR"),"")</f>
        <v/>
      </c>
      <c r="O952">
        <f>IF(A952&lt;&gt;"","https://direcciones507.github.io/direcciones507/panel.html?codigo="&amp;A952&amp;"&amp;nombre="&amp;ENCODEURL(B952)&amp;"&amp;telefono="&amp;SUBSTITUTE(C952,"-","")&amp;"&amp;referencia="&amp;ENCODEURL(E952)&amp;"&amp;lat="&amp;IZQUIERDA(SUBSTITUTE(F952," ",""),ENCONTRAR(",",SUBSTITUTE(F952," ",""))-1)&amp;"&amp;lng="&amp;DERECHA(SUBSTITUTE(F952," ",""),LARGO(SUBSTITUTE(F952," ",""))-ENCONTRAR(",",SUBSTITUTE(F952," ",""))),"")</f>
        <v/>
      </c>
    </row>
    <row r="953" ht="15.75" customHeight="1" s="10">
      <c r="A953" s="8">
        <f>CONCAT("AD507-",TEXT(ROW()-2,"0000"))</f>
        <v/>
      </c>
      <c r="C953" s="8" t="n"/>
      <c r="F953" s="8" t="n"/>
      <c r="G953" s="8">
        <f>IF(F953&lt;&gt;"",HYPERLINK("https://www.google.com/maps/search/?api=1&amp;query="&amp;SUBSTITUTE(F953," ",""),"🗺 Google Maps"),"")</f>
        <v/>
      </c>
      <c r="H953" s="8">
        <f>IF(F953&lt;&gt;"",HYPERLINK("https://waze.com/ul?ll="&amp;SUBSTITUTE(F953," ","")&amp;"&amp;navigate=yes","🚗 Waze"),"")</f>
        <v/>
      </c>
      <c r="I953" s="8">
        <f>IF(F953&lt;&gt;"",HYPERLINK("https://m.uber.com/ul/?action=setPickup&amp;pickup=my_location&amp;dropoff[latitude]="&amp;LEFT(SUBSTITUTE(F953," ",""),FIND(",",SUBSTITUTE(F953," ",""))-1)&amp;"&amp;dropoff[longitude]="&amp;MID(SUBSTITUTE(F953," ",""),FIND(",",SUBSTITUTE(F953," ",""))+1,99),"🚕 Uber"),"")</f>
        <v/>
      </c>
      <c r="J953" s="8">
        <f>IF(F953&lt;&gt;"","https://api.qrserver.com/v1/create-qr-code/?size=200x200&amp;data="&amp;ENCODEURL("https://www.google.com/maps/search/?api=1&amp;query="&amp;SUBSTITUTE(F953," ","")),"")</f>
        <v/>
      </c>
      <c r="K953" s="8">
        <f>IF(C953&lt;&gt;"",HYPERLINK("https://wa.me/507"&amp;REGEXREPLACE(C953,"[^0-9]","")&amp;"?text="&amp;ENCODEURL("Ya llegue. Codigo: "&amp;A953&amp;". Ubicacion: "&amp;"https://www.google.com/maps/search/?api=1&amp;query="&amp;SUBSTITUTE(F953," ","")),"📲 Avisar al cliente"),"")</f>
        <v/>
      </c>
      <c r="L953" s="8">
        <f>IF(C953&lt;&gt;"","https://api.qrserver.com/v1/create-qr-code/?size=200x200&amp;data="&amp;ENCODEURL("https://wa.me/507"&amp;REGEXREPLACE(C953,"[^0-9]","")&amp;"?text="&amp;ENCODEURL("Ya llegue. Codigo: "&amp;A953&amp;". Ubicacion: "&amp;"https://www.google.com/maps/search/?api=1&amp;query="&amp;SUBSTITUTE(F953," ",""))),"")</f>
        <v/>
      </c>
      <c r="M953" s="8">
        <f>IF(B953&lt;&gt;"",TODAY(),"")</f>
        <v/>
      </c>
      <c r="N953" s="8">
        <f>IF(F953&lt;&gt;"",IFERROR(IF(AND(REGEXMATCH(SUBSTITUTE(TRIM(F953)," ",""),"^-?\d+(\.\d+)?,-?\d+(\.\d+)?$"),VALUE(REGEXEXTRACT(SUBSTITUTE(TRIM(F953)," ",""),"^-?\d+(\.\d+)?"))&gt;=-90,VALUE(REGEXEXTRACT(SUBSTITUTE(TRIM(F953)," ",""),"^-?\d+(\.\d+)?"))&lt;=90,VALUE(REGEXEXTRACT(SUBSTITUTE(TRIM(F953)," ",""),"-?\d+(\.\d+)?$"))&gt;=-180,VALUE(REGEXEXTRACT(SUBSTITUTE(TRIM(F953)," ",""),"-?\d+(\.\d+)?$"))&lt;=180),"OK","REVISAR"),"REVISAR"),"")</f>
        <v/>
      </c>
      <c r="O953">
        <f>IF(A953&lt;&gt;"","https://direcciones507.github.io/direcciones507/panel.html?codigo="&amp;A953&amp;"&amp;nombre="&amp;ENCODEURL(B953)&amp;"&amp;telefono="&amp;SUBSTITUTE(C953,"-","")&amp;"&amp;referencia="&amp;ENCODEURL(E953)&amp;"&amp;lat="&amp;IZQUIERDA(SUBSTITUTE(F953," ",""),ENCONTRAR(",",SUBSTITUTE(F953," ",""))-1)&amp;"&amp;lng="&amp;DERECHA(SUBSTITUTE(F953," ",""),LARGO(SUBSTITUTE(F953," ",""))-ENCONTRAR(",",SUBSTITUTE(F953," ",""))),"")</f>
        <v/>
      </c>
    </row>
    <row r="954" ht="15.75" customHeight="1" s="10">
      <c r="A954" s="8">
        <f>CONCAT("AD507-",TEXT(ROW()-2,"0000"))</f>
        <v/>
      </c>
      <c r="C954" s="8" t="n"/>
      <c r="F954" s="8" t="n"/>
      <c r="G954" s="8">
        <f>IF(F954&lt;&gt;"",HYPERLINK("https://www.google.com/maps/search/?api=1&amp;query="&amp;SUBSTITUTE(F954," ",""),"🗺 Google Maps"),"")</f>
        <v/>
      </c>
      <c r="H954" s="8">
        <f>IF(F954&lt;&gt;"",HYPERLINK("https://waze.com/ul?ll="&amp;SUBSTITUTE(F954," ","")&amp;"&amp;navigate=yes","🚗 Waze"),"")</f>
        <v/>
      </c>
      <c r="I954" s="8">
        <f>IF(F954&lt;&gt;"",HYPERLINK("https://m.uber.com/ul/?action=setPickup&amp;pickup=my_location&amp;dropoff[latitude]="&amp;LEFT(SUBSTITUTE(F954," ",""),FIND(",",SUBSTITUTE(F954," ",""))-1)&amp;"&amp;dropoff[longitude]="&amp;MID(SUBSTITUTE(F954," ",""),FIND(",",SUBSTITUTE(F954," ",""))+1,99),"🚕 Uber"),"")</f>
        <v/>
      </c>
      <c r="J954" s="8">
        <f>IF(F954&lt;&gt;"","https://api.qrserver.com/v1/create-qr-code/?size=200x200&amp;data="&amp;ENCODEURL("https://www.google.com/maps/search/?api=1&amp;query="&amp;SUBSTITUTE(F954," ","")),"")</f>
        <v/>
      </c>
      <c r="K954" s="8">
        <f>IF(C954&lt;&gt;"",HYPERLINK("https://wa.me/507"&amp;REGEXREPLACE(C954,"[^0-9]","")&amp;"?text="&amp;ENCODEURL("Ya llegue. Codigo: "&amp;A954&amp;". Ubicacion: "&amp;"https://www.google.com/maps/search/?api=1&amp;query="&amp;SUBSTITUTE(F954," ","")),"📲 Avisar al cliente"),"")</f>
        <v/>
      </c>
      <c r="L954" s="8">
        <f>IF(C954&lt;&gt;"","https://api.qrserver.com/v1/create-qr-code/?size=200x200&amp;data="&amp;ENCODEURL("https://wa.me/507"&amp;REGEXREPLACE(C954,"[^0-9]","")&amp;"?text="&amp;ENCODEURL("Ya llegue. Codigo: "&amp;A954&amp;". Ubicacion: "&amp;"https://www.google.com/maps/search/?api=1&amp;query="&amp;SUBSTITUTE(F954," ",""))),"")</f>
        <v/>
      </c>
      <c r="M954" s="8">
        <f>IF(B954&lt;&gt;"",TODAY(),"")</f>
        <v/>
      </c>
      <c r="N954" s="8">
        <f>IF(F954&lt;&gt;"",IFERROR(IF(AND(REGEXMATCH(SUBSTITUTE(TRIM(F954)," ",""),"^-?\d+(\.\d+)?,-?\d+(\.\d+)?$"),VALUE(REGEXEXTRACT(SUBSTITUTE(TRIM(F954)," ",""),"^-?\d+(\.\d+)?"))&gt;=-90,VALUE(REGEXEXTRACT(SUBSTITUTE(TRIM(F954)," ",""),"^-?\d+(\.\d+)?"))&lt;=90,VALUE(REGEXEXTRACT(SUBSTITUTE(TRIM(F954)," ",""),"-?\d+(\.\d+)?$"))&gt;=-180,VALUE(REGEXEXTRACT(SUBSTITUTE(TRIM(F954)," ",""),"-?\d+(\.\d+)?$"))&lt;=180),"OK","REVISAR"),"REVISAR"),"")</f>
        <v/>
      </c>
      <c r="O954">
        <f>IF(A954&lt;&gt;"","https://direcciones507.github.io/direcciones507/panel.html?codigo="&amp;A954&amp;"&amp;nombre="&amp;ENCODEURL(B954)&amp;"&amp;telefono="&amp;SUBSTITUTE(C954,"-","")&amp;"&amp;referencia="&amp;ENCODEURL(E954)&amp;"&amp;lat="&amp;IZQUIERDA(SUBSTITUTE(F954," ",""),ENCONTRAR(",",SUBSTITUTE(F954," ",""))-1)&amp;"&amp;lng="&amp;DERECHA(SUBSTITUTE(F954," ",""),LARGO(SUBSTITUTE(F954," ",""))-ENCONTRAR(",",SUBSTITUTE(F954," ",""))),"")</f>
        <v/>
      </c>
    </row>
    <row r="955" ht="15.75" customHeight="1" s="10">
      <c r="A955" s="8">
        <f>CONCAT("AD507-",TEXT(ROW()-2,"0000"))</f>
        <v/>
      </c>
      <c r="C955" s="8" t="n"/>
      <c r="F955" s="8" t="n"/>
      <c r="G955" s="8">
        <f>IF(F955&lt;&gt;"",HYPERLINK("https://www.google.com/maps/search/?api=1&amp;query="&amp;SUBSTITUTE(F955," ",""),"🗺 Google Maps"),"")</f>
        <v/>
      </c>
      <c r="H955" s="8">
        <f>IF(F955&lt;&gt;"",HYPERLINK("https://waze.com/ul?ll="&amp;SUBSTITUTE(F955," ","")&amp;"&amp;navigate=yes","🚗 Waze"),"")</f>
        <v/>
      </c>
      <c r="I955" s="8">
        <f>IF(F955&lt;&gt;"",HYPERLINK("https://m.uber.com/ul/?action=setPickup&amp;pickup=my_location&amp;dropoff[latitude]="&amp;LEFT(SUBSTITUTE(F955," ",""),FIND(",",SUBSTITUTE(F955," ",""))-1)&amp;"&amp;dropoff[longitude]="&amp;MID(SUBSTITUTE(F955," ",""),FIND(",",SUBSTITUTE(F955," ",""))+1,99),"🚕 Uber"),"")</f>
        <v/>
      </c>
      <c r="J955" s="8">
        <f>IF(F955&lt;&gt;"","https://api.qrserver.com/v1/create-qr-code/?size=200x200&amp;data="&amp;ENCODEURL("https://www.google.com/maps/search/?api=1&amp;query="&amp;SUBSTITUTE(F955," ","")),"")</f>
        <v/>
      </c>
      <c r="K955" s="8">
        <f>IF(C955&lt;&gt;"",HYPERLINK("https://wa.me/507"&amp;REGEXREPLACE(C955,"[^0-9]","")&amp;"?text="&amp;ENCODEURL("Ya llegue. Codigo: "&amp;A955&amp;". Ubicacion: "&amp;"https://www.google.com/maps/search/?api=1&amp;query="&amp;SUBSTITUTE(F955," ","")),"📲 Avisar al cliente"),"")</f>
        <v/>
      </c>
      <c r="L955" s="8">
        <f>IF(C955&lt;&gt;"","https://api.qrserver.com/v1/create-qr-code/?size=200x200&amp;data="&amp;ENCODEURL("https://wa.me/507"&amp;REGEXREPLACE(C955,"[^0-9]","")&amp;"?text="&amp;ENCODEURL("Ya llegue. Codigo: "&amp;A955&amp;". Ubicacion: "&amp;"https://www.google.com/maps/search/?api=1&amp;query="&amp;SUBSTITUTE(F955," ",""))),"")</f>
        <v/>
      </c>
      <c r="M955" s="8">
        <f>IF(B955&lt;&gt;"",TODAY(),"")</f>
        <v/>
      </c>
      <c r="N955" s="8">
        <f>IF(F955&lt;&gt;"",IFERROR(IF(AND(REGEXMATCH(SUBSTITUTE(TRIM(F955)," ",""),"^-?\d+(\.\d+)?,-?\d+(\.\d+)?$"),VALUE(REGEXEXTRACT(SUBSTITUTE(TRIM(F955)," ",""),"^-?\d+(\.\d+)?"))&gt;=-90,VALUE(REGEXEXTRACT(SUBSTITUTE(TRIM(F955)," ",""),"^-?\d+(\.\d+)?"))&lt;=90,VALUE(REGEXEXTRACT(SUBSTITUTE(TRIM(F955)," ",""),"-?\d+(\.\d+)?$"))&gt;=-180,VALUE(REGEXEXTRACT(SUBSTITUTE(TRIM(F955)," ",""),"-?\d+(\.\d+)?$"))&lt;=180),"OK","REVISAR"),"REVISAR"),"")</f>
        <v/>
      </c>
      <c r="O955">
        <f>IF(A955&lt;&gt;"","https://direcciones507.github.io/direcciones507/panel.html?codigo="&amp;A955&amp;"&amp;nombre="&amp;ENCODEURL(B955)&amp;"&amp;telefono="&amp;SUBSTITUTE(C955,"-","")&amp;"&amp;referencia="&amp;ENCODEURL(E955)&amp;"&amp;lat="&amp;IZQUIERDA(SUBSTITUTE(F955," ",""),ENCONTRAR(",",SUBSTITUTE(F955," ",""))-1)&amp;"&amp;lng="&amp;DERECHA(SUBSTITUTE(F955," ",""),LARGO(SUBSTITUTE(F955," ",""))-ENCONTRAR(",",SUBSTITUTE(F955," ",""))),"")</f>
        <v/>
      </c>
    </row>
    <row r="956" ht="15.75" customHeight="1" s="10">
      <c r="A956" s="8">
        <f>CONCAT("AD507-",TEXT(ROW()-2,"0000"))</f>
        <v/>
      </c>
      <c r="C956" s="8" t="n"/>
      <c r="F956" s="8" t="n"/>
      <c r="G956" s="8">
        <f>IF(F956&lt;&gt;"",HYPERLINK("https://www.google.com/maps/search/?api=1&amp;query="&amp;SUBSTITUTE(F956," ",""),"🗺 Google Maps"),"")</f>
        <v/>
      </c>
      <c r="H956" s="8">
        <f>IF(F956&lt;&gt;"",HYPERLINK("https://waze.com/ul?ll="&amp;SUBSTITUTE(F956," ","")&amp;"&amp;navigate=yes","🚗 Waze"),"")</f>
        <v/>
      </c>
      <c r="I956" s="8">
        <f>IF(F956&lt;&gt;"",HYPERLINK("https://m.uber.com/ul/?action=setPickup&amp;pickup=my_location&amp;dropoff[latitude]="&amp;LEFT(SUBSTITUTE(F956," ",""),FIND(",",SUBSTITUTE(F956," ",""))-1)&amp;"&amp;dropoff[longitude]="&amp;MID(SUBSTITUTE(F956," ",""),FIND(",",SUBSTITUTE(F956," ",""))+1,99),"🚕 Uber"),"")</f>
        <v/>
      </c>
      <c r="J956" s="8">
        <f>IF(F956&lt;&gt;"","https://api.qrserver.com/v1/create-qr-code/?size=200x200&amp;data="&amp;ENCODEURL("https://www.google.com/maps/search/?api=1&amp;query="&amp;SUBSTITUTE(F956," ","")),"")</f>
        <v/>
      </c>
      <c r="K956" s="8">
        <f>IF(C956&lt;&gt;"",HYPERLINK("https://wa.me/507"&amp;REGEXREPLACE(C956,"[^0-9]","")&amp;"?text="&amp;ENCODEURL("Ya llegue. Codigo: "&amp;A956&amp;". Ubicacion: "&amp;"https://www.google.com/maps/search/?api=1&amp;query="&amp;SUBSTITUTE(F956," ","")),"📲 Avisar al cliente"),"")</f>
        <v/>
      </c>
      <c r="L956" s="8">
        <f>IF(C956&lt;&gt;"","https://api.qrserver.com/v1/create-qr-code/?size=200x200&amp;data="&amp;ENCODEURL("https://wa.me/507"&amp;REGEXREPLACE(C956,"[^0-9]","")&amp;"?text="&amp;ENCODEURL("Ya llegue. Codigo: "&amp;A956&amp;". Ubicacion: "&amp;"https://www.google.com/maps/search/?api=1&amp;query="&amp;SUBSTITUTE(F956," ",""))),"")</f>
        <v/>
      </c>
      <c r="M956" s="8">
        <f>IF(B956&lt;&gt;"",TODAY(),"")</f>
        <v/>
      </c>
      <c r="N956" s="8">
        <f>IF(F956&lt;&gt;"",IFERROR(IF(AND(REGEXMATCH(SUBSTITUTE(TRIM(F956)," ",""),"^-?\d+(\.\d+)?,-?\d+(\.\d+)?$"),VALUE(REGEXEXTRACT(SUBSTITUTE(TRIM(F956)," ",""),"^-?\d+(\.\d+)?"))&gt;=-90,VALUE(REGEXEXTRACT(SUBSTITUTE(TRIM(F956)," ",""),"^-?\d+(\.\d+)?"))&lt;=90,VALUE(REGEXEXTRACT(SUBSTITUTE(TRIM(F956)," ",""),"-?\d+(\.\d+)?$"))&gt;=-180,VALUE(REGEXEXTRACT(SUBSTITUTE(TRIM(F956)," ",""),"-?\d+(\.\d+)?$"))&lt;=180),"OK","REVISAR"),"REVISAR"),"")</f>
        <v/>
      </c>
      <c r="O956">
        <f>IF(A956&lt;&gt;"","https://direcciones507.github.io/direcciones507/panel.html?codigo="&amp;A956&amp;"&amp;nombre="&amp;ENCODEURL(B956)&amp;"&amp;telefono="&amp;SUBSTITUTE(C956,"-","")&amp;"&amp;referencia="&amp;ENCODEURL(E956)&amp;"&amp;lat="&amp;IZQUIERDA(SUBSTITUTE(F956," ",""),ENCONTRAR(",",SUBSTITUTE(F956," ",""))-1)&amp;"&amp;lng="&amp;DERECHA(SUBSTITUTE(F956," ",""),LARGO(SUBSTITUTE(F956," ",""))-ENCONTRAR(",",SUBSTITUTE(F956," ",""))),"")</f>
        <v/>
      </c>
    </row>
    <row r="957" ht="15.75" customHeight="1" s="10">
      <c r="A957" s="8">
        <f>CONCAT("AD507-",TEXT(ROW()-2,"0000"))</f>
        <v/>
      </c>
      <c r="C957" s="8" t="n"/>
      <c r="F957" s="8" t="n"/>
      <c r="G957" s="8">
        <f>IF(F957&lt;&gt;"",HYPERLINK("https://www.google.com/maps/search/?api=1&amp;query="&amp;SUBSTITUTE(F957," ",""),"🗺 Google Maps"),"")</f>
        <v/>
      </c>
      <c r="H957" s="8">
        <f>IF(F957&lt;&gt;"",HYPERLINK("https://waze.com/ul?ll="&amp;SUBSTITUTE(F957," ","")&amp;"&amp;navigate=yes","🚗 Waze"),"")</f>
        <v/>
      </c>
      <c r="I957" s="8">
        <f>IF(F957&lt;&gt;"",HYPERLINK("https://m.uber.com/ul/?action=setPickup&amp;pickup=my_location&amp;dropoff[latitude]="&amp;LEFT(SUBSTITUTE(F957," ",""),FIND(",",SUBSTITUTE(F957," ",""))-1)&amp;"&amp;dropoff[longitude]="&amp;MID(SUBSTITUTE(F957," ",""),FIND(",",SUBSTITUTE(F957," ",""))+1,99),"🚕 Uber"),"")</f>
        <v/>
      </c>
      <c r="J957" s="8">
        <f>IF(F957&lt;&gt;"","https://api.qrserver.com/v1/create-qr-code/?size=200x200&amp;data="&amp;ENCODEURL("https://www.google.com/maps/search/?api=1&amp;query="&amp;SUBSTITUTE(F957," ","")),"")</f>
        <v/>
      </c>
      <c r="K957" s="8">
        <f>IF(C957&lt;&gt;"",HYPERLINK("https://wa.me/507"&amp;REGEXREPLACE(C957,"[^0-9]","")&amp;"?text="&amp;ENCODEURL("Ya llegue. Codigo: "&amp;A957&amp;". Ubicacion: "&amp;"https://www.google.com/maps/search/?api=1&amp;query="&amp;SUBSTITUTE(F957," ","")),"📲 Avisar al cliente"),"")</f>
        <v/>
      </c>
      <c r="L957" s="8">
        <f>IF(C957&lt;&gt;"","https://api.qrserver.com/v1/create-qr-code/?size=200x200&amp;data="&amp;ENCODEURL("https://wa.me/507"&amp;REGEXREPLACE(C957,"[^0-9]","")&amp;"?text="&amp;ENCODEURL("Ya llegue. Codigo: "&amp;A957&amp;". Ubicacion: "&amp;"https://www.google.com/maps/search/?api=1&amp;query="&amp;SUBSTITUTE(F957," ",""))),"")</f>
        <v/>
      </c>
      <c r="M957" s="8">
        <f>IF(B957&lt;&gt;"",TODAY(),"")</f>
        <v/>
      </c>
      <c r="N957" s="8">
        <f>IF(F957&lt;&gt;"",IFERROR(IF(AND(REGEXMATCH(SUBSTITUTE(TRIM(F957)," ",""),"^-?\d+(\.\d+)?,-?\d+(\.\d+)?$"),VALUE(REGEXEXTRACT(SUBSTITUTE(TRIM(F957)," ",""),"^-?\d+(\.\d+)?"))&gt;=-90,VALUE(REGEXEXTRACT(SUBSTITUTE(TRIM(F957)," ",""),"^-?\d+(\.\d+)?"))&lt;=90,VALUE(REGEXEXTRACT(SUBSTITUTE(TRIM(F957)," ",""),"-?\d+(\.\d+)?$"))&gt;=-180,VALUE(REGEXEXTRACT(SUBSTITUTE(TRIM(F957)," ",""),"-?\d+(\.\d+)?$"))&lt;=180),"OK","REVISAR"),"REVISAR"),"")</f>
        <v/>
      </c>
      <c r="O957">
        <f>IF(A957&lt;&gt;"","https://direcciones507.github.io/direcciones507/panel.html?codigo="&amp;A957&amp;"&amp;nombre="&amp;ENCODEURL(B957)&amp;"&amp;telefono="&amp;SUBSTITUTE(C957,"-","")&amp;"&amp;referencia="&amp;ENCODEURL(E957)&amp;"&amp;lat="&amp;IZQUIERDA(SUBSTITUTE(F957," ",""),ENCONTRAR(",",SUBSTITUTE(F957," ",""))-1)&amp;"&amp;lng="&amp;DERECHA(SUBSTITUTE(F957," ",""),LARGO(SUBSTITUTE(F957," ",""))-ENCONTRAR(",",SUBSTITUTE(F957," ",""))),"")</f>
        <v/>
      </c>
    </row>
    <row r="958" ht="15.75" customHeight="1" s="10">
      <c r="A958" s="8">
        <f>CONCAT("AD507-",TEXT(ROW()-2,"0000"))</f>
        <v/>
      </c>
      <c r="C958" s="8" t="n"/>
      <c r="F958" s="8" t="n"/>
      <c r="G958" s="8">
        <f>IF(F958&lt;&gt;"",HYPERLINK("https://www.google.com/maps/search/?api=1&amp;query="&amp;SUBSTITUTE(F958," ",""),"🗺 Google Maps"),"")</f>
        <v/>
      </c>
      <c r="H958" s="8">
        <f>IF(F958&lt;&gt;"",HYPERLINK("https://waze.com/ul?ll="&amp;SUBSTITUTE(F958," ","")&amp;"&amp;navigate=yes","🚗 Waze"),"")</f>
        <v/>
      </c>
      <c r="I958" s="8">
        <f>IF(F958&lt;&gt;"",HYPERLINK("https://m.uber.com/ul/?action=setPickup&amp;pickup=my_location&amp;dropoff[latitude]="&amp;LEFT(SUBSTITUTE(F958," ",""),FIND(",",SUBSTITUTE(F958," ",""))-1)&amp;"&amp;dropoff[longitude]="&amp;MID(SUBSTITUTE(F958," ",""),FIND(",",SUBSTITUTE(F958," ",""))+1,99),"🚕 Uber"),"")</f>
        <v/>
      </c>
      <c r="J958" s="8">
        <f>IF(F958&lt;&gt;"","https://api.qrserver.com/v1/create-qr-code/?size=200x200&amp;data="&amp;ENCODEURL("https://www.google.com/maps/search/?api=1&amp;query="&amp;SUBSTITUTE(F958," ","")),"")</f>
        <v/>
      </c>
      <c r="K958" s="8">
        <f>IF(C958&lt;&gt;"",HYPERLINK("https://wa.me/507"&amp;REGEXREPLACE(C958,"[^0-9]","")&amp;"?text="&amp;ENCODEURL("Ya llegue. Codigo: "&amp;A958&amp;". Ubicacion: "&amp;"https://www.google.com/maps/search/?api=1&amp;query="&amp;SUBSTITUTE(F958," ","")),"📲 Avisar al cliente"),"")</f>
        <v/>
      </c>
      <c r="L958" s="8">
        <f>IF(C958&lt;&gt;"","https://api.qrserver.com/v1/create-qr-code/?size=200x200&amp;data="&amp;ENCODEURL("https://wa.me/507"&amp;REGEXREPLACE(C958,"[^0-9]","")&amp;"?text="&amp;ENCODEURL("Ya llegue. Codigo: "&amp;A958&amp;". Ubicacion: "&amp;"https://www.google.com/maps/search/?api=1&amp;query="&amp;SUBSTITUTE(F958," ",""))),"")</f>
        <v/>
      </c>
      <c r="M958" s="8">
        <f>IF(B958&lt;&gt;"",TODAY(),"")</f>
        <v/>
      </c>
      <c r="N958" s="8">
        <f>IF(F958&lt;&gt;"",IFERROR(IF(AND(REGEXMATCH(SUBSTITUTE(TRIM(F958)," ",""),"^-?\d+(\.\d+)?,-?\d+(\.\d+)?$"),VALUE(REGEXEXTRACT(SUBSTITUTE(TRIM(F958)," ",""),"^-?\d+(\.\d+)?"))&gt;=-90,VALUE(REGEXEXTRACT(SUBSTITUTE(TRIM(F958)," ",""),"^-?\d+(\.\d+)?"))&lt;=90,VALUE(REGEXEXTRACT(SUBSTITUTE(TRIM(F958)," ",""),"-?\d+(\.\d+)?$"))&gt;=-180,VALUE(REGEXEXTRACT(SUBSTITUTE(TRIM(F958)," ",""),"-?\d+(\.\d+)?$"))&lt;=180),"OK","REVISAR"),"REVISAR"),"")</f>
        <v/>
      </c>
      <c r="O958">
        <f>IF(A958&lt;&gt;"","https://direcciones507.github.io/direcciones507/panel.html?codigo="&amp;A958&amp;"&amp;nombre="&amp;ENCODEURL(B958)&amp;"&amp;telefono="&amp;SUBSTITUTE(C958,"-","")&amp;"&amp;referencia="&amp;ENCODEURL(E958)&amp;"&amp;lat="&amp;IZQUIERDA(SUBSTITUTE(F958," ",""),ENCONTRAR(",",SUBSTITUTE(F958," ",""))-1)&amp;"&amp;lng="&amp;DERECHA(SUBSTITUTE(F958," ",""),LARGO(SUBSTITUTE(F958," ",""))-ENCONTRAR(",",SUBSTITUTE(F958," ",""))),"")</f>
        <v/>
      </c>
    </row>
    <row r="959" ht="15.75" customHeight="1" s="10">
      <c r="A959" s="8">
        <f>CONCAT("AD507-",TEXT(ROW()-2,"0000"))</f>
        <v/>
      </c>
      <c r="C959" s="8" t="n"/>
      <c r="F959" s="8" t="n"/>
      <c r="G959" s="8">
        <f>IF(F959&lt;&gt;"",HYPERLINK("https://www.google.com/maps/search/?api=1&amp;query="&amp;SUBSTITUTE(F959," ",""),"🗺 Google Maps"),"")</f>
        <v/>
      </c>
      <c r="H959" s="8">
        <f>IF(F959&lt;&gt;"",HYPERLINK("https://waze.com/ul?ll="&amp;SUBSTITUTE(F959," ","")&amp;"&amp;navigate=yes","🚗 Waze"),"")</f>
        <v/>
      </c>
      <c r="I959" s="8">
        <f>IF(F959&lt;&gt;"",HYPERLINK("https://m.uber.com/ul/?action=setPickup&amp;pickup=my_location&amp;dropoff[latitude]="&amp;LEFT(SUBSTITUTE(F959," ",""),FIND(",",SUBSTITUTE(F959," ",""))-1)&amp;"&amp;dropoff[longitude]="&amp;MID(SUBSTITUTE(F959," ",""),FIND(",",SUBSTITUTE(F959," ",""))+1,99),"🚕 Uber"),"")</f>
        <v/>
      </c>
      <c r="J959" s="8">
        <f>IF(F959&lt;&gt;"","https://api.qrserver.com/v1/create-qr-code/?size=200x200&amp;data="&amp;ENCODEURL("https://www.google.com/maps/search/?api=1&amp;query="&amp;SUBSTITUTE(F959," ","")),"")</f>
        <v/>
      </c>
      <c r="K959" s="8">
        <f>IF(C959&lt;&gt;"",HYPERLINK("https://wa.me/507"&amp;REGEXREPLACE(C959,"[^0-9]","")&amp;"?text="&amp;ENCODEURL("Ya llegue. Codigo: "&amp;A959&amp;". Ubicacion: "&amp;"https://www.google.com/maps/search/?api=1&amp;query="&amp;SUBSTITUTE(F959," ","")),"📲 Avisar al cliente"),"")</f>
        <v/>
      </c>
      <c r="L959" s="8">
        <f>IF(C959&lt;&gt;"","https://api.qrserver.com/v1/create-qr-code/?size=200x200&amp;data="&amp;ENCODEURL("https://wa.me/507"&amp;REGEXREPLACE(C959,"[^0-9]","")&amp;"?text="&amp;ENCODEURL("Ya llegue. Codigo: "&amp;A959&amp;". Ubicacion: "&amp;"https://www.google.com/maps/search/?api=1&amp;query="&amp;SUBSTITUTE(F959," ",""))),"")</f>
        <v/>
      </c>
      <c r="M959" s="8">
        <f>IF(B959&lt;&gt;"",TODAY(),"")</f>
        <v/>
      </c>
      <c r="N959" s="8">
        <f>IF(F959&lt;&gt;"",IFERROR(IF(AND(REGEXMATCH(SUBSTITUTE(TRIM(F959)," ",""),"^-?\d+(\.\d+)?,-?\d+(\.\d+)?$"),VALUE(REGEXEXTRACT(SUBSTITUTE(TRIM(F959)," ",""),"^-?\d+(\.\d+)?"))&gt;=-90,VALUE(REGEXEXTRACT(SUBSTITUTE(TRIM(F959)," ",""),"^-?\d+(\.\d+)?"))&lt;=90,VALUE(REGEXEXTRACT(SUBSTITUTE(TRIM(F959)," ",""),"-?\d+(\.\d+)?$"))&gt;=-180,VALUE(REGEXEXTRACT(SUBSTITUTE(TRIM(F959)," ",""),"-?\d+(\.\d+)?$"))&lt;=180),"OK","REVISAR"),"REVISAR"),"")</f>
        <v/>
      </c>
      <c r="O959">
        <f>IF(A959&lt;&gt;"","https://direcciones507.github.io/direcciones507/panel.html?codigo="&amp;A959&amp;"&amp;nombre="&amp;ENCODEURL(B959)&amp;"&amp;telefono="&amp;SUBSTITUTE(C959,"-","")&amp;"&amp;referencia="&amp;ENCODEURL(E959)&amp;"&amp;lat="&amp;IZQUIERDA(SUBSTITUTE(F959," ",""),ENCONTRAR(",",SUBSTITUTE(F959," ",""))-1)&amp;"&amp;lng="&amp;DERECHA(SUBSTITUTE(F959," ",""),LARGO(SUBSTITUTE(F959," ",""))-ENCONTRAR(",",SUBSTITUTE(F959," ",""))),"")</f>
        <v/>
      </c>
    </row>
    <row r="960" ht="15.75" customHeight="1" s="10">
      <c r="A960" s="8">
        <f>CONCAT("AD507-",TEXT(ROW()-2,"0000"))</f>
        <v/>
      </c>
      <c r="C960" s="8" t="n"/>
      <c r="F960" s="8" t="n"/>
      <c r="G960" s="8">
        <f>IF(F960&lt;&gt;"",HYPERLINK("https://www.google.com/maps/search/?api=1&amp;query="&amp;SUBSTITUTE(F960," ",""),"🗺 Google Maps"),"")</f>
        <v/>
      </c>
      <c r="H960" s="8">
        <f>IF(F960&lt;&gt;"",HYPERLINK("https://waze.com/ul?ll="&amp;SUBSTITUTE(F960," ","")&amp;"&amp;navigate=yes","🚗 Waze"),"")</f>
        <v/>
      </c>
      <c r="I960" s="8">
        <f>IF(F960&lt;&gt;"",HYPERLINK("https://m.uber.com/ul/?action=setPickup&amp;pickup=my_location&amp;dropoff[latitude]="&amp;LEFT(SUBSTITUTE(F960," ",""),FIND(",",SUBSTITUTE(F960," ",""))-1)&amp;"&amp;dropoff[longitude]="&amp;MID(SUBSTITUTE(F960," ",""),FIND(",",SUBSTITUTE(F960," ",""))+1,99),"🚕 Uber"),"")</f>
        <v/>
      </c>
      <c r="J960" s="8">
        <f>IF(F960&lt;&gt;"","https://api.qrserver.com/v1/create-qr-code/?size=200x200&amp;data="&amp;ENCODEURL("https://www.google.com/maps/search/?api=1&amp;query="&amp;SUBSTITUTE(F960," ","")),"")</f>
        <v/>
      </c>
      <c r="K960" s="8">
        <f>IF(C960&lt;&gt;"",HYPERLINK("https://wa.me/507"&amp;REGEXREPLACE(C960,"[^0-9]","")&amp;"?text="&amp;ENCODEURL("Ya llegue. Codigo: "&amp;A960&amp;". Ubicacion: "&amp;"https://www.google.com/maps/search/?api=1&amp;query="&amp;SUBSTITUTE(F960," ","")),"📲 Avisar al cliente"),"")</f>
        <v/>
      </c>
      <c r="L960" s="8">
        <f>IF(C960&lt;&gt;"","https://api.qrserver.com/v1/create-qr-code/?size=200x200&amp;data="&amp;ENCODEURL("https://wa.me/507"&amp;REGEXREPLACE(C960,"[^0-9]","")&amp;"?text="&amp;ENCODEURL("Ya llegue. Codigo: "&amp;A960&amp;". Ubicacion: "&amp;"https://www.google.com/maps/search/?api=1&amp;query="&amp;SUBSTITUTE(F960," ",""))),"")</f>
        <v/>
      </c>
      <c r="M960" s="8">
        <f>IF(B960&lt;&gt;"",TODAY(),"")</f>
        <v/>
      </c>
      <c r="N960" s="8">
        <f>IF(F960&lt;&gt;"",IFERROR(IF(AND(REGEXMATCH(SUBSTITUTE(TRIM(F960)," ",""),"^-?\d+(\.\d+)?,-?\d+(\.\d+)?$"),VALUE(REGEXEXTRACT(SUBSTITUTE(TRIM(F960)," ",""),"^-?\d+(\.\d+)?"))&gt;=-90,VALUE(REGEXEXTRACT(SUBSTITUTE(TRIM(F960)," ",""),"^-?\d+(\.\d+)?"))&lt;=90,VALUE(REGEXEXTRACT(SUBSTITUTE(TRIM(F960)," ",""),"-?\d+(\.\d+)?$"))&gt;=-180,VALUE(REGEXEXTRACT(SUBSTITUTE(TRIM(F960)," ",""),"-?\d+(\.\d+)?$"))&lt;=180),"OK","REVISAR"),"REVISAR"),"")</f>
        <v/>
      </c>
      <c r="O960">
        <f>IF(A960&lt;&gt;"","https://direcciones507.github.io/direcciones507/panel.html?codigo="&amp;A960&amp;"&amp;nombre="&amp;ENCODEURL(B960)&amp;"&amp;telefono="&amp;SUBSTITUTE(C960,"-","")&amp;"&amp;referencia="&amp;ENCODEURL(E960)&amp;"&amp;lat="&amp;IZQUIERDA(SUBSTITUTE(F960," ",""),ENCONTRAR(",",SUBSTITUTE(F960," ",""))-1)&amp;"&amp;lng="&amp;DERECHA(SUBSTITUTE(F960," ",""),LARGO(SUBSTITUTE(F960," ",""))-ENCONTRAR(",",SUBSTITUTE(F960," ",""))),"")</f>
        <v/>
      </c>
    </row>
    <row r="961" ht="15.75" customHeight="1" s="10">
      <c r="A961" s="8">
        <f>CONCAT("AD507-",TEXT(ROW()-2,"0000"))</f>
        <v/>
      </c>
      <c r="C961" s="8" t="n"/>
      <c r="F961" s="8" t="n"/>
      <c r="G961" s="8">
        <f>IF(F961&lt;&gt;"",HYPERLINK("https://www.google.com/maps/search/?api=1&amp;query="&amp;SUBSTITUTE(F961," ",""),"🗺 Google Maps"),"")</f>
        <v/>
      </c>
      <c r="H961" s="8">
        <f>IF(F961&lt;&gt;"",HYPERLINK("https://waze.com/ul?ll="&amp;SUBSTITUTE(F961," ","")&amp;"&amp;navigate=yes","🚗 Waze"),"")</f>
        <v/>
      </c>
      <c r="I961" s="8">
        <f>IF(F961&lt;&gt;"",HYPERLINK("https://m.uber.com/ul/?action=setPickup&amp;pickup=my_location&amp;dropoff[latitude]="&amp;LEFT(SUBSTITUTE(F961," ",""),FIND(",",SUBSTITUTE(F961," ",""))-1)&amp;"&amp;dropoff[longitude]="&amp;MID(SUBSTITUTE(F961," ",""),FIND(",",SUBSTITUTE(F961," ",""))+1,99),"🚕 Uber"),"")</f>
        <v/>
      </c>
      <c r="J961" s="8">
        <f>IF(F961&lt;&gt;"","https://api.qrserver.com/v1/create-qr-code/?size=200x200&amp;data="&amp;ENCODEURL("https://www.google.com/maps/search/?api=1&amp;query="&amp;SUBSTITUTE(F961," ","")),"")</f>
        <v/>
      </c>
      <c r="K961" s="8">
        <f>IF(C961&lt;&gt;"",HYPERLINK("https://wa.me/507"&amp;REGEXREPLACE(C961,"[^0-9]","")&amp;"?text="&amp;ENCODEURL("Ya llegue. Codigo: "&amp;A961&amp;". Ubicacion: "&amp;"https://www.google.com/maps/search/?api=1&amp;query="&amp;SUBSTITUTE(F961," ","")),"📲 Avisar al cliente"),"")</f>
        <v/>
      </c>
      <c r="L961" s="8">
        <f>IF(C961&lt;&gt;"","https://api.qrserver.com/v1/create-qr-code/?size=200x200&amp;data="&amp;ENCODEURL("https://wa.me/507"&amp;REGEXREPLACE(C961,"[^0-9]","")&amp;"?text="&amp;ENCODEURL("Ya llegue. Codigo: "&amp;A961&amp;". Ubicacion: "&amp;"https://www.google.com/maps/search/?api=1&amp;query="&amp;SUBSTITUTE(F961," ",""))),"")</f>
        <v/>
      </c>
      <c r="M961" s="8">
        <f>IF(B961&lt;&gt;"",TODAY(),"")</f>
        <v/>
      </c>
      <c r="N961" s="8">
        <f>IF(F961&lt;&gt;"",IFERROR(IF(AND(REGEXMATCH(SUBSTITUTE(TRIM(F961)," ",""),"^-?\d+(\.\d+)?,-?\d+(\.\d+)?$"),VALUE(REGEXEXTRACT(SUBSTITUTE(TRIM(F961)," ",""),"^-?\d+(\.\d+)?"))&gt;=-90,VALUE(REGEXEXTRACT(SUBSTITUTE(TRIM(F961)," ",""),"^-?\d+(\.\d+)?"))&lt;=90,VALUE(REGEXEXTRACT(SUBSTITUTE(TRIM(F961)," ",""),"-?\d+(\.\d+)?$"))&gt;=-180,VALUE(REGEXEXTRACT(SUBSTITUTE(TRIM(F961)," ",""),"-?\d+(\.\d+)?$"))&lt;=180),"OK","REVISAR"),"REVISAR"),"")</f>
        <v/>
      </c>
      <c r="O961">
        <f>IF(A961&lt;&gt;"","https://direcciones507.github.io/direcciones507/panel.html?codigo="&amp;A961&amp;"&amp;nombre="&amp;ENCODEURL(B961)&amp;"&amp;telefono="&amp;SUBSTITUTE(C961,"-","")&amp;"&amp;referencia="&amp;ENCODEURL(E961)&amp;"&amp;lat="&amp;IZQUIERDA(SUBSTITUTE(F961," ",""),ENCONTRAR(",",SUBSTITUTE(F961," ",""))-1)&amp;"&amp;lng="&amp;DERECHA(SUBSTITUTE(F961," ",""),LARGO(SUBSTITUTE(F961," ",""))-ENCONTRAR(",",SUBSTITUTE(F961," ",""))),"")</f>
        <v/>
      </c>
    </row>
    <row r="962" ht="15.75" customHeight="1" s="10">
      <c r="A962" s="8">
        <f>CONCAT("AD507-",TEXT(ROW()-2,"0000"))</f>
        <v/>
      </c>
      <c r="C962" s="8" t="n"/>
      <c r="F962" s="8" t="n"/>
      <c r="G962" s="8">
        <f>IF(F962&lt;&gt;"",HYPERLINK("https://www.google.com/maps/search/?api=1&amp;query="&amp;SUBSTITUTE(F962," ",""),"🗺 Google Maps"),"")</f>
        <v/>
      </c>
      <c r="H962" s="8">
        <f>IF(F962&lt;&gt;"",HYPERLINK("https://waze.com/ul?ll="&amp;SUBSTITUTE(F962," ","")&amp;"&amp;navigate=yes","🚗 Waze"),"")</f>
        <v/>
      </c>
      <c r="I962" s="8">
        <f>IF(F962&lt;&gt;"",HYPERLINK("https://m.uber.com/ul/?action=setPickup&amp;pickup=my_location&amp;dropoff[latitude]="&amp;LEFT(SUBSTITUTE(F962," ",""),FIND(",",SUBSTITUTE(F962," ",""))-1)&amp;"&amp;dropoff[longitude]="&amp;MID(SUBSTITUTE(F962," ",""),FIND(",",SUBSTITUTE(F962," ",""))+1,99),"🚕 Uber"),"")</f>
        <v/>
      </c>
      <c r="J962" s="8">
        <f>IF(F962&lt;&gt;"","https://api.qrserver.com/v1/create-qr-code/?size=200x200&amp;data="&amp;ENCODEURL("https://www.google.com/maps/search/?api=1&amp;query="&amp;SUBSTITUTE(F962," ","")),"")</f>
        <v/>
      </c>
      <c r="K962" s="8">
        <f>IF(C962&lt;&gt;"",HYPERLINK("https://wa.me/507"&amp;REGEXREPLACE(C962,"[^0-9]","")&amp;"?text="&amp;ENCODEURL("Ya llegue. Codigo: "&amp;A962&amp;". Ubicacion: "&amp;"https://www.google.com/maps/search/?api=1&amp;query="&amp;SUBSTITUTE(F962," ","")),"📲 Avisar al cliente"),"")</f>
        <v/>
      </c>
      <c r="L962" s="8">
        <f>IF(C962&lt;&gt;"","https://api.qrserver.com/v1/create-qr-code/?size=200x200&amp;data="&amp;ENCODEURL("https://wa.me/507"&amp;REGEXREPLACE(C962,"[^0-9]","")&amp;"?text="&amp;ENCODEURL("Ya llegue. Codigo: "&amp;A962&amp;". Ubicacion: "&amp;"https://www.google.com/maps/search/?api=1&amp;query="&amp;SUBSTITUTE(F962," ",""))),"")</f>
        <v/>
      </c>
      <c r="M962" s="8">
        <f>IF(B962&lt;&gt;"",TODAY(),"")</f>
        <v/>
      </c>
      <c r="N962" s="8">
        <f>IF(F962&lt;&gt;"",IFERROR(IF(AND(REGEXMATCH(SUBSTITUTE(TRIM(F962)," ",""),"^-?\d+(\.\d+)?,-?\d+(\.\d+)?$"),VALUE(REGEXEXTRACT(SUBSTITUTE(TRIM(F962)," ",""),"^-?\d+(\.\d+)?"))&gt;=-90,VALUE(REGEXEXTRACT(SUBSTITUTE(TRIM(F962)," ",""),"^-?\d+(\.\d+)?"))&lt;=90,VALUE(REGEXEXTRACT(SUBSTITUTE(TRIM(F962)," ",""),"-?\d+(\.\d+)?$"))&gt;=-180,VALUE(REGEXEXTRACT(SUBSTITUTE(TRIM(F962)," ",""),"-?\d+(\.\d+)?$"))&lt;=180),"OK","REVISAR"),"REVISAR"),"")</f>
        <v/>
      </c>
      <c r="O962">
        <f>IF(A962&lt;&gt;"","https://direcciones507.github.io/direcciones507/panel.html?codigo="&amp;A962&amp;"&amp;nombre="&amp;ENCODEURL(B962)&amp;"&amp;telefono="&amp;SUBSTITUTE(C962,"-","")&amp;"&amp;referencia="&amp;ENCODEURL(E962)&amp;"&amp;lat="&amp;IZQUIERDA(SUBSTITUTE(F962," ",""),ENCONTRAR(",",SUBSTITUTE(F962," ",""))-1)&amp;"&amp;lng="&amp;DERECHA(SUBSTITUTE(F962," ",""),LARGO(SUBSTITUTE(F962," ",""))-ENCONTRAR(",",SUBSTITUTE(F962," ",""))),"")</f>
        <v/>
      </c>
    </row>
    <row r="963" ht="15.75" customHeight="1" s="10">
      <c r="A963" s="8">
        <f>CONCAT("AD507-",TEXT(ROW()-2,"0000"))</f>
        <v/>
      </c>
      <c r="C963" s="8" t="n"/>
      <c r="F963" s="8" t="n"/>
      <c r="G963" s="8">
        <f>IF(F963&lt;&gt;"",HYPERLINK("https://www.google.com/maps/search/?api=1&amp;query="&amp;SUBSTITUTE(F963," ",""),"🗺 Google Maps"),"")</f>
        <v/>
      </c>
      <c r="H963" s="8">
        <f>IF(F963&lt;&gt;"",HYPERLINK("https://waze.com/ul?ll="&amp;SUBSTITUTE(F963," ","")&amp;"&amp;navigate=yes","🚗 Waze"),"")</f>
        <v/>
      </c>
      <c r="I963" s="8">
        <f>IF(F963&lt;&gt;"",HYPERLINK("https://m.uber.com/ul/?action=setPickup&amp;pickup=my_location&amp;dropoff[latitude]="&amp;LEFT(SUBSTITUTE(F963," ",""),FIND(",",SUBSTITUTE(F963," ",""))-1)&amp;"&amp;dropoff[longitude]="&amp;MID(SUBSTITUTE(F963," ",""),FIND(",",SUBSTITUTE(F963," ",""))+1,99),"🚕 Uber"),"")</f>
        <v/>
      </c>
      <c r="J963" s="8">
        <f>IF(F963&lt;&gt;"","https://api.qrserver.com/v1/create-qr-code/?size=200x200&amp;data="&amp;ENCODEURL("https://www.google.com/maps/search/?api=1&amp;query="&amp;SUBSTITUTE(F963," ","")),"")</f>
        <v/>
      </c>
      <c r="K963" s="8">
        <f>IF(C963&lt;&gt;"",HYPERLINK("https://wa.me/507"&amp;REGEXREPLACE(C963,"[^0-9]","")&amp;"?text="&amp;ENCODEURL("Ya llegue. Codigo: "&amp;A963&amp;". Ubicacion: "&amp;"https://www.google.com/maps/search/?api=1&amp;query="&amp;SUBSTITUTE(F963," ","")),"📲 Avisar al cliente"),"")</f>
        <v/>
      </c>
      <c r="L963" s="8">
        <f>IF(C963&lt;&gt;"","https://api.qrserver.com/v1/create-qr-code/?size=200x200&amp;data="&amp;ENCODEURL("https://wa.me/507"&amp;REGEXREPLACE(C963,"[^0-9]","")&amp;"?text="&amp;ENCODEURL("Ya llegue. Codigo: "&amp;A963&amp;". Ubicacion: "&amp;"https://www.google.com/maps/search/?api=1&amp;query="&amp;SUBSTITUTE(F963," ",""))),"")</f>
        <v/>
      </c>
      <c r="M963" s="8">
        <f>IF(B963&lt;&gt;"",TODAY(),"")</f>
        <v/>
      </c>
      <c r="N963" s="8">
        <f>IF(F963&lt;&gt;"",IFERROR(IF(AND(REGEXMATCH(SUBSTITUTE(TRIM(F963)," ",""),"^-?\d+(\.\d+)?,-?\d+(\.\d+)?$"),VALUE(REGEXEXTRACT(SUBSTITUTE(TRIM(F963)," ",""),"^-?\d+(\.\d+)?"))&gt;=-90,VALUE(REGEXEXTRACT(SUBSTITUTE(TRIM(F963)," ",""),"^-?\d+(\.\d+)?"))&lt;=90,VALUE(REGEXEXTRACT(SUBSTITUTE(TRIM(F963)," ",""),"-?\d+(\.\d+)?$"))&gt;=-180,VALUE(REGEXEXTRACT(SUBSTITUTE(TRIM(F963)," ",""),"-?\d+(\.\d+)?$"))&lt;=180),"OK","REVISAR"),"REVISAR"),"")</f>
        <v/>
      </c>
      <c r="O963">
        <f>IF(A963&lt;&gt;"","https://direcciones507.github.io/direcciones507/panel.html?codigo="&amp;A963&amp;"&amp;nombre="&amp;ENCODEURL(B963)&amp;"&amp;telefono="&amp;SUBSTITUTE(C963,"-","")&amp;"&amp;referencia="&amp;ENCODEURL(E963)&amp;"&amp;lat="&amp;IZQUIERDA(SUBSTITUTE(F963," ",""),ENCONTRAR(",",SUBSTITUTE(F963," ",""))-1)&amp;"&amp;lng="&amp;DERECHA(SUBSTITUTE(F963," ",""),LARGO(SUBSTITUTE(F963," ",""))-ENCONTRAR(",",SUBSTITUTE(F963," ",""))),"")</f>
        <v/>
      </c>
    </row>
    <row r="964" ht="15.75" customHeight="1" s="10">
      <c r="A964" s="8">
        <f>CONCAT("AD507-",TEXT(ROW()-2,"0000"))</f>
        <v/>
      </c>
      <c r="C964" s="8" t="n"/>
      <c r="F964" s="8" t="n"/>
      <c r="G964" s="8">
        <f>IF(F964&lt;&gt;"",HYPERLINK("https://www.google.com/maps/search/?api=1&amp;query="&amp;SUBSTITUTE(F964," ",""),"🗺 Google Maps"),"")</f>
        <v/>
      </c>
      <c r="H964" s="8">
        <f>IF(F964&lt;&gt;"",HYPERLINK("https://waze.com/ul?ll="&amp;SUBSTITUTE(F964," ","")&amp;"&amp;navigate=yes","🚗 Waze"),"")</f>
        <v/>
      </c>
      <c r="I964" s="8">
        <f>IF(F964&lt;&gt;"",HYPERLINK("https://m.uber.com/ul/?action=setPickup&amp;pickup=my_location&amp;dropoff[latitude]="&amp;LEFT(SUBSTITUTE(F964," ",""),FIND(",",SUBSTITUTE(F964," ",""))-1)&amp;"&amp;dropoff[longitude]="&amp;MID(SUBSTITUTE(F964," ",""),FIND(",",SUBSTITUTE(F964," ",""))+1,99),"🚕 Uber"),"")</f>
        <v/>
      </c>
      <c r="J964" s="8">
        <f>IF(F964&lt;&gt;"","https://api.qrserver.com/v1/create-qr-code/?size=200x200&amp;data="&amp;ENCODEURL("https://www.google.com/maps/search/?api=1&amp;query="&amp;SUBSTITUTE(F964," ","")),"")</f>
        <v/>
      </c>
      <c r="K964" s="8">
        <f>IF(C964&lt;&gt;"",HYPERLINK("https://wa.me/507"&amp;REGEXREPLACE(C964,"[^0-9]","")&amp;"?text="&amp;ENCODEURL("Ya llegue. Codigo: "&amp;A964&amp;". Ubicacion: "&amp;"https://www.google.com/maps/search/?api=1&amp;query="&amp;SUBSTITUTE(F964," ","")),"📲 Avisar al cliente"),"")</f>
        <v/>
      </c>
      <c r="L964" s="8">
        <f>IF(C964&lt;&gt;"","https://api.qrserver.com/v1/create-qr-code/?size=200x200&amp;data="&amp;ENCODEURL("https://wa.me/507"&amp;REGEXREPLACE(C964,"[^0-9]","")&amp;"?text="&amp;ENCODEURL("Ya llegue. Codigo: "&amp;A964&amp;". Ubicacion: "&amp;"https://www.google.com/maps/search/?api=1&amp;query="&amp;SUBSTITUTE(F964," ",""))),"")</f>
        <v/>
      </c>
      <c r="M964" s="8">
        <f>IF(B964&lt;&gt;"",TODAY(),"")</f>
        <v/>
      </c>
      <c r="N964" s="8">
        <f>IF(F964&lt;&gt;"",IFERROR(IF(AND(REGEXMATCH(SUBSTITUTE(TRIM(F964)," ",""),"^-?\d+(\.\d+)?,-?\d+(\.\d+)?$"),VALUE(REGEXEXTRACT(SUBSTITUTE(TRIM(F964)," ",""),"^-?\d+(\.\d+)?"))&gt;=-90,VALUE(REGEXEXTRACT(SUBSTITUTE(TRIM(F964)," ",""),"^-?\d+(\.\d+)?"))&lt;=90,VALUE(REGEXEXTRACT(SUBSTITUTE(TRIM(F964)," ",""),"-?\d+(\.\d+)?$"))&gt;=-180,VALUE(REGEXEXTRACT(SUBSTITUTE(TRIM(F964)," ",""),"-?\d+(\.\d+)?$"))&lt;=180),"OK","REVISAR"),"REVISAR"),"")</f>
        <v/>
      </c>
      <c r="O964">
        <f>IF(A964&lt;&gt;"","https://direcciones507.github.io/direcciones507/panel.html?codigo="&amp;A964&amp;"&amp;nombre="&amp;ENCODEURL(B964)&amp;"&amp;telefono="&amp;SUBSTITUTE(C964,"-","")&amp;"&amp;referencia="&amp;ENCODEURL(E964)&amp;"&amp;lat="&amp;IZQUIERDA(SUBSTITUTE(F964," ",""),ENCONTRAR(",",SUBSTITUTE(F964," ",""))-1)&amp;"&amp;lng="&amp;DERECHA(SUBSTITUTE(F964," ",""),LARGO(SUBSTITUTE(F964," ",""))-ENCONTRAR(",",SUBSTITUTE(F964," ",""))),"")</f>
        <v/>
      </c>
    </row>
    <row r="965" ht="15.75" customHeight="1" s="10">
      <c r="A965" s="8">
        <f>CONCAT("AD507-",TEXT(ROW()-2,"0000"))</f>
        <v/>
      </c>
      <c r="C965" s="8" t="n"/>
      <c r="F965" s="8" t="n"/>
      <c r="G965" s="8">
        <f>IF(F965&lt;&gt;"",HYPERLINK("https://www.google.com/maps/search/?api=1&amp;query="&amp;SUBSTITUTE(F965," ",""),"🗺 Google Maps"),"")</f>
        <v/>
      </c>
      <c r="H965" s="8">
        <f>IF(F965&lt;&gt;"",HYPERLINK("https://waze.com/ul?ll="&amp;SUBSTITUTE(F965," ","")&amp;"&amp;navigate=yes","🚗 Waze"),"")</f>
        <v/>
      </c>
      <c r="I965" s="8">
        <f>IF(F965&lt;&gt;"",HYPERLINK("https://m.uber.com/ul/?action=setPickup&amp;pickup=my_location&amp;dropoff[latitude]="&amp;LEFT(SUBSTITUTE(F965," ",""),FIND(",",SUBSTITUTE(F965," ",""))-1)&amp;"&amp;dropoff[longitude]="&amp;MID(SUBSTITUTE(F965," ",""),FIND(",",SUBSTITUTE(F965," ",""))+1,99),"🚕 Uber"),"")</f>
        <v/>
      </c>
      <c r="J965" s="8">
        <f>IF(F965&lt;&gt;"","https://api.qrserver.com/v1/create-qr-code/?size=200x200&amp;data="&amp;ENCODEURL("https://www.google.com/maps/search/?api=1&amp;query="&amp;SUBSTITUTE(F965," ","")),"")</f>
        <v/>
      </c>
      <c r="K965" s="8">
        <f>IF(C965&lt;&gt;"",HYPERLINK("https://wa.me/507"&amp;REGEXREPLACE(C965,"[^0-9]","")&amp;"?text="&amp;ENCODEURL("Ya llegue. Codigo: "&amp;A965&amp;". Ubicacion: "&amp;"https://www.google.com/maps/search/?api=1&amp;query="&amp;SUBSTITUTE(F965," ","")),"📲 Avisar al cliente"),"")</f>
        <v/>
      </c>
      <c r="L965" s="8">
        <f>IF(C965&lt;&gt;"","https://api.qrserver.com/v1/create-qr-code/?size=200x200&amp;data="&amp;ENCODEURL("https://wa.me/507"&amp;REGEXREPLACE(C965,"[^0-9]","")&amp;"?text="&amp;ENCODEURL("Ya llegue. Codigo: "&amp;A965&amp;". Ubicacion: "&amp;"https://www.google.com/maps/search/?api=1&amp;query="&amp;SUBSTITUTE(F965," ",""))),"")</f>
        <v/>
      </c>
      <c r="M965" s="8">
        <f>IF(B965&lt;&gt;"",TODAY(),"")</f>
        <v/>
      </c>
      <c r="N965" s="8">
        <f>IF(F965&lt;&gt;"",IFERROR(IF(AND(REGEXMATCH(SUBSTITUTE(TRIM(F965)," ",""),"^-?\d+(\.\d+)?,-?\d+(\.\d+)?$"),VALUE(REGEXEXTRACT(SUBSTITUTE(TRIM(F965)," ",""),"^-?\d+(\.\d+)?"))&gt;=-90,VALUE(REGEXEXTRACT(SUBSTITUTE(TRIM(F965)," ",""),"^-?\d+(\.\d+)?"))&lt;=90,VALUE(REGEXEXTRACT(SUBSTITUTE(TRIM(F965)," ",""),"-?\d+(\.\d+)?$"))&gt;=-180,VALUE(REGEXEXTRACT(SUBSTITUTE(TRIM(F965)," ",""),"-?\d+(\.\d+)?$"))&lt;=180),"OK","REVISAR"),"REVISAR"),"")</f>
        <v/>
      </c>
      <c r="O965">
        <f>IF(A965&lt;&gt;"","https://direcciones507.github.io/direcciones507/panel.html?codigo="&amp;A965&amp;"&amp;nombre="&amp;ENCODEURL(B965)&amp;"&amp;telefono="&amp;SUBSTITUTE(C965,"-","")&amp;"&amp;referencia="&amp;ENCODEURL(E965)&amp;"&amp;lat="&amp;IZQUIERDA(SUBSTITUTE(F965," ",""),ENCONTRAR(",",SUBSTITUTE(F965," ",""))-1)&amp;"&amp;lng="&amp;DERECHA(SUBSTITUTE(F965," ",""),LARGO(SUBSTITUTE(F965," ",""))-ENCONTRAR(",",SUBSTITUTE(F965," ",""))),"")</f>
        <v/>
      </c>
    </row>
    <row r="966" ht="15.75" customHeight="1" s="10">
      <c r="A966" s="8">
        <f>CONCAT("AD507-",TEXT(ROW()-2,"0000"))</f>
        <v/>
      </c>
      <c r="C966" s="8" t="n"/>
      <c r="F966" s="8" t="n"/>
      <c r="G966" s="8">
        <f>IF(F966&lt;&gt;"",HYPERLINK("https://www.google.com/maps/search/?api=1&amp;query="&amp;SUBSTITUTE(F966," ",""),"🗺 Google Maps"),"")</f>
        <v/>
      </c>
      <c r="H966" s="8">
        <f>IF(F966&lt;&gt;"",HYPERLINK("https://waze.com/ul?ll="&amp;SUBSTITUTE(F966," ","")&amp;"&amp;navigate=yes","🚗 Waze"),"")</f>
        <v/>
      </c>
      <c r="I966" s="8">
        <f>IF(F966&lt;&gt;"",HYPERLINK("https://m.uber.com/ul/?action=setPickup&amp;pickup=my_location&amp;dropoff[latitude]="&amp;LEFT(SUBSTITUTE(F966," ",""),FIND(",",SUBSTITUTE(F966," ",""))-1)&amp;"&amp;dropoff[longitude]="&amp;MID(SUBSTITUTE(F966," ",""),FIND(",",SUBSTITUTE(F966," ",""))+1,99),"🚕 Uber"),"")</f>
        <v/>
      </c>
      <c r="J966" s="8">
        <f>IF(F966&lt;&gt;"","https://api.qrserver.com/v1/create-qr-code/?size=200x200&amp;data="&amp;ENCODEURL("https://www.google.com/maps/search/?api=1&amp;query="&amp;SUBSTITUTE(F966," ","")),"")</f>
        <v/>
      </c>
      <c r="K966" s="8">
        <f>IF(C966&lt;&gt;"",HYPERLINK("https://wa.me/507"&amp;REGEXREPLACE(C966,"[^0-9]","")&amp;"?text="&amp;ENCODEURL("Ya llegue. Codigo: "&amp;A966&amp;". Ubicacion: "&amp;"https://www.google.com/maps/search/?api=1&amp;query="&amp;SUBSTITUTE(F966," ","")),"📲 Avisar al cliente"),"")</f>
        <v/>
      </c>
      <c r="L966" s="8">
        <f>IF(C966&lt;&gt;"","https://api.qrserver.com/v1/create-qr-code/?size=200x200&amp;data="&amp;ENCODEURL("https://wa.me/507"&amp;REGEXREPLACE(C966,"[^0-9]","")&amp;"?text="&amp;ENCODEURL("Ya llegue. Codigo: "&amp;A966&amp;". Ubicacion: "&amp;"https://www.google.com/maps/search/?api=1&amp;query="&amp;SUBSTITUTE(F966," ",""))),"")</f>
        <v/>
      </c>
      <c r="M966" s="8">
        <f>IF(B966&lt;&gt;"",TODAY(),"")</f>
        <v/>
      </c>
      <c r="N966" s="8">
        <f>IF(F966&lt;&gt;"",IFERROR(IF(AND(REGEXMATCH(SUBSTITUTE(TRIM(F966)," ",""),"^-?\d+(\.\d+)?,-?\d+(\.\d+)?$"),VALUE(REGEXEXTRACT(SUBSTITUTE(TRIM(F966)," ",""),"^-?\d+(\.\d+)?"))&gt;=-90,VALUE(REGEXEXTRACT(SUBSTITUTE(TRIM(F966)," ",""),"^-?\d+(\.\d+)?"))&lt;=90,VALUE(REGEXEXTRACT(SUBSTITUTE(TRIM(F966)," ",""),"-?\d+(\.\d+)?$"))&gt;=-180,VALUE(REGEXEXTRACT(SUBSTITUTE(TRIM(F966)," ",""),"-?\d+(\.\d+)?$"))&lt;=180),"OK","REVISAR"),"REVISAR"),"")</f>
        <v/>
      </c>
      <c r="O966">
        <f>IF(A966&lt;&gt;"","https://direcciones507.github.io/direcciones507/panel.html?codigo="&amp;A966&amp;"&amp;nombre="&amp;ENCODEURL(B966)&amp;"&amp;telefono="&amp;SUBSTITUTE(C966,"-","")&amp;"&amp;referencia="&amp;ENCODEURL(E966)&amp;"&amp;lat="&amp;IZQUIERDA(SUBSTITUTE(F966," ",""),ENCONTRAR(",",SUBSTITUTE(F966," ",""))-1)&amp;"&amp;lng="&amp;DERECHA(SUBSTITUTE(F966," ",""),LARGO(SUBSTITUTE(F966," ",""))-ENCONTRAR(",",SUBSTITUTE(F966," ",""))),"")</f>
        <v/>
      </c>
    </row>
    <row r="967" ht="15.75" customHeight="1" s="10">
      <c r="A967" s="8">
        <f>CONCAT("AD507-",TEXT(ROW()-2,"0000"))</f>
        <v/>
      </c>
      <c r="C967" s="8" t="n"/>
      <c r="F967" s="8" t="n"/>
      <c r="G967" s="8">
        <f>IF(F967&lt;&gt;"",HYPERLINK("https://www.google.com/maps/search/?api=1&amp;query="&amp;SUBSTITUTE(F967," ",""),"🗺 Google Maps"),"")</f>
        <v/>
      </c>
      <c r="H967" s="8">
        <f>IF(F967&lt;&gt;"",HYPERLINK("https://waze.com/ul?ll="&amp;SUBSTITUTE(F967," ","")&amp;"&amp;navigate=yes","🚗 Waze"),"")</f>
        <v/>
      </c>
      <c r="I967" s="8">
        <f>IF(F967&lt;&gt;"",HYPERLINK("https://m.uber.com/ul/?action=setPickup&amp;pickup=my_location&amp;dropoff[latitude]="&amp;LEFT(SUBSTITUTE(F967," ",""),FIND(",",SUBSTITUTE(F967," ",""))-1)&amp;"&amp;dropoff[longitude]="&amp;MID(SUBSTITUTE(F967," ",""),FIND(",",SUBSTITUTE(F967," ",""))+1,99),"🚕 Uber"),"")</f>
        <v/>
      </c>
      <c r="J967" s="8">
        <f>IF(F967&lt;&gt;"","https://api.qrserver.com/v1/create-qr-code/?size=200x200&amp;data="&amp;ENCODEURL("https://www.google.com/maps/search/?api=1&amp;query="&amp;SUBSTITUTE(F967," ","")),"")</f>
        <v/>
      </c>
      <c r="K967" s="8">
        <f>IF(C967&lt;&gt;"",HYPERLINK("https://wa.me/507"&amp;REGEXREPLACE(C967,"[^0-9]","")&amp;"?text="&amp;ENCODEURL("Ya llegue. Codigo: "&amp;A967&amp;". Ubicacion: "&amp;"https://www.google.com/maps/search/?api=1&amp;query="&amp;SUBSTITUTE(F967," ","")),"📲 Avisar al cliente"),"")</f>
        <v/>
      </c>
      <c r="L967" s="8">
        <f>IF(C967&lt;&gt;"","https://api.qrserver.com/v1/create-qr-code/?size=200x200&amp;data="&amp;ENCODEURL("https://wa.me/507"&amp;REGEXREPLACE(C967,"[^0-9]","")&amp;"?text="&amp;ENCODEURL("Ya llegue. Codigo: "&amp;A967&amp;". Ubicacion: "&amp;"https://www.google.com/maps/search/?api=1&amp;query="&amp;SUBSTITUTE(F967," ",""))),"")</f>
        <v/>
      </c>
      <c r="M967" s="8">
        <f>IF(B967&lt;&gt;"",TODAY(),"")</f>
        <v/>
      </c>
      <c r="N967" s="8">
        <f>IF(F967&lt;&gt;"",IFERROR(IF(AND(REGEXMATCH(SUBSTITUTE(TRIM(F967)," ",""),"^-?\d+(\.\d+)?,-?\d+(\.\d+)?$"),VALUE(REGEXEXTRACT(SUBSTITUTE(TRIM(F967)," ",""),"^-?\d+(\.\d+)?"))&gt;=-90,VALUE(REGEXEXTRACT(SUBSTITUTE(TRIM(F967)," ",""),"^-?\d+(\.\d+)?"))&lt;=90,VALUE(REGEXEXTRACT(SUBSTITUTE(TRIM(F967)," ",""),"-?\d+(\.\d+)?$"))&gt;=-180,VALUE(REGEXEXTRACT(SUBSTITUTE(TRIM(F967)," ",""),"-?\d+(\.\d+)?$"))&lt;=180),"OK","REVISAR"),"REVISAR"),"")</f>
        <v/>
      </c>
      <c r="O967">
        <f>IF(A967&lt;&gt;"","https://direcciones507.github.io/direcciones507/panel.html?codigo="&amp;A967&amp;"&amp;nombre="&amp;ENCODEURL(B967)&amp;"&amp;telefono="&amp;SUBSTITUTE(C967,"-","")&amp;"&amp;referencia="&amp;ENCODEURL(E967)&amp;"&amp;lat="&amp;IZQUIERDA(SUBSTITUTE(F967," ",""),ENCONTRAR(",",SUBSTITUTE(F967," ",""))-1)&amp;"&amp;lng="&amp;DERECHA(SUBSTITUTE(F967," ",""),LARGO(SUBSTITUTE(F967," ",""))-ENCONTRAR(",",SUBSTITUTE(F967," ",""))),"")</f>
        <v/>
      </c>
    </row>
    <row r="968" ht="15.75" customHeight="1" s="10">
      <c r="A968" s="8">
        <f>CONCAT("AD507-",TEXT(ROW()-2,"0000"))</f>
        <v/>
      </c>
      <c r="C968" s="8" t="n"/>
      <c r="F968" s="8" t="n"/>
      <c r="G968" s="8">
        <f>IF(F968&lt;&gt;"",HYPERLINK("https://www.google.com/maps/search/?api=1&amp;query="&amp;SUBSTITUTE(F968," ",""),"🗺 Google Maps"),"")</f>
        <v/>
      </c>
      <c r="H968" s="8">
        <f>IF(F968&lt;&gt;"",HYPERLINK("https://waze.com/ul?ll="&amp;SUBSTITUTE(F968," ","")&amp;"&amp;navigate=yes","🚗 Waze"),"")</f>
        <v/>
      </c>
      <c r="I968" s="8">
        <f>IF(F968&lt;&gt;"",HYPERLINK("https://m.uber.com/ul/?action=setPickup&amp;pickup=my_location&amp;dropoff[latitude]="&amp;LEFT(SUBSTITUTE(F968," ",""),FIND(",",SUBSTITUTE(F968," ",""))-1)&amp;"&amp;dropoff[longitude]="&amp;MID(SUBSTITUTE(F968," ",""),FIND(",",SUBSTITUTE(F968," ",""))+1,99),"🚕 Uber"),"")</f>
        <v/>
      </c>
      <c r="J968" s="8">
        <f>IF(F968&lt;&gt;"","https://api.qrserver.com/v1/create-qr-code/?size=200x200&amp;data="&amp;ENCODEURL("https://www.google.com/maps/search/?api=1&amp;query="&amp;SUBSTITUTE(F968," ","")),"")</f>
        <v/>
      </c>
      <c r="K968" s="8">
        <f>IF(C968&lt;&gt;"",HYPERLINK("https://wa.me/507"&amp;REGEXREPLACE(C968,"[^0-9]","")&amp;"?text="&amp;ENCODEURL("Ya llegue. Codigo: "&amp;A968&amp;". Ubicacion: "&amp;"https://www.google.com/maps/search/?api=1&amp;query="&amp;SUBSTITUTE(F968," ","")),"📲 Avisar al cliente"),"")</f>
        <v/>
      </c>
      <c r="L968" s="8">
        <f>IF(C968&lt;&gt;"","https://api.qrserver.com/v1/create-qr-code/?size=200x200&amp;data="&amp;ENCODEURL("https://wa.me/507"&amp;REGEXREPLACE(C968,"[^0-9]","")&amp;"?text="&amp;ENCODEURL("Ya llegue. Codigo: "&amp;A968&amp;". Ubicacion: "&amp;"https://www.google.com/maps/search/?api=1&amp;query="&amp;SUBSTITUTE(F968," ",""))),"")</f>
        <v/>
      </c>
      <c r="M968" s="8">
        <f>IF(B968&lt;&gt;"",TODAY(),"")</f>
        <v/>
      </c>
      <c r="N968" s="8">
        <f>IF(F968&lt;&gt;"",IFERROR(IF(AND(REGEXMATCH(SUBSTITUTE(TRIM(F968)," ",""),"^-?\d+(\.\d+)?,-?\d+(\.\d+)?$"),VALUE(REGEXEXTRACT(SUBSTITUTE(TRIM(F968)," ",""),"^-?\d+(\.\d+)?"))&gt;=-90,VALUE(REGEXEXTRACT(SUBSTITUTE(TRIM(F968)," ",""),"^-?\d+(\.\d+)?"))&lt;=90,VALUE(REGEXEXTRACT(SUBSTITUTE(TRIM(F968)," ",""),"-?\d+(\.\d+)?$"))&gt;=-180,VALUE(REGEXEXTRACT(SUBSTITUTE(TRIM(F968)," ",""),"-?\d+(\.\d+)?$"))&lt;=180),"OK","REVISAR"),"REVISAR"),"")</f>
        <v/>
      </c>
      <c r="O968">
        <f>IF(A968&lt;&gt;"","https://direcciones507.github.io/direcciones507/panel.html?codigo="&amp;A968&amp;"&amp;nombre="&amp;ENCODEURL(B968)&amp;"&amp;telefono="&amp;SUBSTITUTE(C968,"-","")&amp;"&amp;referencia="&amp;ENCODEURL(E968)&amp;"&amp;lat="&amp;IZQUIERDA(SUBSTITUTE(F968," ",""),ENCONTRAR(",",SUBSTITUTE(F968," ",""))-1)&amp;"&amp;lng="&amp;DERECHA(SUBSTITUTE(F968," ",""),LARGO(SUBSTITUTE(F968," ",""))-ENCONTRAR(",",SUBSTITUTE(F968," ",""))),"")</f>
        <v/>
      </c>
    </row>
    <row r="969" ht="15.75" customHeight="1" s="10">
      <c r="A969" s="8">
        <f>CONCAT("AD507-",TEXT(ROW()-2,"0000"))</f>
        <v/>
      </c>
      <c r="C969" s="8" t="n"/>
      <c r="F969" s="8" t="n"/>
      <c r="G969" s="8">
        <f>IF(F969&lt;&gt;"",HYPERLINK("https://www.google.com/maps/search/?api=1&amp;query="&amp;SUBSTITUTE(F969," ",""),"🗺 Google Maps"),"")</f>
        <v/>
      </c>
      <c r="H969" s="8">
        <f>IF(F969&lt;&gt;"",HYPERLINK("https://waze.com/ul?ll="&amp;SUBSTITUTE(F969," ","")&amp;"&amp;navigate=yes","🚗 Waze"),"")</f>
        <v/>
      </c>
      <c r="I969" s="8">
        <f>IF(F969&lt;&gt;"",HYPERLINK("https://m.uber.com/ul/?action=setPickup&amp;pickup=my_location&amp;dropoff[latitude]="&amp;LEFT(SUBSTITUTE(F969," ",""),FIND(",",SUBSTITUTE(F969," ",""))-1)&amp;"&amp;dropoff[longitude]="&amp;MID(SUBSTITUTE(F969," ",""),FIND(",",SUBSTITUTE(F969," ",""))+1,99),"🚕 Uber"),"")</f>
        <v/>
      </c>
      <c r="J969" s="8">
        <f>IF(F969&lt;&gt;"","https://api.qrserver.com/v1/create-qr-code/?size=200x200&amp;data="&amp;ENCODEURL("https://www.google.com/maps/search/?api=1&amp;query="&amp;SUBSTITUTE(F969," ","")),"")</f>
        <v/>
      </c>
      <c r="K969" s="8">
        <f>IF(C969&lt;&gt;"",HYPERLINK("https://wa.me/507"&amp;REGEXREPLACE(C969,"[^0-9]","")&amp;"?text="&amp;ENCODEURL("Ya llegue. Codigo: "&amp;A969&amp;". Ubicacion: "&amp;"https://www.google.com/maps/search/?api=1&amp;query="&amp;SUBSTITUTE(F969," ","")),"📲 Avisar al cliente"),"")</f>
        <v/>
      </c>
      <c r="L969" s="8">
        <f>IF(C969&lt;&gt;"","https://api.qrserver.com/v1/create-qr-code/?size=200x200&amp;data="&amp;ENCODEURL("https://wa.me/507"&amp;REGEXREPLACE(C969,"[^0-9]","")&amp;"?text="&amp;ENCODEURL("Ya llegue. Codigo: "&amp;A969&amp;". Ubicacion: "&amp;"https://www.google.com/maps/search/?api=1&amp;query="&amp;SUBSTITUTE(F969," ",""))),"")</f>
        <v/>
      </c>
      <c r="M969" s="8">
        <f>IF(B969&lt;&gt;"",TODAY(),"")</f>
        <v/>
      </c>
      <c r="N969" s="8">
        <f>IF(F969&lt;&gt;"",IFERROR(IF(AND(REGEXMATCH(SUBSTITUTE(TRIM(F969)," ",""),"^-?\d+(\.\d+)?,-?\d+(\.\d+)?$"),VALUE(REGEXEXTRACT(SUBSTITUTE(TRIM(F969)," ",""),"^-?\d+(\.\d+)?"))&gt;=-90,VALUE(REGEXEXTRACT(SUBSTITUTE(TRIM(F969)," ",""),"^-?\d+(\.\d+)?"))&lt;=90,VALUE(REGEXEXTRACT(SUBSTITUTE(TRIM(F969)," ",""),"-?\d+(\.\d+)?$"))&gt;=-180,VALUE(REGEXEXTRACT(SUBSTITUTE(TRIM(F969)," ",""),"-?\d+(\.\d+)?$"))&lt;=180),"OK","REVISAR"),"REVISAR"),"")</f>
        <v/>
      </c>
      <c r="O969">
        <f>IF(A969&lt;&gt;"","https://direcciones507.github.io/direcciones507/panel.html?codigo="&amp;A969&amp;"&amp;nombre="&amp;ENCODEURL(B969)&amp;"&amp;telefono="&amp;SUBSTITUTE(C969,"-","")&amp;"&amp;referencia="&amp;ENCODEURL(E969)&amp;"&amp;lat="&amp;IZQUIERDA(SUBSTITUTE(F969," ",""),ENCONTRAR(",",SUBSTITUTE(F969," ",""))-1)&amp;"&amp;lng="&amp;DERECHA(SUBSTITUTE(F969," ",""),LARGO(SUBSTITUTE(F969," ",""))-ENCONTRAR(",",SUBSTITUTE(F969," ",""))),"")</f>
        <v/>
      </c>
    </row>
    <row r="970" ht="15.75" customHeight="1" s="10">
      <c r="A970" s="8">
        <f>CONCAT("AD507-",TEXT(ROW()-2,"0000"))</f>
        <v/>
      </c>
      <c r="C970" s="8" t="n"/>
      <c r="F970" s="8" t="n"/>
      <c r="G970" s="8">
        <f>IF(F970&lt;&gt;"",HYPERLINK("https://www.google.com/maps/search/?api=1&amp;query="&amp;SUBSTITUTE(F970," ",""),"🗺 Google Maps"),"")</f>
        <v/>
      </c>
      <c r="H970" s="8">
        <f>IF(F970&lt;&gt;"",HYPERLINK("https://waze.com/ul?ll="&amp;SUBSTITUTE(F970," ","")&amp;"&amp;navigate=yes","🚗 Waze"),"")</f>
        <v/>
      </c>
      <c r="I970" s="8">
        <f>IF(F970&lt;&gt;"",HYPERLINK("https://m.uber.com/ul/?action=setPickup&amp;pickup=my_location&amp;dropoff[latitude]="&amp;LEFT(SUBSTITUTE(F970," ",""),FIND(",",SUBSTITUTE(F970," ",""))-1)&amp;"&amp;dropoff[longitude]="&amp;MID(SUBSTITUTE(F970," ",""),FIND(",",SUBSTITUTE(F970," ",""))+1,99),"🚕 Uber"),"")</f>
        <v/>
      </c>
      <c r="J970" s="8">
        <f>IF(F970&lt;&gt;"","https://api.qrserver.com/v1/create-qr-code/?size=200x200&amp;data="&amp;ENCODEURL("https://www.google.com/maps/search/?api=1&amp;query="&amp;SUBSTITUTE(F970," ","")),"")</f>
        <v/>
      </c>
      <c r="K970" s="8">
        <f>IF(C970&lt;&gt;"",HYPERLINK("https://wa.me/507"&amp;REGEXREPLACE(C970,"[^0-9]","")&amp;"?text="&amp;ENCODEURL("Ya llegue. Codigo: "&amp;A970&amp;". Ubicacion: "&amp;"https://www.google.com/maps/search/?api=1&amp;query="&amp;SUBSTITUTE(F970," ","")),"📲 Avisar al cliente"),"")</f>
        <v/>
      </c>
      <c r="L970" s="8">
        <f>IF(C970&lt;&gt;"","https://api.qrserver.com/v1/create-qr-code/?size=200x200&amp;data="&amp;ENCODEURL("https://wa.me/507"&amp;REGEXREPLACE(C970,"[^0-9]","")&amp;"?text="&amp;ENCODEURL("Ya llegue. Codigo: "&amp;A970&amp;". Ubicacion: "&amp;"https://www.google.com/maps/search/?api=1&amp;query="&amp;SUBSTITUTE(F970," ",""))),"")</f>
        <v/>
      </c>
      <c r="M970" s="8">
        <f>IF(B970&lt;&gt;"",TODAY(),"")</f>
        <v/>
      </c>
      <c r="N970" s="8">
        <f>IF(F970&lt;&gt;"",IFERROR(IF(AND(REGEXMATCH(SUBSTITUTE(TRIM(F970)," ",""),"^-?\d+(\.\d+)?,-?\d+(\.\d+)?$"),VALUE(REGEXEXTRACT(SUBSTITUTE(TRIM(F970)," ",""),"^-?\d+(\.\d+)?"))&gt;=-90,VALUE(REGEXEXTRACT(SUBSTITUTE(TRIM(F970)," ",""),"^-?\d+(\.\d+)?"))&lt;=90,VALUE(REGEXEXTRACT(SUBSTITUTE(TRIM(F970)," ",""),"-?\d+(\.\d+)?$"))&gt;=-180,VALUE(REGEXEXTRACT(SUBSTITUTE(TRIM(F970)," ",""),"-?\d+(\.\d+)?$"))&lt;=180),"OK","REVISAR"),"REVISAR"),"")</f>
        <v/>
      </c>
      <c r="O970">
        <f>IF(A970&lt;&gt;"","https://direcciones507.github.io/direcciones507/panel.html?codigo="&amp;A970&amp;"&amp;nombre="&amp;ENCODEURL(B970)&amp;"&amp;telefono="&amp;SUBSTITUTE(C970,"-","")&amp;"&amp;referencia="&amp;ENCODEURL(E970)&amp;"&amp;lat="&amp;IZQUIERDA(SUBSTITUTE(F970," ",""),ENCONTRAR(",",SUBSTITUTE(F970," ",""))-1)&amp;"&amp;lng="&amp;DERECHA(SUBSTITUTE(F970," ",""),LARGO(SUBSTITUTE(F970," ",""))-ENCONTRAR(",",SUBSTITUTE(F970," ",""))),"")</f>
        <v/>
      </c>
    </row>
    <row r="971" ht="15.75" customHeight="1" s="10">
      <c r="A971" s="8">
        <f>CONCAT("AD507-",TEXT(ROW()-2,"0000"))</f>
        <v/>
      </c>
      <c r="C971" s="8" t="n"/>
      <c r="F971" s="8" t="n"/>
      <c r="G971" s="8">
        <f>IF(F971&lt;&gt;"",HYPERLINK("https://www.google.com/maps/search/?api=1&amp;query="&amp;SUBSTITUTE(F971," ",""),"🗺 Google Maps"),"")</f>
        <v/>
      </c>
      <c r="H971" s="8">
        <f>IF(F971&lt;&gt;"",HYPERLINK("https://waze.com/ul?ll="&amp;SUBSTITUTE(F971," ","")&amp;"&amp;navigate=yes","🚗 Waze"),"")</f>
        <v/>
      </c>
      <c r="I971" s="8">
        <f>IF(F971&lt;&gt;"",HYPERLINK("https://m.uber.com/ul/?action=setPickup&amp;pickup=my_location&amp;dropoff[latitude]="&amp;LEFT(SUBSTITUTE(F971," ",""),FIND(",",SUBSTITUTE(F971," ",""))-1)&amp;"&amp;dropoff[longitude]="&amp;MID(SUBSTITUTE(F971," ",""),FIND(",",SUBSTITUTE(F971," ",""))+1,99),"🚕 Uber"),"")</f>
        <v/>
      </c>
      <c r="J971" s="8">
        <f>IF(F971&lt;&gt;"","https://api.qrserver.com/v1/create-qr-code/?size=200x200&amp;data="&amp;ENCODEURL("https://www.google.com/maps/search/?api=1&amp;query="&amp;SUBSTITUTE(F971," ","")),"")</f>
        <v/>
      </c>
      <c r="K971" s="8">
        <f>IF(C971&lt;&gt;"",HYPERLINK("https://wa.me/507"&amp;REGEXREPLACE(C971,"[^0-9]","")&amp;"?text="&amp;ENCODEURL("Ya llegue. Codigo: "&amp;A971&amp;". Ubicacion: "&amp;"https://www.google.com/maps/search/?api=1&amp;query="&amp;SUBSTITUTE(F971," ","")),"📲 Avisar al cliente"),"")</f>
        <v/>
      </c>
      <c r="L971" s="8">
        <f>IF(C971&lt;&gt;"","https://api.qrserver.com/v1/create-qr-code/?size=200x200&amp;data="&amp;ENCODEURL("https://wa.me/507"&amp;REGEXREPLACE(C971,"[^0-9]","")&amp;"?text="&amp;ENCODEURL("Ya llegue. Codigo: "&amp;A971&amp;". Ubicacion: "&amp;"https://www.google.com/maps/search/?api=1&amp;query="&amp;SUBSTITUTE(F971," ",""))),"")</f>
        <v/>
      </c>
      <c r="M971" s="8">
        <f>IF(B971&lt;&gt;"",TODAY(),"")</f>
        <v/>
      </c>
      <c r="N971" s="8">
        <f>IF(F971&lt;&gt;"",IFERROR(IF(AND(REGEXMATCH(SUBSTITUTE(TRIM(F971)," ",""),"^-?\d+(\.\d+)?,-?\d+(\.\d+)?$"),VALUE(REGEXEXTRACT(SUBSTITUTE(TRIM(F971)," ",""),"^-?\d+(\.\d+)?"))&gt;=-90,VALUE(REGEXEXTRACT(SUBSTITUTE(TRIM(F971)," ",""),"^-?\d+(\.\d+)?"))&lt;=90,VALUE(REGEXEXTRACT(SUBSTITUTE(TRIM(F971)," ",""),"-?\d+(\.\d+)?$"))&gt;=-180,VALUE(REGEXEXTRACT(SUBSTITUTE(TRIM(F971)," ",""),"-?\d+(\.\d+)?$"))&lt;=180),"OK","REVISAR"),"REVISAR"),"")</f>
        <v/>
      </c>
      <c r="O971">
        <f>IF(A971&lt;&gt;"","https://direcciones507.github.io/direcciones507/panel.html?codigo="&amp;A971&amp;"&amp;nombre="&amp;ENCODEURL(B971)&amp;"&amp;telefono="&amp;SUBSTITUTE(C971,"-","")&amp;"&amp;referencia="&amp;ENCODEURL(E971)&amp;"&amp;lat="&amp;IZQUIERDA(SUBSTITUTE(F971," ",""),ENCONTRAR(",",SUBSTITUTE(F971," ",""))-1)&amp;"&amp;lng="&amp;DERECHA(SUBSTITUTE(F971," ",""),LARGO(SUBSTITUTE(F971," ",""))-ENCONTRAR(",",SUBSTITUTE(F971," ",""))),"")</f>
        <v/>
      </c>
    </row>
    <row r="972" ht="15.75" customHeight="1" s="10">
      <c r="A972" s="8">
        <f>CONCAT("AD507-",TEXT(ROW()-2,"0000"))</f>
        <v/>
      </c>
      <c r="C972" s="8" t="n"/>
      <c r="F972" s="8" t="n"/>
      <c r="G972" s="8">
        <f>IF(F972&lt;&gt;"",HYPERLINK("https://www.google.com/maps/search/?api=1&amp;query="&amp;SUBSTITUTE(F972," ",""),"🗺 Google Maps"),"")</f>
        <v/>
      </c>
      <c r="H972" s="8">
        <f>IF(F972&lt;&gt;"",HYPERLINK("https://waze.com/ul?ll="&amp;SUBSTITUTE(F972," ","")&amp;"&amp;navigate=yes","🚗 Waze"),"")</f>
        <v/>
      </c>
      <c r="I972" s="8">
        <f>IF(F972&lt;&gt;"",HYPERLINK("https://m.uber.com/ul/?action=setPickup&amp;pickup=my_location&amp;dropoff[latitude]="&amp;LEFT(SUBSTITUTE(F972," ",""),FIND(",",SUBSTITUTE(F972," ",""))-1)&amp;"&amp;dropoff[longitude]="&amp;MID(SUBSTITUTE(F972," ",""),FIND(",",SUBSTITUTE(F972," ",""))+1,99),"🚕 Uber"),"")</f>
        <v/>
      </c>
      <c r="J972" s="8">
        <f>IF(F972&lt;&gt;"","https://api.qrserver.com/v1/create-qr-code/?size=200x200&amp;data="&amp;ENCODEURL("https://www.google.com/maps/search/?api=1&amp;query="&amp;SUBSTITUTE(F972," ","")),"")</f>
        <v/>
      </c>
      <c r="K972" s="8">
        <f>IF(C972&lt;&gt;"",HYPERLINK("https://wa.me/507"&amp;REGEXREPLACE(C972,"[^0-9]","")&amp;"?text="&amp;ENCODEURL("Ya llegue. Codigo: "&amp;A972&amp;". Ubicacion: "&amp;"https://www.google.com/maps/search/?api=1&amp;query="&amp;SUBSTITUTE(F972," ","")),"📲 Avisar al cliente"),"")</f>
        <v/>
      </c>
      <c r="L972" s="8">
        <f>IF(C972&lt;&gt;"","https://api.qrserver.com/v1/create-qr-code/?size=200x200&amp;data="&amp;ENCODEURL("https://wa.me/507"&amp;REGEXREPLACE(C972,"[^0-9]","")&amp;"?text="&amp;ENCODEURL("Ya llegue. Codigo: "&amp;A972&amp;". Ubicacion: "&amp;"https://www.google.com/maps/search/?api=1&amp;query="&amp;SUBSTITUTE(F972," ",""))),"")</f>
        <v/>
      </c>
      <c r="M972" s="8">
        <f>IF(B972&lt;&gt;"",TODAY(),"")</f>
        <v/>
      </c>
      <c r="N972" s="8">
        <f>IF(F972&lt;&gt;"",IFERROR(IF(AND(REGEXMATCH(SUBSTITUTE(TRIM(F972)," ",""),"^-?\d+(\.\d+)?,-?\d+(\.\d+)?$"),VALUE(REGEXEXTRACT(SUBSTITUTE(TRIM(F972)," ",""),"^-?\d+(\.\d+)?"))&gt;=-90,VALUE(REGEXEXTRACT(SUBSTITUTE(TRIM(F972)," ",""),"^-?\d+(\.\d+)?"))&lt;=90,VALUE(REGEXEXTRACT(SUBSTITUTE(TRIM(F972)," ",""),"-?\d+(\.\d+)?$"))&gt;=-180,VALUE(REGEXEXTRACT(SUBSTITUTE(TRIM(F972)," ",""),"-?\d+(\.\d+)?$"))&lt;=180),"OK","REVISAR"),"REVISAR"),"")</f>
        <v/>
      </c>
      <c r="O972">
        <f>IF(A972&lt;&gt;"","https://direcciones507.github.io/direcciones507/panel.html?codigo="&amp;A972&amp;"&amp;nombre="&amp;ENCODEURL(B972)&amp;"&amp;telefono="&amp;SUBSTITUTE(C972,"-","")&amp;"&amp;referencia="&amp;ENCODEURL(E972)&amp;"&amp;lat="&amp;IZQUIERDA(SUBSTITUTE(F972," ",""),ENCONTRAR(",",SUBSTITUTE(F972," ",""))-1)&amp;"&amp;lng="&amp;DERECHA(SUBSTITUTE(F972," ",""),LARGO(SUBSTITUTE(F972," ",""))-ENCONTRAR(",",SUBSTITUTE(F972," ",""))),"")</f>
        <v/>
      </c>
    </row>
    <row r="973" ht="15.75" customHeight="1" s="10">
      <c r="A973" s="8">
        <f>CONCAT("AD507-",TEXT(ROW()-2,"0000"))</f>
        <v/>
      </c>
      <c r="C973" s="8" t="n"/>
      <c r="F973" s="8" t="n"/>
      <c r="G973" s="8">
        <f>IF(F973&lt;&gt;"",HYPERLINK("https://www.google.com/maps/search/?api=1&amp;query="&amp;SUBSTITUTE(F973," ",""),"🗺 Google Maps"),"")</f>
        <v/>
      </c>
      <c r="H973" s="8">
        <f>IF(F973&lt;&gt;"",HYPERLINK("https://waze.com/ul?ll="&amp;SUBSTITUTE(F973," ","")&amp;"&amp;navigate=yes","🚗 Waze"),"")</f>
        <v/>
      </c>
      <c r="I973" s="8">
        <f>IF(F973&lt;&gt;"",HYPERLINK("https://m.uber.com/ul/?action=setPickup&amp;pickup=my_location&amp;dropoff[latitude]="&amp;LEFT(SUBSTITUTE(F973," ",""),FIND(",",SUBSTITUTE(F973," ",""))-1)&amp;"&amp;dropoff[longitude]="&amp;MID(SUBSTITUTE(F973," ",""),FIND(",",SUBSTITUTE(F973," ",""))+1,99),"🚕 Uber"),"")</f>
        <v/>
      </c>
      <c r="J973" s="8">
        <f>IF(F973&lt;&gt;"","https://api.qrserver.com/v1/create-qr-code/?size=200x200&amp;data="&amp;ENCODEURL("https://www.google.com/maps/search/?api=1&amp;query="&amp;SUBSTITUTE(F973," ","")),"")</f>
        <v/>
      </c>
      <c r="K973" s="8">
        <f>IF(C973&lt;&gt;"",HYPERLINK("https://wa.me/507"&amp;REGEXREPLACE(C973,"[^0-9]","")&amp;"?text="&amp;ENCODEURL("Ya llegue. Codigo: "&amp;A973&amp;". Ubicacion: "&amp;"https://www.google.com/maps/search/?api=1&amp;query="&amp;SUBSTITUTE(F973," ","")),"📲 Avisar al cliente"),"")</f>
        <v/>
      </c>
      <c r="L973" s="8">
        <f>IF(C973&lt;&gt;"","https://api.qrserver.com/v1/create-qr-code/?size=200x200&amp;data="&amp;ENCODEURL("https://wa.me/507"&amp;REGEXREPLACE(C973,"[^0-9]","")&amp;"?text="&amp;ENCODEURL("Ya llegue. Codigo: "&amp;A973&amp;". Ubicacion: "&amp;"https://www.google.com/maps/search/?api=1&amp;query="&amp;SUBSTITUTE(F973," ",""))),"")</f>
        <v/>
      </c>
      <c r="M973" s="8">
        <f>IF(B973&lt;&gt;"",TODAY(),"")</f>
        <v/>
      </c>
      <c r="N973" s="8">
        <f>IF(F973&lt;&gt;"",IFERROR(IF(AND(REGEXMATCH(SUBSTITUTE(TRIM(F973)," ",""),"^-?\d+(\.\d+)?,-?\d+(\.\d+)?$"),VALUE(REGEXEXTRACT(SUBSTITUTE(TRIM(F973)," ",""),"^-?\d+(\.\d+)?"))&gt;=-90,VALUE(REGEXEXTRACT(SUBSTITUTE(TRIM(F973)," ",""),"^-?\d+(\.\d+)?"))&lt;=90,VALUE(REGEXEXTRACT(SUBSTITUTE(TRIM(F973)," ",""),"-?\d+(\.\d+)?$"))&gt;=-180,VALUE(REGEXEXTRACT(SUBSTITUTE(TRIM(F973)," ",""),"-?\d+(\.\d+)?$"))&lt;=180),"OK","REVISAR"),"REVISAR"),"")</f>
        <v/>
      </c>
      <c r="O973">
        <f>IF(A973&lt;&gt;"","https://direcciones507.github.io/direcciones507/panel.html?codigo="&amp;A973&amp;"&amp;nombre="&amp;ENCODEURL(B973)&amp;"&amp;telefono="&amp;SUBSTITUTE(C973,"-","")&amp;"&amp;referencia="&amp;ENCODEURL(E973)&amp;"&amp;lat="&amp;IZQUIERDA(SUBSTITUTE(F973," ",""),ENCONTRAR(",",SUBSTITUTE(F973," ",""))-1)&amp;"&amp;lng="&amp;DERECHA(SUBSTITUTE(F973," ",""),LARGO(SUBSTITUTE(F973," ",""))-ENCONTRAR(",",SUBSTITUTE(F973," ",""))),"")</f>
        <v/>
      </c>
    </row>
    <row r="974" ht="15.75" customHeight="1" s="10">
      <c r="A974" s="8">
        <f>CONCAT("AD507-",TEXT(ROW()-2,"0000"))</f>
        <v/>
      </c>
      <c r="C974" s="8" t="n"/>
      <c r="F974" s="8" t="n"/>
      <c r="G974" s="8">
        <f>IF(F974&lt;&gt;"",HYPERLINK("https://www.google.com/maps/search/?api=1&amp;query="&amp;SUBSTITUTE(F974," ",""),"🗺 Google Maps"),"")</f>
        <v/>
      </c>
      <c r="H974" s="8">
        <f>IF(F974&lt;&gt;"",HYPERLINK("https://waze.com/ul?ll="&amp;SUBSTITUTE(F974," ","")&amp;"&amp;navigate=yes","🚗 Waze"),"")</f>
        <v/>
      </c>
      <c r="I974" s="8">
        <f>IF(F974&lt;&gt;"",HYPERLINK("https://m.uber.com/ul/?action=setPickup&amp;pickup=my_location&amp;dropoff[latitude]="&amp;LEFT(SUBSTITUTE(F974," ",""),FIND(",",SUBSTITUTE(F974," ",""))-1)&amp;"&amp;dropoff[longitude]="&amp;MID(SUBSTITUTE(F974," ",""),FIND(",",SUBSTITUTE(F974," ",""))+1,99),"🚕 Uber"),"")</f>
        <v/>
      </c>
      <c r="J974" s="8">
        <f>IF(F974&lt;&gt;"","https://api.qrserver.com/v1/create-qr-code/?size=200x200&amp;data="&amp;ENCODEURL("https://www.google.com/maps/search/?api=1&amp;query="&amp;SUBSTITUTE(F974," ","")),"")</f>
        <v/>
      </c>
      <c r="K974" s="8">
        <f>IF(C974&lt;&gt;"",HYPERLINK("https://wa.me/507"&amp;REGEXREPLACE(C974,"[^0-9]","")&amp;"?text="&amp;ENCODEURL("Ya llegue. Codigo: "&amp;A974&amp;". Ubicacion: "&amp;"https://www.google.com/maps/search/?api=1&amp;query="&amp;SUBSTITUTE(F974," ","")),"📲 Avisar al cliente"),"")</f>
        <v/>
      </c>
      <c r="L974" s="8">
        <f>IF(C974&lt;&gt;"","https://api.qrserver.com/v1/create-qr-code/?size=200x200&amp;data="&amp;ENCODEURL("https://wa.me/507"&amp;REGEXREPLACE(C974,"[^0-9]","")&amp;"?text="&amp;ENCODEURL("Ya llegue. Codigo: "&amp;A974&amp;". Ubicacion: "&amp;"https://www.google.com/maps/search/?api=1&amp;query="&amp;SUBSTITUTE(F974," ",""))),"")</f>
        <v/>
      </c>
      <c r="M974" s="8">
        <f>IF(B974&lt;&gt;"",TODAY(),"")</f>
        <v/>
      </c>
      <c r="N974" s="8">
        <f>IF(F974&lt;&gt;"",IFERROR(IF(AND(REGEXMATCH(SUBSTITUTE(TRIM(F974)," ",""),"^-?\d+(\.\d+)?,-?\d+(\.\d+)?$"),VALUE(REGEXEXTRACT(SUBSTITUTE(TRIM(F974)," ",""),"^-?\d+(\.\d+)?"))&gt;=-90,VALUE(REGEXEXTRACT(SUBSTITUTE(TRIM(F974)," ",""),"^-?\d+(\.\d+)?"))&lt;=90,VALUE(REGEXEXTRACT(SUBSTITUTE(TRIM(F974)," ",""),"-?\d+(\.\d+)?$"))&gt;=-180,VALUE(REGEXEXTRACT(SUBSTITUTE(TRIM(F974)," ",""),"-?\d+(\.\d+)?$"))&lt;=180),"OK","REVISAR"),"REVISAR"),"")</f>
        <v/>
      </c>
      <c r="O974">
        <f>IF(A974&lt;&gt;"","https://direcciones507.github.io/direcciones507/panel.html?codigo="&amp;A974&amp;"&amp;nombre="&amp;ENCODEURL(B974)&amp;"&amp;telefono="&amp;SUBSTITUTE(C974,"-","")&amp;"&amp;referencia="&amp;ENCODEURL(E974)&amp;"&amp;lat="&amp;IZQUIERDA(SUBSTITUTE(F974," ",""),ENCONTRAR(",",SUBSTITUTE(F974," ",""))-1)&amp;"&amp;lng="&amp;DERECHA(SUBSTITUTE(F974," ",""),LARGO(SUBSTITUTE(F974," ",""))-ENCONTRAR(",",SUBSTITUTE(F974," ",""))),"")</f>
        <v/>
      </c>
    </row>
    <row r="975" ht="15.75" customHeight="1" s="10">
      <c r="A975" s="8">
        <f>CONCAT("AD507-",TEXT(ROW()-2,"0000"))</f>
        <v/>
      </c>
      <c r="C975" s="8" t="n"/>
      <c r="F975" s="8" t="n"/>
      <c r="G975" s="8">
        <f>IF(F975&lt;&gt;"",HYPERLINK("https://www.google.com/maps/search/?api=1&amp;query="&amp;SUBSTITUTE(F975," ",""),"🗺 Google Maps"),"")</f>
        <v/>
      </c>
      <c r="H975" s="8">
        <f>IF(F975&lt;&gt;"",HYPERLINK("https://waze.com/ul?ll="&amp;SUBSTITUTE(F975," ","")&amp;"&amp;navigate=yes","🚗 Waze"),"")</f>
        <v/>
      </c>
      <c r="I975" s="8">
        <f>IF(F975&lt;&gt;"",HYPERLINK("https://m.uber.com/ul/?action=setPickup&amp;pickup=my_location&amp;dropoff[latitude]="&amp;LEFT(SUBSTITUTE(F975," ",""),FIND(",",SUBSTITUTE(F975," ",""))-1)&amp;"&amp;dropoff[longitude]="&amp;MID(SUBSTITUTE(F975," ",""),FIND(",",SUBSTITUTE(F975," ",""))+1,99),"🚕 Uber"),"")</f>
        <v/>
      </c>
      <c r="J975" s="8">
        <f>IF(F975&lt;&gt;"","https://api.qrserver.com/v1/create-qr-code/?size=200x200&amp;data="&amp;ENCODEURL("https://www.google.com/maps/search/?api=1&amp;query="&amp;SUBSTITUTE(F975," ","")),"")</f>
        <v/>
      </c>
      <c r="K975" s="8">
        <f>IF(C975&lt;&gt;"",HYPERLINK("https://wa.me/507"&amp;REGEXREPLACE(C975,"[^0-9]","")&amp;"?text="&amp;ENCODEURL("Ya llegue. Codigo: "&amp;A975&amp;". Ubicacion: "&amp;"https://www.google.com/maps/search/?api=1&amp;query="&amp;SUBSTITUTE(F975," ","")),"📲 Avisar al cliente"),"")</f>
        <v/>
      </c>
      <c r="L975" s="8">
        <f>IF(C975&lt;&gt;"","https://api.qrserver.com/v1/create-qr-code/?size=200x200&amp;data="&amp;ENCODEURL("https://wa.me/507"&amp;REGEXREPLACE(C975,"[^0-9]","")&amp;"?text="&amp;ENCODEURL("Ya llegue. Codigo: "&amp;A975&amp;". Ubicacion: "&amp;"https://www.google.com/maps/search/?api=1&amp;query="&amp;SUBSTITUTE(F975," ",""))),"")</f>
        <v/>
      </c>
      <c r="M975" s="8">
        <f>IF(B975&lt;&gt;"",TODAY(),"")</f>
        <v/>
      </c>
      <c r="N975" s="8">
        <f>IF(F975&lt;&gt;"",IFERROR(IF(AND(REGEXMATCH(SUBSTITUTE(TRIM(F975)," ",""),"^-?\d+(\.\d+)?,-?\d+(\.\d+)?$"),VALUE(REGEXEXTRACT(SUBSTITUTE(TRIM(F975)," ",""),"^-?\d+(\.\d+)?"))&gt;=-90,VALUE(REGEXEXTRACT(SUBSTITUTE(TRIM(F975)," ",""),"^-?\d+(\.\d+)?"))&lt;=90,VALUE(REGEXEXTRACT(SUBSTITUTE(TRIM(F975)," ",""),"-?\d+(\.\d+)?$"))&gt;=-180,VALUE(REGEXEXTRACT(SUBSTITUTE(TRIM(F975)," ",""),"-?\d+(\.\d+)?$"))&lt;=180),"OK","REVISAR"),"REVISAR"),"")</f>
        <v/>
      </c>
      <c r="O975">
        <f>IF(A975&lt;&gt;"","https://direcciones507.github.io/direcciones507/panel.html?codigo="&amp;A975&amp;"&amp;nombre="&amp;ENCODEURL(B975)&amp;"&amp;telefono="&amp;SUBSTITUTE(C975,"-","")&amp;"&amp;referencia="&amp;ENCODEURL(E975)&amp;"&amp;lat="&amp;IZQUIERDA(SUBSTITUTE(F975," ",""),ENCONTRAR(",",SUBSTITUTE(F975," ",""))-1)&amp;"&amp;lng="&amp;DERECHA(SUBSTITUTE(F975," ",""),LARGO(SUBSTITUTE(F975," ",""))-ENCONTRAR(",",SUBSTITUTE(F975," ",""))),"")</f>
        <v/>
      </c>
    </row>
    <row r="976" ht="15.75" customHeight="1" s="10">
      <c r="A976" s="8">
        <f>CONCAT("AD507-",TEXT(ROW()-2,"0000"))</f>
        <v/>
      </c>
      <c r="C976" s="8" t="n"/>
      <c r="F976" s="8" t="n"/>
      <c r="G976" s="8">
        <f>IF(F976&lt;&gt;"",HYPERLINK("https://www.google.com/maps/search/?api=1&amp;query="&amp;SUBSTITUTE(F976," ",""),"🗺 Google Maps"),"")</f>
        <v/>
      </c>
      <c r="H976" s="8">
        <f>IF(F976&lt;&gt;"",HYPERLINK("https://waze.com/ul?ll="&amp;SUBSTITUTE(F976," ","")&amp;"&amp;navigate=yes","🚗 Waze"),"")</f>
        <v/>
      </c>
      <c r="I976" s="8">
        <f>IF(F976&lt;&gt;"",HYPERLINK("https://m.uber.com/ul/?action=setPickup&amp;pickup=my_location&amp;dropoff[latitude]="&amp;LEFT(SUBSTITUTE(F976," ",""),FIND(",",SUBSTITUTE(F976," ",""))-1)&amp;"&amp;dropoff[longitude]="&amp;MID(SUBSTITUTE(F976," ",""),FIND(",",SUBSTITUTE(F976," ",""))+1,99),"🚕 Uber"),"")</f>
        <v/>
      </c>
      <c r="J976" s="8">
        <f>IF(F976&lt;&gt;"","https://api.qrserver.com/v1/create-qr-code/?size=200x200&amp;data="&amp;ENCODEURL("https://www.google.com/maps/search/?api=1&amp;query="&amp;SUBSTITUTE(F976," ","")),"")</f>
        <v/>
      </c>
      <c r="K976" s="8">
        <f>IF(C976&lt;&gt;"",HYPERLINK("https://wa.me/507"&amp;REGEXREPLACE(C976,"[^0-9]","")&amp;"?text="&amp;ENCODEURL("Ya llegue. Codigo: "&amp;A976&amp;". Ubicacion: "&amp;"https://www.google.com/maps/search/?api=1&amp;query="&amp;SUBSTITUTE(F976," ","")),"📲 Avisar al cliente"),"")</f>
        <v/>
      </c>
      <c r="L976" s="8">
        <f>IF(C976&lt;&gt;"","https://api.qrserver.com/v1/create-qr-code/?size=200x200&amp;data="&amp;ENCODEURL("https://wa.me/507"&amp;REGEXREPLACE(C976,"[^0-9]","")&amp;"?text="&amp;ENCODEURL("Ya llegue. Codigo: "&amp;A976&amp;". Ubicacion: "&amp;"https://www.google.com/maps/search/?api=1&amp;query="&amp;SUBSTITUTE(F976," ",""))),"")</f>
        <v/>
      </c>
      <c r="M976" s="8">
        <f>IF(B976&lt;&gt;"",TODAY(),"")</f>
        <v/>
      </c>
      <c r="N976" s="8">
        <f>IF(F976&lt;&gt;"",IFERROR(IF(AND(REGEXMATCH(SUBSTITUTE(TRIM(F976)," ",""),"^-?\d+(\.\d+)?,-?\d+(\.\d+)?$"),VALUE(REGEXEXTRACT(SUBSTITUTE(TRIM(F976)," ",""),"^-?\d+(\.\d+)?"))&gt;=-90,VALUE(REGEXEXTRACT(SUBSTITUTE(TRIM(F976)," ",""),"^-?\d+(\.\d+)?"))&lt;=90,VALUE(REGEXEXTRACT(SUBSTITUTE(TRIM(F976)," ",""),"-?\d+(\.\d+)?$"))&gt;=-180,VALUE(REGEXEXTRACT(SUBSTITUTE(TRIM(F976)," ",""),"-?\d+(\.\d+)?$"))&lt;=180),"OK","REVISAR"),"REVISAR"),"")</f>
        <v/>
      </c>
      <c r="O976">
        <f>IF(A976&lt;&gt;"","https://direcciones507.github.io/direcciones507/panel.html?codigo="&amp;A976&amp;"&amp;nombre="&amp;ENCODEURL(B976)&amp;"&amp;telefono="&amp;SUBSTITUTE(C976,"-","")&amp;"&amp;referencia="&amp;ENCODEURL(E976)&amp;"&amp;lat="&amp;IZQUIERDA(SUBSTITUTE(F976," ",""),ENCONTRAR(",",SUBSTITUTE(F976," ",""))-1)&amp;"&amp;lng="&amp;DERECHA(SUBSTITUTE(F976," ",""),LARGO(SUBSTITUTE(F976," ",""))-ENCONTRAR(",",SUBSTITUTE(F976," ",""))),"")</f>
        <v/>
      </c>
    </row>
    <row r="977" ht="15.75" customHeight="1" s="10">
      <c r="A977" s="8">
        <f>CONCAT("AD507-",TEXT(ROW()-2,"0000"))</f>
        <v/>
      </c>
      <c r="C977" s="8" t="n"/>
      <c r="F977" s="8" t="n"/>
      <c r="G977" s="8">
        <f>IF(F977&lt;&gt;"",HYPERLINK("https://www.google.com/maps/search/?api=1&amp;query="&amp;SUBSTITUTE(F977," ",""),"🗺 Google Maps"),"")</f>
        <v/>
      </c>
      <c r="H977" s="8">
        <f>IF(F977&lt;&gt;"",HYPERLINK("https://waze.com/ul?ll="&amp;SUBSTITUTE(F977," ","")&amp;"&amp;navigate=yes","🚗 Waze"),"")</f>
        <v/>
      </c>
      <c r="I977" s="8">
        <f>IF(F977&lt;&gt;"",HYPERLINK("https://m.uber.com/ul/?action=setPickup&amp;pickup=my_location&amp;dropoff[latitude]="&amp;LEFT(SUBSTITUTE(F977," ",""),FIND(",",SUBSTITUTE(F977," ",""))-1)&amp;"&amp;dropoff[longitude]="&amp;MID(SUBSTITUTE(F977," ",""),FIND(",",SUBSTITUTE(F977," ",""))+1,99),"🚕 Uber"),"")</f>
        <v/>
      </c>
      <c r="J977" s="8">
        <f>IF(F977&lt;&gt;"","https://api.qrserver.com/v1/create-qr-code/?size=200x200&amp;data="&amp;ENCODEURL("https://www.google.com/maps/search/?api=1&amp;query="&amp;SUBSTITUTE(F977," ","")),"")</f>
        <v/>
      </c>
      <c r="K977" s="8">
        <f>IF(C977&lt;&gt;"",HYPERLINK("https://wa.me/507"&amp;REGEXREPLACE(C977,"[^0-9]","")&amp;"?text="&amp;ENCODEURL("Ya llegue. Codigo: "&amp;A977&amp;". Ubicacion: "&amp;"https://www.google.com/maps/search/?api=1&amp;query="&amp;SUBSTITUTE(F977," ","")),"📲 Avisar al cliente"),"")</f>
        <v/>
      </c>
      <c r="L977" s="8">
        <f>IF(C977&lt;&gt;"","https://api.qrserver.com/v1/create-qr-code/?size=200x200&amp;data="&amp;ENCODEURL("https://wa.me/507"&amp;REGEXREPLACE(C977,"[^0-9]","")&amp;"?text="&amp;ENCODEURL("Ya llegue. Codigo: "&amp;A977&amp;". Ubicacion: "&amp;"https://www.google.com/maps/search/?api=1&amp;query="&amp;SUBSTITUTE(F977," ",""))),"")</f>
        <v/>
      </c>
      <c r="M977" s="8">
        <f>IF(B977&lt;&gt;"",TODAY(),"")</f>
        <v/>
      </c>
      <c r="N977" s="8">
        <f>IF(F977&lt;&gt;"",IFERROR(IF(AND(REGEXMATCH(SUBSTITUTE(TRIM(F977)," ",""),"^-?\d+(\.\d+)?,-?\d+(\.\d+)?$"),VALUE(REGEXEXTRACT(SUBSTITUTE(TRIM(F977)," ",""),"^-?\d+(\.\d+)?"))&gt;=-90,VALUE(REGEXEXTRACT(SUBSTITUTE(TRIM(F977)," ",""),"^-?\d+(\.\d+)?"))&lt;=90,VALUE(REGEXEXTRACT(SUBSTITUTE(TRIM(F977)," ",""),"-?\d+(\.\d+)?$"))&gt;=-180,VALUE(REGEXEXTRACT(SUBSTITUTE(TRIM(F977)," ",""),"-?\d+(\.\d+)?$"))&lt;=180),"OK","REVISAR"),"REVISAR"),"")</f>
        <v/>
      </c>
      <c r="O977">
        <f>IF(A977&lt;&gt;"","https://direcciones507.github.io/direcciones507/panel.html?codigo="&amp;A977&amp;"&amp;nombre="&amp;ENCODEURL(B977)&amp;"&amp;telefono="&amp;SUBSTITUTE(C977,"-","")&amp;"&amp;referencia="&amp;ENCODEURL(E977)&amp;"&amp;lat="&amp;IZQUIERDA(SUBSTITUTE(F977," ",""),ENCONTRAR(",",SUBSTITUTE(F977," ",""))-1)&amp;"&amp;lng="&amp;DERECHA(SUBSTITUTE(F977," ",""),LARGO(SUBSTITUTE(F977," ",""))-ENCONTRAR(",",SUBSTITUTE(F977," ",""))),"")</f>
        <v/>
      </c>
    </row>
    <row r="978" ht="15.75" customHeight="1" s="10">
      <c r="A978" s="8">
        <f>CONCAT("AD507-",TEXT(ROW()-2,"0000"))</f>
        <v/>
      </c>
      <c r="C978" s="8" t="n"/>
      <c r="F978" s="8" t="n"/>
      <c r="G978" s="8">
        <f>IF(F978&lt;&gt;"",HYPERLINK("https://www.google.com/maps/search/?api=1&amp;query="&amp;SUBSTITUTE(F978," ",""),"🗺 Google Maps"),"")</f>
        <v/>
      </c>
      <c r="H978" s="8">
        <f>IF(F978&lt;&gt;"",HYPERLINK("https://waze.com/ul?ll="&amp;SUBSTITUTE(F978," ","")&amp;"&amp;navigate=yes","🚗 Waze"),"")</f>
        <v/>
      </c>
      <c r="I978" s="8">
        <f>IF(F978&lt;&gt;"",HYPERLINK("https://m.uber.com/ul/?action=setPickup&amp;pickup=my_location&amp;dropoff[latitude]="&amp;LEFT(SUBSTITUTE(F978," ",""),FIND(",",SUBSTITUTE(F978," ",""))-1)&amp;"&amp;dropoff[longitude]="&amp;MID(SUBSTITUTE(F978," ",""),FIND(",",SUBSTITUTE(F978," ",""))+1,99),"🚕 Uber"),"")</f>
        <v/>
      </c>
      <c r="J978" s="8">
        <f>IF(F978&lt;&gt;"","https://api.qrserver.com/v1/create-qr-code/?size=200x200&amp;data="&amp;ENCODEURL("https://www.google.com/maps/search/?api=1&amp;query="&amp;SUBSTITUTE(F978," ","")),"")</f>
        <v/>
      </c>
      <c r="K978" s="8">
        <f>IF(C978&lt;&gt;"",HYPERLINK("https://wa.me/507"&amp;REGEXREPLACE(C978,"[^0-9]","")&amp;"?text="&amp;ENCODEURL("Ya llegue. Codigo: "&amp;A978&amp;". Ubicacion: "&amp;"https://www.google.com/maps/search/?api=1&amp;query="&amp;SUBSTITUTE(F978," ","")),"📲 Avisar al cliente"),"")</f>
        <v/>
      </c>
      <c r="L978" s="8">
        <f>IF(C978&lt;&gt;"","https://api.qrserver.com/v1/create-qr-code/?size=200x200&amp;data="&amp;ENCODEURL("https://wa.me/507"&amp;REGEXREPLACE(C978,"[^0-9]","")&amp;"?text="&amp;ENCODEURL("Ya llegue. Codigo: "&amp;A978&amp;". Ubicacion: "&amp;"https://www.google.com/maps/search/?api=1&amp;query="&amp;SUBSTITUTE(F978," ",""))),"")</f>
        <v/>
      </c>
      <c r="M978" s="8">
        <f>IF(B978&lt;&gt;"",TODAY(),"")</f>
        <v/>
      </c>
      <c r="N978" s="8">
        <f>IF(F978&lt;&gt;"",IFERROR(IF(AND(REGEXMATCH(SUBSTITUTE(TRIM(F978)," ",""),"^-?\d+(\.\d+)?,-?\d+(\.\d+)?$"),VALUE(REGEXEXTRACT(SUBSTITUTE(TRIM(F978)," ",""),"^-?\d+(\.\d+)?"))&gt;=-90,VALUE(REGEXEXTRACT(SUBSTITUTE(TRIM(F978)," ",""),"^-?\d+(\.\d+)?"))&lt;=90,VALUE(REGEXEXTRACT(SUBSTITUTE(TRIM(F978)," ",""),"-?\d+(\.\d+)?$"))&gt;=-180,VALUE(REGEXEXTRACT(SUBSTITUTE(TRIM(F978)," ",""),"-?\d+(\.\d+)?$"))&lt;=180),"OK","REVISAR"),"REVISAR"),"")</f>
        <v/>
      </c>
      <c r="O978">
        <f>IF(A978&lt;&gt;"","https://direcciones507.github.io/direcciones507/panel.html?codigo="&amp;A978&amp;"&amp;nombre="&amp;ENCODEURL(B978)&amp;"&amp;telefono="&amp;SUBSTITUTE(C978,"-","")&amp;"&amp;referencia="&amp;ENCODEURL(E978)&amp;"&amp;lat="&amp;IZQUIERDA(SUBSTITUTE(F978," ",""),ENCONTRAR(",",SUBSTITUTE(F978," ",""))-1)&amp;"&amp;lng="&amp;DERECHA(SUBSTITUTE(F978," ",""),LARGO(SUBSTITUTE(F978," ",""))-ENCONTRAR(",",SUBSTITUTE(F978," ",""))),"")</f>
        <v/>
      </c>
    </row>
    <row r="979" ht="15.75" customHeight="1" s="10">
      <c r="A979" s="8">
        <f>CONCAT("AD507-",TEXT(ROW()-2,"0000"))</f>
        <v/>
      </c>
      <c r="C979" s="8" t="n"/>
      <c r="F979" s="8" t="n"/>
      <c r="G979" s="8">
        <f>IF(F979&lt;&gt;"",HYPERLINK("https://www.google.com/maps/search/?api=1&amp;query="&amp;SUBSTITUTE(F979," ",""),"🗺 Google Maps"),"")</f>
        <v/>
      </c>
      <c r="H979" s="8">
        <f>IF(F979&lt;&gt;"",HYPERLINK("https://waze.com/ul?ll="&amp;SUBSTITUTE(F979," ","")&amp;"&amp;navigate=yes","🚗 Waze"),"")</f>
        <v/>
      </c>
      <c r="I979" s="8">
        <f>IF(F979&lt;&gt;"",HYPERLINK("https://m.uber.com/ul/?action=setPickup&amp;pickup=my_location&amp;dropoff[latitude]="&amp;LEFT(SUBSTITUTE(F979," ",""),FIND(",",SUBSTITUTE(F979," ",""))-1)&amp;"&amp;dropoff[longitude]="&amp;MID(SUBSTITUTE(F979," ",""),FIND(",",SUBSTITUTE(F979," ",""))+1,99),"🚕 Uber"),"")</f>
        <v/>
      </c>
      <c r="J979" s="8">
        <f>IF(F979&lt;&gt;"","https://api.qrserver.com/v1/create-qr-code/?size=200x200&amp;data="&amp;ENCODEURL("https://www.google.com/maps/search/?api=1&amp;query="&amp;SUBSTITUTE(F979," ","")),"")</f>
        <v/>
      </c>
      <c r="K979" s="8">
        <f>IF(C979&lt;&gt;"",HYPERLINK("https://wa.me/507"&amp;REGEXREPLACE(C979,"[^0-9]","")&amp;"?text="&amp;ENCODEURL("Ya llegue. Codigo: "&amp;A979&amp;". Ubicacion: "&amp;"https://www.google.com/maps/search/?api=1&amp;query="&amp;SUBSTITUTE(F979," ","")),"📲 Avisar al cliente"),"")</f>
        <v/>
      </c>
      <c r="L979" s="8">
        <f>IF(C979&lt;&gt;"","https://api.qrserver.com/v1/create-qr-code/?size=200x200&amp;data="&amp;ENCODEURL("https://wa.me/507"&amp;REGEXREPLACE(C979,"[^0-9]","")&amp;"?text="&amp;ENCODEURL("Ya llegue. Codigo: "&amp;A979&amp;". Ubicacion: "&amp;"https://www.google.com/maps/search/?api=1&amp;query="&amp;SUBSTITUTE(F979," ",""))),"")</f>
        <v/>
      </c>
      <c r="M979" s="8">
        <f>IF(B979&lt;&gt;"",TODAY(),"")</f>
        <v/>
      </c>
      <c r="N979" s="8">
        <f>IF(F979&lt;&gt;"",IFERROR(IF(AND(REGEXMATCH(SUBSTITUTE(TRIM(F979)," ",""),"^-?\d+(\.\d+)?,-?\d+(\.\d+)?$"),VALUE(REGEXEXTRACT(SUBSTITUTE(TRIM(F979)," ",""),"^-?\d+(\.\d+)?"))&gt;=-90,VALUE(REGEXEXTRACT(SUBSTITUTE(TRIM(F979)," ",""),"^-?\d+(\.\d+)?"))&lt;=90,VALUE(REGEXEXTRACT(SUBSTITUTE(TRIM(F979)," ",""),"-?\d+(\.\d+)?$"))&gt;=-180,VALUE(REGEXEXTRACT(SUBSTITUTE(TRIM(F979)," ",""),"-?\d+(\.\d+)?$"))&lt;=180),"OK","REVISAR"),"REVISAR"),"")</f>
        <v/>
      </c>
      <c r="O979">
        <f>IF(A979&lt;&gt;"","https://direcciones507.github.io/direcciones507/panel.html?codigo="&amp;A979&amp;"&amp;nombre="&amp;ENCODEURL(B979)&amp;"&amp;telefono="&amp;SUBSTITUTE(C979,"-","")&amp;"&amp;referencia="&amp;ENCODEURL(E979)&amp;"&amp;lat="&amp;IZQUIERDA(SUBSTITUTE(F979," ",""),ENCONTRAR(",",SUBSTITUTE(F979," ",""))-1)&amp;"&amp;lng="&amp;DERECHA(SUBSTITUTE(F979," ",""),LARGO(SUBSTITUTE(F979," ",""))-ENCONTRAR(",",SUBSTITUTE(F979," ",""))),"")</f>
        <v/>
      </c>
    </row>
    <row r="980" ht="15.75" customHeight="1" s="10">
      <c r="A980" s="8">
        <f>CONCAT("AD507-",TEXT(ROW()-2,"0000"))</f>
        <v/>
      </c>
      <c r="C980" s="8" t="n"/>
      <c r="F980" s="8" t="n"/>
      <c r="G980" s="8">
        <f>IF(F980&lt;&gt;"",HYPERLINK("https://www.google.com/maps/search/?api=1&amp;query="&amp;SUBSTITUTE(F980," ",""),"🗺 Google Maps"),"")</f>
        <v/>
      </c>
      <c r="H980" s="8">
        <f>IF(F980&lt;&gt;"",HYPERLINK("https://waze.com/ul?ll="&amp;SUBSTITUTE(F980," ","")&amp;"&amp;navigate=yes","🚗 Waze"),"")</f>
        <v/>
      </c>
      <c r="I980" s="8">
        <f>IF(F980&lt;&gt;"",HYPERLINK("https://m.uber.com/ul/?action=setPickup&amp;pickup=my_location&amp;dropoff[latitude]="&amp;LEFT(SUBSTITUTE(F980," ",""),FIND(",",SUBSTITUTE(F980," ",""))-1)&amp;"&amp;dropoff[longitude]="&amp;MID(SUBSTITUTE(F980," ",""),FIND(",",SUBSTITUTE(F980," ",""))+1,99),"🚕 Uber"),"")</f>
        <v/>
      </c>
      <c r="J980" s="8">
        <f>IF(F980&lt;&gt;"","https://api.qrserver.com/v1/create-qr-code/?size=200x200&amp;data="&amp;ENCODEURL("https://www.google.com/maps/search/?api=1&amp;query="&amp;SUBSTITUTE(F980," ","")),"")</f>
        <v/>
      </c>
      <c r="K980" s="8">
        <f>IF(C980&lt;&gt;"",HYPERLINK("https://wa.me/507"&amp;REGEXREPLACE(C980,"[^0-9]","")&amp;"?text="&amp;ENCODEURL("Ya llegue. Codigo: "&amp;A980&amp;". Ubicacion: "&amp;"https://www.google.com/maps/search/?api=1&amp;query="&amp;SUBSTITUTE(F980," ","")),"📲 Avisar al cliente"),"")</f>
        <v/>
      </c>
      <c r="L980" s="8">
        <f>IF(C980&lt;&gt;"","https://api.qrserver.com/v1/create-qr-code/?size=200x200&amp;data="&amp;ENCODEURL("https://wa.me/507"&amp;REGEXREPLACE(C980,"[^0-9]","")&amp;"?text="&amp;ENCODEURL("Ya llegue. Codigo: "&amp;A980&amp;". Ubicacion: "&amp;"https://www.google.com/maps/search/?api=1&amp;query="&amp;SUBSTITUTE(F980," ",""))),"")</f>
        <v/>
      </c>
      <c r="M980" s="8">
        <f>IF(B980&lt;&gt;"",TODAY(),"")</f>
        <v/>
      </c>
      <c r="N980" s="8">
        <f>IF(F980&lt;&gt;"",IFERROR(IF(AND(REGEXMATCH(SUBSTITUTE(TRIM(F980)," ",""),"^-?\d+(\.\d+)?,-?\d+(\.\d+)?$"),VALUE(REGEXEXTRACT(SUBSTITUTE(TRIM(F980)," ",""),"^-?\d+(\.\d+)?"))&gt;=-90,VALUE(REGEXEXTRACT(SUBSTITUTE(TRIM(F980)," ",""),"^-?\d+(\.\d+)?"))&lt;=90,VALUE(REGEXEXTRACT(SUBSTITUTE(TRIM(F980)," ",""),"-?\d+(\.\d+)?$"))&gt;=-180,VALUE(REGEXEXTRACT(SUBSTITUTE(TRIM(F980)," ",""),"-?\d+(\.\d+)?$"))&lt;=180),"OK","REVISAR"),"REVISAR"),"")</f>
        <v/>
      </c>
      <c r="O980">
        <f>IF(A980&lt;&gt;"","https://direcciones507.github.io/direcciones507/panel.html?codigo="&amp;A980&amp;"&amp;nombre="&amp;ENCODEURL(B980)&amp;"&amp;telefono="&amp;SUBSTITUTE(C980,"-","")&amp;"&amp;referencia="&amp;ENCODEURL(E980)&amp;"&amp;lat="&amp;IZQUIERDA(SUBSTITUTE(F980," ",""),ENCONTRAR(",",SUBSTITUTE(F980," ",""))-1)&amp;"&amp;lng="&amp;DERECHA(SUBSTITUTE(F980," ",""),LARGO(SUBSTITUTE(F980," ",""))-ENCONTRAR(",",SUBSTITUTE(F980," ",""))),"")</f>
        <v/>
      </c>
    </row>
    <row r="981" ht="15.75" customHeight="1" s="10">
      <c r="A981" s="8">
        <f>CONCAT("AD507-",TEXT(ROW()-2,"0000"))</f>
        <v/>
      </c>
      <c r="C981" s="8" t="n"/>
      <c r="F981" s="8" t="n"/>
      <c r="G981" s="8">
        <f>IF(F981&lt;&gt;"",HYPERLINK("https://www.google.com/maps/search/?api=1&amp;query="&amp;SUBSTITUTE(F981," ",""),"🗺 Google Maps"),"")</f>
        <v/>
      </c>
      <c r="H981" s="8">
        <f>IF(F981&lt;&gt;"",HYPERLINK("https://waze.com/ul?ll="&amp;SUBSTITUTE(F981," ","")&amp;"&amp;navigate=yes","🚗 Waze"),"")</f>
        <v/>
      </c>
      <c r="I981" s="8">
        <f>IF(F981&lt;&gt;"",HYPERLINK("https://m.uber.com/ul/?action=setPickup&amp;pickup=my_location&amp;dropoff[latitude]="&amp;LEFT(SUBSTITUTE(F981," ",""),FIND(",",SUBSTITUTE(F981," ",""))-1)&amp;"&amp;dropoff[longitude]="&amp;MID(SUBSTITUTE(F981," ",""),FIND(",",SUBSTITUTE(F981," ",""))+1,99),"🚕 Uber"),"")</f>
        <v/>
      </c>
      <c r="J981" s="8">
        <f>IF(F981&lt;&gt;"","https://api.qrserver.com/v1/create-qr-code/?size=200x200&amp;data="&amp;ENCODEURL("https://www.google.com/maps/search/?api=1&amp;query="&amp;SUBSTITUTE(F981," ","")),"")</f>
        <v/>
      </c>
      <c r="K981" s="8">
        <f>IF(C981&lt;&gt;"",HYPERLINK("https://wa.me/507"&amp;REGEXREPLACE(C981,"[^0-9]","")&amp;"?text="&amp;ENCODEURL("Ya llegue. Codigo: "&amp;A981&amp;". Ubicacion: "&amp;"https://www.google.com/maps/search/?api=1&amp;query="&amp;SUBSTITUTE(F981," ","")),"📲 Avisar al cliente"),"")</f>
        <v/>
      </c>
      <c r="L981" s="8">
        <f>IF(C981&lt;&gt;"","https://api.qrserver.com/v1/create-qr-code/?size=200x200&amp;data="&amp;ENCODEURL("https://wa.me/507"&amp;REGEXREPLACE(C981,"[^0-9]","")&amp;"?text="&amp;ENCODEURL("Ya llegue. Codigo: "&amp;A981&amp;". Ubicacion: "&amp;"https://www.google.com/maps/search/?api=1&amp;query="&amp;SUBSTITUTE(F981," ",""))),"")</f>
        <v/>
      </c>
      <c r="M981" s="8">
        <f>IF(B981&lt;&gt;"",TODAY(),"")</f>
        <v/>
      </c>
      <c r="N981" s="8">
        <f>IF(F981&lt;&gt;"",IFERROR(IF(AND(REGEXMATCH(SUBSTITUTE(TRIM(F981)," ",""),"^-?\d+(\.\d+)?,-?\d+(\.\d+)?$"),VALUE(REGEXEXTRACT(SUBSTITUTE(TRIM(F981)," ",""),"^-?\d+(\.\d+)?"))&gt;=-90,VALUE(REGEXEXTRACT(SUBSTITUTE(TRIM(F981)," ",""),"^-?\d+(\.\d+)?"))&lt;=90,VALUE(REGEXEXTRACT(SUBSTITUTE(TRIM(F981)," ",""),"-?\d+(\.\d+)?$"))&gt;=-180,VALUE(REGEXEXTRACT(SUBSTITUTE(TRIM(F981)," ",""),"-?\d+(\.\d+)?$"))&lt;=180),"OK","REVISAR"),"REVISAR"),"")</f>
        <v/>
      </c>
      <c r="O981">
        <f>IF(A981&lt;&gt;"","https://direcciones507.github.io/direcciones507/panel.html?codigo="&amp;A981&amp;"&amp;nombre="&amp;ENCODEURL(B981)&amp;"&amp;telefono="&amp;SUBSTITUTE(C981,"-","")&amp;"&amp;referencia="&amp;ENCODEURL(E981)&amp;"&amp;lat="&amp;IZQUIERDA(SUBSTITUTE(F981," ",""),ENCONTRAR(",",SUBSTITUTE(F981," ",""))-1)&amp;"&amp;lng="&amp;DERECHA(SUBSTITUTE(F981," ",""),LARGO(SUBSTITUTE(F981," ",""))-ENCONTRAR(",",SUBSTITUTE(F981," ",""))),"")</f>
        <v/>
      </c>
    </row>
    <row r="982" ht="15.75" customHeight="1" s="10">
      <c r="A982" s="8">
        <f>CONCAT("AD507-",TEXT(ROW()-2,"0000"))</f>
        <v/>
      </c>
      <c r="C982" s="8" t="n"/>
      <c r="F982" s="8" t="n"/>
      <c r="G982" s="8">
        <f>IF(F982&lt;&gt;"",HYPERLINK("https://www.google.com/maps/search/?api=1&amp;query="&amp;SUBSTITUTE(F982," ",""),"🗺 Google Maps"),"")</f>
        <v/>
      </c>
      <c r="H982" s="8">
        <f>IF(F982&lt;&gt;"",HYPERLINK("https://waze.com/ul?ll="&amp;SUBSTITUTE(F982," ","")&amp;"&amp;navigate=yes","🚗 Waze"),"")</f>
        <v/>
      </c>
      <c r="I982" s="8">
        <f>IF(F982&lt;&gt;"",HYPERLINK("https://m.uber.com/ul/?action=setPickup&amp;pickup=my_location&amp;dropoff[latitude]="&amp;LEFT(SUBSTITUTE(F982," ",""),FIND(",",SUBSTITUTE(F982," ",""))-1)&amp;"&amp;dropoff[longitude]="&amp;MID(SUBSTITUTE(F982," ",""),FIND(",",SUBSTITUTE(F982," ",""))+1,99),"🚕 Uber"),"")</f>
        <v/>
      </c>
      <c r="J982" s="8">
        <f>IF(F982&lt;&gt;"","https://api.qrserver.com/v1/create-qr-code/?size=200x200&amp;data="&amp;ENCODEURL("https://www.google.com/maps/search/?api=1&amp;query="&amp;SUBSTITUTE(F982," ","")),"")</f>
        <v/>
      </c>
      <c r="K982" s="8">
        <f>IF(C982&lt;&gt;"",HYPERLINK("https://wa.me/507"&amp;REGEXREPLACE(C982,"[^0-9]","")&amp;"?text="&amp;ENCODEURL("Ya llegue. Codigo: "&amp;A982&amp;". Ubicacion: "&amp;"https://www.google.com/maps/search/?api=1&amp;query="&amp;SUBSTITUTE(F982," ","")),"📲 Avisar al cliente"),"")</f>
        <v/>
      </c>
      <c r="L982" s="8">
        <f>IF(C982&lt;&gt;"","https://api.qrserver.com/v1/create-qr-code/?size=200x200&amp;data="&amp;ENCODEURL("https://wa.me/507"&amp;REGEXREPLACE(C982,"[^0-9]","")&amp;"?text="&amp;ENCODEURL("Ya llegue. Codigo: "&amp;A982&amp;". Ubicacion: "&amp;"https://www.google.com/maps/search/?api=1&amp;query="&amp;SUBSTITUTE(F982," ",""))),"")</f>
        <v/>
      </c>
      <c r="M982" s="8">
        <f>IF(B982&lt;&gt;"",TODAY(),"")</f>
        <v/>
      </c>
      <c r="N982" s="8">
        <f>IF(F982&lt;&gt;"",IFERROR(IF(AND(REGEXMATCH(SUBSTITUTE(TRIM(F982)," ",""),"^-?\d+(\.\d+)?,-?\d+(\.\d+)?$"),VALUE(REGEXEXTRACT(SUBSTITUTE(TRIM(F982)," ",""),"^-?\d+(\.\d+)?"))&gt;=-90,VALUE(REGEXEXTRACT(SUBSTITUTE(TRIM(F982)," ",""),"^-?\d+(\.\d+)?"))&lt;=90,VALUE(REGEXEXTRACT(SUBSTITUTE(TRIM(F982)," ",""),"-?\d+(\.\d+)?$"))&gt;=-180,VALUE(REGEXEXTRACT(SUBSTITUTE(TRIM(F982)," ",""),"-?\d+(\.\d+)?$"))&lt;=180),"OK","REVISAR"),"REVISAR"),"")</f>
        <v/>
      </c>
      <c r="O982">
        <f>IF(A982&lt;&gt;"","https://direcciones507.github.io/direcciones507/panel.html?codigo="&amp;A982&amp;"&amp;nombre="&amp;ENCODEURL(B982)&amp;"&amp;telefono="&amp;SUBSTITUTE(C982,"-","")&amp;"&amp;referencia="&amp;ENCODEURL(E982)&amp;"&amp;lat="&amp;IZQUIERDA(SUBSTITUTE(F982," ",""),ENCONTRAR(",",SUBSTITUTE(F982," ",""))-1)&amp;"&amp;lng="&amp;DERECHA(SUBSTITUTE(F982," ",""),LARGO(SUBSTITUTE(F982," ",""))-ENCONTRAR(",",SUBSTITUTE(F982," ",""))),"")</f>
        <v/>
      </c>
    </row>
    <row r="983" ht="15.75" customHeight="1" s="10">
      <c r="A983" s="8">
        <f>CONCAT("AD507-",TEXT(ROW()-2,"0000"))</f>
        <v/>
      </c>
      <c r="C983" s="8" t="n"/>
      <c r="F983" s="8" t="n"/>
      <c r="G983" s="8">
        <f>IF(F983&lt;&gt;"",HYPERLINK("https://www.google.com/maps/search/?api=1&amp;query="&amp;SUBSTITUTE(F983," ",""),"🗺 Google Maps"),"")</f>
        <v/>
      </c>
      <c r="H983" s="8">
        <f>IF(F983&lt;&gt;"",HYPERLINK("https://waze.com/ul?ll="&amp;SUBSTITUTE(F983," ","")&amp;"&amp;navigate=yes","🚗 Waze"),"")</f>
        <v/>
      </c>
      <c r="I983" s="8">
        <f>IF(F983&lt;&gt;"",HYPERLINK("https://m.uber.com/ul/?action=setPickup&amp;pickup=my_location&amp;dropoff[latitude]="&amp;LEFT(SUBSTITUTE(F983," ",""),FIND(",",SUBSTITUTE(F983," ",""))-1)&amp;"&amp;dropoff[longitude]="&amp;MID(SUBSTITUTE(F983," ",""),FIND(",",SUBSTITUTE(F983," ",""))+1,99),"🚕 Uber"),"")</f>
        <v/>
      </c>
      <c r="J983" s="8">
        <f>IF(F983&lt;&gt;"","https://api.qrserver.com/v1/create-qr-code/?size=200x200&amp;data="&amp;ENCODEURL("https://www.google.com/maps/search/?api=1&amp;query="&amp;SUBSTITUTE(F983," ","")),"")</f>
        <v/>
      </c>
      <c r="K983" s="8">
        <f>IF(C983&lt;&gt;"",HYPERLINK("https://wa.me/507"&amp;REGEXREPLACE(C983,"[^0-9]","")&amp;"?text="&amp;ENCODEURL("Ya llegue. Codigo: "&amp;A983&amp;". Ubicacion: "&amp;"https://www.google.com/maps/search/?api=1&amp;query="&amp;SUBSTITUTE(F983," ","")),"📲 Avisar al cliente"),"")</f>
        <v/>
      </c>
      <c r="L983" s="8">
        <f>IF(C983&lt;&gt;"","https://api.qrserver.com/v1/create-qr-code/?size=200x200&amp;data="&amp;ENCODEURL("https://wa.me/507"&amp;REGEXREPLACE(C983,"[^0-9]","")&amp;"?text="&amp;ENCODEURL("Ya llegue. Codigo: "&amp;A983&amp;". Ubicacion: "&amp;"https://www.google.com/maps/search/?api=1&amp;query="&amp;SUBSTITUTE(F983," ",""))),"")</f>
        <v/>
      </c>
      <c r="M983" s="8">
        <f>IF(B983&lt;&gt;"",TODAY(),"")</f>
        <v/>
      </c>
      <c r="N983" s="8">
        <f>IF(F983&lt;&gt;"",IFERROR(IF(AND(REGEXMATCH(SUBSTITUTE(TRIM(F983)," ",""),"^-?\d+(\.\d+)?,-?\d+(\.\d+)?$"),VALUE(REGEXEXTRACT(SUBSTITUTE(TRIM(F983)," ",""),"^-?\d+(\.\d+)?"))&gt;=-90,VALUE(REGEXEXTRACT(SUBSTITUTE(TRIM(F983)," ",""),"^-?\d+(\.\d+)?"))&lt;=90,VALUE(REGEXEXTRACT(SUBSTITUTE(TRIM(F983)," ",""),"-?\d+(\.\d+)?$"))&gt;=-180,VALUE(REGEXEXTRACT(SUBSTITUTE(TRIM(F983)," ",""),"-?\d+(\.\d+)?$"))&lt;=180),"OK","REVISAR"),"REVISAR"),"")</f>
        <v/>
      </c>
      <c r="O983">
        <f>IF(A983&lt;&gt;"","https://direcciones507.github.io/direcciones507/panel.html?codigo="&amp;A983&amp;"&amp;nombre="&amp;ENCODEURL(B983)&amp;"&amp;telefono="&amp;SUBSTITUTE(C983,"-","")&amp;"&amp;referencia="&amp;ENCODEURL(E983)&amp;"&amp;lat="&amp;IZQUIERDA(SUBSTITUTE(F983," ",""),ENCONTRAR(",",SUBSTITUTE(F983," ",""))-1)&amp;"&amp;lng="&amp;DERECHA(SUBSTITUTE(F983," ",""),LARGO(SUBSTITUTE(F983," ",""))-ENCONTRAR(",",SUBSTITUTE(F983," ",""))),"")</f>
        <v/>
      </c>
    </row>
    <row r="984" ht="15.75" customHeight="1" s="10">
      <c r="A984" s="8">
        <f>CONCAT("AD507-",TEXT(ROW()-2,"0000"))</f>
        <v/>
      </c>
      <c r="C984" s="8" t="n"/>
      <c r="F984" s="8" t="n"/>
      <c r="G984" s="8">
        <f>IF(F984&lt;&gt;"",HYPERLINK("https://www.google.com/maps/search/?api=1&amp;query="&amp;SUBSTITUTE(F984," ",""),"🗺 Google Maps"),"")</f>
        <v/>
      </c>
      <c r="H984" s="8">
        <f>IF(F984&lt;&gt;"",HYPERLINK("https://waze.com/ul?ll="&amp;SUBSTITUTE(F984," ","")&amp;"&amp;navigate=yes","🚗 Waze"),"")</f>
        <v/>
      </c>
      <c r="I984" s="8">
        <f>IF(F984&lt;&gt;"",HYPERLINK("https://m.uber.com/ul/?action=setPickup&amp;pickup=my_location&amp;dropoff[latitude]="&amp;LEFT(SUBSTITUTE(F984," ",""),FIND(",",SUBSTITUTE(F984," ",""))-1)&amp;"&amp;dropoff[longitude]="&amp;MID(SUBSTITUTE(F984," ",""),FIND(",",SUBSTITUTE(F984," ",""))+1,99),"🚕 Uber"),"")</f>
        <v/>
      </c>
      <c r="J984" s="8">
        <f>IF(F984&lt;&gt;"","https://api.qrserver.com/v1/create-qr-code/?size=200x200&amp;data="&amp;ENCODEURL("https://www.google.com/maps/search/?api=1&amp;query="&amp;SUBSTITUTE(F984," ","")),"")</f>
        <v/>
      </c>
      <c r="K984" s="8">
        <f>IF(C984&lt;&gt;"",HYPERLINK("https://wa.me/507"&amp;REGEXREPLACE(C984,"[^0-9]","")&amp;"?text="&amp;ENCODEURL("Ya llegue. Codigo: "&amp;A984&amp;". Ubicacion: "&amp;"https://www.google.com/maps/search/?api=1&amp;query="&amp;SUBSTITUTE(F984," ","")),"📲 Avisar al cliente"),"")</f>
        <v/>
      </c>
      <c r="L984" s="8">
        <f>IF(C984&lt;&gt;"","https://api.qrserver.com/v1/create-qr-code/?size=200x200&amp;data="&amp;ENCODEURL("https://wa.me/507"&amp;REGEXREPLACE(C984,"[^0-9]","")&amp;"?text="&amp;ENCODEURL("Ya llegue. Codigo: "&amp;A984&amp;". Ubicacion: "&amp;"https://www.google.com/maps/search/?api=1&amp;query="&amp;SUBSTITUTE(F984," ",""))),"")</f>
        <v/>
      </c>
      <c r="M984" s="8">
        <f>IF(B984&lt;&gt;"",TODAY(),"")</f>
        <v/>
      </c>
      <c r="N984" s="8">
        <f>IF(F984&lt;&gt;"",IFERROR(IF(AND(REGEXMATCH(SUBSTITUTE(TRIM(F984)," ",""),"^-?\d+(\.\d+)?,-?\d+(\.\d+)?$"),VALUE(REGEXEXTRACT(SUBSTITUTE(TRIM(F984)," ",""),"^-?\d+(\.\d+)?"))&gt;=-90,VALUE(REGEXEXTRACT(SUBSTITUTE(TRIM(F984)," ",""),"^-?\d+(\.\d+)?"))&lt;=90,VALUE(REGEXEXTRACT(SUBSTITUTE(TRIM(F984)," ",""),"-?\d+(\.\d+)?$"))&gt;=-180,VALUE(REGEXEXTRACT(SUBSTITUTE(TRIM(F984)," ",""),"-?\d+(\.\d+)?$"))&lt;=180),"OK","REVISAR"),"REVISAR"),"")</f>
        <v/>
      </c>
      <c r="O984">
        <f>IF(A984&lt;&gt;"","https://direcciones507.github.io/direcciones507/panel.html?codigo="&amp;A984&amp;"&amp;nombre="&amp;ENCODEURL(B984)&amp;"&amp;telefono="&amp;SUBSTITUTE(C984,"-","")&amp;"&amp;referencia="&amp;ENCODEURL(E984)&amp;"&amp;lat="&amp;IZQUIERDA(SUBSTITUTE(F984," ",""),ENCONTRAR(",",SUBSTITUTE(F984," ",""))-1)&amp;"&amp;lng="&amp;DERECHA(SUBSTITUTE(F984," ",""),LARGO(SUBSTITUTE(F984," ",""))-ENCONTRAR(",",SUBSTITUTE(F984," ",""))),"")</f>
        <v/>
      </c>
    </row>
    <row r="985" ht="15.75" customHeight="1" s="10">
      <c r="A985" s="8">
        <f>CONCAT("AD507-",TEXT(ROW()-2,"0000"))</f>
        <v/>
      </c>
      <c r="C985" s="8" t="n"/>
      <c r="F985" s="8" t="n"/>
      <c r="G985" s="8">
        <f>IF(F985&lt;&gt;"",HYPERLINK("https://www.google.com/maps/search/?api=1&amp;query="&amp;SUBSTITUTE(F985," ",""),"🗺 Google Maps"),"")</f>
        <v/>
      </c>
      <c r="H985" s="8">
        <f>IF(F985&lt;&gt;"",HYPERLINK("https://waze.com/ul?ll="&amp;SUBSTITUTE(F985," ","")&amp;"&amp;navigate=yes","🚗 Waze"),"")</f>
        <v/>
      </c>
      <c r="I985" s="8">
        <f>IF(F985&lt;&gt;"",HYPERLINK("https://m.uber.com/ul/?action=setPickup&amp;pickup=my_location&amp;dropoff[latitude]="&amp;LEFT(SUBSTITUTE(F985," ",""),FIND(",",SUBSTITUTE(F985," ",""))-1)&amp;"&amp;dropoff[longitude]="&amp;MID(SUBSTITUTE(F985," ",""),FIND(",",SUBSTITUTE(F985," ",""))+1,99),"🚕 Uber"),"")</f>
        <v/>
      </c>
      <c r="J985" s="8">
        <f>IF(F985&lt;&gt;"","https://api.qrserver.com/v1/create-qr-code/?size=200x200&amp;data="&amp;ENCODEURL("https://www.google.com/maps/search/?api=1&amp;query="&amp;SUBSTITUTE(F985," ","")),"")</f>
        <v/>
      </c>
      <c r="K985" s="8">
        <f>IF(C985&lt;&gt;"",HYPERLINK("https://wa.me/507"&amp;REGEXREPLACE(C985,"[^0-9]","")&amp;"?text="&amp;ENCODEURL("Ya llegue. Codigo: "&amp;A985&amp;". Ubicacion: "&amp;"https://www.google.com/maps/search/?api=1&amp;query="&amp;SUBSTITUTE(F985," ","")),"📲 Avisar al cliente"),"")</f>
        <v/>
      </c>
      <c r="L985" s="8">
        <f>IF(C985&lt;&gt;"","https://api.qrserver.com/v1/create-qr-code/?size=200x200&amp;data="&amp;ENCODEURL("https://wa.me/507"&amp;REGEXREPLACE(C985,"[^0-9]","")&amp;"?text="&amp;ENCODEURL("Ya llegue. Codigo: "&amp;A985&amp;". Ubicacion: "&amp;"https://www.google.com/maps/search/?api=1&amp;query="&amp;SUBSTITUTE(F985," ",""))),"")</f>
        <v/>
      </c>
      <c r="M985" s="8">
        <f>IF(B985&lt;&gt;"",TODAY(),"")</f>
        <v/>
      </c>
      <c r="N985" s="8">
        <f>IF(F985&lt;&gt;"",IFERROR(IF(AND(REGEXMATCH(SUBSTITUTE(TRIM(F985)," ",""),"^-?\d+(\.\d+)?,-?\d+(\.\d+)?$"),VALUE(REGEXEXTRACT(SUBSTITUTE(TRIM(F985)," ",""),"^-?\d+(\.\d+)?"))&gt;=-90,VALUE(REGEXEXTRACT(SUBSTITUTE(TRIM(F985)," ",""),"^-?\d+(\.\d+)?"))&lt;=90,VALUE(REGEXEXTRACT(SUBSTITUTE(TRIM(F985)," ",""),"-?\d+(\.\d+)?$"))&gt;=-180,VALUE(REGEXEXTRACT(SUBSTITUTE(TRIM(F985)," ",""),"-?\d+(\.\d+)?$"))&lt;=180),"OK","REVISAR"),"REVISAR"),"")</f>
        <v/>
      </c>
      <c r="O985">
        <f>IF(A985&lt;&gt;"","https://direcciones507.github.io/direcciones507/panel.html?codigo="&amp;A985&amp;"&amp;nombre="&amp;ENCODEURL(B985)&amp;"&amp;telefono="&amp;SUBSTITUTE(C985,"-","")&amp;"&amp;referencia="&amp;ENCODEURL(E985)&amp;"&amp;lat="&amp;IZQUIERDA(SUBSTITUTE(F985," ",""),ENCONTRAR(",",SUBSTITUTE(F985," ",""))-1)&amp;"&amp;lng="&amp;DERECHA(SUBSTITUTE(F985," ",""),LARGO(SUBSTITUTE(F985," ",""))-ENCONTRAR(",",SUBSTITUTE(F985," ",""))),"")</f>
        <v/>
      </c>
    </row>
    <row r="986" ht="15.75" customHeight="1" s="10">
      <c r="A986" s="8">
        <f>CONCAT("AD507-",TEXT(ROW()-2,"0000"))</f>
        <v/>
      </c>
      <c r="C986" s="8" t="n"/>
      <c r="F986" s="8" t="n"/>
      <c r="G986" s="8">
        <f>IF(F986&lt;&gt;"",HYPERLINK("https://www.google.com/maps/search/?api=1&amp;query="&amp;SUBSTITUTE(F986," ",""),"🗺 Google Maps"),"")</f>
        <v/>
      </c>
      <c r="H986" s="8">
        <f>IF(F986&lt;&gt;"",HYPERLINK("https://waze.com/ul?ll="&amp;SUBSTITUTE(F986," ","")&amp;"&amp;navigate=yes","🚗 Waze"),"")</f>
        <v/>
      </c>
      <c r="I986" s="8">
        <f>IF(F986&lt;&gt;"",HYPERLINK("https://m.uber.com/ul/?action=setPickup&amp;pickup=my_location&amp;dropoff[latitude]="&amp;LEFT(SUBSTITUTE(F986," ",""),FIND(",",SUBSTITUTE(F986," ",""))-1)&amp;"&amp;dropoff[longitude]="&amp;MID(SUBSTITUTE(F986," ",""),FIND(",",SUBSTITUTE(F986," ",""))+1,99),"🚕 Uber"),"")</f>
        <v/>
      </c>
      <c r="J986" s="8">
        <f>IF(F986&lt;&gt;"","https://api.qrserver.com/v1/create-qr-code/?size=200x200&amp;data="&amp;ENCODEURL("https://www.google.com/maps/search/?api=1&amp;query="&amp;SUBSTITUTE(F986," ","")),"")</f>
        <v/>
      </c>
      <c r="K986" s="8">
        <f>IF(C986&lt;&gt;"",HYPERLINK("https://wa.me/507"&amp;REGEXREPLACE(C986,"[^0-9]","")&amp;"?text="&amp;ENCODEURL("Ya llegue. Codigo: "&amp;A986&amp;". Ubicacion: "&amp;"https://www.google.com/maps/search/?api=1&amp;query="&amp;SUBSTITUTE(F986," ","")),"📲 Avisar al cliente"),"")</f>
        <v/>
      </c>
      <c r="L986" s="8">
        <f>IF(C986&lt;&gt;"","https://api.qrserver.com/v1/create-qr-code/?size=200x200&amp;data="&amp;ENCODEURL("https://wa.me/507"&amp;REGEXREPLACE(C986,"[^0-9]","")&amp;"?text="&amp;ENCODEURL("Ya llegue. Codigo: "&amp;A986&amp;". Ubicacion: "&amp;"https://www.google.com/maps/search/?api=1&amp;query="&amp;SUBSTITUTE(F986," ",""))),"")</f>
        <v/>
      </c>
      <c r="M986" s="8">
        <f>IF(B986&lt;&gt;"",TODAY(),"")</f>
        <v/>
      </c>
      <c r="N986" s="8">
        <f>IF(F986&lt;&gt;"",IFERROR(IF(AND(REGEXMATCH(SUBSTITUTE(TRIM(F986)," ",""),"^-?\d+(\.\d+)?,-?\d+(\.\d+)?$"),VALUE(REGEXEXTRACT(SUBSTITUTE(TRIM(F986)," ",""),"^-?\d+(\.\d+)?"))&gt;=-90,VALUE(REGEXEXTRACT(SUBSTITUTE(TRIM(F986)," ",""),"^-?\d+(\.\d+)?"))&lt;=90,VALUE(REGEXEXTRACT(SUBSTITUTE(TRIM(F986)," ",""),"-?\d+(\.\d+)?$"))&gt;=-180,VALUE(REGEXEXTRACT(SUBSTITUTE(TRIM(F986)," ",""),"-?\d+(\.\d+)?$"))&lt;=180),"OK","REVISAR"),"REVISAR"),"")</f>
        <v/>
      </c>
      <c r="O986">
        <f>IF(A986&lt;&gt;"","https://direcciones507.github.io/direcciones507/panel.html?codigo="&amp;A986&amp;"&amp;nombre="&amp;ENCODEURL(B986)&amp;"&amp;telefono="&amp;SUBSTITUTE(C986,"-","")&amp;"&amp;referencia="&amp;ENCODEURL(E986)&amp;"&amp;lat="&amp;IZQUIERDA(SUBSTITUTE(F986," ",""),ENCONTRAR(",",SUBSTITUTE(F986," ",""))-1)&amp;"&amp;lng="&amp;DERECHA(SUBSTITUTE(F986," ",""),LARGO(SUBSTITUTE(F986," ",""))-ENCONTRAR(",",SUBSTITUTE(F986," ",""))),"")</f>
        <v/>
      </c>
    </row>
    <row r="987" ht="15.75" customHeight="1" s="10">
      <c r="A987" s="8">
        <f>CONCAT("AD507-",TEXT(ROW()-2,"0000"))</f>
        <v/>
      </c>
      <c r="C987" s="8" t="n"/>
      <c r="F987" s="8" t="n"/>
      <c r="G987" s="8">
        <f>IF(F987&lt;&gt;"",HYPERLINK("https://www.google.com/maps/search/?api=1&amp;query="&amp;SUBSTITUTE(F987," ",""),"🗺 Google Maps"),"")</f>
        <v/>
      </c>
      <c r="H987" s="8">
        <f>IF(F987&lt;&gt;"",HYPERLINK("https://waze.com/ul?ll="&amp;SUBSTITUTE(F987," ","")&amp;"&amp;navigate=yes","🚗 Waze"),"")</f>
        <v/>
      </c>
      <c r="I987" s="8">
        <f>IF(F987&lt;&gt;"",HYPERLINK("https://m.uber.com/ul/?action=setPickup&amp;pickup=my_location&amp;dropoff[latitude]="&amp;LEFT(SUBSTITUTE(F987," ",""),FIND(",",SUBSTITUTE(F987," ",""))-1)&amp;"&amp;dropoff[longitude]="&amp;MID(SUBSTITUTE(F987," ",""),FIND(",",SUBSTITUTE(F987," ",""))+1,99),"🚕 Uber"),"")</f>
        <v/>
      </c>
      <c r="J987" s="8">
        <f>IF(F987&lt;&gt;"","https://api.qrserver.com/v1/create-qr-code/?size=200x200&amp;data="&amp;ENCODEURL("https://www.google.com/maps/search/?api=1&amp;query="&amp;SUBSTITUTE(F987," ","")),"")</f>
        <v/>
      </c>
      <c r="K987" s="8">
        <f>IF(C987&lt;&gt;"",HYPERLINK("https://wa.me/507"&amp;REGEXREPLACE(C987,"[^0-9]","")&amp;"?text="&amp;ENCODEURL("Ya llegue. Codigo: "&amp;A987&amp;". Ubicacion: "&amp;"https://www.google.com/maps/search/?api=1&amp;query="&amp;SUBSTITUTE(F987," ","")),"📲 Avisar al cliente"),"")</f>
        <v/>
      </c>
      <c r="L987" s="8">
        <f>IF(C987&lt;&gt;"","https://api.qrserver.com/v1/create-qr-code/?size=200x200&amp;data="&amp;ENCODEURL("https://wa.me/507"&amp;REGEXREPLACE(C987,"[^0-9]","")&amp;"?text="&amp;ENCODEURL("Ya llegue. Codigo: "&amp;A987&amp;". Ubicacion: "&amp;"https://www.google.com/maps/search/?api=1&amp;query="&amp;SUBSTITUTE(F987," ",""))),"")</f>
        <v/>
      </c>
      <c r="M987" s="8">
        <f>IF(B987&lt;&gt;"",TODAY(),"")</f>
        <v/>
      </c>
      <c r="N987" s="8">
        <f>IF(F987&lt;&gt;"",IFERROR(IF(AND(REGEXMATCH(SUBSTITUTE(TRIM(F987)," ",""),"^-?\d+(\.\d+)?,-?\d+(\.\d+)?$"),VALUE(REGEXEXTRACT(SUBSTITUTE(TRIM(F987)," ",""),"^-?\d+(\.\d+)?"))&gt;=-90,VALUE(REGEXEXTRACT(SUBSTITUTE(TRIM(F987)," ",""),"^-?\d+(\.\d+)?"))&lt;=90,VALUE(REGEXEXTRACT(SUBSTITUTE(TRIM(F987)," ",""),"-?\d+(\.\d+)?$"))&gt;=-180,VALUE(REGEXEXTRACT(SUBSTITUTE(TRIM(F987)," ",""),"-?\d+(\.\d+)?$"))&lt;=180),"OK","REVISAR"),"REVISAR"),"")</f>
        <v/>
      </c>
      <c r="O987">
        <f>IF(A987&lt;&gt;"","https://direcciones507.github.io/direcciones507/panel.html?codigo="&amp;A987&amp;"&amp;nombre="&amp;ENCODEURL(B987)&amp;"&amp;telefono="&amp;SUBSTITUTE(C987,"-","")&amp;"&amp;referencia="&amp;ENCODEURL(E987)&amp;"&amp;lat="&amp;IZQUIERDA(SUBSTITUTE(F987," ",""),ENCONTRAR(",",SUBSTITUTE(F987," ",""))-1)&amp;"&amp;lng="&amp;DERECHA(SUBSTITUTE(F987," ",""),LARGO(SUBSTITUTE(F987," ",""))-ENCONTRAR(",",SUBSTITUTE(F987," ",""))),"")</f>
        <v/>
      </c>
    </row>
    <row r="988" ht="15.75" customHeight="1" s="10">
      <c r="A988" s="8">
        <f>CONCAT("AD507-",TEXT(ROW()-2,"0000"))</f>
        <v/>
      </c>
      <c r="C988" s="8" t="n"/>
      <c r="F988" s="8" t="n"/>
      <c r="G988" s="8">
        <f>IF(F988&lt;&gt;"",HYPERLINK("https://www.google.com/maps/search/?api=1&amp;query="&amp;SUBSTITUTE(F988," ",""),"🗺 Google Maps"),"")</f>
        <v/>
      </c>
      <c r="H988" s="8">
        <f>IF(F988&lt;&gt;"",HYPERLINK("https://waze.com/ul?ll="&amp;SUBSTITUTE(F988," ","")&amp;"&amp;navigate=yes","🚗 Waze"),"")</f>
        <v/>
      </c>
      <c r="I988" s="8">
        <f>IF(F988&lt;&gt;"",HYPERLINK("https://m.uber.com/ul/?action=setPickup&amp;pickup=my_location&amp;dropoff[latitude]="&amp;LEFT(SUBSTITUTE(F988," ",""),FIND(",",SUBSTITUTE(F988," ",""))-1)&amp;"&amp;dropoff[longitude]="&amp;MID(SUBSTITUTE(F988," ",""),FIND(",",SUBSTITUTE(F988," ",""))+1,99),"🚕 Uber"),"")</f>
        <v/>
      </c>
      <c r="J988" s="8">
        <f>IF(F988&lt;&gt;"","https://api.qrserver.com/v1/create-qr-code/?size=200x200&amp;data="&amp;ENCODEURL("https://www.google.com/maps/search/?api=1&amp;query="&amp;SUBSTITUTE(F988," ","")),"")</f>
        <v/>
      </c>
      <c r="K988" s="8">
        <f>IF(C988&lt;&gt;"",HYPERLINK("https://wa.me/507"&amp;REGEXREPLACE(C988,"[^0-9]","")&amp;"?text="&amp;ENCODEURL("Ya llegue. Codigo: "&amp;A988&amp;". Ubicacion: "&amp;"https://www.google.com/maps/search/?api=1&amp;query="&amp;SUBSTITUTE(F988," ","")),"📲 Avisar al cliente"),"")</f>
        <v/>
      </c>
      <c r="L988" s="8">
        <f>IF(C988&lt;&gt;"","https://api.qrserver.com/v1/create-qr-code/?size=200x200&amp;data="&amp;ENCODEURL("https://wa.me/507"&amp;REGEXREPLACE(C988,"[^0-9]","")&amp;"?text="&amp;ENCODEURL("Ya llegue. Codigo: "&amp;A988&amp;". Ubicacion: "&amp;"https://www.google.com/maps/search/?api=1&amp;query="&amp;SUBSTITUTE(F988," ",""))),"")</f>
        <v/>
      </c>
      <c r="M988" s="8">
        <f>IF(B988&lt;&gt;"",TODAY(),"")</f>
        <v/>
      </c>
      <c r="N988" s="8">
        <f>IF(F988&lt;&gt;"",IFERROR(IF(AND(REGEXMATCH(SUBSTITUTE(TRIM(F988)," ",""),"^-?\d+(\.\d+)?,-?\d+(\.\d+)?$"),VALUE(REGEXEXTRACT(SUBSTITUTE(TRIM(F988)," ",""),"^-?\d+(\.\d+)?"))&gt;=-90,VALUE(REGEXEXTRACT(SUBSTITUTE(TRIM(F988)," ",""),"^-?\d+(\.\d+)?"))&lt;=90,VALUE(REGEXEXTRACT(SUBSTITUTE(TRIM(F988)," ",""),"-?\d+(\.\d+)?$"))&gt;=-180,VALUE(REGEXEXTRACT(SUBSTITUTE(TRIM(F988)," ",""),"-?\d+(\.\d+)?$"))&lt;=180),"OK","REVISAR"),"REVISAR"),"")</f>
        <v/>
      </c>
      <c r="O988">
        <f>IF(A988&lt;&gt;"","https://direcciones507.github.io/direcciones507/panel.html?codigo="&amp;A988&amp;"&amp;nombre="&amp;ENCODEURL(B988)&amp;"&amp;telefono="&amp;SUBSTITUTE(C988,"-","")&amp;"&amp;referencia="&amp;ENCODEURL(E988)&amp;"&amp;lat="&amp;IZQUIERDA(SUBSTITUTE(F988," ",""),ENCONTRAR(",",SUBSTITUTE(F988," ",""))-1)&amp;"&amp;lng="&amp;DERECHA(SUBSTITUTE(F988," ",""),LARGO(SUBSTITUTE(F988," ",""))-ENCONTRAR(",",SUBSTITUTE(F988," ",""))),"")</f>
        <v/>
      </c>
    </row>
    <row r="989" ht="15.75" customHeight="1" s="10">
      <c r="A989" s="8">
        <f>CONCAT("AD507-",TEXT(ROW()-2,"0000"))</f>
        <v/>
      </c>
      <c r="C989" s="8" t="n"/>
      <c r="F989" s="8" t="n"/>
      <c r="G989" s="8">
        <f>IF(F989&lt;&gt;"",HYPERLINK("https://www.google.com/maps/search/?api=1&amp;query="&amp;SUBSTITUTE(F989," ",""),"🗺 Google Maps"),"")</f>
        <v/>
      </c>
      <c r="H989" s="8">
        <f>IF(F989&lt;&gt;"",HYPERLINK("https://waze.com/ul?ll="&amp;SUBSTITUTE(F989," ","")&amp;"&amp;navigate=yes","🚗 Waze"),"")</f>
        <v/>
      </c>
      <c r="I989" s="8">
        <f>IF(F989&lt;&gt;"",HYPERLINK("https://m.uber.com/ul/?action=setPickup&amp;pickup=my_location&amp;dropoff[latitude]="&amp;LEFT(SUBSTITUTE(F989," ",""),FIND(",",SUBSTITUTE(F989," ",""))-1)&amp;"&amp;dropoff[longitude]="&amp;MID(SUBSTITUTE(F989," ",""),FIND(",",SUBSTITUTE(F989," ",""))+1,99),"🚕 Uber"),"")</f>
        <v/>
      </c>
      <c r="J989" s="8">
        <f>IF(F989&lt;&gt;"","https://api.qrserver.com/v1/create-qr-code/?size=200x200&amp;data="&amp;ENCODEURL("https://www.google.com/maps/search/?api=1&amp;query="&amp;SUBSTITUTE(F989," ","")),"")</f>
        <v/>
      </c>
      <c r="K989" s="8">
        <f>IF(C989&lt;&gt;"",HYPERLINK("https://wa.me/507"&amp;REGEXREPLACE(C989,"[^0-9]","")&amp;"?text="&amp;ENCODEURL("Ya llegue. Codigo: "&amp;A989&amp;". Ubicacion: "&amp;"https://www.google.com/maps/search/?api=1&amp;query="&amp;SUBSTITUTE(F989," ","")),"📲 Avisar al cliente"),"")</f>
        <v/>
      </c>
      <c r="L989" s="8">
        <f>IF(C989&lt;&gt;"","https://api.qrserver.com/v1/create-qr-code/?size=200x200&amp;data="&amp;ENCODEURL("https://wa.me/507"&amp;REGEXREPLACE(C989,"[^0-9]","")&amp;"?text="&amp;ENCODEURL("Ya llegue. Codigo: "&amp;A989&amp;". Ubicacion: "&amp;"https://www.google.com/maps/search/?api=1&amp;query="&amp;SUBSTITUTE(F989," ",""))),"")</f>
        <v/>
      </c>
      <c r="M989" s="8">
        <f>IF(B989&lt;&gt;"",TODAY(),"")</f>
        <v/>
      </c>
      <c r="N989" s="8">
        <f>IF(F989&lt;&gt;"",IFERROR(IF(AND(REGEXMATCH(SUBSTITUTE(TRIM(F989)," ",""),"^-?\d+(\.\d+)?,-?\d+(\.\d+)?$"),VALUE(REGEXEXTRACT(SUBSTITUTE(TRIM(F989)," ",""),"^-?\d+(\.\d+)?"))&gt;=-90,VALUE(REGEXEXTRACT(SUBSTITUTE(TRIM(F989)," ",""),"^-?\d+(\.\d+)?"))&lt;=90,VALUE(REGEXEXTRACT(SUBSTITUTE(TRIM(F989)," ",""),"-?\d+(\.\d+)?$"))&gt;=-180,VALUE(REGEXEXTRACT(SUBSTITUTE(TRIM(F989)," ",""),"-?\d+(\.\d+)?$"))&lt;=180),"OK","REVISAR"),"REVISAR"),"")</f>
        <v/>
      </c>
      <c r="O989">
        <f>IF(A989&lt;&gt;"","https://direcciones507.github.io/direcciones507/panel.html?codigo="&amp;A989&amp;"&amp;nombre="&amp;ENCODEURL(B989)&amp;"&amp;telefono="&amp;SUBSTITUTE(C989,"-","")&amp;"&amp;referencia="&amp;ENCODEURL(E989)&amp;"&amp;lat="&amp;IZQUIERDA(SUBSTITUTE(F989," ",""),ENCONTRAR(",",SUBSTITUTE(F989," ",""))-1)&amp;"&amp;lng="&amp;DERECHA(SUBSTITUTE(F989," ",""),LARGO(SUBSTITUTE(F989," ",""))-ENCONTRAR(",",SUBSTITUTE(F989," ",""))),"")</f>
        <v/>
      </c>
    </row>
    <row r="990" ht="15.75" customHeight="1" s="10">
      <c r="A990" s="8">
        <f>CONCAT("AD507-",TEXT(ROW()-2,"0000"))</f>
        <v/>
      </c>
      <c r="C990" s="8" t="n"/>
      <c r="F990" s="8" t="n"/>
      <c r="G990" s="8">
        <f>IF(F990&lt;&gt;"",HYPERLINK("https://www.google.com/maps/search/?api=1&amp;query="&amp;SUBSTITUTE(F990," ",""),"🗺 Google Maps"),"")</f>
        <v/>
      </c>
      <c r="H990" s="8">
        <f>IF(F990&lt;&gt;"",HYPERLINK("https://waze.com/ul?ll="&amp;SUBSTITUTE(F990," ","")&amp;"&amp;navigate=yes","🚗 Waze"),"")</f>
        <v/>
      </c>
      <c r="I990" s="8">
        <f>IF(F990&lt;&gt;"",HYPERLINK("https://m.uber.com/ul/?action=setPickup&amp;pickup=my_location&amp;dropoff[latitude]="&amp;LEFT(SUBSTITUTE(F990," ",""),FIND(",",SUBSTITUTE(F990," ",""))-1)&amp;"&amp;dropoff[longitude]="&amp;MID(SUBSTITUTE(F990," ",""),FIND(",",SUBSTITUTE(F990," ",""))+1,99),"🚕 Uber"),"")</f>
        <v/>
      </c>
      <c r="J990" s="8">
        <f>IF(F990&lt;&gt;"","https://api.qrserver.com/v1/create-qr-code/?size=200x200&amp;data="&amp;ENCODEURL("https://www.google.com/maps/search/?api=1&amp;query="&amp;SUBSTITUTE(F990," ","")),"")</f>
        <v/>
      </c>
      <c r="K990" s="8">
        <f>IF(C990&lt;&gt;"",HYPERLINK("https://wa.me/507"&amp;REGEXREPLACE(C990,"[^0-9]","")&amp;"?text="&amp;ENCODEURL("Ya llegue. Codigo: "&amp;A990&amp;". Ubicacion: "&amp;"https://www.google.com/maps/search/?api=1&amp;query="&amp;SUBSTITUTE(F990," ","")),"📲 Avisar al cliente"),"")</f>
        <v/>
      </c>
      <c r="L990" s="8">
        <f>IF(C990&lt;&gt;"","https://api.qrserver.com/v1/create-qr-code/?size=200x200&amp;data="&amp;ENCODEURL("https://wa.me/507"&amp;REGEXREPLACE(C990,"[^0-9]","")&amp;"?text="&amp;ENCODEURL("Ya llegue. Codigo: "&amp;A990&amp;". Ubicacion: "&amp;"https://www.google.com/maps/search/?api=1&amp;query="&amp;SUBSTITUTE(F990," ",""))),"")</f>
        <v/>
      </c>
      <c r="M990" s="8">
        <f>IF(B990&lt;&gt;"",TODAY(),"")</f>
        <v/>
      </c>
      <c r="N990" s="8">
        <f>IF(F990&lt;&gt;"",IFERROR(IF(AND(REGEXMATCH(SUBSTITUTE(TRIM(F990)," ",""),"^-?\d+(\.\d+)?,-?\d+(\.\d+)?$"),VALUE(REGEXEXTRACT(SUBSTITUTE(TRIM(F990)," ",""),"^-?\d+(\.\d+)?"))&gt;=-90,VALUE(REGEXEXTRACT(SUBSTITUTE(TRIM(F990)," ",""),"^-?\d+(\.\d+)?"))&lt;=90,VALUE(REGEXEXTRACT(SUBSTITUTE(TRIM(F990)," ",""),"-?\d+(\.\d+)?$"))&gt;=-180,VALUE(REGEXEXTRACT(SUBSTITUTE(TRIM(F990)," ",""),"-?\d+(\.\d+)?$"))&lt;=180),"OK","REVISAR"),"REVISAR"),"")</f>
        <v/>
      </c>
      <c r="O990">
        <f>IF(A990&lt;&gt;"","https://direcciones507.github.io/direcciones507/panel.html?codigo="&amp;A990&amp;"&amp;nombre="&amp;ENCODEURL(B990)&amp;"&amp;telefono="&amp;SUBSTITUTE(C990,"-","")&amp;"&amp;referencia="&amp;ENCODEURL(E990)&amp;"&amp;lat="&amp;IZQUIERDA(SUBSTITUTE(F990," ",""),ENCONTRAR(",",SUBSTITUTE(F990," ",""))-1)&amp;"&amp;lng="&amp;DERECHA(SUBSTITUTE(F990," ",""),LARGO(SUBSTITUTE(F990," ",""))-ENCONTRAR(",",SUBSTITUTE(F990," ",""))),"")</f>
        <v/>
      </c>
    </row>
    <row r="991" ht="15.75" customHeight="1" s="10">
      <c r="A991" s="8">
        <f>CONCAT("AD507-",TEXT(ROW()-2,"0000"))</f>
        <v/>
      </c>
      <c r="C991" s="8" t="n"/>
      <c r="F991" s="8" t="n"/>
      <c r="G991" s="8">
        <f>IF(F991&lt;&gt;"",HYPERLINK("https://www.google.com/maps/search/?api=1&amp;query="&amp;SUBSTITUTE(F991," ",""),"🗺 Google Maps"),"")</f>
        <v/>
      </c>
      <c r="H991" s="8">
        <f>IF(F991&lt;&gt;"",HYPERLINK("https://waze.com/ul?ll="&amp;SUBSTITUTE(F991," ","")&amp;"&amp;navigate=yes","🚗 Waze"),"")</f>
        <v/>
      </c>
      <c r="I991" s="8">
        <f>IF(F991&lt;&gt;"",HYPERLINK("https://m.uber.com/ul/?action=setPickup&amp;pickup=my_location&amp;dropoff[latitude]="&amp;LEFT(SUBSTITUTE(F991," ",""),FIND(",",SUBSTITUTE(F991," ",""))-1)&amp;"&amp;dropoff[longitude]="&amp;MID(SUBSTITUTE(F991," ",""),FIND(",",SUBSTITUTE(F991," ",""))+1,99),"🚕 Uber"),"")</f>
        <v/>
      </c>
      <c r="J991" s="8">
        <f>IF(F991&lt;&gt;"","https://api.qrserver.com/v1/create-qr-code/?size=200x200&amp;data="&amp;ENCODEURL("https://www.google.com/maps/search/?api=1&amp;query="&amp;SUBSTITUTE(F991," ","")),"")</f>
        <v/>
      </c>
      <c r="K991" s="8">
        <f>IF(C991&lt;&gt;"",HYPERLINK("https://wa.me/507"&amp;REGEXREPLACE(C991,"[^0-9]","")&amp;"?text="&amp;ENCODEURL("Ya llegue. Codigo: "&amp;A991&amp;". Ubicacion: "&amp;"https://www.google.com/maps/search/?api=1&amp;query="&amp;SUBSTITUTE(F991," ","")),"📲 Avisar al cliente"),"")</f>
        <v/>
      </c>
      <c r="L991" s="8">
        <f>IF(C991&lt;&gt;"","https://api.qrserver.com/v1/create-qr-code/?size=200x200&amp;data="&amp;ENCODEURL("https://wa.me/507"&amp;REGEXREPLACE(C991,"[^0-9]","")&amp;"?text="&amp;ENCODEURL("Ya llegue. Codigo: "&amp;A991&amp;". Ubicacion: "&amp;"https://www.google.com/maps/search/?api=1&amp;query="&amp;SUBSTITUTE(F991," ",""))),"")</f>
        <v/>
      </c>
      <c r="M991" s="8">
        <f>IF(B991&lt;&gt;"",TODAY(),"")</f>
        <v/>
      </c>
      <c r="N991" s="8">
        <f>IF(F991&lt;&gt;"",IFERROR(IF(AND(REGEXMATCH(SUBSTITUTE(TRIM(F991)," ",""),"^-?\d+(\.\d+)?,-?\d+(\.\d+)?$"),VALUE(REGEXEXTRACT(SUBSTITUTE(TRIM(F991)," ",""),"^-?\d+(\.\d+)?"))&gt;=-90,VALUE(REGEXEXTRACT(SUBSTITUTE(TRIM(F991)," ",""),"^-?\d+(\.\d+)?"))&lt;=90,VALUE(REGEXEXTRACT(SUBSTITUTE(TRIM(F991)," ",""),"-?\d+(\.\d+)?$"))&gt;=-180,VALUE(REGEXEXTRACT(SUBSTITUTE(TRIM(F991)," ",""),"-?\d+(\.\d+)?$"))&lt;=180),"OK","REVISAR"),"REVISAR"),"")</f>
        <v/>
      </c>
      <c r="O991">
        <f>IF(A991&lt;&gt;"","https://direcciones507.github.io/direcciones507/panel.html?codigo="&amp;A991&amp;"&amp;nombre="&amp;ENCODEURL(B991)&amp;"&amp;telefono="&amp;SUBSTITUTE(C991,"-","")&amp;"&amp;referencia="&amp;ENCODEURL(E991)&amp;"&amp;lat="&amp;IZQUIERDA(SUBSTITUTE(F991," ",""),ENCONTRAR(",",SUBSTITUTE(F991," ",""))-1)&amp;"&amp;lng="&amp;DERECHA(SUBSTITUTE(F991," ",""),LARGO(SUBSTITUTE(F991," ",""))-ENCONTRAR(",",SUBSTITUTE(F991," ",""))),"")</f>
        <v/>
      </c>
    </row>
    <row r="992" ht="15.75" customHeight="1" s="10">
      <c r="A992" s="8">
        <f>CONCAT("AD507-",TEXT(ROW()-2,"0000"))</f>
        <v/>
      </c>
      <c r="C992" s="8" t="n"/>
      <c r="F992" s="8" t="n"/>
      <c r="G992" s="8">
        <f>IF(F992&lt;&gt;"",HYPERLINK("https://www.google.com/maps/search/?api=1&amp;query="&amp;SUBSTITUTE(F992," ",""),"🗺 Google Maps"),"")</f>
        <v/>
      </c>
      <c r="H992" s="8">
        <f>IF(F992&lt;&gt;"",HYPERLINK("https://waze.com/ul?ll="&amp;SUBSTITUTE(F992," ","")&amp;"&amp;navigate=yes","🚗 Waze"),"")</f>
        <v/>
      </c>
      <c r="I992" s="8">
        <f>IF(F992&lt;&gt;"",HYPERLINK("https://m.uber.com/ul/?action=setPickup&amp;pickup=my_location&amp;dropoff[latitude]="&amp;LEFT(SUBSTITUTE(F992," ",""),FIND(",",SUBSTITUTE(F992," ",""))-1)&amp;"&amp;dropoff[longitude]="&amp;MID(SUBSTITUTE(F992," ",""),FIND(",",SUBSTITUTE(F992," ",""))+1,99),"🚕 Uber"),"")</f>
        <v/>
      </c>
      <c r="J992" s="8">
        <f>IF(F992&lt;&gt;"","https://api.qrserver.com/v1/create-qr-code/?size=200x200&amp;data="&amp;ENCODEURL("https://www.google.com/maps/search/?api=1&amp;query="&amp;SUBSTITUTE(F992," ","")),"")</f>
        <v/>
      </c>
      <c r="K992" s="8">
        <f>IF(C992&lt;&gt;"",HYPERLINK("https://wa.me/507"&amp;REGEXREPLACE(C992,"[^0-9]","")&amp;"?text="&amp;ENCODEURL("Ya llegue. Codigo: "&amp;A992&amp;". Ubicacion: "&amp;"https://www.google.com/maps/search/?api=1&amp;query="&amp;SUBSTITUTE(F992," ","")),"📲 Avisar al cliente"),"")</f>
        <v/>
      </c>
      <c r="L992" s="8">
        <f>IF(C992&lt;&gt;"","https://api.qrserver.com/v1/create-qr-code/?size=200x200&amp;data="&amp;ENCODEURL("https://wa.me/507"&amp;REGEXREPLACE(C992,"[^0-9]","")&amp;"?text="&amp;ENCODEURL("Ya llegue. Codigo: "&amp;A992&amp;". Ubicacion: "&amp;"https://www.google.com/maps/search/?api=1&amp;query="&amp;SUBSTITUTE(F992," ",""))),"")</f>
        <v/>
      </c>
      <c r="M992" s="8">
        <f>IF(B992&lt;&gt;"",TODAY(),"")</f>
        <v/>
      </c>
      <c r="N992" s="8">
        <f>IF(F992&lt;&gt;"",IFERROR(IF(AND(REGEXMATCH(SUBSTITUTE(TRIM(F992)," ",""),"^-?\d+(\.\d+)?,-?\d+(\.\d+)?$"),VALUE(REGEXEXTRACT(SUBSTITUTE(TRIM(F992)," ",""),"^-?\d+(\.\d+)?"))&gt;=-90,VALUE(REGEXEXTRACT(SUBSTITUTE(TRIM(F992)," ",""),"^-?\d+(\.\d+)?"))&lt;=90,VALUE(REGEXEXTRACT(SUBSTITUTE(TRIM(F992)," ",""),"-?\d+(\.\d+)?$"))&gt;=-180,VALUE(REGEXEXTRACT(SUBSTITUTE(TRIM(F992)," ",""),"-?\d+(\.\d+)?$"))&lt;=180),"OK","REVISAR"),"REVISAR"),"")</f>
        <v/>
      </c>
      <c r="O992">
        <f>IF(A992&lt;&gt;"","https://direcciones507.github.io/direcciones507/panel.html?codigo="&amp;A992&amp;"&amp;nombre="&amp;ENCODEURL(B992)&amp;"&amp;telefono="&amp;SUBSTITUTE(C992,"-","")&amp;"&amp;referencia="&amp;ENCODEURL(E992)&amp;"&amp;lat="&amp;IZQUIERDA(SUBSTITUTE(F992," ",""),ENCONTRAR(",",SUBSTITUTE(F992," ",""))-1)&amp;"&amp;lng="&amp;DERECHA(SUBSTITUTE(F992," ",""),LARGO(SUBSTITUTE(F992," ",""))-ENCONTRAR(",",SUBSTITUTE(F992," ",""))),"")</f>
        <v/>
      </c>
    </row>
    <row r="993" ht="15.75" customHeight="1" s="10">
      <c r="A993" s="8">
        <f>CONCAT("AD507-",TEXT(ROW()-2,"0000"))</f>
        <v/>
      </c>
      <c r="C993" s="8" t="n"/>
      <c r="F993" s="8" t="n"/>
      <c r="G993" s="8">
        <f>IF(F993&lt;&gt;"",HYPERLINK("https://www.google.com/maps/search/?api=1&amp;query="&amp;SUBSTITUTE(F993," ",""),"🗺 Google Maps"),"")</f>
        <v/>
      </c>
      <c r="H993" s="8">
        <f>IF(F993&lt;&gt;"",HYPERLINK("https://waze.com/ul?ll="&amp;SUBSTITUTE(F993," ","")&amp;"&amp;navigate=yes","🚗 Waze"),"")</f>
        <v/>
      </c>
      <c r="I993" s="8">
        <f>IF(F993&lt;&gt;"",HYPERLINK("https://m.uber.com/ul/?action=setPickup&amp;pickup=my_location&amp;dropoff[latitude]="&amp;LEFT(SUBSTITUTE(F993," ",""),FIND(",",SUBSTITUTE(F993," ",""))-1)&amp;"&amp;dropoff[longitude]="&amp;MID(SUBSTITUTE(F993," ",""),FIND(",",SUBSTITUTE(F993," ",""))+1,99),"🚕 Uber"),"")</f>
        <v/>
      </c>
      <c r="J993" s="8">
        <f>IF(F993&lt;&gt;"","https://api.qrserver.com/v1/create-qr-code/?size=200x200&amp;data="&amp;ENCODEURL("https://www.google.com/maps/search/?api=1&amp;query="&amp;SUBSTITUTE(F993," ","")),"")</f>
        <v/>
      </c>
      <c r="K993" s="8">
        <f>IF(C993&lt;&gt;"",HYPERLINK("https://wa.me/507"&amp;REGEXREPLACE(C993,"[^0-9]","")&amp;"?text="&amp;ENCODEURL("Ya llegue. Codigo: "&amp;A993&amp;". Ubicacion: "&amp;"https://www.google.com/maps/search/?api=1&amp;query="&amp;SUBSTITUTE(F993," ","")),"📲 Avisar al cliente"),"")</f>
        <v/>
      </c>
      <c r="L993" s="8">
        <f>IF(C993&lt;&gt;"","https://api.qrserver.com/v1/create-qr-code/?size=200x200&amp;data="&amp;ENCODEURL("https://wa.me/507"&amp;REGEXREPLACE(C993,"[^0-9]","")&amp;"?text="&amp;ENCODEURL("Ya llegue. Codigo: "&amp;A993&amp;". Ubicacion: "&amp;"https://www.google.com/maps/search/?api=1&amp;query="&amp;SUBSTITUTE(F993," ",""))),"")</f>
        <v/>
      </c>
      <c r="M993" s="8">
        <f>IF(B993&lt;&gt;"",TODAY(),"")</f>
        <v/>
      </c>
      <c r="N993" s="8">
        <f>IF(F993&lt;&gt;"",IFERROR(IF(AND(REGEXMATCH(SUBSTITUTE(TRIM(F993)," ",""),"^-?\d+(\.\d+)?,-?\d+(\.\d+)?$"),VALUE(REGEXEXTRACT(SUBSTITUTE(TRIM(F993)," ",""),"^-?\d+(\.\d+)?"))&gt;=-90,VALUE(REGEXEXTRACT(SUBSTITUTE(TRIM(F993)," ",""),"^-?\d+(\.\d+)?"))&lt;=90,VALUE(REGEXEXTRACT(SUBSTITUTE(TRIM(F993)," ",""),"-?\d+(\.\d+)?$"))&gt;=-180,VALUE(REGEXEXTRACT(SUBSTITUTE(TRIM(F993)," ",""),"-?\d+(\.\d+)?$"))&lt;=180),"OK","REVISAR"),"REVISAR"),"")</f>
        <v/>
      </c>
      <c r="O993">
        <f>IF(A993&lt;&gt;"","https://direcciones507.github.io/direcciones507/panel.html?codigo="&amp;A993&amp;"&amp;nombre="&amp;ENCODEURL(B993)&amp;"&amp;telefono="&amp;SUBSTITUTE(C993,"-","")&amp;"&amp;referencia="&amp;ENCODEURL(E993)&amp;"&amp;lat="&amp;IZQUIERDA(SUBSTITUTE(F993," ",""),ENCONTRAR(",",SUBSTITUTE(F993," ",""))-1)&amp;"&amp;lng="&amp;DERECHA(SUBSTITUTE(F993," ",""),LARGO(SUBSTITUTE(F993," ",""))-ENCONTRAR(",",SUBSTITUTE(F993," ",""))),"")</f>
        <v/>
      </c>
    </row>
    <row r="994" ht="15.75" customHeight="1" s="10">
      <c r="A994" s="8">
        <f>CONCAT("AD507-",TEXT(ROW()-2,"0000"))</f>
        <v/>
      </c>
      <c r="C994" s="8" t="n"/>
      <c r="F994" s="8" t="n"/>
      <c r="G994" s="8">
        <f>IF(F994&lt;&gt;"",HYPERLINK("https://www.google.com/maps/search/?api=1&amp;query="&amp;SUBSTITUTE(F994," ",""),"🗺 Google Maps"),"")</f>
        <v/>
      </c>
      <c r="H994" s="8">
        <f>IF(F994&lt;&gt;"",HYPERLINK("https://waze.com/ul?ll="&amp;SUBSTITUTE(F994," ","")&amp;"&amp;navigate=yes","🚗 Waze"),"")</f>
        <v/>
      </c>
      <c r="I994" s="8">
        <f>IF(F994&lt;&gt;"",HYPERLINK("https://m.uber.com/ul/?action=setPickup&amp;pickup=my_location&amp;dropoff[latitude]="&amp;LEFT(SUBSTITUTE(F994," ",""),FIND(",",SUBSTITUTE(F994," ",""))-1)&amp;"&amp;dropoff[longitude]="&amp;MID(SUBSTITUTE(F994," ",""),FIND(",",SUBSTITUTE(F994," ",""))+1,99),"🚕 Uber"),"")</f>
        <v/>
      </c>
      <c r="J994" s="8">
        <f>IF(F994&lt;&gt;"","https://api.qrserver.com/v1/create-qr-code/?size=200x200&amp;data="&amp;ENCODEURL("https://www.google.com/maps/search/?api=1&amp;query="&amp;SUBSTITUTE(F994," ","")),"")</f>
        <v/>
      </c>
      <c r="K994" s="8">
        <f>IF(C994&lt;&gt;"",HYPERLINK("https://wa.me/507"&amp;REGEXREPLACE(C994,"[^0-9]","")&amp;"?text="&amp;ENCODEURL("Ya llegue. Codigo: "&amp;A994&amp;". Ubicacion: "&amp;"https://www.google.com/maps/search/?api=1&amp;query="&amp;SUBSTITUTE(F994," ","")),"📲 Avisar al cliente"),"")</f>
        <v/>
      </c>
      <c r="L994" s="8">
        <f>IF(C994&lt;&gt;"","https://api.qrserver.com/v1/create-qr-code/?size=200x200&amp;data="&amp;ENCODEURL("https://wa.me/507"&amp;REGEXREPLACE(C994,"[^0-9]","")&amp;"?text="&amp;ENCODEURL("Ya llegue. Codigo: "&amp;A994&amp;". Ubicacion: "&amp;"https://www.google.com/maps/search/?api=1&amp;query="&amp;SUBSTITUTE(F994," ",""))),"")</f>
        <v/>
      </c>
      <c r="M994" s="8">
        <f>IF(B994&lt;&gt;"",TODAY(),"")</f>
        <v/>
      </c>
      <c r="N994" s="8">
        <f>IF(F994&lt;&gt;"",IFERROR(IF(AND(REGEXMATCH(SUBSTITUTE(TRIM(F994)," ",""),"^-?\d+(\.\d+)?,-?\d+(\.\d+)?$"),VALUE(REGEXEXTRACT(SUBSTITUTE(TRIM(F994)," ",""),"^-?\d+(\.\d+)?"))&gt;=-90,VALUE(REGEXEXTRACT(SUBSTITUTE(TRIM(F994)," ",""),"^-?\d+(\.\d+)?"))&lt;=90,VALUE(REGEXEXTRACT(SUBSTITUTE(TRIM(F994)," ",""),"-?\d+(\.\d+)?$"))&gt;=-180,VALUE(REGEXEXTRACT(SUBSTITUTE(TRIM(F994)," ",""),"-?\d+(\.\d+)?$"))&lt;=180),"OK","REVISAR"),"REVISAR"),"")</f>
        <v/>
      </c>
      <c r="O994">
        <f>IF(A994&lt;&gt;"","https://direcciones507.github.io/direcciones507/panel.html?codigo="&amp;A994&amp;"&amp;nombre="&amp;ENCODEURL(B994)&amp;"&amp;telefono="&amp;SUBSTITUTE(C994,"-","")&amp;"&amp;referencia="&amp;ENCODEURL(E994)&amp;"&amp;lat="&amp;IZQUIERDA(SUBSTITUTE(F994," ",""),ENCONTRAR(",",SUBSTITUTE(F994," ",""))-1)&amp;"&amp;lng="&amp;DERECHA(SUBSTITUTE(F994," ",""),LARGO(SUBSTITUTE(F994," ",""))-ENCONTRAR(",",SUBSTITUTE(F994," ",""))),"")</f>
        <v/>
      </c>
    </row>
    <row r="995" ht="15.75" customHeight="1" s="10">
      <c r="A995" s="8">
        <f>CONCAT("AD507-",TEXT(ROW()-2,"0000"))</f>
        <v/>
      </c>
      <c r="C995" s="8" t="n"/>
      <c r="F995" s="8" t="n"/>
      <c r="G995" s="8">
        <f>IF(F995&lt;&gt;"",HYPERLINK("https://www.google.com/maps/search/?api=1&amp;query="&amp;SUBSTITUTE(F995," ",""),"🗺 Google Maps"),"")</f>
        <v/>
      </c>
      <c r="H995" s="8">
        <f>IF(F995&lt;&gt;"",HYPERLINK("https://waze.com/ul?ll="&amp;SUBSTITUTE(F995," ","")&amp;"&amp;navigate=yes","🚗 Waze"),"")</f>
        <v/>
      </c>
      <c r="I995" s="8">
        <f>IF(F995&lt;&gt;"",HYPERLINK("https://m.uber.com/ul/?action=setPickup&amp;pickup=my_location&amp;dropoff[latitude]="&amp;LEFT(SUBSTITUTE(F995," ",""),FIND(",",SUBSTITUTE(F995," ",""))-1)&amp;"&amp;dropoff[longitude]="&amp;MID(SUBSTITUTE(F995," ",""),FIND(",",SUBSTITUTE(F995," ",""))+1,99),"🚕 Uber"),"")</f>
        <v/>
      </c>
      <c r="J995" s="8">
        <f>IF(F995&lt;&gt;"","https://api.qrserver.com/v1/create-qr-code/?size=200x200&amp;data="&amp;ENCODEURL("https://www.google.com/maps/search/?api=1&amp;query="&amp;SUBSTITUTE(F995," ","")),"")</f>
        <v/>
      </c>
      <c r="K995" s="8">
        <f>IF(C995&lt;&gt;"",HYPERLINK("https://wa.me/507"&amp;REGEXREPLACE(C995,"[^0-9]","")&amp;"?text="&amp;ENCODEURL("Ya llegue. Codigo: "&amp;A995&amp;". Ubicacion: "&amp;"https://www.google.com/maps/search/?api=1&amp;query="&amp;SUBSTITUTE(F995," ","")),"📲 Avisar al cliente"),"")</f>
        <v/>
      </c>
      <c r="L995" s="8">
        <f>IF(C995&lt;&gt;"","https://api.qrserver.com/v1/create-qr-code/?size=200x200&amp;data="&amp;ENCODEURL("https://wa.me/507"&amp;REGEXREPLACE(C995,"[^0-9]","")&amp;"?text="&amp;ENCODEURL("Ya llegue. Codigo: "&amp;A995&amp;". Ubicacion: "&amp;"https://www.google.com/maps/search/?api=1&amp;query="&amp;SUBSTITUTE(F995," ",""))),"")</f>
        <v/>
      </c>
      <c r="M995" s="8">
        <f>IF(B995&lt;&gt;"",TODAY(),"")</f>
        <v/>
      </c>
      <c r="N995" s="8">
        <f>IF(F995&lt;&gt;"",IFERROR(IF(AND(REGEXMATCH(SUBSTITUTE(TRIM(F995)," ",""),"^-?\d+(\.\d+)?,-?\d+(\.\d+)?$"),VALUE(REGEXEXTRACT(SUBSTITUTE(TRIM(F995)," ",""),"^-?\d+(\.\d+)?"))&gt;=-90,VALUE(REGEXEXTRACT(SUBSTITUTE(TRIM(F995)," ",""),"^-?\d+(\.\d+)?"))&lt;=90,VALUE(REGEXEXTRACT(SUBSTITUTE(TRIM(F995)," ",""),"-?\d+(\.\d+)?$"))&gt;=-180,VALUE(REGEXEXTRACT(SUBSTITUTE(TRIM(F995)," ",""),"-?\d+(\.\d+)?$"))&lt;=180),"OK","REVISAR"),"REVISAR"),"")</f>
        <v/>
      </c>
      <c r="O995">
        <f>IF(A995&lt;&gt;"","https://direcciones507.github.io/direcciones507/panel.html?codigo="&amp;A995&amp;"&amp;nombre="&amp;ENCODEURL(B995)&amp;"&amp;telefono="&amp;SUBSTITUTE(C995,"-","")&amp;"&amp;referencia="&amp;ENCODEURL(E995)&amp;"&amp;lat="&amp;IZQUIERDA(SUBSTITUTE(F995," ",""),ENCONTRAR(",",SUBSTITUTE(F995," ",""))-1)&amp;"&amp;lng="&amp;DERECHA(SUBSTITUTE(F995," ",""),LARGO(SUBSTITUTE(F995," ",""))-ENCONTRAR(",",SUBSTITUTE(F995," ",""))),"")</f>
        <v/>
      </c>
    </row>
    <row r="996" ht="15.75" customHeight="1" s="10">
      <c r="A996" s="8">
        <f>CONCAT("AD507-",TEXT(ROW()-2,"0000"))</f>
        <v/>
      </c>
      <c r="C996" s="8" t="n"/>
      <c r="F996" s="8" t="n"/>
      <c r="G996" s="8">
        <f>IF(F996&lt;&gt;"",HYPERLINK("https://www.google.com/maps/search/?api=1&amp;query="&amp;SUBSTITUTE(F996," ",""),"🗺 Google Maps"),"")</f>
        <v/>
      </c>
      <c r="H996" s="8">
        <f>IF(F996&lt;&gt;"",HYPERLINK("https://waze.com/ul?ll="&amp;SUBSTITUTE(F996," ","")&amp;"&amp;navigate=yes","🚗 Waze"),"")</f>
        <v/>
      </c>
      <c r="I996" s="8">
        <f>IF(F996&lt;&gt;"",HYPERLINK("https://m.uber.com/ul/?action=setPickup&amp;pickup=my_location&amp;dropoff[latitude]="&amp;LEFT(SUBSTITUTE(F996," ",""),FIND(",",SUBSTITUTE(F996," ",""))-1)&amp;"&amp;dropoff[longitude]="&amp;MID(SUBSTITUTE(F996," ",""),FIND(",",SUBSTITUTE(F996," ",""))+1,99),"🚕 Uber"),"")</f>
        <v/>
      </c>
      <c r="J996" s="8">
        <f>IF(F996&lt;&gt;"","https://api.qrserver.com/v1/create-qr-code/?size=200x200&amp;data="&amp;ENCODEURL("https://www.google.com/maps/search/?api=1&amp;query="&amp;SUBSTITUTE(F996," ","")),"")</f>
        <v/>
      </c>
      <c r="K996" s="8">
        <f>IF(C996&lt;&gt;"",HYPERLINK("https://wa.me/507"&amp;REGEXREPLACE(C996,"[^0-9]","")&amp;"?text="&amp;ENCODEURL("Ya llegue. Codigo: "&amp;A996&amp;". Ubicacion: "&amp;"https://www.google.com/maps/search/?api=1&amp;query="&amp;SUBSTITUTE(F996," ","")),"📲 Avisar al cliente"),"")</f>
        <v/>
      </c>
      <c r="L996" s="8">
        <f>IF(C996&lt;&gt;"","https://api.qrserver.com/v1/create-qr-code/?size=200x200&amp;data="&amp;ENCODEURL("https://wa.me/507"&amp;REGEXREPLACE(C996,"[^0-9]","")&amp;"?text="&amp;ENCODEURL("Ya llegue. Codigo: "&amp;A996&amp;". Ubicacion: "&amp;"https://www.google.com/maps/search/?api=1&amp;query="&amp;SUBSTITUTE(F996," ",""))),"")</f>
        <v/>
      </c>
      <c r="M996" s="8">
        <f>IF(B996&lt;&gt;"",TODAY(),"")</f>
        <v/>
      </c>
      <c r="N996" s="8">
        <f>IF(F996&lt;&gt;"",IFERROR(IF(AND(REGEXMATCH(SUBSTITUTE(TRIM(F996)," ",""),"^-?\d+(\.\d+)?,-?\d+(\.\d+)?$"),VALUE(REGEXEXTRACT(SUBSTITUTE(TRIM(F996)," ",""),"^-?\d+(\.\d+)?"))&gt;=-90,VALUE(REGEXEXTRACT(SUBSTITUTE(TRIM(F996)," ",""),"^-?\d+(\.\d+)?"))&lt;=90,VALUE(REGEXEXTRACT(SUBSTITUTE(TRIM(F996)," ",""),"-?\d+(\.\d+)?$"))&gt;=-180,VALUE(REGEXEXTRACT(SUBSTITUTE(TRIM(F996)," ",""),"-?\d+(\.\d+)?$"))&lt;=180),"OK","REVISAR"),"REVISAR"),"")</f>
        <v/>
      </c>
      <c r="O996">
        <f>IF(A996&lt;&gt;"","https://direcciones507.github.io/direcciones507/panel.html?codigo="&amp;A996&amp;"&amp;nombre="&amp;ENCODEURL(B996)&amp;"&amp;telefono="&amp;SUBSTITUTE(C996,"-","")&amp;"&amp;referencia="&amp;ENCODEURL(E996)&amp;"&amp;lat="&amp;IZQUIERDA(SUBSTITUTE(F996," ",""),ENCONTRAR(",",SUBSTITUTE(F996," ",""))-1)&amp;"&amp;lng="&amp;DERECHA(SUBSTITUTE(F996," ",""),LARGO(SUBSTITUTE(F996," ",""))-ENCONTRAR(",",SUBSTITUTE(F996," ",""))),"")</f>
        <v/>
      </c>
    </row>
    <row r="997" ht="15.75" customHeight="1" s="10">
      <c r="A997" s="8">
        <f>CONCAT("AD507-",TEXT(ROW()-2,"0000"))</f>
        <v/>
      </c>
      <c r="C997" s="8" t="n"/>
      <c r="F997" s="8" t="n"/>
      <c r="G997" s="8">
        <f>IF(F997&lt;&gt;"",HYPERLINK("https://www.google.com/maps/search/?api=1&amp;query="&amp;SUBSTITUTE(F997," ",""),"🗺 Google Maps"),"")</f>
        <v/>
      </c>
      <c r="H997" s="8">
        <f>IF(F997&lt;&gt;"",HYPERLINK("https://waze.com/ul?ll="&amp;SUBSTITUTE(F997," ","")&amp;"&amp;navigate=yes","🚗 Waze"),"")</f>
        <v/>
      </c>
      <c r="I997" s="8">
        <f>IF(F997&lt;&gt;"",HYPERLINK("https://m.uber.com/ul/?action=setPickup&amp;pickup=my_location&amp;dropoff[latitude]="&amp;LEFT(SUBSTITUTE(F997," ",""),FIND(",",SUBSTITUTE(F997," ",""))-1)&amp;"&amp;dropoff[longitude]="&amp;MID(SUBSTITUTE(F997," ",""),FIND(",",SUBSTITUTE(F997," ",""))+1,99),"🚕 Uber"),"")</f>
        <v/>
      </c>
      <c r="J997" s="8">
        <f>IF(F997&lt;&gt;"","https://api.qrserver.com/v1/create-qr-code/?size=200x200&amp;data="&amp;ENCODEURL("https://www.google.com/maps/search/?api=1&amp;query="&amp;SUBSTITUTE(F997," ","")),"")</f>
        <v/>
      </c>
      <c r="K997" s="8">
        <f>IF(C997&lt;&gt;"",HYPERLINK("https://wa.me/507"&amp;REGEXREPLACE(C997,"[^0-9]","")&amp;"?text="&amp;ENCODEURL("Ya llegue. Codigo: "&amp;A997&amp;". Ubicacion: "&amp;"https://www.google.com/maps/search/?api=1&amp;query="&amp;SUBSTITUTE(F997," ","")),"📲 Avisar al cliente"),"")</f>
        <v/>
      </c>
      <c r="L997" s="8">
        <f>IF(C997&lt;&gt;"","https://api.qrserver.com/v1/create-qr-code/?size=200x200&amp;data="&amp;ENCODEURL("https://wa.me/507"&amp;REGEXREPLACE(C997,"[^0-9]","")&amp;"?text="&amp;ENCODEURL("Ya llegue. Codigo: "&amp;A997&amp;". Ubicacion: "&amp;"https://www.google.com/maps/search/?api=1&amp;query="&amp;SUBSTITUTE(F997," ",""))),"")</f>
        <v/>
      </c>
      <c r="M997" s="8">
        <f>IF(B997&lt;&gt;"",TODAY(),"")</f>
        <v/>
      </c>
      <c r="N997" s="8">
        <f>IF(F997&lt;&gt;"",IFERROR(IF(AND(REGEXMATCH(SUBSTITUTE(TRIM(F997)," ",""),"^-?\d+(\.\d+)?,-?\d+(\.\d+)?$"),VALUE(REGEXEXTRACT(SUBSTITUTE(TRIM(F997)," ",""),"^-?\d+(\.\d+)?"))&gt;=-90,VALUE(REGEXEXTRACT(SUBSTITUTE(TRIM(F997)," ",""),"^-?\d+(\.\d+)?"))&lt;=90,VALUE(REGEXEXTRACT(SUBSTITUTE(TRIM(F997)," ",""),"-?\d+(\.\d+)?$"))&gt;=-180,VALUE(REGEXEXTRACT(SUBSTITUTE(TRIM(F997)," ",""),"-?\d+(\.\d+)?$"))&lt;=180),"OK","REVISAR"),"REVISAR"),"")</f>
        <v/>
      </c>
      <c r="O997">
        <f>IF(A997&lt;&gt;"","https://direcciones507.github.io/direcciones507/panel.html?codigo="&amp;A997&amp;"&amp;nombre="&amp;ENCODEURL(B997)&amp;"&amp;telefono="&amp;SUBSTITUTE(C997,"-","")&amp;"&amp;referencia="&amp;ENCODEURL(E997)&amp;"&amp;lat="&amp;IZQUIERDA(SUBSTITUTE(F997," ",""),ENCONTRAR(",",SUBSTITUTE(F997," ",""))-1)&amp;"&amp;lng="&amp;DERECHA(SUBSTITUTE(F997," ",""),LARGO(SUBSTITUTE(F997," ",""))-ENCONTRAR(",",SUBSTITUTE(F997," ",""))),"")</f>
        <v/>
      </c>
    </row>
    <row r="998" ht="15.75" customHeight="1" s="10">
      <c r="A998" s="8">
        <f>CONCAT("AD507-",TEXT(ROW()-2,"0000"))</f>
        <v/>
      </c>
      <c r="C998" s="8" t="n"/>
      <c r="F998" s="8" t="n"/>
      <c r="G998" s="8">
        <f>IF(F998&lt;&gt;"",HYPERLINK("https://www.google.com/maps/search/?api=1&amp;query="&amp;SUBSTITUTE(F998," ",""),"🗺 Google Maps"),"")</f>
        <v/>
      </c>
      <c r="H998" s="8">
        <f>IF(F998&lt;&gt;"",HYPERLINK("https://waze.com/ul?ll="&amp;SUBSTITUTE(F998," ","")&amp;"&amp;navigate=yes","🚗 Waze"),"")</f>
        <v/>
      </c>
      <c r="I998" s="8">
        <f>IF(F998&lt;&gt;"",HYPERLINK("https://m.uber.com/ul/?action=setPickup&amp;pickup=my_location&amp;dropoff[latitude]="&amp;LEFT(SUBSTITUTE(F998," ",""),FIND(",",SUBSTITUTE(F998," ",""))-1)&amp;"&amp;dropoff[longitude]="&amp;MID(SUBSTITUTE(F998," ",""),FIND(",",SUBSTITUTE(F998," ",""))+1,99),"🚕 Uber"),"")</f>
        <v/>
      </c>
      <c r="J998" s="8">
        <f>IF(F998&lt;&gt;"","https://api.qrserver.com/v1/create-qr-code/?size=200x200&amp;data="&amp;ENCODEURL("https://www.google.com/maps/search/?api=1&amp;query="&amp;SUBSTITUTE(F998," ","")),"")</f>
        <v/>
      </c>
      <c r="K998" s="8">
        <f>IF(C998&lt;&gt;"",HYPERLINK("https://wa.me/507"&amp;REGEXREPLACE(C998,"[^0-9]","")&amp;"?text="&amp;ENCODEURL("Ya llegue. Codigo: "&amp;A998&amp;". Ubicacion: "&amp;"https://www.google.com/maps/search/?api=1&amp;query="&amp;SUBSTITUTE(F998," ","")),"📲 Avisar al cliente"),"")</f>
        <v/>
      </c>
      <c r="L998" s="8">
        <f>IF(C998&lt;&gt;"","https://api.qrserver.com/v1/create-qr-code/?size=200x200&amp;data="&amp;ENCODEURL("https://wa.me/507"&amp;REGEXREPLACE(C998,"[^0-9]","")&amp;"?text="&amp;ENCODEURL("Ya llegue. Codigo: "&amp;A998&amp;". Ubicacion: "&amp;"https://www.google.com/maps/search/?api=1&amp;query="&amp;SUBSTITUTE(F998," ",""))),"")</f>
        <v/>
      </c>
      <c r="M998" s="8">
        <f>IF(B998&lt;&gt;"",TODAY(),"")</f>
        <v/>
      </c>
      <c r="N998" s="8">
        <f>IF(F998&lt;&gt;"",IFERROR(IF(AND(REGEXMATCH(SUBSTITUTE(TRIM(F998)," ",""),"^-?\d+(\.\d+)?,-?\d+(\.\d+)?$"),VALUE(REGEXEXTRACT(SUBSTITUTE(TRIM(F998)," ",""),"^-?\d+(\.\d+)?"))&gt;=-90,VALUE(REGEXEXTRACT(SUBSTITUTE(TRIM(F998)," ",""),"^-?\d+(\.\d+)?"))&lt;=90,VALUE(REGEXEXTRACT(SUBSTITUTE(TRIM(F998)," ",""),"-?\d+(\.\d+)?$"))&gt;=-180,VALUE(REGEXEXTRACT(SUBSTITUTE(TRIM(F998)," ",""),"-?\d+(\.\d+)?$"))&lt;=180),"OK","REVISAR"),"REVISAR"),"")</f>
        <v/>
      </c>
      <c r="O998">
        <f>IF(A998&lt;&gt;"","https://direcciones507.github.io/direcciones507/panel.html?codigo="&amp;A998&amp;"&amp;nombre="&amp;ENCODEURL(B998)&amp;"&amp;telefono="&amp;SUBSTITUTE(C998,"-","")&amp;"&amp;referencia="&amp;ENCODEURL(E998)&amp;"&amp;lat="&amp;IZQUIERDA(SUBSTITUTE(F998," ",""),ENCONTRAR(",",SUBSTITUTE(F998," ",""))-1)&amp;"&amp;lng="&amp;DERECHA(SUBSTITUTE(F998," ",""),LARGO(SUBSTITUTE(F998," ",""))-ENCONTRAR(",",SUBSTITUTE(F998," ",""))),"")</f>
        <v/>
      </c>
    </row>
    <row r="999" ht="15.75" customHeight="1" s="10">
      <c r="A999" s="8">
        <f>CONCAT("AD507-",TEXT(ROW()-2,"0000"))</f>
        <v/>
      </c>
      <c r="C999" s="8" t="n"/>
      <c r="F999" s="8" t="n"/>
      <c r="G999" s="8">
        <f>IF(F999&lt;&gt;"",HYPERLINK("https://www.google.com/maps/search/?api=1&amp;query="&amp;SUBSTITUTE(F999," ",""),"🗺 Google Maps"),"")</f>
        <v/>
      </c>
      <c r="H999" s="8">
        <f>IF(F999&lt;&gt;"",HYPERLINK("https://waze.com/ul?ll="&amp;SUBSTITUTE(F999," ","")&amp;"&amp;navigate=yes","🚗 Waze"),"")</f>
        <v/>
      </c>
      <c r="I999" s="8">
        <f>IF(F999&lt;&gt;"",HYPERLINK("https://m.uber.com/ul/?action=setPickup&amp;pickup=my_location&amp;dropoff[latitude]="&amp;LEFT(SUBSTITUTE(F999," ",""),FIND(",",SUBSTITUTE(F999," ",""))-1)&amp;"&amp;dropoff[longitude]="&amp;MID(SUBSTITUTE(F999," ",""),FIND(",",SUBSTITUTE(F999," ",""))+1,99),"🚕 Uber"),"")</f>
        <v/>
      </c>
      <c r="J999" s="8">
        <f>IF(F999&lt;&gt;"","https://api.qrserver.com/v1/create-qr-code/?size=200x200&amp;data="&amp;ENCODEURL("https://www.google.com/maps/search/?api=1&amp;query="&amp;SUBSTITUTE(F999," ","")),"")</f>
        <v/>
      </c>
      <c r="K999" s="8">
        <f>IF(C999&lt;&gt;"",HYPERLINK("https://wa.me/507"&amp;REGEXREPLACE(C999,"[^0-9]","")&amp;"?text="&amp;ENCODEURL("Ya llegue. Codigo: "&amp;A999&amp;". Ubicacion: "&amp;"https://www.google.com/maps/search/?api=1&amp;query="&amp;SUBSTITUTE(F999," ","")),"📲 Avisar al cliente"),"")</f>
        <v/>
      </c>
      <c r="L999" s="8">
        <f>IF(C999&lt;&gt;"","https://api.qrserver.com/v1/create-qr-code/?size=200x200&amp;data="&amp;ENCODEURL("https://wa.me/507"&amp;REGEXREPLACE(C999,"[^0-9]","")&amp;"?text="&amp;ENCODEURL("Ya llegue. Codigo: "&amp;A999&amp;". Ubicacion: "&amp;"https://www.google.com/maps/search/?api=1&amp;query="&amp;SUBSTITUTE(F999," ",""))),"")</f>
        <v/>
      </c>
      <c r="M999" s="8">
        <f>IF(B999&lt;&gt;"",TODAY(),"")</f>
        <v/>
      </c>
      <c r="N999" s="8">
        <f>IF(F999&lt;&gt;"",IFERROR(IF(AND(REGEXMATCH(SUBSTITUTE(TRIM(F999)," ",""),"^-?\d+(\.\d+)?,-?\d+(\.\d+)?$"),VALUE(REGEXEXTRACT(SUBSTITUTE(TRIM(F999)," ",""),"^-?\d+(\.\d+)?"))&gt;=-90,VALUE(REGEXEXTRACT(SUBSTITUTE(TRIM(F999)," ",""),"^-?\d+(\.\d+)?"))&lt;=90,VALUE(REGEXEXTRACT(SUBSTITUTE(TRIM(F999)," ",""),"-?\d+(\.\d+)?$"))&gt;=-180,VALUE(REGEXEXTRACT(SUBSTITUTE(TRIM(F999)," ",""),"-?\d+(\.\d+)?$"))&lt;=180),"OK","REVISAR"),"REVISAR"),"")</f>
        <v/>
      </c>
      <c r="O999">
        <f>IF(A999&lt;&gt;"","https://direcciones507.github.io/direcciones507/panel.html?codigo="&amp;A999&amp;"&amp;nombre="&amp;ENCODEURL(B999)&amp;"&amp;telefono="&amp;SUBSTITUTE(C999,"-","")&amp;"&amp;referencia="&amp;ENCODEURL(E999)&amp;"&amp;lat="&amp;IZQUIERDA(SUBSTITUTE(F999," ",""),ENCONTRAR(",",SUBSTITUTE(F999," ",""))-1)&amp;"&amp;lng="&amp;DERECHA(SUBSTITUTE(F999," ",""),LARGO(SUBSTITUTE(F999," ",""))-ENCONTRAR(",",SUBSTITUTE(F999," ",""))),"")</f>
        <v/>
      </c>
    </row>
    <row r="1000" ht="15.75" customHeight="1" s="10">
      <c r="A1000" s="8">
        <f>CONCAT("AD507-",TEXT(ROW()-2,"0000"))</f>
        <v/>
      </c>
      <c r="C1000" s="8" t="n"/>
      <c r="F1000" s="8" t="n"/>
      <c r="G1000" s="8">
        <f>IF(F1000&lt;&gt;"",HYPERLINK("https://www.google.com/maps/search/?api=1&amp;query="&amp;SUBSTITUTE(F1000," ",""),"🗺 Google Maps"),"")</f>
        <v/>
      </c>
      <c r="H1000" s="8">
        <f>IF(F1000&lt;&gt;"",HYPERLINK("https://waze.com/ul?ll="&amp;SUBSTITUTE(F1000," ","")&amp;"&amp;navigate=yes","🚗 Waze"),"")</f>
        <v/>
      </c>
      <c r="I1000" s="8">
        <f>IF(F1000&lt;&gt;"",HYPERLINK("https://m.uber.com/ul/?action=setPickup&amp;pickup=my_location&amp;dropoff[latitude]="&amp;LEFT(SUBSTITUTE(F1000," ",""),FIND(",",SUBSTITUTE(F1000," ",""))-1)&amp;"&amp;dropoff[longitude]="&amp;MID(SUBSTITUTE(F1000," ",""),FIND(",",SUBSTITUTE(F1000," ",""))+1,99),"🚕 Uber"),"")</f>
        <v/>
      </c>
      <c r="J1000" s="8">
        <f>IF(F1000&lt;&gt;"","https://api.qrserver.com/v1/create-qr-code/?size=200x200&amp;data="&amp;ENCODEURL("https://www.google.com/maps/search/?api=1&amp;query="&amp;SUBSTITUTE(F1000," ","")),"")</f>
        <v/>
      </c>
      <c r="K1000" s="8">
        <f>IF(C1000&lt;&gt;"",HYPERLINK("https://wa.me/507"&amp;REGEXREPLACE(C1000,"[^0-9]","")&amp;"?text="&amp;ENCODEURL("Ya llegue. Codigo: "&amp;A1000&amp;". Ubicacion: "&amp;"https://www.google.com/maps/search/?api=1&amp;query="&amp;SUBSTITUTE(F1000," ","")),"📲 Avisar al cliente"),"")</f>
        <v/>
      </c>
      <c r="L1000" s="8">
        <f>IF(C1000&lt;&gt;"","https://api.qrserver.com/v1/create-qr-code/?size=200x200&amp;data="&amp;ENCODEURL("https://wa.me/507"&amp;REGEXREPLACE(C1000,"[^0-9]","")&amp;"?text="&amp;ENCODEURL("Ya llegue. Codigo: "&amp;A1000&amp;". Ubicacion: "&amp;"https://www.google.com/maps/search/?api=1&amp;query="&amp;SUBSTITUTE(F1000," ",""))),"")</f>
        <v/>
      </c>
      <c r="M1000" s="8">
        <f>IF(B1000&lt;&gt;"",TODAY(),"")</f>
        <v/>
      </c>
      <c r="N1000" s="8">
        <f>IF(F1000&lt;&gt;"",IFERROR(IF(AND(REGEXMATCH(SUBSTITUTE(TRIM(F1000)," ",""),"^-?\d+(\.\d+)?,-?\d+(\.\d+)?$"),VALUE(REGEXEXTRACT(SUBSTITUTE(TRIM(F1000)," ",""),"^-?\d+(\.\d+)?"))&gt;=-90,VALUE(REGEXEXTRACT(SUBSTITUTE(TRIM(F1000)," ",""),"^-?\d+(\.\d+)?"))&lt;=90,VALUE(REGEXEXTRACT(SUBSTITUTE(TRIM(F1000)," ",""),"-?\d+(\.\d+)?$"))&gt;=-180,VALUE(REGEXEXTRACT(SUBSTITUTE(TRIM(F1000)," ",""),"-?\d+(\.\d+)?$"))&lt;=180),"OK","REVISAR"),"REVISAR"),"")</f>
        <v/>
      </c>
      <c r="O1000">
        <f>IF(A1000&lt;&gt;"","https://direcciones507.github.io/direcciones507/panel.html?codigo="&amp;A1000&amp;"&amp;nombre="&amp;ENCODEURL(B1000)&amp;"&amp;telefono="&amp;SUBSTITUTE(C1000,"-","")&amp;"&amp;referencia="&amp;ENCODEURL(E1000)&amp;"&amp;lat="&amp;IZQUIERDA(SUBSTITUTE(F1000," ",""),ENCONTRAR(",",SUBSTITUTE(F1000," ",""))-1)&amp;"&amp;lng="&amp;DERECHA(SUBSTITUTE(F1000," ",""),LARGO(SUBSTITUTE(F1000," ",""))-ENCONTRAR(",",SUBSTITUTE(F1000," ",""))),"")</f>
        <v/>
      </c>
    </row>
    <row r="1001" ht="15.75" customHeight="1" s="10">
      <c r="A1001" s="8">
        <f>CONCAT("AD507-",TEXT(ROW()-2,"0000"))</f>
        <v/>
      </c>
      <c r="C1001" s="8" t="n"/>
      <c r="F1001" s="8" t="n"/>
      <c r="G1001" s="8">
        <f>IF(F1001&lt;&gt;"",HYPERLINK("https://www.google.com/maps/search/?api=1&amp;query="&amp;SUBSTITUTE(F1001," ",""),"🗺 Google Maps"),"")</f>
        <v/>
      </c>
      <c r="H1001" s="8">
        <f>IF(F1001&lt;&gt;"",HYPERLINK("https://waze.com/ul?ll="&amp;SUBSTITUTE(F1001," ","")&amp;"&amp;navigate=yes","🚗 Waze"),"")</f>
        <v/>
      </c>
      <c r="I1001" s="8">
        <f>IF(F1001&lt;&gt;"",HYPERLINK("https://m.uber.com/ul/?action=setPickup&amp;pickup=my_location&amp;dropoff[latitude]="&amp;LEFT(SUBSTITUTE(F1001," ",""),FIND(",",SUBSTITUTE(F1001," ",""))-1)&amp;"&amp;dropoff[longitude]="&amp;MID(SUBSTITUTE(F1001," ",""),FIND(",",SUBSTITUTE(F1001," ",""))+1,99),"🚕 Uber"),"")</f>
        <v/>
      </c>
      <c r="J1001" s="8">
        <f>IF(F1001&lt;&gt;"","https://api.qrserver.com/v1/create-qr-code/?size=200x200&amp;data="&amp;ENCODEURL("https://www.google.com/maps/search/?api=1&amp;query="&amp;SUBSTITUTE(F1001," ","")),"")</f>
        <v/>
      </c>
      <c r="K1001" s="8">
        <f>IF(C1001&lt;&gt;"",HYPERLINK("https://wa.me/507"&amp;REGEXREPLACE(C1001,"[^0-9]","")&amp;"?text="&amp;ENCODEURL("Ya llegue. Codigo: "&amp;A1001&amp;". Ubicacion: "&amp;"https://www.google.com/maps/search/?api=1&amp;query="&amp;SUBSTITUTE(F1001," ","")),"📲 Avisar al cliente"),"")</f>
        <v/>
      </c>
      <c r="L1001" s="8">
        <f>IF(C1001&lt;&gt;"","https://api.qrserver.com/v1/create-qr-code/?size=200x200&amp;data="&amp;ENCODEURL("https://wa.me/507"&amp;REGEXREPLACE(C1001,"[^0-9]","")&amp;"?text="&amp;ENCODEURL("Ya llegue. Codigo: "&amp;A1001&amp;". Ubicacion: "&amp;"https://www.google.com/maps/search/?api=1&amp;query="&amp;SUBSTITUTE(F1001," ",""))),"")</f>
        <v/>
      </c>
      <c r="M1001" s="8">
        <f>IF(B1001&lt;&gt;"",TODAY(),"")</f>
        <v/>
      </c>
      <c r="N1001" s="8">
        <f>IF(F1001&lt;&gt;"",IFERROR(IF(AND(REGEXMATCH(SUBSTITUTE(TRIM(F1001)," ",""),"^-?\d+(\.\d+)?,-?\d+(\.\d+)?$"),VALUE(REGEXEXTRACT(SUBSTITUTE(TRIM(F1001)," ",""),"^-?\d+(\.\d+)?"))&gt;=-90,VALUE(REGEXEXTRACT(SUBSTITUTE(TRIM(F1001)," ",""),"^-?\d+(\.\d+)?"))&lt;=90,VALUE(REGEXEXTRACT(SUBSTITUTE(TRIM(F1001)," ",""),"-?\d+(\.\d+)?$"))&gt;=-180,VALUE(REGEXEXTRACT(SUBSTITUTE(TRIM(F1001)," ",""),"-?\d+(\.\d+)?$"))&lt;=180),"OK","REVISAR"),"REVISAR"),"")</f>
        <v/>
      </c>
      <c r="O1001">
        <f>IF(A1001&lt;&gt;"","https://direcciones507.github.io/direcciones507/panel.html?codigo="&amp;A1001&amp;"&amp;nombre="&amp;ENCODEURL(B1001)&amp;"&amp;telefono="&amp;SUBSTITUTE(C1001,"-","")&amp;"&amp;referencia="&amp;ENCODEURL(E1001)&amp;"&amp;lat="&amp;IZQUIERDA(SUBSTITUTE(F1001," ",""),ENCONTRAR(",",SUBSTITUTE(F1001," ",""))-1)&amp;"&amp;lng="&amp;DERECHA(SUBSTITUTE(F1001," ",""),LARGO(SUBSTITUTE(F1001," ",""))-ENCONTRAR(",",SUBSTITUTE(F1001," ",""))),"")</f>
        <v/>
      </c>
    </row>
    <row r="1002" ht="15.75" customHeight="1" s="10">
      <c r="A1002" s="8">
        <f>CONCAT("AD507-",TEXT(ROW()-2,"0000"))</f>
        <v/>
      </c>
      <c r="C1002" s="8" t="n"/>
      <c r="F1002" s="8" t="n"/>
      <c r="G1002" s="8">
        <f>IF(F1002&lt;&gt;"",HYPERLINK("https://www.google.com/maps/search/?api=1&amp;query="&amp;SUBSTITUTE(F1002," ",""),"🗺 Google Maps"),"")</f>
        <v/>
      </c>
      <c r="H1002" s="8">
        <f>IF(F1002&lt;&gt;"",HYPERLINK("https://waze.com/ul?ll="&amp;SUBSTITUTE(F1002," ","")&amp;"&amp;navigate=yes","🚗 Waze"),"")</f>
        <v/>
      </c>
      <c r="I1002" s="8">
        <f>IF(F1002&lt;&gt;"",HYPERLINK("https://m.uber.com/ul/?action=setPickup&amp;pickup=my_location&amp;dropoff[latitude]="&amp;LEFT(SUBSTITUTE(F1002," ",""),FIND(",",SUBSTITUTE(F1002," ",""))-1)&amp;"&amp;dropoff[longitude]="&amp;MID(SUBSTITUTE(F1002," ",""),FIND(",",SUBSTITUTE(F1002," ",""))+1,99),"🚕 Uber"),"")</f>
        <v/>
      </c>
      <c r="J1002" s="8">
        <f>IF(F1002&lt;&gt;"","https://api.qrserver.com/v1/create-qr-code/?size=200x200&amp;data="&amp;ENCODEURL("https://www.google.com/maps/search/?api=1&amp;query="&amp;SUBSTITUTE(F1002," ","")),"")</f>
        <v/>
      </c>
      <c r="K1002" s="8">
        <f>IF(C1002&lt;&gt;"",HYPERLINK("https://wa.me/507"&amp;REGEXREPLACE(C1002,"[^0-9]","")&amp;"?text="&amp;ENCODEURL("Ya llegue. Codigo: "&amp;A1002&amp;". Ubicacion: "&amp;"https://www.google.com/maps/search/?api=1&amp;query="&amp;SUBSTITUTE(F1002," ","")),"📲 Avisar al cliente"),"")</f>
        <v/>
      </c>
      <c r="L1002" s="8">
        <f>IF(C1002&lt;&gt;"","https://api.qrserver.com/v1/create-qr-code/?size=200x200&amp;data="&amp;ENCODEURL("https://wa.me/507"&amp;REGEXREPLACE(C1002,"[^0-9]","")&amp;"?text="&amp;ENCODEURL("Ya llegue. Codigo: "&amp;A1002&amp;". Ubicacion: "&amp;"https://www.google.com/maps/search/?api=1&amp;query="&amp;SUBSTITUTE(F1002," ",""))),"")</f>
        <v/>
      </c>
      <c r="M1002" s="8">
        <f>IF(B1002&lt;&gt;"",TODAY(),"")</f>
        <v/>
      </c>
      <c r="N1002" s="8">
        <f>IF(F1002&lt;&gt;"",IFERROR(IF(AND(REGEXMATCH(SUBSTITUTE(TRIM(F1002)," ",""),"^-?\d+(\.\d+)?,-?\d+(\.\d+)?$"),VALUE(REGEXEXTRACT(SUBSTITUTE(TRIM(F1002)," ",""),"^-?\d+(\.\d+)?"))&gt;=-90,VALUE(REGEXEXTRACT(SUBSTITUTE(TRIM(F1002)," ",""),"^-?\d+(\.\d+)?"))&lt;=90,VALUE(REGEXEXTRACT(SUBSTITUTE(TRIM(F1002)," ",""),"-?\d+(\.\d+)?$"))&gt;=-180,VALUE(REGEXEXTRACT(SUBSTITUTE(TRIM(F1002)," ",""),"-?\d+(\.\d+)?$"))&lt;=180),"OK","REVISAR"),"REVISAR"),"")</f>
        <v/>
      </c>
      <c r="O1002">
        <f>IF(A1002&lt;&gt;"","https://direcciones507.github.io/direcciones507/panel.html?codigo="&amp;A1002&amp;"&amp;nombre="&amp;ENCODEURL(B1002)&amp;"&amp;telefono="&amp;SUBSTITUTE(C1002,"-","")&amp;"&amp;referencia="&amp;ENCODEURL(E1002)&amp;"&amp;lat="&amp;IZQUIERDA(SUBSTITUTE(F1002," ",""),ENCONTRAR(",",SUBSTITUTE(F1002," ",""))-1)&amp;"&amp;lng="&amp;DERECHA(SUBSTITUTE(F1002," ",""),LARGO(SUBSTITUTE(F1002," ",""))-ENCONTRAR(",",SUBSTITUTE(F1002," ",""))),"")</f>
        <v/>
      </c>
    </row>
    <row r="1003" ht="15.75" customHeight="1" s="10">
      <c r="A1003" s="8">
        <f>CONCAT("AD507-",TEXT(ROW()-2,"0000"))</f>
        <v/>
      </c>
      <c r="C1003" s="8" t="n"/>
      <c r="F1003" s="8" t="n"/>
      <c r="G1003" s="8">
        <f>IF(F1003&lt;&gt;"",HYPERLINK("https://www.google.com/maps/search/?api=1&amp;query="&amp;SUBSTITUTE(F1003," ",""),"🗺 Google Maps"),"")</f>
        <v/>
      </c>
      <c r="H1003" s="8">
        <f>IF(F1003&lt;&gt;"",HYPERLINK("https://waze.com/ul?ll="&amp;SUBSTITUTE(F1003," ","")&amp;"&amp;navigate=yes","🚗 Waze"),"")</f>
        <v/>
      </c>
      <c r="I1003" s="8">
        <f>IF(F1003&lt;&gt;"",HYPERLINK("https://m.uber.com/ul/?action=setPickup&amp;pickup=my_location&amp;dropoff[latitude]="&amp;LEFT(SUBSTITUTE(F1003," ",""),FIND(",",SUBSTITUTE(F1003," ",""))-1)&amp;"&amp;dropoff[longitude]="&amp;MID(SUBSTITUTE(F1003," ",""),FIND(",",SUBSTITUTE(F1003," ",""))+1,99),"🚕 Uber"),"")</f>
        <v/>
      </c>
      <c r="J1003" s="8">
        <f>IF(F1003&lt;&gt;"","https://api.qrserver.com/v1/create-qr-code/?size=200x200&amp;data="&amp;ENCODEURL("https://www.google.com/maps/search/?api=1&amp;query="&amp;SUBSTITUTE(F1003," ","")),"")</f>
        <v/>
      </c>
      <c r="K1003" s="8">
        <f>IF(C1003&lt;&gt;"",HYPERLINK("https://wa.me/507"&amp;REGEXREPLACE(C1003,"[^0-9]","")&amp;"?text="&amp;ENCODEURL("Ya llegue. Codigo: "&amp;A1003&amp;". Ubicacion: "&amp;"https://www.google.com/maps/search/?api=1&amp;query="&amp;SUBSTITUTE(F1003," ","")),"📲 Avisar al cliente"),"")</f>
        <v/>
      </c>
      <c r="L1003" s="8">
        <f>IF(C1003&lt;&gt;"","https://api.qrserver.com/v1/create-qr-code/?size=200x200&amp;data="&amp;ENCODEURL("https://wa.me/507"&amp;REGEXREPLACE(C1003,"[^0-9]","")&amp;"?text="&amp;ENCODEURL("Ya llegue. Codigo: "&amp;A1003&amp;". Ubicacion: "&amp;"https://www.google.com/maps/search/?api=1&amp;query="&amp;SUBSTITUTE(F1003," ",""))),"")</f>
        <v/>
      </c>
      <c r="M1003" s="8">
        <f>IF(B1003&lt;&gt;"",TODAY(),"")</f>
        <v/>
      </c>
      <c r="N1003" s="8">
        <f>IF(F1003&lt;&gt;"",IFERROR(IF(AND(REGEXMATCH(SUBSTITUTE(TRIM(F1003)," ",""),"^-?\d+(\.\d+)?,-?\d+(\.\d+)?$"),VALUE(REGEXEXTRACT(SUBSTITUTE(TRIM(F1003)," ",""),"^-?\d+(\.\d+)?"))&gt;=-90,VALUE(REGEXEXTRACT(SUBSTITUTE(TRIM(F1003)," ",""),"^-?\d+(\.\d+)?"))&lt;=90,VALUE(REGEXEXTRACT(SUBSTITUTE(TRIM(F1003)," ",""),"-?\d+(\.\d+)?$"))&gt;=-180,VALUE(REGEXEXTRACT(SUBSTITUTE(TRIM(F1003)," ",""),"-?\d+(\.\d+)?$"))&lt;=180),"OK","REVISAR"),"REVISAR"),"")</f>
        <v/>
      </c>
      <c r="O1003">
        <f>IF(A1003&lt;&gt;"","https://direcciones507.github.io/direcciones507/panel.html?codigo="&amp;A1003&amp;"&amp;nombre="&amp;ENCODEURL(B1003)&amp;"&amp;telefono="&amp;SUBSTITUTE(C1003,"-","")&amp;"&amp;referencia="&amp;ENCODEURL(E1003)&amp;"&amp;lat="&amp;IZQUIERDA(SUBSTITUTE(F1003," ",""),ENCONTRAR(",",SUBSTITUTE(F1003," ",""))-1)&amp;"&amp;lng="&amp;DERECHA(SUBSTITUTE(F1003," ",""),LARGO(SUBSTITUTE(F1003," ",""))-ENCONTRAR(",",SUBSTITUTE(F1003," ",""))),"")</f>
        <v/>
      </c>
    </row>
    <row r="1004" ht="15.75" customHeight="1" s="10">
      <c r="A1004" s="8">
        <f>CONCAT("AD507-",TEXT(ROW()-2,"0000"))</f>
        <v/>
      </c>
      <c r="C1004" s="8" t="n"/>
      <c r="F1004" s="8" t="n"/>
      <c r="G1004" s="8">
        <f>IF(F1004&lt;&gt;"",HYPERLINK("https://www.google.com/maps/search/?api=1&amp;query="&amp;SUBSTITUTE(F1004," ",""),"🗺 Google Maps"),"")</f>
        <v/>
      </c>
      <c r="H1004" s="8">
        <f>IF(F1004&lt;&gt;"",HYPERLINK("https://waze.com/ul?ll="&amp;SUBSTITUTE(F1004," ","")&amp;"&amp;navigate=yes","🚗 Waze"),"")</f>
        <v/>
      </c>
      <c r="I1004" s="8">
        <f>IF(F1004&lt;&gt;"",HYPERLINK("https://m.uber.com/ul/?action=setPickup&amp;pickup=my_location&amp;dropoff[latitude]="&amp;LEFT(SUBSTITUTE(F1004," ",""),FIND(",",SUBSTITUTE(F1004," ",""))-1)&amp;"&amp;dropoff[longitude]="&amp;MID(SUBSTITUTE(F1004," ",""),FIND(",",SUBSTITUTE(F1004," ",""))+1,99),"🚕 Uber"),"")</f>
        <v/>
      </c>
      <c r="J1004" s="8">
        <f>IF(F1004&lt;&gt;"","https://api.qrserver.com/v1/create-qr-code/?size=200x200&amp;data="&amp;ENCODEURL("https://www.google.com/maps/search/?api=1&amp;query="&amp;SUBSTITUTE(F1004," ","")),"")</f>
        <v/>
      </c>
      <c r="K1004" s="8">
        <f>IF(C1004&lt;&gt;"",HYPERLINK("https://wa.me/507"&amp;REGEXREPLACE(C1004,"[^0-9]","")&amp;"?text="&amp;ENCODEURL("Ya llegue. Codigo: "&amp;A1004&amp;". Ubicacion: "&amp;"https://www.google.com/maps/search/?api=1&amp;query="&amp;SUBSTITUTE(F1004," ","")),"📲 Avisar al cliente"),"")</f>
        <v/>
      </c>
      <c r="L1004" s="8">
        <f>IF(C1004&lt;&gt;"","https://api.qrserver.com/v1/create-qr-code/?size=200x200&amp;data="&amp;ENCODEURL("https://wa.me/507"&amp;REGEXREPLACE(C1004,"[^0-9]","")&amp;"?text="&amp;ENCODEURL("Ya llegue. Codigo: "&amp;A1004&amp;". Ubicacion: "&amp;"https://www.google.com/maps/search/?api=1&amp;query="&amp;SUBSTITUTE(F1004," ",""))),"")</f>
        <v/>
      </c>
      <c r="M1004" s="8">
        <f>IF(B1004&lt;&gt;"",TODAY(),"")</f>
        <v/>
      </c>
      <c r="N1004" s="8">
        <f>IF(F1004&lt;&gt;"",IFERROR(IF(AND(REGEXMATCH(SUBSTITUTE(TRIM(F1004)," ",""),"^-?\d+(\.\d+)?,-?\d+(\.\d+)?$"),VALUE(REGEXEXTRACT(SUBSTITUTE(TRIM(F1004)," ",""),"^-?\d+(\.\d+)?"))&gt;=-90,VALUE(REGEXEXTRACT(SUBSTITUTE(TRIM(F1004)," ",""),"^-?\d+(\.\d+)?"))&lt;=90,VALUE(REGEXEXTRACT(SUBSTITUTE(TRIM(F1004)," ",""),"-?\d+(\.\d+)?$"))&gt;=-180,VALUE(REGEXEXTRACT(SUBSTITUTE(TRIM(F1004)," ",""),"-?\d+(\.\d+)?$"))&lt;=180),"OK","REVISAR"),"REVISAR"),"")</f>
        <v/>
      </c>
      <c r="O1004">
        <f>IF(A1004&lt;&gt;"","https://direcciones507.github.io/direcciones507/panel.html?codigo="&amp;A1004&amp;"&amp;nombre="&amp;ENCODEURL(B1004)&amp;"&amp;telefono="&amp;SUBSTITUTE(C1004,"-","")&amp;"&amp;referencia="&amp;ENCODEURL(E1004)&amp;"&amp;lat="&amp;IZQUIERDA(SUBSTITUTE(F1004," ",""),ENCONTRAR(",",SUBSTITUTE(F1004," ",""))-1)&amp;"&amp;lng="&amp;DERECHA(SUBSTITUTE(F1004," ",""),LARGO(SUBSTITUTE(F1004," ",""))-ENCONTRAR(",",SUBSTITUTE(F1004," ",""))),"")</f>
        <v/>
      </c>
    </row>
    <row r="1005" ht="15.75" customHeight="1" s="10">
      <c r="A1005" s="8">
        <f>CONCAT("AD507-",TEXT(ROW()-2,"0000"))</f>
        <v/>
      </c>
      <c r="C1005" s="8" t="n"/>
      <c r="F1005" s="8" t="n"/>
      <c r="G1005" s="8">
        <f>IF(F1005&lt;&gt;"",HYPERLINK("https://www.google.com/maps/search/?api=1&amp;query="&amp;SUBSTITUTE(F1005," ",""),"🗺 Google Maps"),"")</f>
        <v/>
      </c>
      <c r="H1005" s="8">
        <f>IF(F1005&lt;&gt;"",HYPERLINK("https://waze.com/ul?ll="&amp;SUBSTITUTE(F1005," ","")&amp;"&amp;navigate=yes","🚗 Waze"),"")</f>
        <v/>
      </c>
      <c r="I1005" s="8">
        <f>IF(F1005&lt;&gt;"",HYPERLINK("https://m.uber.com/ul/?action=setPickup&amp;pickup=my_location&amp;dropoff[latitude]="&amp;LEFT(SUBSTITUTE(F1005," ",""),FIND(",",SUBSTITUTE(F1005," ",""))-1)&amp;"&amp;dropoff[longitude]="&amp;MID(SUBSTITUTE(F1005," ",""),FIND(",",SUBSTITUTE(F1005," ",""))+1,99),"🚕 Uber"),"")</f>
        <v/>
      </c>
      <c r="J1005" s="8">
        <f>IF(F1005&lt;&gt;"","https://api.qrserver.com/v1/create-qr-code/?size=200x200&amp;data="&amp;ENCODEURL("https://www.google.com/maps/search/?api=1&amp;query="&amp;SUBSTITUTE(F1005," ","")),"")</f>
        <v/>
      </c>
      <c r="K1005" s="8">
        <f>IF(C1005&lt;&gt;"",HYPERLINK("https://wa.me/507"&amp;REGEXREPLACE(C1005,"[^0-9]","")&amp;"?text="&amp;ENCODEURL("Ya llegue. Codigo: "&amp;A1005&amp;". Ubicacion: "&amp;"https://www.google.com/maps/search/?api=1&amp;query="&amp;SUBSTITUTE(F1005," ","")),"📲 Avisar al cliente"),"")</f>
        <v/>
      </c>
      <c r="L1005" s="8">
        <f>IF(C1005&lt;&gt;"","https://api.qrserver.com/v1/create-qr-code/?size=200x200&amp;data="&amp;ENCODEURL("https://wa.me/507"&amp;REGEXREPLACE(C1005,"[^0-9]","")&amp;"?text="&amp;ENCODEURL("Ya llegue. Codigo: "&amp;A1005&amp;". Ubicacion: "&amp;"https://www.google.com/maps/search/?api=1&amp;query="&amp;SUBSTITUTE(F1005," ",""))),"")</f>
        <v/>
      </c>
      <c r="M1005" s="8">
        <f>IF(B1005&lt;&gt;"",TODAY(),"")</f>
        <v/>
      </c>
      <c r="N1005" s="8">
        <f>IF(F1005&lt;&gt;"",IFERROR(IF(AND(REGEXMATCH(SUBSTITUTE(TRIM(F1005)," ",""),"^-?\d+(\.\d+)?,-?\d+(\.\d+)?$"),VALUE(REGEXEXTRACT(SUBSTITUTE(TRIM(F1005)," ",""),"^-?\d+(\.\d+)?"))&gt;=-90,VALUE(REGEXEXTRACT(SUBSTITUTE(TRIM(F1005)," ",""),"^-?\d+(\.\d+)?"))&lt;=90,VALUE(REGEXEXTRACT(SUBSTITUTE(TRIM(F1005)," ",""),"-?\d+(\.\d+)?$"))&gt;=-180,VALUE(REGEXEXTRACT(SUBSTITUTE(TRIM(F1005)," ",""),"-?\d+(\.\d+)?$"))&lt;=180),"OK","REVISAR"),"REVISAR"),"")</f>
        <v/>
      </c>
      <c r="O1005">
        <f>IF(A1005&lt;&gt;"","https://direcciones507.github.io/direcciones507/panel.html?codigo="&amp;A1005&amp;"&amp;nombre="&amp;ENCODEURL(B1005)&amp;"&amp;telefono="&amp;SUBSTITUTE(C1005,"-","")&amp;"&amp;referencia="&amp;ENCODEURL(E1005)&amp;"&amp;lat="&amp;IZQUIERDA(SUBSTITUTE(F1005," ",""),ENCONTRAR(",",SUBSTITUTE(F1005," ",""))-1)&amp;"&amp;lng="&amp;DERECHA(SUBSTITUTE(F1005," ",""),LARGO(SUBSTITUTE(F1005," ",""))-ENCONTRAR(",",SUBSTITUTE(F1005," ",""))),"")</f>
        <v/>
      </c>
    </row>
    <row r="1006" ht="15.75" customHeight="1" s="10">
      <c r="A1006" s="8">
        <f>CONCAT("AD507-",TEXT(ROW()-2,"0000"))</f>
        <v/>
      </c>
      <c r="C1006" s="8" t="n"/>
      <c r="F1006" s="8" t="n"/>
      <c r="G1006" s="8">
        <f>IF(F1006&lt;&gt;"",HYPERLINK("https://www.google.com/maps/search/?api=1&amp;query="&amp;SUBSTITUTE(F1006," ",""),"🗺 Google Maps"),"")</f>
        <v/>
      </c>
      <c r="H1006" s="8">
        <f>IF(F1006&lt;&gt;"",HYPERLINK("https://waze.com/ul?ll="&amp;SUBSTITUTE(F1006," ","")&amp;"&amp;navigate=yes","🚗 Waze"),"")</f>
        <v/>
      </c>
      <c r="I1006" s="8">
        <f>IF(F1006&lt;&gt;"",HYPERLINK("https://m.uber.com/ul/?action=setPickup&amp;pickup=my_location&amp;dropoff[latitude]="&amp;LEFT(SUBSTITUTE(F1006," ",""),FIND(",",SUBSTITUTE(F1006," ",""))-1)&amp;"&amp;dropoff[longitude]="&amp;MID(SUBSTITUTE(F1006," ",""),FIND(",",SUBSTITUTE(F1006," ",""))+1,99),"🚕 Uber"),"")</f>
        <v/>
      </c>
      <c r="J1006" s="8">
        <f>IF(F1006&lt;&gt;"","https://api.qrserver.com/v1/create-qr-code/?size=200x200&amp;data="&amp;ENCODEURL("https://www.google.com/maps/search/?api=1&amp;query="&amp;SUBSTITUTE(F1006," ","")),"")</f>
        <v/>
      </c>
      <c r="K1006" s="8">
        <f>IF(C1006&lt;&gt;"",HYPERLINK("https://wa.me/507"&amp;REGEXREPLACE(C1006,"[^0-9]","")&amp;"?text="&amp;ENCODEURL("Ya llegue. Codigo: "&amp;A1006&amp;". Ubicacion: "&amp;"https://www.google.com/maps/search/?api=1&amp;query="&amp;SUBSTITUTE(F1006," ","")),"📲 Avisar al cliente"),"")</f>
        <v/>
      </c>
      <c r="L1006" s="8">
        <f>IF(C1006&lt;&gt;"","https://api.qrserver.com/v1/create-qr-code/?size=200x200&amp;data="&amp;ENCODEURL("https://wa.me/507"&amp;REGEXREPLACE(C1006,"[^0-9]","")&amp;"?text="&amp;ENCODEURL("Ya llegue. Codigo: "&amp;A1006&amp;". Ubicacion: "&amp;"https://www.google.com/maps/search/?api=1&amp;query="&amp;SUBSTITUTE(F1006," ",""))),"")</f>
        <v/>
      </c>
      <c r="M1006" s="8">
        <f>IF(B1006&lt;&gt;"",TODAY(),"")</f>
        <v/>
      </c>
      <c r="N1006" s="8">
        <f>IF(F1006&lt;&gt;"",IFERROR(IF(AND(REGEXMATCH(SUBSTITUTE(TRIM(F1006)," ",""),"^-?\d+(\.\d+)?,-?\d+(\.\d+)?$"),VALUE(REGEXEXTRACT(SUBSTITUTE(TRIM(F1006)," ",""),"^-?\d+(\.\d+)?"))&gt;=-90,VALUE(REGEXEXTRACT(SUBSTITUTE(TRIM(F1006)," ",""),"^-?\d+(\.\d+)?"))&lt;=90,VALUE(REGEXEXTRACT(SUBSTITUTE(TRIM(F1006)," ",""),"-?\d+(\.\d+)?$"))&gt;=-180,VALUE(REGEXEXTRACT(SUBSTITUTE(TRIM(F1006)," ",""),"-?\d+(\.\d+)?$"))&lt;=180),"OK","REVISAR"),"REVISAR"),"")</f>
        <v/>
      </c>
      <c r="O1006">
        <f>IF(A1006&lt;&gt;"","https://direcciones507.github.io/direcciones507/panel.html?codigo="&amp;A1006&amp;"&amp;nombre="&amp;ENCODEURL(B1006)&amp;"&amp;telefono="&amp;SUBSTITUTE(C1006,"-","")&amp;"&amp;referencia="&amp;ENCODEURL(E1006)&amp;"&amp;lat="&amp;IZQUIERDA(SUBSTITUTE(F1006," ",""),ENCONTRAR(",",SUBSTITUTE(F1006," ",""))-1)&amp;"&amp;lng="&amp;DERECHA(SUBSTITUTE(F1006," ",""),LARGO(SUBSTITUTE(F1006," ",""))-ENCONTRAR(",",SUBSTITUTE(F1006," ",""))),"")</f>
        <v/>
      </c>
    </row>
    <row r="1007" ht="15.75" customHeight="1" s="10">
      <c r="A1007" s="8">
        <f>CONCAT("AD507-",TEXT(ROW()-2,"0000"))</f>
        <v/>
      </c>
      <c r="C1007" s="8" t="n"/>
      <c r="F1007" s="8" t="n"/>
      <c r="G1007" s="8">
        <f>IF(F1007&lt;&gt;"",HYPERLINK("https://www.google.com/maps/search/?api=1&amp;query="&amp;SUBSTITUTE(F1007," ",""),"🗺 Google Maps"),"")</f>
        <v/>
      </c>
      <c r="H1007" s="8">
        <f>IF(F1007&lt;&gt;"",HYPERLINK("https://waze.com/ul?ll="&amp;SUBSTITUTE(F1007," ","")&amp;"&amp;navigate=yes","🚗 Waze"),"")</f>
        <v/>
      </c>
      <c r="I1007" s="8">
        <f>IF(F1007&lt;&gt;"",HYPERLINK("https://m.uber.com/ul/?action=setPickup&amp;pickup=my_location&amp;dropoff[latitude]="&amp;LEFT(SUBSTITUTE(F1007," ",""),FIND(",",SUBSTITUTE(F1007," ",""))-1)&amp;"&amp;dropoff[longitude]="&amp;MID(SUBSTITUTE(F1007," ",""),FIND(",",SUBSTITUTE(F1007," ",""))+1,99),"🚕 Uber"),"")</f>
        <v/>
      </c>
      <c r="J1007" s="8">
        <f>IF(F1007&lt;&gt;"","https://api.qrserver.com/v1/create-qr-code/?size=200x200&amp;data="&amp;ENCODEURL("https://www.google.com/maps/search/?api=1&amp;query="&amp;SUBSTITUTE(F1007," ","")),"")</f>
        <v/>
      </c>
      <c r="K1007" s="8">
        <f>IF(C1007&lt;&gt;"",HYPERLINK("https://wa.me/507"&amp;REGEXREPLACE(C1007,"[^0-9]","")&amp;"?text="&amp;ENCODEURL("Ya llegue. Codigo: "&amp;A1007&amp;". Ubicacion: "&amp;"https://www.google.com/maps/search/?api=1&amp;query="&amp;SUBSTITUTE(F1007," ","")),"📲 Avisar al cliente"),"")</f>
        <v/>
      </c>
      <c r="L1007" s="8">
        <f>IF(C1007&lt;&gt;"","https://api.qrserver.com/v1/create-qr-code/?size=200x200&amp;data="&amp;ENCODEURL("https://wa.me/507"&amp;REGEXREPLACE(C1007,"[^0-9]","")&amp;"?text="&amp;ENCODEURL("Ya llegue. Codigo: "&amp;A1007&amp;". Ubicacion: "&amp;"https://www.google.com/maps/search/?api=1&amp;query="&amp;SUBSTITUTE(F1007," ",""))),"")</f>
        <v/>
      </c>
      <c r="M1007" s="8">
        <f>IF(B1007&lt;&gt;"",TODAY(),"")</f>
        <v/>
      </c>
      <c r="N1007" s="8">
        <f>IF(F1007&lt;&gt;"",IFERROR(IF(AND(REGEXMATCH(SUBSTITUTE(TRIM(F1007)," ",""),"^-?\d+(\.\d+)?,-?\d+(\.\d+)?$"),VALUE(REGEXEXTRACT(SUBSTITUTE(TRIM(F1007)," ",""),"^-?\d+(\.\d+)?"))&gt;=-90,VALUE(REGEXEXTRACT(SUBSTITUTE(TRIM(F1007)," ",""),"^-?\d+(\.\d+)?"))&lt;=90,VALUE(REGEXEXTRACT(SUBSTITUTE(TRIM(F1007)," ",""),"-?\d+(\.\d+)?$"))&gt;=-180,VALUE(REGEXEXTRACT(SUBSTITUTE(TRIM(F1007)," ",""),"-?\d+(\.\d+)?$"))&lt;=180),"OK","REVISAR"),"REVISAR"),"")</f>
        <v/>
      </c>
      <c r="O1007">
        <f>IF(A1007&lt;&gt;"","https://direcciones507.github.io/direcciones507/panel.html?codigo="&amp;A1007&amp;"&amp;nombre="&amp;ENCODEURL(B1007)&amp;"&amp;telefono="&amp;SUBSTITUTE(C1007,"-","")&amp;"&amp;referencia="&amp;ENCODEURL(E1007)&amp;"&amp;lat="&amp;IZQUIERDA(SUBSTITUTE(F1007," ",""),ENCONTRAR(",",SUBSTITUTE(F1007," ",""))-1)&amp;"&amp;lng="&amp;DERECHA(SUBSTITUTE(F1007," ",""),LARGO(SUBSTITUTE(F1007," ",""))-ENCONTRAR(",",SUBSTITUTE(F1007," ",""))),"")</f>
        <v/>
      </c>
    </row>
    <row r="1008" ht="15.75" customHeight="1" s="10">
      <c r="A1008" s="8">
        <f>CONCAT("AD507-",TEXT(ROW()-2,"0000"))</f>
        <v/>
      </c>
      <c r="C1008" s="8" t="n"/>
      <c r="F1008" s="8" t="n"/>
      <c r="G1008" s="8">
        <f>IF(F1008&lt;&gt;"",HYPERLINK("https://www.google.com/maps/search/?api=1&amp;query="&amp;SUBSTITUTE(F1008," ",""),"🗺 Google Maps"),"")</f>
        <v/>
      </c>
      <c r="H1008" s="8">
        <f>IF(F1008&lt;&gt;"",HYPERLINK("https://waze.com/ul?ll="&amp;SUBSTITUTE(F1008," ","")&amp;"&amp;navigate=yes","🚗 Waze"),"")</f>
        <v/>
      </c>
      <c r="I1008" s="8">
        <f>IF(F1008&lt;&gt;"",HYPERLINK("https://m.uber.com/ul/?action=setPickup&amp;pickup=my_location&amp;dropoff[latitude]="&amp;LEFT(SUBSTITUTE(F1008," ",""),FIND(",",SUBSTITUTE(F1008," ",""))-1)&amp;"&amp;dropoff[longitude]="&amp;MID(SUBSTITUTE(F1008," ",""),FIND(",",SUBSTITUTE(F1008," ",""))+1,99),"🚕 Uber"),"")</f>
        <v/>
      </c>
      <c r="J1008" s="8">
        <f>IF(F1008&lt;&gt;"","https://api.qrserver.com/v1/create-qr-code/?size=200x200&amp;data="&amp;ENCODEURL("https://www.google.com/maps/search/?api=1&amp;query="&amp;SUBSTITUTE(F1008," ","")),"")</f>
        <v/>
      </c>
      <c r="K1008" s="8">
        <f>IF(C1008&lt;&gt;"",HYPERLINK("https://wa.me/507"&amp;REGEXREPLACE(C1008,"[^0-9]","")&amp;"?text="&amp;ENCODEURL("Ya llegue. Codigo: "&amp;A1008&amp;". Ubicacion: "&amp;"https://www.google.com/maps/search/?api=1&amp;query="&amp;SUBSTITUTE(F1008," ","")),"📲 Avisar al cliente"),"")</f>
        <v/>
      </c>
      <c r="L1008" s="8">
        <f>IF(C1008&lt;&gt;"","https://api.qrserver.com/v1/create-qr-code/?size=200x200&amp;data="&amp;ENCODEURL("https://wa.me/507"&amp;REGEXREPLACE(C1008,"[^0-9]","")&amp;"?text="&amp;ENCODEURL("Ya llegue. Codigo: "&amp;A1008&amp;". Ubicacion: "&amp;"https://www.google.com/maps/search/?api=1&amp;query="&amp;SUBSTITUTE(F1008," ",""))),"")</f>
        <v/>
      </c>
      <c r="M1008" s="8">
        <f>IF(B1008&lt;&gt;"",TODAY(),"")</f>
        <v/>
      </c>
      <c r="N1008" s="8">
        <f>IF(F1008&lt;&gt;"",IFERROR(IF(AND(REGEXMATCH(SUBSTITUTE(TRIM(F1008)," ",""),"^-?\d+(\.\d+)?,-?\d+(\.\d+)?$"),VALUE(REGEXEXTRACT(SUBSTITUTE(TRIM(F1008)," ",""),"^-?\d+(\.\d+)?"))&gt;=-90,VALUE(REGEXEXTRACT(SUBSTITUTE(TRIM(F1008)," ",""),"^-?\d+(\.\d+)?"))&lt;=90,VALUE(REGEXEXTRACT(SUBSTITUTE(TRIM(F1008)," ",""),"-?\d+(\.\d+)?$"))&gt;=-180,VALUE(REGEXEXTRACT(SUBSTITUTE(TRIM(F1008)," ",""),"-?\d+(\.\d+)?$"))&lt;=180),"OK","REVISAR"),"REVISAR"),"")</f>
        <v/>
      </c>
      <c r="O1008">
        <f>IF(A1008&lt;&gt;"","https://direcciones507.github.io/direcciones507/panel.html?codigo="&amp;A1008&amp;"&amp;nombre="&amp;ENCODEURL(B1008)&amp;"&amp;telefono="&amp;SUBSTITUTE(C1008,"-","")&amp;"&amp;referencia="&amp;ENCODEURL(E1008)&amp;"&amp;lat="&amp;IZQUIERDA(SUBSTITUTE(F1008," ",""),ENCONTRAR(",",SUBSTITUTE(F1008," ",""))-1)&amp;"&amp;lng="&amp;DERECHA(SUBSTITUTE(F1008," ",""),LARGO(SUBSTITUTE(F1008," ",""))-ENCONTRAR(",",SUBSTITUTE(F1008," ",""))),"")</f>
        <v/>
      </c>
    </row>
    <row r="1009" ht="15.75" customHeight="1" s="10">
      <c r="A1009" s="8">
        <f>CONCAT("AD507-",TEXT(ROW()-2,"0000"))</f>
        <v/>
      </c>
      <c r="C1009" s="8" t="n"/>
      <c r="F1009" s="8" t="n"/>
      <c r="G1009" s="8">
        <f>IF(F1009&lt;&gt;"",HYPERLINK("https://www.google.com/maps/search/?api=1&amp;query="&amp;SUBSTITUTE(F1009," ",""),"🗺 Google Maps"),"")</f>
        <v/>
      </c>
      <c r="H1009" s="8">
        <f>IF(F1009&lt;&gt;"",HYPERLINK("https://waze.com/ul?ll="&amp;SUBSTITUTE(F1009," ","")&amp;"&amp;navigate=yes","🚗 Waze"),"")</f>
        <v/>
      </c>
      <c r="I1009" s="8">
        <f>IF(F1009&lt;&gt;"",HYPERLINK("https://m.uber.com/ul/?action=setPickup&amp;pickup=my_location&amp;dropoff[latitude]="&amp;LEFT(SUBSTITUTE(F1009," ",""),FIND(",",SUBSTITUTE(F1009," ",""))-1)&amp;"&amp;dropoff[longitude]="&amp;MID(SUBSTITUTE(F1009," ",""),FIND(",",SUBSTITUTE(F1009," ",""))+1,99),"🚕 Uber"),"")</f>
        <v/>
      </c>
      <c r="J1009" s="8">
        <f>IF(F1009&lt;&gt;"","https://api.qrserver.com/v1/create-qr-code/?size=200x200&amp;data="&amp;ENCODEURL("https://www.google.com/maps/search/?api=1&amp;query="&amp;SUBSTITUTE(F1009," ","")),"")</f>
        <v/>
      </c>
      <c r="K1009" s="8">
        <f>IF(C1009&lt;&gt;"",HYPERLINK("https://wa.me/507"&amp;REGEXREPLACE(C1009,"[^0-9]","")&amp;"?text="&amp;ENCODEURL("Ya llegue. Codigo: "&amp;A1009&amp;". Ubicacion: "&amp;"https://www.google.com/maps/search/?api=1&amp;query="&amp;SUBSTITUTE(F1009," ","")),"📲 Avisar al cliente"),"")</f>
        <v/>
      </c>
      <c r="L1009" s="8">
        <f>IF(C1009&lt;&gt;"","https://api.qrserver.com/v1/create-qr-code/?size=200x200&amp;data="&amp;ENCODEURL("https://wa.me/507"&amp;REGEXREPLACE(C1009,"[^0-9]","")&amp;"?text="&amp;ENCODEURL("Ya llegue. Codigo: "&amp;A1009&amp;". Ubicacion: "&amp;"https://www.google.com/maps/search/?api=1&amp;query="&amp;SUBSTITUTE(F1009," ",""))),"")</f>
        <v/>
      </c>
      <c r="M1009" s="8">
        <f>IF(B1009&lt;&gt;"",TODAY(),"")</f>
        <v/>
      </c>
      <c r="N1009" s="8">
        <f>IF(F1009&lt;&gt;"",IFERROR(IF(AND(REGEXMATCH(SUBSTITUTE(TRIM(F1009)," ",""),"^-?\d+(\.\d+)?,-?\d+(\.\d+)?$"),VALUE(REGEXEXTRACT(SUBSTITUTE(TRIM(F1009)," ",""),"^-?\d+(\.\d+)?"))&gt;=-90,VALUE(REGEXEXTRACT(SUBSTITUTE(TRIM(F1009)," ",""),"^-?\d+(\.\d+)?"))&lt;=90,VALUE(REGEXEXTRACT(SUBSTITUTE(TRIM(F1009)," ",""),"-?\d+(\.\d+)?$"))&gt;=-180,VALUE(REGEXEXTRACT(SUBSTITUTE(TRIM(F1009)," ",""),"-?\d+(\.\d+)?$"))&lt;=180),"OK","REVISAR"),"REVISAR"),"")</f>
        <v/>
      </c>
      <c r="O1009">
        <f>IF(A1009&lt;&gt;"","https://direcciones507.github.io/direcciones507/panel.html?codigo="&amp;A1009&amp;"&amp;nombre="&amp;ENCODEURL(B1009)&amp;"&amp;telefono="&amp;SUBSTITUTE(C1009,"-","")&amp;"&amp;referencia="&amp;ENCODEURL(E1009)&amp;"&amp;lat="&amp;IZQUIERDA(SUBSTITUTE(F1009," ",""),ENCONTRAR(",",SUBSTITUTE(F1009," ",""))-1)&amp;"&amp;lng="&amp;DERECHA(SUBSTITUTE(F1009," ",""),LARGO(SUBSTITUTE(F1009," ",""))-ENCONTRAR(",",SUBSTITUTE(F1009," ",""))),"")</f>
        <v/>
      </c>
    </row>
    <row r="1010" ht="15.75" customHeight="1" s="10">
      <c r="A1010" s="8">
        <f>CONCAT("AD507-",TEXT(ROW()-2,"0000"))</f>
        <v/>
      </c>
      <c r="C1010" s="8" t="n"/>
      <c r="F1010" s="8" t="n"/>
      <c r="G1010" s="8">
        <f>IF(F1010&lt;&gt;"",HYPERLINK("https://www.google.com/maps/search/?api=1&amp;query="&amp;SUBSTITUTE(F1010," ",""),"🗺 Google Maps"),"")</f>
        <v/>
      </c>
      <c r="H1010" s="8">
        <f>IF(F1010&lt;&gt;"",HYPERLINK("https://waze.com/ul?ll="&amp;SUBSTITUTE(F1010," ","")&amp;"&amp;navigate=yes","🚗 Waze"),"")</f>
        <v/>
      </c>
      <c r="I1010" s="8">
        <f>IF(F1010&lt;&gt;"",HYPERLINK("https://m.uber.com/ul/?action=setPickup&amp;pickup=my_location&amp;dropoff[latitude]="&amp;LEFT(SUBSTITUTE(F1010," ",""),FIND(",",SUBSTITUTE(F1010," ",""))-1)&amp;"&amp;dropoff[longitude]="&amp;MID(SUBSTITUTE(F1010," ",""),FIND(",",SUBSTITUTE(F1010," ",""))+1,99),"🚕 Uber"),"")</f>
        <v/>
      </c>
      <c r="J1010" s="8">
        <f>IF(F1010&lt;&gt;"","https://api.qrserver.com/v1/create-qr-code/?size=200x200&amp;data="&amp;ENCODEURL("https://www.google.com/maps/search/?api=1&amp;query="&amp;SUBSTITUTE(F1010," ","")),"")</f>
        <v/>
      </c>
      <c r="K1010" s="8">
        <f>IF(C1010&lt;&gt;"",HYPERLINK("https://wa.me/507"&amp;REGEXREPLACE(C1010,"[^0-9]","")&amp;"?text="&amp;ENCODEURL("Ya llegue. Codigo: "&amp;A1010&amp;". Ubicacion: "&amp;"https://www.google.com/maps/search/?api=1&amp;query="&amp;SUBSTITUTE(F1010," ","")),"📲 Avisar al cliente"),"")</f>
        <v/>
      </c>
      <c r="L1010" s="8">
        <f>IF(C1010&lt;&gt;"","https://api.qrserver.com/v1/create-qr-code/?size=200x200&amp;data="&amp;ENCODEURL("https://wa.me/507"&amp;REGEXREPLACE(C1010,"[^0-9]","")&amp;"?text="&amp;ENCODEURL("Ya llegue. Codigo: "&amp;A1010&amp;". Ubicacion: "&amp;"https://www.google.com/maps/search/?api=1&amp;query="&amp;SUBSTITUTE(F1010," ",""))),"")</f>
        <v/>
      </c>
      <c r="M1010" s="8">
        <f>IF(B1010&lt;&gt;"",TODAY(),"")</f>
        <v/>
      </c>
      <c r="N1010" s="8">
        <f>IF(F1010&lt;&gt;"",IFERROR(IF(AND(REGEXMATCH(SUBSTITUTE(TRIM(F1010)," ",""),"^-?\d+(\.\d+)?,-?\d+(\.\d+)?$"),VALUE(REGEXEXTRACT(SUBSTITUTE(TRIM(F1010)," ",""),"^-?\d+(\.\d+)?"))&gt;=-90,VALUE(REGEXEXTRACT(SUBSTITUTE(TRIM(F1010)," ",""),"^-?\d+(\.\d+)?"))&lt;=90,VALUE(REGEXEXTRACT(SUBSTITUTE(TRIM(F1010)," ",""),"-?\d+(\.\d+)?$"))&gt;=-180,VALUE(REGEXEXTRACT(SUBSTITUTE(TRIM(F1010)," ",""),"-?\d+(\.\d+)?$"))&lt;=180),"OK","REVISAR"),"REVISAR"),"")</f>
        <v/>
      </c>
      <c r="O1010">
        <f>IF(A1010&lt;&gt;"","https://direcciones507.github.io/direcciones507/panel.html?codigo="&amp;A1010&amp;"&amp;nombre="&amp;ENCODEURL(B1010)&amp;"&amp;telefono="&amp;SUBSTITUTE(C1010,"-","")&amp;"&amp;referencia="&amp;ENCODEURL(E1010)&amp;"&amp;lat="&amp;IZQUIERDA(SUBSTITUTE(F1010," ",""),ENCONTRAR(",",SUBSTITUTE(F1010," ",""))-1)&amp;"&amp;lng="&amp;DERECHA(SUBSTITUTE(F1010," ",""),LARGO(SUBSTITUTE(F1010," ",""))-ENCONTRAR(",",SUBSTITUTE(F1010," ",""))),"")</f>
        <v/>
      </c>
    </row>
    <row r="1011" ht="15.75" customHeight="1" s="10">
      <c r="A1011" s="8">
        <f>CONCAT("AD507-",TEXT(ROW()-2,"0000"))</f>
        <v/>
      </c>
      <c r="C1011" s="8" t="n"/>
      <c r="F1011" s="8" t="n"/>
      <c r="G1011" s="8">
        <f>IF(F1011&lt;&gt;"",HYPERLINK("https://www.google.com/maps/search/?api=1&amp;query="&amp;SUBSTITUTE(F1011," ",""),"🗺 Google Maps"),"")</f>
        <v/>
      </c>
      <c r="H1011" s="8">
        <f>IF(F1011&lt;&gt;"",HYPERLINK("https://waze.com/ul?ll="&amp;SUBSTITUTE(F1011," ","")&amp;"&amp;navigate=yes","🚗 Waze"),"")</f>
        <v/>
      </c>
      <c r="I1011" s="8">
        <f>IF(F1011&lt;&gt;"",HYPERLINK("https://m.uber.com/ul/?action=setPickup&amp;pickup=my_location&amp;dropoff[latitude]="&amp;LEFT(SUBSTITUTE(F1011," ",""),FIND(",",SUBSTITUTE(F1011," ",""))-1)&amp;"&amp;dropoff[longitude]="&amp;MID(SUBSTITUTE(F1011," ",""),FIND(",",SUBSTITUTE(F1011," ",""))+1,99),"🚕 Uber"),"")</f>
        <v/>
      </c>
      <c r="J1011" s="8">
        <f>IF(F1011&lt;&gt;"","https://api.qrserver.com/v1/create-qr-code/?size=200x200&amp;data="&amp;ENCODEURL("https://www.google.com/maps/search/?api=1&amp;query="&amp;SUBSTITUTE(F1011," ","")),"")</f>
        <v/>
      </c>
      <c r="K1011" s="8">
        <f>IF(C1011&lt;&gt;"",HYPERLINK("https://wa.me/507"&amp;REGEXREPLACE(C1011,"[^0-9]","")&amp;"?text="&amp;ENCODEURL("Ya llegue. Codigo: "&amp;A1011&amp;". Ubicacion: "&amp;"https://www.google.com/maps/search/?api=1&amp;query="&amp;SUBSTITUTE(F1011," ","")),"📲 Avisar al cliente"),"")</f>
        <v/>
      </c>
      <c r="L1011" s="8">
        <f>IF(C1011&lt;&gt;"","https://api.qrserver.com/v1/create-qr-code/?size=200x200&amp;data="&amp;ENCODEURL("https://wa.me/507"&amp;REGEXREPLACE(C1011,"[^0-9]","")&amp;"?text="&amp;ENCODEURL("Ya llegue. Codigo: "&amp;A1011&amp;". Ubicacion: "&amp;"https://www.google.com/maps/search/?api=1&amp;query="&amp;SUBSTITUTE(F1011," ",""))),"")</f>
        <v/>
      </c>
      <c r="M1011" s="8">
        <f>IF(B1011&lt;&gt;"",TODAY(),"")</f>
        <v/>
      </c>
      <c r="N1011" s="8">
        <f>IF(F1011&lt;&gt;"",IFERROR(IF(AND(REGEXMATCH(SUBSTITUTE(TRIM(F1011)," ",""),"^-?\d+(\.\d+)?,-?\d+(\.\d+)?$"),VALUE(REGEXEXTRACT(SUBSTITUTE(TRIM(F1011)," ",""),"^-?\d+(\.\d+)?"))&gt;=-90,VALUE(REGEXEXTRACT(SUBSTITUTE(TRIM(F1011)," ",""),"^-?\d+(\.\d+)?"))&lt;=90,VALUE(REGEXEXTRACT(SUBSTITUTE(TRIM(F1011)," ",""),"-?\d+(\.\d+)?$"))&gt;=-180,VALUE(REGEXEXTRACT(SUBSTITUTE(TRIM(F1011)," ",""),"-?\d+(\.\d+)?$"))&lt;=180),"OK","REVISAR"),"REVISAR"),"")</f>
        <v/>
      </c>
      <c r="O1011">
        <f>IF(A1011&lt;&gt;"","https://direcciones507.github.io/direcciones507/panel.html?codigo="&amp;A1011&amp;"&amp;nombre="&amp;ENCODEURL(B1011)&amp;"&amp;telefono="&amp;SUBSTITUTE(C1011,"-","")&amp;"&amp;referencia="&amp;ENCODEURL(E1011)&amp;"&amp;lat="&amp;IZQUIERDA(SUBSTITUTE(F1011," ",""),ENCONTRAR(",",SUBSTITUTE(F1011," ",""))-1)&amp;"&amp;lng="&amp;DERECHA(SUBSTITUTE(F1011," ",""),LARGO(SUBSTITUTE(F1011," ",""))-ENCONTRAR(",",SUBSTITUTE(F1011," ",""))),"")</f>
        <v/>
      </c>
    </row>
    <row r="1012" ht="15.75" customHeight="1" s="10">
      <c r="A1012" s="8">
        <f>CONCAT("AD507-",TEXT(ROW()-2,"0000"))</f>
        <v/>
      </c>
      <c r="C1012" s="8" t="n"/>
      <c r="F1012" s="8" t="n"/>
      <c r="G1012" s="8">
        <f>IF(F1012&lt;&gt;"",HYPERLINK("https://www.google.com/maps/search/?api=1&amp;query="&amp;SUBSTITUTE(F1012," ",""),"🗺 Google Maps"),"")</f>
        <v/>
      </c>
      <c r="H1012" s="8">
        <f>IF(F1012&lt;&gt;"",HYPERLINK("https://waze.com/ul?ll="&amp;SUBSTITUTE(F1012," ","")&amp;"&amp;navigate=yes","🚗 Waze"),"")</f>
        <v/>
      </c>
      <c r="I1012" s="8">
        <f>IF(F1012&lt;&gt;"",HYPERLINK("https://m.uber.com/ul/?action=setPickup&amp;pickup=my_location&amp;dropoff[latitude]="&amp;LEFT(SUBSTITUTE(F1012," ",""),FIND(",",SUBSTITUTE(F1012," ",""))-1)&amp;"&amp;dropoff[longitude]="&amp;MID(SUBSTITUTE(F1012," ",""),FIND(",",SUBSTITUTE(F1012," ",""))+1,99),"🚕 Uber"),"")</f>
        <v/>
      </c>
      <c r="J1012" s="8">
        <f>IF(F1012&lt;&gt;"","https://api.qrserver.com/v1/create-qr-code/?size=200x200&amp;data="&amp;ENCODEURL("https://www.google.com/maps/search/?api=1&amp;query="&amp;SUBSTITUTE(F1012," ","")),"")</f>
        <v/>
      </c>
      <c r="K1012" s="8">
        <f>IF(C1012&lt;&gt;"",HYPERLINK("https://wa.me/507"&amp;REGEXREPLACE(C1012,"[^0-9]","")&amp;"?text="&amp;ENCODEURL("Ya llegue. Codigo: "&amp;A1012&amp;". Ubicacion: "&amp;"https://www.google.com/maps/search/?api=1&amp;query="&amp;SUBSTITUTE(F1012," ","")),"📲 Avisar al cliente"),"")</f>
        <v/>
      </c>
      <c r="L1012" s="8">
        <f>IF(C1012&lt;&gt;"","https://api.qrserver.com/v1/create-qr-code/?size=200x200&amp;data="&amp;ENCODEURL("https://wa.me/507"&amp;REGEXREPLACE(C1012,"[^0-9]","")&amp;"?text="&amp;ENCODEURL("Ya llegue. Codigo: "&amp;A1012&amp;". Ubicacion: "&amp;"https://www.google.com/maps/search/?api=1&amp;query="&amp;SUBSTITUTE(F1012," ",""))),"")</f>
        <v/>
      </c>
      <c r="M1012" s="8">
        <f>IF(B1012&lt;&gt;"",TODAY(),"")</f>
        <v/>
      </c>
      <c r="N1012" s="8">
        <f>IF(F1012&lt;&gt;"",IFERROR(IF(AND(REGEXMATCH(SUBSTITUTE(TRIM(F1012)," ",""),"^-?\d+(\.\d+)?,-?\d+(\.\d+)?$"),VALUE(REGEXEXTRACT(SUBSTITUTE(TRIM(F1012)," ",""),"^-?\d+(\.\d+)?"))&gt;=-90,VALUE(REGEXEXTRACT(SUBSTITUTE(TRIM(F1012)," ",""),"^-?\d+(\.\d+)?"))&lt;=90,VALUE(REGEXEXTRACT(SUBSTITUTE(TRIM(F1012)," ",""),"-?\d+(\.\d+)?$"))&gt;=-180,VALUE(REGEXEXTRACT(SUBSTITUTE(TRIM(F1012)," ",""),"-?\d+(\.\d+)?$"))&lt;=180),"OK","REVISAR"),"REVISAR"),"")</f>
        <v/>
      </c>
      <c r="O1012">
        <f>IF(A1012&lt;&gt;"","https://direcciones507.github.io/direcciones507/panel.html?codigo="&amp;A1012&amp;"&amp;nombre="&amp;ENCODEURL(B1012)&amp;"&amp;telefono="&amp;SUBSTITUTE(C1012,"-","")&amp;"&amp;referencia="&amp;ENCODEURL(E1012)&amp;"&amp;lat="&amp;IZQUIERDA(SUBSTITUTE(F1012," ",""),ENCONTRAR(",",SUBSTITUTE(F1012," ",""))-1)&amp;"&amp;lng="&amp;DERECHA(SUBSTITUTE(F1012," ",""),LARGO(SUBSTITUTE(F1012," ",""))-ENCONTRAR(",",SUBSTITUTE(F1012," ",""))),"")</f>
        <v/>
      </c>
    </row>
    <row r="1013" ht="15.75" customHeight="1" s="10">
      <c r="A1013" s="8">
        <f>CONCAT("AD507-",TEXT(ROW()-2,"0000"))</f>
        <v/>
      </c>
      <c r="C1013" s="8" t="n"/>
      <c r="F1013" s="8" t="n"/>
      <c r="G1013" s="8">
        <f>IF(F1013&lt;&gt;"",HYPERLINK("https://www.google.com/maps/search/?api=1&amp;query="&amp;SUBSTITUTE(F1013," ",""),"🗺 Google Maps"),"")</f>
        <v/>
      </c>
      <c r="H1013" s="8">
        <f>IF(F1013&lt;&gt;"",HYPERLINK("https://waze.com/ul?ll="&amp;SUBSTITUTE(F1013," ","")&amp;"&amp;navigate=yes","🚗 Waze"),"")</f>
        <v/>
      </c>
      <c r="I1013" s="8">
        <f>IF(F1013&lt;&gt;"",HYPERLINK("https://m.uber.com/ul/?action=setPickup&amp;pickup=my_location&amp;dropoff[latitude]="&amp;LEFT(SUBSTITUTE(F1013," ",""),FIND(",",SUBSTITUTE(F1013," ",""))-1)&amp;"&amp;dropoff[longitude]="&amp;MID(SUBSTITUTE(F1013," ",""),FIND(",",SUBSTITUTE(F1013," ",""))+1,99),"🚕 Uber"),"")</f>
        <v/>
      </c>
      <c r="J1013" s="8">
        <f>IF(F1013&lt;&gt;"","https://api.qrserver.com/v1/create-qr-code/?size=200x200&amp;data="&amp;ENCODEURL("https://www.google.com/maps/search/?api=1&amp;query="&amp;SUBSTITUTE(F1013," ","")),"")</f>
        <v/>
      </c>
      <c r="K1013" s="8">
        <f>IF(C1013&lt;&gt;"",HYPERLINK("https://wa.me/507"&amp;REGEXREPLACE(C1013,"[^0-9]","")&amp;"?text="&amp;ENCODEURL("Ya llegue. Codigo: "&amp;A1013&amp;". Ubicacion: "&amp;"https://www.google.com/maps/search/?api=1&amp;query="&amp;SUBSTITUTE(F1013," ","")),"📲 Avisar al cliente"),"")</f>
        <v/>
      </c>
      <c r="L1013" s="8">
        <f>IF(C1013&lt;&gt;"","https://api.qrserver.com/v1/create-qr-code/?size=200x200&amp;data="&amp;ENCODEURL("https://wa.me/507"&amp;REGEXREPLACE(C1013,"[^0-9]","")&amp;"?text="&amp;ENCODEURL("Ya llegue. Codigo: "&amp;A1013&amp;". Ubicacion: "&amp;"https://www.google.com/maps/search/?api=1&amp;query="&amp;SUBSTITUTE(F1013," ",""))),"")</f>
        <v/>
      </c>
      <c r="M1013" s="8">
        <f>IF(B1013&lt;&gt;"",TODAY(),"")</f>
        <v/>
      </c>
      <c r="N1013" s="8">
        <f>IF(F1013&lt;&gt;"",IFERROR(IF(AND(REGEXMATCH(SUBSTITUTE(TRIM(F1013)," ",""),"^-?\d+(\.\d+)?,-?\d+(\.\d+)?$"),VALUE(REGEXEXTRACT(SUBSTITUTE(TRIM(F1013)," ",""),"^-?\d+(\.\d+)?"))&gt;=-90,VALUE(REGEXEXTRACT(SUBSTITUTE(TRIM(F1013)," ",""),"^-?\d+(\.\d+)?"))&lt;=90,VALUE(REGEXEXTRACT(SUBSTITUTE(TRIM(F1013)," ",""),"-?\d+(\.\d+)?$"))&gt;=-180,VALUE(REGEXEXTRACT(SUBSTITUTE(TRIM(F1013)," ",""),"-?\d+(\.\d+)?$"))&lt;=180),"OK","REVISAR"),"REVISAR"),"")</f>
        <v/>
      </c>
      <c r="O1013">
        <f>IF(A1013&lt;&gt;"","https://direcciones507.github.io/direcciones507/panel.html?codigo="&amp;A1013&amp;"&amp;nombre="&amp;ENCODEURL(B1013)&amp;"&amp;telefono="&amp;SUBSTITUTE(C1013,"-","")&amp;"&amp;referencia="&amp;ENCODEURL(E1013)&amp;"&amp;lat="&amp;IZQUIERDA(SUBSTITUTE(F1013," ",""),ENCONTRAR(",",SUBSTITUTE(F1013," ",""))-1)&amp;"&amp;lng="&amp;DERECHA(SUBSTITUTE(F1013," ",""),LARGO(SUBSTITUTE(F1013," ",""))-ENCONTRAR(",",SUBSTITUTE(F1013," ",""))),"")</f>
        <v/>
      </c>
    </row>
    <row r="1014" ht="15.75" customHeight="1" s="10">
      <c r="A1014" s="8">
        <f>CONCAT("AD507-",TEXT(ROW()-2,"0000"))</f>
        <v/>
      </c>
      <c r="C1014" s="8" t="n"/>
      <c r="F1014" s="8" t="n"/>
      <c r="G1014" s="8">
        <f>IF(F1014&lt;&gt;"",HYPERLINK("https://www.google.com/maps/search/?api=1&amp;query="&amp;SUBSTITUTE(F1014," ",""),"🗺 Google Maps"),"")</f>
        <v/>
      </c>
      <c r="H1014" s="8">
        <f>IF(F1014&lt;&gt;"",HYPERLINK("https://waze.com/ul?ll="&amp;SUBSTITUTE(F1014," ","")&amp;"&amp;navigate=yes","🚗 Waze"),"")</f>
        <v/>
      </c>
      <c r="I1014" s="8">
        <f>IF(F1014&lt;&gt;"",HYPERLINK("https://m.uber.com/ul/?action=setPickup&amp;pickup=my_location&amp;dropoff[latitude]="&amp;LEFT(SUBSTITUTE(F1014," ",""),FIND(",",SUBSTITUTE(F1014," ",""))-1)&amp;"&amp;dropoff[longitude]="&amp;MID(SUBSTITUTE(F1014," ",""),FIND(",",SUBSTITUTE(F1014," ",""))+1,99),"🚕 Uber"),"")</f>
        <v/>
      </c>
      <c r="J1014" s="8">
        <f>IF(F1014&lt;&gt;"","https://api.qrserver.com/v1/create-qr-code/?size=200x200&amp;data="&amp;ENCODEURL("https://www.google.com/maps/search/?api=1&amp;query="&amp;SUBSTITUTE(F1014," ","")),"")</f>
        <v/>
      </c>
      <c r="K1014" s="8">
        <f>IF(C1014&lt;&gt;"",HYPERLINK("https://wa.me/507"&amp;REGEXREPLACE(C1014,"[^0-9]","")&amp;"?text="&amp;ENCODEURL("Ya llegue. Codigo: "&amp;A1014&amp;". Ubicacion: "&amp;"https://www.google.com/maps/search/?api=1&amp;query="&amp;SUBSTITUTE(F1014," ","")),"📲 Avisar al cliente"),"")</f>
        <v/>
      </c>
      <c r="L1014" s="8">
        <f>IF(C1014&lt;&gt;"","https://api.qrserver.com/v1/create-qr-code/?size=200x200&amp;data="&amp;ENCODEURL("https://wa.me/507"&amp;REGEXREPLACE(C1014,"[^0-9]","")&amp;"?text="&amp;ENCODEURL("Ya llegue. Codigo: "&amp;A1014&amp;". Ubicacion: "&amp;"https://www.google.com/maps/search/?api=1&amp;query="&amp;SUBSTITUTE(F1014," ",""))),"")</f>
        <v/>
      </c>
      <c r="M1014" s="8">
        <f>IF(B1014&lt;&gt;"",TODAY(),"")</f>
        <v/>
      </c>
      <c r="N1014" s="8">
        <f>IF(F1014&lt;&gt;"",IFERROR(IF(AND(REGEXMATCH(SUBSTITUTE(TRIM(F1014)," ",""),"^-?\d+(\.\d+)?,-?\d+(\.\d+)?$"),VALUE(REGEXEXTRACT(SUBSTITUTE(TRIM(F1014)," ",""),"^-?\d+(\.\d+)?"))&gt;=-90,VALUE(REGEXEXTRACT(SUBSTITUTE(TRIM(F1014)," ",""),"^-?\d+(\.\d+)?"))&lt;=90,VALUE(REGEXEXTRACT(SUBSTITUTE(TRIM(F1014)," ",""),"-?\d+(\.\d+)?$"))&gt;=-180,VALUE(REGEXEXTRACT(SUBSTITUTE(TRIM(F1014)," ",""),"-?\d+(\.\d+)?$"))&lt;=180),"OK","REVISAR"),"REVISAR"),"")</f>
        <v/>
      </c>
      <c r="O1014">
        <f>IF(A1014&lt;&gt;"","https://direcciones507.github.io/direcciones507/panel.html?codigo="&amp;A1014&amp;"&amp;nombre="&amp;ENCODEURL(B1014)&amp;"&amp;telefono="&amp;SUBSTITUTE(C1014,"-","")&amp;"&amp;referencia="&amp;ENCODEURL(E1014)&amp;"&amp;lat="&amp;IZQUIERDA(SUBSTITUTE(F1014," ",""),ENCONTRAR(",",SUBSTITUTE(F1014," ",""))-1)&amp;"&amp;lng="&amp;DERECHA(SUBSTITUTE(F1014," ",""),LARGO(SUBSTITUTE(F1014," ",""))-ENCONTRAR(",",SUBSTITUTE(F1014," ",""))),"")</f>
        <v/>
      </c>
    </row>
    <row r="1015" ht="15.75" customHeight="1" s="10">
      <c r="A1015" s="8">
        <f>CONCAT("AD507-",TEXT(ROW()-2,"0000"))</f>
        <v/>
      </c>
      <c r="C1015" s="8" t="n"/>
      <c r="F1015" s="8" t="n"/>
      <c r="G1015" s="8">
        <f>IF(F1015&lt;&gt;"",HYPERLINK("https://www.google.com/maps/search/?api=1&amp;query="&amp;SUBSTITUTE(F1015," ",""),"🗺 Google Maps"),"")</f>
        <v/>
      </c>
      <c r="H1015" s="8">
        <f>IF(F1015&lt;&gt;"",HYPERLINK("https://waze.com/ul?ll="&amp;SUBSTITUTE(F1015," ","")&amp;"&amp;navigate=yes","🚗 Waze"),"")</f>
        <v/>
      </c>
      <c r="I1015" s="8">
        <f>IF(F1015&lt;&gt;"",HYPERLINK("https://m.uber.com/ul/?action=setPickup&amp;pickup=my_location&amp;dropoff[latitude]="&amp;LEFT(SUBSTITUTE(F1015," ",""),FIND(",",SUBSTITUTE(F1015," ",""))-1)&amp;"&amp;dropoff[longitude]="&amp;MID(SUBSTITUTE(F1015," ",""),FIND(",",SUBSTITUTE(F1015," ",""))+1,99),"🚕 Uber"),"")</f>
        <v/>
      </c>
      <c r="J1015" s="8">
        <f>IF(F1015&lt;&gt;"","https://api.qrserver.com/v1/create-qr-code/?size=200x200&amp;data="&amp;ENCODEURL("https://www.google.com/maps/search/?api=1&amp;query="&amp;SUBSTITUTE(F1015," ","")),"")</f>
        <v/>
      </c>
      <c r="K1015" s="8">
        <f>IF(C1015&lt;&gt;"",HYPERLINK("https://wa.me/507"&amp;REGEXREPLACE(C1015,"[^0-9]","")&amp;"?text="&amp;ENCODEURL("Ya llegue. Codigo: "&amp;A1015&amp;". Ubicacion: "&amp;"https://www.google.com/maps/search/?api=1&amp;query="&amp;SUBSTITUTE(F1015," ","")),"📲 Avisar al cliente"),"")</f>
        <v/>
      </c>
      <c r="L1015" s="8">
        <f>IF(C1015&lt;&gt;"","https://api.qrserver.com/v1/create-qr-code/?size=200x200&amp;data="&amp;ENCODEURL("https://wa.me/507"&amp;REGEXREPLACE(C1015,"[^0-9]","")&amp;"?text="&amp;ENCODEURL("Ya llegue. Codigo: "&amp;A1015&amp;". Ubicacion: "&amp;"https://www.google.com/maps/search/?api=1&amp;query="&amp;SUBSTITUTE(F1015," ",""))),"")</f>
        <v/>
      </c>
      <c r="M1015" s="8">
        <f>IF(B1015&lt;&gt;"",TODAY(),"")</f>
        <v/>
      </c>
      <c r="N1015" s="8">
        <f>IF(F1015&lt;&gt;"",IFERROR(IF(AND(REGEXMATCH(SUBSTITUTE(TRIM(F1015)," ",""),"^-?\d+(\.\d+)?,-?\d+(\.\d+)?$"),VALUE(REGEXEXTRACT(SUBSTITUTE(TRIM(F1015)," ",""),"^-?\d+(\.\d+)?"))&gt;=-90,VALUE(REGEXEXTRACT(SUBSTITUTE(TRIM(F1015)," ",""),"^-?\d+(\.\d+)?"))&lt;=90,VALUE(REGEXEXTRACT(SUBSTITUTE(TRIM(F1015)," ",""),"-?\d+(\.\d+)?$"))&gt;=-180,VALUE(REGEXEXTRACT(SUBSTITUTE(TRIM(F1015)," ",""),"-?\d+(\.\d+)?$"))&lt;=180),"OK","REVISAR"),"REVISAR"),"")</f>
        <v/>
      </c>
      <c r="O1015">
        <f>IF(A1015&lt;&gt;"","https://direcciones507.github.io/direcciones507/panel.html?codigo="&amp;A1015&amp;"&amp;nombre="&amp;ENCODEURL(B1015)&amp;"&amp;telefono="&amp;SUBSTITUTE(C1015,"-","")&amp;"&amp;referencia="&amp;ENCODEURL(E1015)&amp;"&amp;lat="&amp;IZQUIERDA(SUBSTITUTE(F1015," ",""),ENCONTRAR(",",SUBSTITUTE(F1015," ",""))-1)&amp;"&amp;lng="&amp;DERECHA(SUBSTITUTE(F1015," ",""),LARGO(SUBSTITUTE(F1015," ",""))-ENCONTRAR(",",SUBSTITUTE(F1015," ",""))),"")</f>
        <v/>
      </c>
    </row>
    <row r="1016" ht="15.75" customHeight="1" s="10">
      <c r="A1016" s="8">
        <f>CONCAT("AD507-",TEXT(ROW()-2,"0000"))</f>
        <v/>
      </c>
      <c r="C1016" s="8" t="n"/>
      <c r="F1016" s="8" t="n"/>
      <c r="G1016" s="8">
        <f>IF(F1016&lt;&gt;"",HYPERLINK("https://www.google.com/maps/search/?api=1&amp;query="&amp;SUBSTITUTE(F1016," ",""),"🗺 Google Maps"),"")</f>
        <v/>
      </c>
      <c r="H1016" s="8">
        <f>IF(F1016&lt;&gt;"",HYPERLINK("https://waze.com/ul?ll="&amp;SUBSTITUTE(F1016," ","")&amp;"&amp;navigate=yes","🚗 Waze"),"")</f>
        <v/>
      </c>
      <c r="I1016" s="8">
        <f>IF(F1016&lt;&gt;"",HYPERLINK("https://m.uber.com/ul/?action=setPickup&amp;pickup=my_location&amp;dropoff[latitude]="&amp;LEFT(SUBSTITUTE(F1016," ",""),FIND(",",SUBSTITUTE(F1016," ",""))-1)&amp;"&amp;dropoff[longitude]="&amp;MID(SUBSTITUTE(F1016," ",""),FIND(",",SUBSTITUTE(F1016," ",""))+1,99),"🚕 Uber"),"")</f>
        <v/>
      </c>
      <c r="J1016" s="8">
        <f>IF(F1016&lt;&gt;"","https://api.qrserver.com/v1/create-qr-code/?size=200x200&amp;data="&amp;ENCODEURL("https://www.google.com/maps/search/?api=1&amp;query="&amp;SUBSTITUTE(F1016," ","")),"")</f>
        <v/>
      </c>
      <c r="K1016" s="8">
        <f>IF(C1016&lt;&gt;"",HYPERLINK("https://wa.me/507"&amp;REGEXREPLACE(C1016,"[^0-9]","")&amp;"?text="&amp;ENCODEURL("Ya llegue. Codigo: "&amp;A1016&amp;". Ubicacion: "&amp;"https://www.google.com/maps/search/?api=1&amp;query="&amp;SUBSTITUTE(F1016," ","")),"📲 Avisar al cliente"),"")</f>
        <v/>
      </c>
      <c r="L1016" s="8">
        <f>IF(C1016&lt;&gt;"","https://api.qrserver.com/v1/create-qr-code/?size=200x200&amp;data="&amp;ENCODEURL("https://wa.me/507"&amp;REGEXREPLACE(C1016,"[^0-9]","")&amp;"?text="&amp;ENCODEURL("Ya llegue. Codigo: "&amp;A1016&amp;". Ubicacion: "&amp;"https://www.google.com/maps/search/?api=1&amp;query="&amp;SUBSTITUTE(F1016," ",""))),"")</f>
        <v/>
      </c>
      <c r="M1016" s="8">
        <f>IF(B1016&lt;&gt;"",TODAY(),"")</f>
        <v/>
      </c>
      <c r="N1016" s="8">
        <f>IF(F1016&lt;&gt;"",IFERROR(IF(AND(REGEXMATCH(SUBSTITUTE(TRIM(F1016)," ",""),"^-?\d+(\.\d+)?,-?\d+(\.\d+)?$"),VALUE(REGEXEXTRACT(SUBSTITUTE(TRIM(F1016)," ",""),"^-?\d+(\.\d+)?"))&gt;=-90,VALUE(REGEXEXTRACT(SUBSTITUTE(TRIM(F1016)," ",""),"^-?\d+(\.\d+)?"))&lt;=90,VALUE(REGEXEXTRACT(SUBSTITUTE(TRIM(F1016)," ",""),"-?\d+(\.\d+)?$"))&gt;=-180,VALUE(REGEXEXTRACT(SUBSTITUTE(TRIM(F1016)," ",""),"-?\d+(\.\d+)?$"))&lt;=180),"OK","REVISAR"),"REVISAR"),"")</f>
        <v/>
      </c>
      <c r="O1016">
        <f>IF(A1016&lt;&gt;"","https://direcciones507.github.io/direcciones507/panel.html?codigo="&amp;A1016&amp;"&amp;nombre="&amp;ENCODEURL(B1016)&amp;"&amp;telefono="&amp;SUBSTITUTE(C1016,"-","")&amp;"&amp;referencia="&amp;ENCODEURL(E1016)&amp;"&amp;lat="&amp;IZQUIERDA(SUBSTITUTE(F1016," ",""),ENCONTRAR(",",SUBSTITUTE(F1016," ",""))-1)&amp;"&amp;lng="&amp;DERECHA(SUBSTITUTE(F1016," ",""),LARGO(SUBSTITUTE(F1016," ",""))-ENCONTRAR(",",SUBSTITUTE(F1016," ",""))),"")</f>
        <v/>
      </c>
    </row>
    <row r="1017" ht="15.75" customHeight="1" s="10">
      <c r="A1017" s="8">
        <f>CONCAT("AD507-",TEXT(ROW()-2,"0000"))</f>
        <v/>
      </c>
      <c r="C1017" s="8" t="n"/>
      <c r="F1017" s="8" t="n"/>
      <c r="G1017" s="8">
        <f>IF(F1017&lt;&gt;"",HYPERLINK("https://www.google.com/maps/search/?api=1&amp;query="&amp;SUBSTITUTE(F1017," ",""),"🗺 Google Maps"),"")</f>
        <v/>
      </c>
      <c r="H1017" s="8">
        <f>IF(F1017&lt;&gt;"",HYPERLINK("https://waze.com/ul?ll="&amp;SUBSTITUTE(F1017," ","")&amp;"&amp;navigate=yes","🚗 Waze"),"")</f>
        <v/>
      </c>
      <c r="I1017" s="8">
        <f>IF(F1017&lt;&gt;"",HYPERLINK("https://m.uber.com/ul/?action=setPickup&amp;pickup=my_location&amp;dropoff[latitude]="&amp;LEFT(SUBSTITUTE(F1017," ",""),FIND(",",SUBSTITUTE(F1017," ",""))-1)&amp;"&amp;dropoff[longitude]="&amp;MID(SUBSTITUTE(F1017," ",""),FIND(",",SUBSTITUTE(F1017," ",""))+1,99),"🚕 Uber"),"")</f>
        <v/>
      </c>
      <c r="J1017" s="8">
        <f>IF(F1017&lt;&gt;"","https://api.qrserver.com/v1/create-qr-code/?size=200x200&amp;data="&amp;ENCODEURL("https://www.google.com/maps/search/?api=1&amp;query="&amp;SUBSTITUTE(F1017," ","")),"")</f>
        <v/>
      </c>
      <c r="K1017" s="8">
        <f>IF(C1017&lt;&gt;"",HYPERLINK("https://wa.me/507"&amp;REGEXREPLACE(C1017,"[^0-9]","")&amp;"?text="&amp;ENCODEURL("Ya llegue. Codigo: "&amp;A1017&amp;". Ubicacion: "&amp;"https://www.google.com/maps/search/?api=1&amp;query="&amp;SUBSTITUTE(F1017," ","")),"📲 Avisar al cliente"),"")</f>
        <v/>
      </c>
      <c r="L1017" s="8">
        <f>IF(C1017&lt;&gt;"","https://api.qrserver.com/v1/create-qr-code/?size=200x200&amp;data="&amp;ENCODEURL("https://wa.me/507"&amp;REGEXREPLACE(C1017,"[^0-9]","")&amp;"?text="&amp;ENCODEURL("Ya llegue. Codigo: "&amp;A1017&amp;". Ubicacion: "&amp;"https://www.google.com/maps/search/?api=1&amp;query="&amp;SUBSTITUTE(F1017," ",""))),"")</f>
        <v/>
      </c>
      <c r="M1017" s="8">
        <f>IF(B1017&lt;&gt;"",TODAY(),"")</f>
        <v/>
      </c>
      <c r="N1017" s="8">
        <f>IF(F1017&lt;&gt;"",IFERROR(IF(AND(REGEXMATCH(SUBSTITUTE(TRIM(F1017)," ",""),"^-?\d+(\.\d+)?,-?\d+(\.\d+)?$"),VALUE(REGEXEXTRACT(SUBSTITUTE(TRIM(F1017)," ",""),"^-?\d+(\.\d+)?"))&gt;=-90,VALUE(REGEXEXTRACT(SUBSTITUTE(TRIM(F1017)," ",""),"^-?\d+(\.\d+)?"))&lt;=90,VALUE(REGEXEXTRACT(SUBSTITUTE(TRIM(F1017)," ",""),"-?\d+(\.\d+)?$"))&gt;=-180,VALUE(REGEXEXTRACT(SUBSTITUTE(TRIM(F1017)," ",""),"-?\d+(\.\d+)?$"))&lt;=180),"OK","REVISAR"),"REVISAR"),"")</f>
        <v/>
      </c>
      <c r="O1017">
        <f>IF(A1017&lt;&gt;"","https://direcciones507.github.io/direcciones507/panel.html?codigo="&amp;A1017&amp;"&amp;nombre="&amp;ENCODEURL(B1017)&amp;"&amp;telefono="&amp;SUBSTITUTE(C1017,"-","")&amp;"&amp;referencia="&amp;ENCODEURL(E1017)&amp;"&amp;lat="&amp;IZQUIERDA(SUBSTITUTE(F1017," ",""),ENCONTRAR(",",SUBSTITUTE(F1017," ",""))-1)&amp;"&amp;lng="&amp;DERECHA(SUBSTITUTE(F1017," ",""),LARGO(SUBSTITUTE(F1017," ",""))-ENCONTRAR(",",SUBSTITUTE(F1017," ",""))),"")</f>
        <v/>
      </c>
    </row>
    <row r="1018" ht="15.75" customHeight="1" s="10">
      <c r="A1018" s="8">
        <f>CONCAT("AD507-",TEXT(ROW()-2,"0000"))</f>
        <v/>
      </c>
      <c r="C1018" s="8" t="n"/>
      <c r="F1018" s="8" t="n"/>
      <c r="G1018" s="8">
        <f>IF(F1018&lt;&gt;"",HYPERLINK("https://www.google.com/maps/search/?api=1&amp;query="&amp;SUBSTITUTE(F1018," ",""),"🗺 Google Maps"),"")</f>
        <v/>
      </c>
      <c r="H1018" s="8">
        <f>IF(F1018&lt;&gt;"",HYPERLINK("https://waze.com/ul?ll="&amp;SUBSTITUTE(F1018," ","")&amp;"&amp;navigate=yes","🚗 Waze"),"")</f>
        <v/>
      </c>
      <c r="I1018" s="8">
        <f>IF(F1018&lt;&gt;"",HYPERLINK("https://m.uber.com/ul/?action=setPickup&amp;pickup=my_location&amp;dropoff[latitude]="&amp;LEFT(SUBSTITUTE(F1018," ",""),FIND(",",SUBSTITUTE(F1018," ",""))-1)&amp;"&amp;dropoff[longitude]="&amp;MID(SUBSTITUTE(F1018," ",""),FIND(",",SUBSTITUTE(F1018," ",""))+1,99),"🚕 Uber"),"")</f>
        <v/>
      </c>
      <c r="J1018" s="8">
        <f>IF(F1018&lt;&gt;"","https://api.qrserver.com/v1/create-qr-code/?size=200x200&amp;data="&amp;ENCODEURL("https://www.google.com/maps/search/?api=1&amp;query="&amp;SUBSTITUTE(F1018," ","")),"")</f>
        <v/>
      </c>
      <c r="K1018" s="8">
        <f>IF(C1018&lt;&gt;"",HYPERLINK("https://wa.me/507"&amp;REGEXREPLACE(C1018,"[^0-9]","")&amp;"?text="&amp;ENCODEURL("Ya llegue. Codigo: "&amp;A1018&amp;". Ubicacion: "&amp;"https://www.google.com/maps/search/?api=1&amp;query="&amp;SUBSTITUTE(F1018," ","")),"📲 Avisar al cliente"),"")</f>
        <v/>
      </c>
      <c r="L1018" s="8">
        <f>IF(C1018&lt;&gt;"","https://api.qrserver.com/v1/create-qr-code/?size=200x200&amp;data="&amp;ENCODEURL("https://wa.me/507"&amp;REGEXREPLACE(C1018,"[^0-9]","")&amp;"?text="&amp;ENCODEURL("Ya llegue. Codigo: "&amp;A1018&amp;". Ubicacion: "&amp;"https://www.google.com/maps/search/?api=1&amp;query="&amp;SUBSTITUTE(F1018," ",""))),"")</f>
        <v/>
      </c>
      <c r="M1018" s="8">
        <f>IF(B1018&lt;&gt;"",TODAY(),"")</f>
        <v/>
      </c>
      <c r="N1018" s="8">
        <f>IF(F1018&lt;&gt;"",IFERROR(IF(AND(REGEXMATCH(SUBSTITUTE(TRIM(F1018)," ",""),"^-?\d+(\.\d+)?,-?\d+(\.\d+)?$"),VALUE(REGEXEXTRACT(SUBSTITUTE(TRIM(F1018)," ",""),"^-?\d+(\.\d+)?"))&gt;=-90,VALUE(REGEXEXTRACT(SUBSTITUTE(TRIM(F1018)," ",""),"^-?\d+(\.\d+)?"))&lt;=90,VALUE(REGEXEXTRACT(SUBSTITUTE(TRIM(F1018)," ",""),"-?\d+(\.\d+)?$"))&gt;=-180,VALUE(REGEXEXTRACT(SUBSTITUTE(TRIM(F1018)," ",""),"-?\d+(\.\d+)?$"))&lt;=180),"OK","REVISAR"),"REVISAR"),"")</f>
        <v/>
      </c>
      <c r="O1018">
        <f>IF(A1018&lt;&gt;"","https://direcciones507.github.io/direcciones507/panel.html?codigo="&amp;A1018&amp;"&amp;nombre="&amp;ENCODEURL(B1018)&amp;"&amp;telefono="&amp;SUBSTITUTE(C1018,"-","")&amp;"&amp;referencia="&amp;ENCODEURL(E1018)&amp;"&amp;lat="&amp;IZQUIERDA(SUBSTITUTE(F1018," ",""),ENCONTRAR(",",SUBSTITUTE(F1018," ",""))-1)&amp;"&amp;lng="&amp;DERECHA(SUBSTITUTE(F1018," ",""),LARGO(SUBSTITUTE(F1018," ",""))-ENCONTRAR(",",SUBSTITUTE(F1018," ",""))),"")</f>
        <v/>
      </c>
    </row>
    <row r="1019" ht="15.75" customHeight="1" s="10">
      <c r="A1019" s="8">
        <f>CONCAT("AD507-",TEXT(ROW()-2,"0000"))</f>
        <v/>
      </c>
      <c r="C1019" s="8" t="n"/>
      <c r="F1019" s="8" t="n"/>
      <c r="G1019" s="8">
        <f>IF(F1019&lt;&gt;"",HYPERLINK("https://www.google.com/maps/search/?api=1&amp;query="&amp;SUBSTITUTE(F1019," ",""),"🗺 Google Maps"),"")</f>
        <v/>
      </c>
      <c r="H1019" s="8">
        <f>IF(F1019&lt;&gt;"",HYPERLINK("https://waze.com/ul?ll="&amp;SUBSTITUTE(F1019," ","")&amp;"&amp;navigate=yes","🚗 Waze"),"")</f>
        <v/>
      </c>
      <c r="I1019" s="8">
        <f>IF(F1019&lt;&gt;"",HYPERLINK("https://m.uber.com/ul/?action=setPickup&amp;pickup=my_location&amp;dropoff[latitude]="&amp;LEFT(SUBSTITUTE(F1019," ",""),FIND(",",SUBSTITUTE(F1019," ",""))-1)&amp;"&amp;dropoff[longitude]="&amp;MID(SUBSTITUTE(F1019," ",""),FIND(",",SUBSTITUTE(F1019," ",""))+1,99),"🚕 Uber"),"")</f>
        <v/>
      </c>
      <c r="J1019" s="8">
        <f>IF(F1019&lt;&gt;"","https://api.qrserver.com/v1/create-qr-code/?size=200x200&amp;data="&amp;ENCODEURL("https://www.google.com/maps/search/?api=1&amp;query="&amp;SUBSTITUTE(F1019," ","")),"")</f>
        <v/>
      </c>
      <c r="K1019" s="8">
        <f>IF(C1019&lt;&gt;"",HYPERLINK("https://wa.me/507"&amp;REGEXREPLACE(C1019,"[^0-9]","")&amp;"?text="&amp;ENCODEURL("Ya llegue. Codigo: "&amp;A1019&amp;". Ubicacion: "&amp;"https://www.google.com/maps/search/?api=1&amp;query="&amp;SUBSTITUTE(F1019," ","")),"📲 Avisar al cliente"),"")</f>
        <v/>
      </c>
      <c r="L1019" s="8">
        <f>IF(C1019&lt;&gt;"","https://api.qrserver.com/v1/create-qr-code/?size=200x200&amp;data="&amp;ENCODEURL("https://wa.me/507"&amp;REGEXREPLACE(C1019,"[^0-9]","")&amp;"?text="&amp;ENCODEURL("Ya llegue. Codigo: "&amp;A1019&amp;". Ubicacion: "&amp;"https://www.google.com/maps/search/?api=1&amp;query="&amp;SUBSTITUTE(F1019," ",""))),"")</f>
        <v/>
      </c>
      <c r="M1019" s="8">
        <f>IF(B1019&lt;&gt;"",TODAY(),"")</f>
        <v/>
      </c>
      <c r="N1019" s="8">
        <f>IF(F1019&lt;&gt;"",IFERROR(IF(AND(REGEXMATCH(SUBSTITUTE(TRIM(F1019)," ",""),"^-?\d+(\.\d+)?,-?\d+(\.\d+)?$"),VALUE(REGEXEXTRACT(SUBSTITUTE(TRIM(F1019)," ",""),"^-?\d+(\.\d+)?"))&gt;=-90,VALUE(REGEXEXTRACT(SUBSTITUTE(TRIM(F1019)," ",""),"^-?\d+(\.\d+)?"))&lt;=90,VALUE(REGEXEXTRACT(SUBSTITUTE(TRIM(F1019)," ",""),"-?\d+(\.\d+)?$"))&gt;=-180,VALUE(REGEXEXTRACT(SUBSTITUTE(TRIM(F1019)," ",""),"-?\d+(\.\d+)?$"))&lt;=180),"OK","REVISAR"),"REVISAR"),"")</f>
        <v/>
      </c>
      <c r="O1019">
        <f>IF(A1019&lt;&gt;"","https://direcciones507.github.io/direcciones507/panel.html?codigo="&amp;A1019&amp;"&amp;nombre="&amp;ENCODEURL(B1019)&amp;"&amp;telefono="&amp;SUBSTITUTE(C1019,"-","")&amp;"&amp;referencia="&amp;ENCODEURL(E1019)&amp;"&amp;lat="&amp;IZQUIERDA(SUBSTITUTE(F1019," ",""),ENCONTRAR(",",SUBSTITUTE(F1019," ",""))-1)&amp;"&amp;lng="&amp;DERECHA(SUBSTITUTE(F1019," ",""),LARGO(SUBSTITUTE(F1019," ",""))-ENCONTRAR(",",SUBSTITUTE(F1019," ",""))),"")</f>
        <v/>
      </c>
    </row>
    <row r="1020" ht="15.75" customHeight="1" s="10">
      <c r="A1020" s="8">
        <f>CONCAT("AD507-",TEXT(ROW()-2,"0000"))</f>
        <v/>
      </c>
      <c r="C1020" s="8" t="n"/>
      <c r="F1020" s="8" t="n"/>
      <c r="G1020" s="8">
        <f>IF(F1020&lt;&gt;"",HYPERLINK("https://www.google.com/maps/search/?api=1&amp;query="&amp;SUBSTITUTE(F1020," ",""),"🗺 Google Maps"),"")</f>
        <v/>
      </c>
      <c r="H1020" s="8">
        <f>IF(F1020&lt;&gt;"",HYPERLINK("https://waze.com/ul?ll="&amp;SUBSTITUTE(F1020," ","")&amp;"&amp;navigate=yes","🚗 Waze"),"")</f>
        <v/>
      </c>
      <c r="I1020" s="8">
        <f>IF(F1020&lt;&gt;"",HYPERLINK("https://m.uber.com/ul/?action=setPickup&amp;pickup=my_location&amp;dropoff[latitude]="&amp;LEFT(SUBSTITUTE(F1020," ",""),FIND(",",SUBSTITUTE(F1020," ",""))-1)&amp;"&amp;dropoff[longitude]="&amp;MID(SUBSTITUTE(F1020," ",""),FIND(",",SUBSTITUTE(F1020," ",""))+1,99),"🚕 Uber"),"")</f>
        <v/>
      </c>
      <c r="J1020" s="8">
        <f>IF(F1020&lt;&gt;"","https://api.qrserver.com/v1/create-qr-code/?size=200x200&amp;data="&amp;ENCODEURL("https://www.google.com/maps/search/?api=1&amp;query="&amp;SUBSTITUTE(F1020," ","")),"")</f>
        <v/>
      </c>
      <c r="K1020" s="8">
        <f>IF(C1020&lt;&gt;"",HYPERLINK("https://wa.me/507"&amp;REGEXREPLACE(C1020,"[^0-9]","")&amp;"?text="&amp;ENCODEURL("Ya llegue. Codigo: "&amp;A1020&amp;". Ubicacion: "&amp;"https://www.google.com/maps/search/?api=1&amp;query="&amp;SUBSTITUTE(F1020," ","")),"📲 Avisar al cliente"),"")</f>
        <v/>
      </c>
      <c r="L1020" s="8">
        <f>IF(C1020&lt;&gt;"","https://api.qrserver.com/v1/create-qr-code/?size=200x200&amp;data="&amp;ENCODEURL("https://wa.me/507"&amp;REGEXREPLACE(C1020,"[^0-9]","")&amp;"?text="&amp;ENCODEURL("Ya llegue. Codigo: "&amp;A1020&amp;". Ubicacion: "&amp;"https://www.google.com/maps/search/?api=1&amp;query="&amp;SUBSTITUTE(F1020," ",""))),"")</f>
        <v/>
      </c>
      <c r="M1020" s="8">
        <f>IF(B1020&lt;&gt;"",TODAY(),"")</f>
        <v/>
      </c>
      <c r="N1020" s="8">
        <f>IF(F1020&lt;&gt;"",IFERROR(IF(AND(REGEXMATCH(SUBSTITUTE(TRIM(F1020)," ",""),"^-?\d+(\.\d+)?,-?\d+(\.\d+)?$"),VALUE(REGEXEXTRACT(SUBSTITUTE(TRIM(F1020)," ",""),"^-?\d+(\.\d+)?"))&gt;=-90,VALUE(REGEXEXTRACT(SUBSTITUTE(TRIM(F1020)," ",""),"^-?\d+(\.\d+)?"))&lt;=90,VALUE(REGEXEXTRACT(SUBSTITUTE(TRIM(F1020)," ",""),"-?\d+(\.\d+)?$"))&gt;=-180,VALUE(REGEXEXTRACT(SUBSTITUTE(TRIM(F1020)," ",""),"-?\d+(\.\d+)?$"))&lt;=180),"OK","REVISAR"),"REVISAR"),"")</f>
        <v/>
      </c>
      <c r="O1020">
        <f>IF(A1020&lt;&gt;"","https://direcciones507.github.io/direcciones507/panel.html?codigo="&amp;A1020&amp;"&amp;nombre="&amp;ENCODEURL(B1020)&amp;"&amp;telefono="&amp;SUBSTITUTE(C1020,"-","")&amp;"&amp;referencia="&amp;ENCODEURL(E1020)&amp;"&amp;lat="&amp;IZQUIERDA(SUBSTITUTE(F1020," ",""),ENCONTRAR(",",SUBSTITUTE(F1020," ",""))-1)&amp;"&amp;lng="&amp;DERECHA(SUBSTITUTE(F1020," ",""),LARGO(SUBSTITUTE(F1020," ",""))-ENCONTRAR(",",SUBSTITUTE(F1020," ",""))),"")</f>
        <v/>
      </c>
    </row>
    <row r="1021" ht="15.75" customHeight="1" s="10">
      <c r="A1021" s="8">
        <f>CONCAT("AD507-",TEXT(ROW()-2,"0000"))</f>
        <v/>
      </c>
      <c r="C1021" s="8" t="n"/>
      <c r="F1021" s="8" t="n"/>
      <c r="G1021" s="8">
        <f>IF(F1021&lt;&gt;"",HYPERLINK("https://www.google.com/maps/search/?api=1&amp;query="&amp;SUBSTITUTE(F1021," ",""),"🗺 Google Maps"),"")</f>
        <v/>
      </c>
      <c r="H1021" s="8">
        <f>IF(F1021&lt;&gt;"",HYPERLINK("https://waze.com/ul?ll="&amp;SUBSTITUTE(F1021," ","")&amp;"&amp;navigate=yes","🚗 Waze"),"")</f>
        <v/>
      </c>
      <c r="I1021" s="8">
        <f>IF(F1021&lt;&gt;"",HYPERLINK("https://m.uber.com/ul/?action=setPickup&amp;pickup=my_location&amp;dropoff[latitude]="&amp;LEFT(SUBSTITUTE(F1021," ",""),FIND(",",SUBSTITUTE(F1021," ",""))-1)&amp;"&amp;dropoff[longitude]="&amp;MID(SUBSTITUTE(F1021," ",""),FIND(",",SUBSTITUTE(F1021," ",""))+1,99),"🚕 Uber"),"")</f>
        <v/>
      </c>
      <c r="J1021" s="8">
        <f>IF(F1021&lt;&gt;"","https://api.qrserver.com/v1/create-qr-code/?size=200x200&amp;data="&amp;ENCODEURL("https://www.google.com/maps/search/?api=1&amp;query="&amp;SUBSTITUTE(F1021," ","")),"")</f>
        <v/>
      </c>
      <c r="K1021" s="8">
        <f>IF(C1021&lt;&gt;"",HYPERLINK("https://wa.me/507"&amp;REGEXREPLACE(C1021,"[^0-9]","")&amp;"?text="&amp;ENCODEURL("Ya llegue. Codigo: "&amp;A1021&amp;". Ubicacion: "&amp;"https://www.google.com/maps/search/?api=1&amp;query="&amp;SUBSTITUTE(F1021," ","")),"📲 Avisar al cliente"),"")</f>
        <v/>
      </c>
      <c r="L1021" s="8">
        <f>IF(C1021&lt;&gt;"","https://api.qrserver.com/v1/create-qr-code/?size=200x200&amp;data="&amp;ENCODEURL("https://wa.me/507"&amp;REGEXREPLACE(C1021,"[^0-9]","")&amp;"?text="&amp;ENCODEURL("Ya llegue. Codigo: "&amp;A1021&amp;". Ubicacion: "&amp;"https://www.google.com/maps/search/?api=1&amp;query="&amp;SUBSTITUTE(F1021," ",""))),"")</f>
        <v/>
      </c>
      <c r="M1021" s="8">
        <f>IF(B1021&lt;&gt;"",TODAY(),"")</f>
        <v/>
      </c>
      <c r="N1021" s="8">
        <f>IF(F1021&lt;&gt;"",IFERROR(IF(AND(REGEXMATCH(SUBSTITUTE(TRIM(F1021)," ",""),"^-?\d+(\.\d+)?,-?\d+(\.\d+)?$"),VALUE(REGEXEXTRACT(SUBSTITUTE(TRIM(F1021)," ",""),"^-?\d+(\.\d+)?"))&gt;=-90,VALUE(REGEXEXTRACT(SUBSTITUTE(TRIM(F1021)," ",""),"^-?\d+(\.\d+)?"))&lt;=90,VALUE(REGEXEXTRACT(SUBSTITUTE(TRIM(F1021)," ",""),"-?\d+(\.\d+)?$"))&gt;=-180,VALUE(REGEXEXTRACT(SUBSTITUTE(TRIM(F1021)," ",""),"-?\d+(\.\d+)?$"))&lt;=180),"OK","REVISAR"),"REVISAR"),"")</f>
        <v/>
      </c>
      <c r="O1021">
        <f>IF(A1021&lt;&gt;"","https://direcciones507.github.io/direcciones507/panel.html?codigo="&amp;A1021&amp;"&amp;nombre="&amp;ENCODEURL(B1021)&amp;"&amp;telefono="&amp;SUBSTITUTE(C1021,"-","")&amp;"&amp;referencia="&amp;ENCODEURL(E1021)&amp;"&amp;lat="&amp;IZQUIERDA(SUBSTITUTE(F1021," ",""),ENCONTRAR(",",SUBSTITUTE(F1021," ",""))-1)&amp;"&amp;lng="&amp;DERECHA(SUBSTITUTE(F1021," ",""),LARGO(SUBSTITUTE(F1021," ",""))-ENCONTRAR(",",SUBSTITUTE(F1021," ",""))),"")</f>
        <v/>
      </c>
    </row>
    <row r="1022" ht="15.75" customHeight="1" s="10">
      <c r="A1022" s="8">
        <f>CONCAT("AD507-",TEXT(ROW()-2,"0000"))</f>
        <v/>
      </c>
      <c r="C1022" s="8" t="n"/>
      <c r="F1022" s="8" t="n"/>
      <c r="G1022" s="8">
        <f>IF(F1022&lt;&gt;"",HYPERLINK("https://www.google.com/maps/search/?api=1&amp;query="&amp;SUBSTITUTE(F1022," ",""),"🗺 Google Maps"),"")</f>
        <v/>
      </c>
      <c r="H1022" s="8">
        <f>IF(F1022&lt;&gt;"",HYPERLINK("https://waze.com/ul?ll="&amp;SUBSTITUTE(F1022," ","")&amp;"&amp;navigate=yes","🚗 Waze"),"")</f>
        <v/>
      </c>
      <c r="I1022" s="8">
        <f>IF(F1022&lt;&gt;"",HYPERLINK("https://m.uber.com/ul/?action=setPickup&amp;pickup=my_location&amp;dropoff[latitude]="&amp;LEFT(SUBSTITUTE(F1022," ",""),FIND(",",SUBSTITUTE(F1022," ",""))-1)&amp;"&amp;dropoff[longitude]="&amp;MID(SUBSTITUTE(F1022," ",""),FIND(",",SUBSTITUTE(F1022," ",""))+1,99),"🚕 Uber"),"")</f>
        <v/>
      </c>
      <c r="J1022" s="8">
        <f>IF(F1022&lt;&gt;"","https://api.qrserver.com/v1/create-qr-code/?size=200x200&amp;data="&amp;ENCODEURL("https://www.google.com/maps/search/?api=1&amp;query="&amp;SUBSTITUTE(F1022," ","")),"")</f>
        <v/>
      </c>
      <c r="K1022" s="8">
        <f>IF(C1022&lt;&gt;"",HYPERLINK("https://wa.me/507"&amp;REGEXREPLACE(C1022,"[^0-9]","")&amp;"?text="&amp;ENCODEURL("Ya llegue. Codigo: "&amp;A1022&amp;". Ubicacion: "&amp;"https://www.google.com/maps/search/?api=1&amp;query="&amp;SUBSTITUTE(F1022," ","")),"📲 Avisar al cliente"),"")</f>
        <v/>
      </c>
      <c r="L1022" s="8">
        <f>IF(C1022&lt;&gt;"","https://api.qrserver.com/v1/create-qr-code/?size=200x200&amp;data="&amp;ENCODEURL("https://wa.me/507"&amp;REGEXREPLACE(C1022,"[^0-9]","")&amp;"?text="&amp;ENCODEURL("Ya llegue. Codigo: "&amp;A1022&amp;". Ubicacion: "&amp;"https://www.google.com/maps/search/?api=1&amp;query="&amp;SUBSTITUTE(F1022," ",""))),"")</f>
        <v/>
      </c>
      <c r="M1022" s="8">
        <f>IF(B1022&lt;&gt;"",TODAY(),"")</f>
        <v/>
      </c>
      <c r="N1022" s="8">
        <f>IF(F1022&lt;&gt;"",IFERROR(IF(AND(REGEXMATCH(SUBSTITUTE(TRIM(F1022)," ",""),"^-?\d+(\.\d+)?,-?\d+(\.\d+)?$"),VALUE(REGEXEXTRACT(SUBSTITUTE(TRIM(F1022)," ",""),"^-?\d+(\.\d+)?"))&gt;=-90,VALUE(REGEXEXTRACT(SUBSTITUTE(TRIM(F1022)," ",""),"^-?\d+(\.\d+)?"))&lt;=90,VALUE(REGEXEXTRACT(SUBSTITUTE(TRIM(F1022)," ",""),"-?\d+(\.\d+)?$"))&gt;=-180,VALUE(REGEXEXTRACT(SUBSTITUTE(TRIM(F1022)," ",""),"-?\d+(\.\d+)?$"))&lt;=180),"OK","REVISAR"),"REVISAR"),"")</f>
        <v/>
      </c>
      <c r="O1022">
        <f>IF(A1022&lt;&gt;"","https://direcciones507.github.io/direcciones507/panel.html?codigo="&amp;A1022&amp;"&amp;nombre="&amp;ENCODEURL(B1022)&amp;"&amp;telefono="&amp;SUBSTITUTE(C1022,"-","")&amp;"&amp;referencia="&amp;ENCODEURL(E1022)&amp;"&amp;lat="&amp;IZQUIERDA(SUBSTITUTE(F1022," ",""),ENCONTRAR(",",SUBSTITUTE(F1022," ",""))-1)&amp;"&amp;lng="&amp;DERECHA(SUBSTITUTE(F1022," ",""),LARGO(SUBSTITUTE(F1022," ",""))-ENCONTRAR(",",SUBSTITUTE(F1022," ",""))),"")</f>
        <v/>
      </c>
    </row>
    <row r="1023" ht="15.75" customHeight="1" s="10">
      <c r="A1023" s="8">
        <f>CONCAT("AD507-",TEXT(ROW()-2,"0000"))</f>
        <v/>
      </c>
      <c r="C1023" s="8" t="n"/>
      <c r="F1023" s="8" t="n"/>
      <c r="G1023" s="8">
        <f>IF(F1023&lt;&gt;"",HYPERLINK("https://www.google.com/maps/search/?api=1&amp;query="&amp;SUBSTITUTE(F1023," ",""),"🗺 Google Maps"),"")</f>
        <v/>
      </c>
      <c r="H1023" s="8">
        <f>IF(F1023&lt;&gt;"",HYPERLINK("https://waze.com/ul?ll="&amp;SUBSTITUTE(F1023," ","")&amp;"&amp;navigate=yes","🚗 Waze"),"")</f>
        <v/>
      </c>
      <c r="I1023" s="8">
        <f>IF(F1023&lt;&gt;"",HYPERLINK("https://m.uber.com/ul/?action=setPickup&amp;pickup=my_location&amp;dropoff[latitude]="&amp;LEFT(SUBSTITUTE(F1023," ",""),FIND(",",SUBSTITUTE(F1023," ",""))-1)&amp;"&amp;dropoff[longitude]="&amp;MID(SUBSTITUTE(F1023," ",""),FIND(",",SUBSTITUTE(F1023," ",""))+1,99),"🚕 Uber"),"")</f>
        <v/>
      </c>
      <c r="J1023" s="8">
        <f>IF(F1023&lt;&gt;"","https://api.qrserver.com/v1/create-qr-code/?size=200x200&amp;data="&amp;ENCODEURL("https://www.google.com/maps/search/?api=1&amp;query="&amp;SUBSTITUTE(F1023," ","")),"")</f>
        <v/>
      </c>
      <c r="K1023" s="8">
        <f>IF(C1023&lt;&gt;"",HYPERLINK("https://wa.me/507"&amp;REGEXREPLACE(C1023,"[^0-9]","")&amp;"?text="&amp;ENCODEURL("Ya llegue. Codigo: "&amp;A1023&amp;". Ubicacion: "&amp;"https://www.google.com/maps/search/?api=1&amp;query="&amp;SUBSTITUTE(F1023," ","")),"📲 Avisar al cliente"),"")</f>
        <v/>
      </c>
      <c r="L1023" s="8">
        <f>IF(C1023&lt;&gt;"","https://api.qrserver.com/v1/create-qr-code/?size=200x200&amp;data="&amp;ENCODEURL("https://wa.me/507"&amp;REGEXREPLACE(C1023,"[^0-9]","")&amp;"?text="&amp;ENCODEURL("Ya llegue. Codigo: "&amp;A1023&amp;". Ubicacion: "&amp;"https://www.google.com/maps/search/?api=1&amp;query="&amp;SUBSTITUTE(F1023," ",""))),"")</f>
        <v/>
      </c>
      <c r="M1023" s="8">
        <f>IF(B1023&lt;&gt;"",TODAY(),"")</f>
        <v/>
      </c>
      <c r="N1023" s="8">
        <f>IF(F1023&lt;&gt;"",IFERROR(IF(AND(REGEXMATCH(SUBSTITUTE(TRIM(F1023)," ",""),"^-?\d+(\.\d+)?,-?\d+(\.\d+)?$"),VALUE(REGEXEXTRACT(SUBSTITUTE(TRIM(F1023)," ",""),"^-?\d+(\.\d+)?"))&gt;=-90,VALUE(REGEXEXTRACT(SUBSTITUTE(TRIM(F1023)," ",""),"^-?\d+(\.\d+)?"))&lt;=90,VALUE(REGEXEXTRACT(SUBSTITUTE(TRIM(F1023)," ",""),"-?\d+(\.\d+)?$"))&gt;=-180,VALUE(REGEXEXTRACT(SUBSTITUTE(TRIM(F1023)," ",""),"-?\d+(\.\d+)?$"))&lt;=180),"OK","REVISAR"),"REVISAR"),"")</f>
        <v/>
      </c>
      <c r="O1023">
        <f>IF(A1023&lt;&gt;"","https://direcciones507.github.io/direcciones507/panel.html?codigo="&amp;A1023&amp;"&amp;nombre="&amp;ENCODEURL(B1023)&amp;"&amp;telefono="&amp;SUBSTITUTE(C1023,"-","")&amp;"&amp;referencia="&amp;ENCODEURL(E1023)&amp;"&amp;lat="&amp;IZQUIERDA(SUBSTITUTE(F1023," ",""),ENCONTRAR(",",SUBSTITUTE(F1023," ",""))-1)&amp;"&amp;lng="&amp;DERECHA(SUBSTITUTE(F1023," ",""),LARGO(SUBSTITUTE(F1023," ",""))-ENCONTRAR(",",SUBSTITUTE(F1023," ",""))),"")</f>
        <v/>
      </c>
    </row>
    <row r="1024" ht="15.75" customHeight="1" s="10">
      <c r="A1024" s="8">
        <f>CONCAT("AD507-",TEXT(ROW()-2,"0000"))</f>
        <v/>
      </c>
      <c r="C1024" s="8" t="n"/>
      <c r="F1024" s="8" t="n"/>
      <c r="G1024" s="8">
        <f>IF(F1024&lt;&gt;"",HYPERLINK("https://www.google.com/maps/search/?api=1&amp;query="&amp;SUBSTITUTE(F1024," ",""),"🗺 Google Maps"),"")</f>
        <v/>
      </c>
      <c r="H1024" s="8">
        <f>IF(F1024&lt;&gt;"",HYPERLINK("https://waze.com/ul?ll="&amp;SUBSTITUTE(F1024," ","")&amp;"&amp;navigate=yes","🚗 Waze"),"")</f>
        <v/>
      </c>
      <c r="I1024" s="8">
        <f>IF(F1024&lt;&gt;"",HYPERLINK("https://m.uber.com/ul/?action=setPickup&amp;pickup=my_location&amp;dropoff[latitude]="&amp;LEFT(SUBSTITUTE(F1024," ",""),FIND(",",SUBSTITUTE(F1024," ",""))-1)&amp;"&amp;dropoff[longitude]="&amp;MID(SUBSTITUTE(F1024," ",""),FIND(",",SUBSTITUTE(F1024," ",""))+1,99),"🚕 Uber"),"")</f>
        <v/>
      </c>
      <c r="J1024" s="8">
        <f>IF(F1024&lt;&gt;"","https://api.qrserver.com/v1/create-qr-code/?size=200x200&amp;data="&amp;ENCODEURL("https://www.google.com/maps/search/?api=1&amp;query="&amp;SUBSTITUTE(F1024," ","")),"")</f>
        <v/>
      </c>
      <c r="K1024" s="8">
        <f>IF(C1024&lt;&gt;"",HYPERLINK("https://wa.me/507"&amp;REGEXREPLACE(C1024,"[^0-9]","")&amp;"?text="&amp;ENCODEURL("Ya llegue. Codigo: "&amp;A1024&amp;". Ubicacion: "&amp;"https://www.google.com/maps/search/?api=1&amp;query="&amp;SUBSTITUTE(F1024," ","")),"📲 Avisar al cliente"),"")</f>
        <v/>
      </c>
      <c r="L1024" s="8">
        <f>IF(C1024&lt;&gt;"","https://api.qrserver.com/v1/create-qr-code/?size=200x200&amp;data="&amp;ENCODEURL("https://wa.me/507"&amp;REGEXREPLACE(C1024,"[^0-9]","")&amp;"?text="&amp;ENCODEURL("Ya llegue. Codigo: "&amp;A1024&amp;". Ubicacion: "&amp;"https://www.google.com/maps/search/?api=1&amp;query="&amp;SUBSTITUTE(F1024," ",""))),"")</f>
        <v/>
      </c>
      <c r="M1024" s="8">
        <f>IF(B1024&lt;&gt;"",TODAY(),"")</f>
        <v/>
      </c>
      <c r="N1024" s="8">
        <f>IF(F1024&lt;&gt;"",IFERROR(IF(AND(REGEXMATCH(SUBSTITUTE(TRIM(F1024)," ",""),"^-?\d+(\.\d+)?,-?\d+(\.\d+)?$"),VALUE(REGEXEXTRACT(SUBSTITUTE(TRIM(F1024)," ",""),"^-?\d+(\.\d+)?"))&gt;=-90,VALUE(REGEXEXTRACT(SUBSTITUTE(TRIM(F1024)," ",""),"^-?\d+(\.\d+)?"))&lt;=90,VALUE(REGEXEXTRACT(SUBSTITUTE(TRIM(F1024)," ",""),"-?\d+(\.\d+)?$"))&gt;=-180,VALUE(REGEXEXTRACT(SUBSTITUTE(TRIM(F1024)," ",""),"-?\d+(\.\d+)?$"))&lt;=180),"OK","REVISAR"),"REVISAR"),"")</f>
        <v/>
      </c>
      <c r="O1024">
        <f>IF(A1024&lt;&gt;"","https://direcciones507.github.io/direcciones507/panel.html?codigo="&amp;A1024&amp;"&amp;nombre="&amp;ENCODEURL(B1024)&amp;"&amp;telefono="&amp;SUBSTITUTE(C1024,"-","")&amp;"&amp;referencia="&amp;ENCODEURL(E1024)&amp;"&amp;lat="&amp;IZQUIERDA(SUBSTITUTE(F1024," ",""),ENCONTRAR(",",SUBSTITUTE(F1024," ",""))-1)&amp;"&amp;lng="&amp;DERECHA(SUBSTITUTE(F1024," ",""),LARGO(SUBSTITUTE(F1024," ",""))-ENCONTRAR(",",SUBSTITUTE(F1024," ",""))),"")</f>
        <v/>
      </c>
    </row>
    <row r="1025" ht="15.75" customHeight="1" s="10">
      <c r="A1025" s="8">
        <f>CONCAT("AD507-",TEXT(ROW()-2,"0000"))</f>
        <v/>
      </c>
      <c r="C1025" s="8" t="n"/>
      <c r="F1025" s="8" t="n"/>
      <c r="G1025" s="8">
        <f>IF(F1025&lt;&gt;"",HYPERLINK("https://www.google.com/maps/search/?api=1&amp;query="&amp;SUBSTITUTE(F1025," ",""),"🗺 Google Maps"),"")</f>
        <v/>
      </c>
      <c r="H1025" s="8">
        <f>IF(F1025&lt;&gt;"",HYPERLINK("https://waze.com/ul?ll="&amp;SUBSTITUTE(F1025," ","")&amp;"&amp;navigate=yes","🚗 Waze"),"")</f>
        <v/>
      </c>
      <c r="I1025" s="8">
        <f>IF(F1025&lt;&gt;"",HYPERLINK("https://m.uber.com/ul/?action=setPickup&amp;pickup=my_location&amp;dropoff[latitude]="&amp;LEFT(SUBSTITUTE(F1025," ",""),FIND(",",SUBSTITUTE(F1025," ",""))-1)&amp;"&amp;dropoff[longitude]="&amp;MID(SUBSTITUTE(F1025," ",""),FIND(",",SUBSTITUTE(F1025," ",""))+1,99),"🚕 Uber"),"")</f>
        <v/>
      </c>
      <c r="J1025" s="8">
        <f>IF(F1025&lt;&gt;"","https://api.qrserver.com/v1/create-qr-code/?size=200x200&amp;data="&amp;ENCODEURL("https://www.google.com/maps/search/?api=1&amp;query="&amp;SUBSTITUTE(F1025," ","")),"")</f>
        <v/>
      </c>
      <c r="K1025" s="8">
        <f>IF(C1025&lt;&gt;"",HYPERLINK("https://wa.me/507"&amp;REGEXREPLACE(C1025,"[^0-9]","")&amp;"?text="&amp;ENCODEURL("Ya llegue. Codigo: "&amp;A1025&amp;". Ubicacion: "&amp;"https://www.google.com/maps/search/?api=1&amp;query="&amp;SUBSTITUTE(F1025," ","")),"📲 Avisar al cliente"),"")</f>
        <v/>
      </c>
      <c r="L1025" s="8">
        <f>IF(C1025&lt;&gt;"","https://api.qrserver.com/v1/create-qr-code/?size=200x200&amp;data="&amp;ENCODEURL("https://wa.me/507"&amp;REGEXREPLACE(C1025,"[^0-9]","")&amp;"?text="&amp;ENCODEURL("Ya llegue. Codigo: "&amp;A1025&amp;". Ubicacion: "&amp;"https://www.google.com/maps/search/?api=1&amp;query="&amp;SUBSTITUTE(F1025," ",""))),"")</f>
        <v/>
      </c>
      <c r="M1025" s="8">
        <f>IF(B1025&lt;&gt;"",TODAY(),"")</f>
        <v/>
      </c>
      <c r="N1025" s="8">
        <f>IF(F1025&lt;&gt;"",IFERROR(IF(AND(REGEXMATCH(SUBSTITUTE(TRIM(F1025)," ",""),"^-?\d+(\.\d+)?,-?\d+(\.\d+)?$"),VALUE(REGEXEXTRACT(SUBSTITUTE(TRIM(F1025)," ",""),"^-?\d+(\.\d+)?"))&gt;=-90,VALUE(REGEXEXTRACT(SUBSTITUTE(TRIM(F1025)," ",""),"^-?\d+(\.\d+)?"))&lt;=90,VALUE(REGEXEXTRACT(SUBSTITUTE(TRIM(F1025)," ",""),"-?\d+(\.\d+)?$"))&gt;=-180,VALUE(REGEXEXTRACT(SUBSTITUTE(TRIM(F1025)," ",""),"-?\d+(\.\d+)?$"))&lt;=180),"OK","REVISAR"),"REVISAR"),"")</f>
        <v/>
      </c>
      <c r="O1025">
        <f>IF(A1025&lt;&gt;"","https://direcciones507.github.io/direcciones507/panel.html?codigo="&amp;A1025&amp;"&amp;nombre="&amp;ENCODEURL(B1025)&amp;"&amp;telefono="&amp;SUBSTITUTE(C1025,"-","")&amp;"&amp;referencia="&amp;ENCODEURL(E1025)&amp;"&amp;lat="&amp;IZQUIERDA(SUBSTITUTE(F1025," ",""),ENCONTRAR(",",SUBSTITUTE(F1025," ",""))-1)&amp;"&amp;lng="&amp;DERECHA(SUBSTITUTE(F1025," ",""),LARGO(SUBSTITUTE(F1025," ",""))-ENCONTRAR(",",SUBSTITUTE(F1025," ",""))),"")</f>
        <v/>
      </c>
    </row>
    <row r="1026" ht="15.75" customHeight="1" s="10">
      <c r="A1026" s="8">
        <f>CONCAT("AD507-",TEXT(ROW()-2,"0000"))</f>
        <v/>
      </c>
      <c r="C1026" s="8" t="n"/>
      <c r="F1026" s="8" t="n"/>
      <c r="G1026" s="8">
        <f>IF(F1026&lt;&gt;"",HYPERLINK("https://www.google.com/maps/search/?api=1&amp;query="&amp;SUBSTITUTE(F1026," ",""),"🗺 Google Maps"),"")</f>
        <v/>
      </c>
      <c r="H1026" s="8">
        <f>IF(F1026&lt;&gt;"",HYPERLINK("https://waze.com/ul?ll="&amp;SUBSTITUTE(F1026," ","")&amp;"&amp;navigate=yes","🚗 Waze"),"")</f>
        <v/>
      </c>
      <c r="I1026" s="8">
        <f>IF(F1026&lt;&gt;"",HYPERLINK("https://m.uber.com/ul/?action=setPickup&amp;pickup=my_location&amp;dropoff[latitude]="&amp;LEFT(SUBSTITUTE(F1026," ",""),FIND(",",SUBSTITUTE(F1026," ",""))-1)&amp;"&amp;dropoff[longitude]="&amp;MID(SUBSTITUTE(F1026," ",""),FIND(",",SUBSTITUTE(F1026," ",""))+1,99),"🚕 Uber"),"")</f>
        <v/>
      </c>
      <c r="J1026" s="8">
        <f>IF(F1026&lt;&gt;"","https://api.qrserver.com/v1/create-qr-code/?size=200x200&amp;data="&amp;ENCODEURL("https://www.google.com/maps/search/?api=1&amp;query="&amp;SUBSTITUTE(F1026," ","")),"")</f>
        <v/>
      </c>
      <c r="K1026" s="8">
        <f>IF(C1026&lt;&gt;"",HYPERLINK("https://wa.me/507"&amp;REGEXREPLACE(C1026,"[^0-9]","")&amp;"?text="&amp;ENCODEURL("Ya llegue. Codigo: "&amp;A1026&amp;". Ubicacion: "&amp;"https://www.google.com/maps/search/?api=1&amp;query="&amp;SUBSTITUTE(F1026," ","")),"📲 Avisar al cliente"),"")</f>
        <v/>
      </c>
      <c r="L1026" s="8">
        <f>IF(C1026&lt;&gt;"","https://api.qrserver.com/v1/create-qr-code/?size=200x200&amp;data="&amp;ENCODEURL("https://wa.me/507"&amp;REGEXREPLACE(C1026,"[^0-9]","")&amp;"?text="&amp;ENCODEURL("Ya llegue. Codigo: "&amp;A1026&amp;". Ubicacion: "&amp;"https://www.google.com/maps/search/?api=1&amp;query="&amp;SUBSTITUTE(F1026," ",""))),"")</f>
        <v/>
      </c>
      <c r="M1026" s="8">
        <f>IF(B1026&lt;&gt;"",TODAY(),"")</f>
        <v/>
      </c>
      <c r="N1026" s="8">
        <f>IF(F1026&lt;&gt;"",IFERROR(IF(AND(REGEXMATCH(SUBSTITUTE(TRIM(F1026)," ",""),"^-?\d+(\.\d+)?,-?\d+(\.\d+)?$"),VALUE(REGEXEXTRACT(SUBSTITUTE(TRIM(F1026)," ",""),"^-?\d+(\.\d+)?"))&gt;=-90,VALUE(REGEXEXTRACT(SUBSTITUTE(TRIM(F1026)," ",""),"^-?\d+(\.\d+)?"))&lt;=90,VALUE(REGEXEXTRACT(SUBSTITUTE(TRIM(F1026)," ",""),"-?\d+(\.\d+)?$"))&gt;=-180,VALUE(REGEXEXTRACT(SUBSTITUTE(TRIM(F1026)," ",""),"-?\d+(\.\d+)?$"))&lt;=180),"OK","REVISAR"),"REVISAR"),"")</f>
        <v/>
      </c>
      <c r="O1026">
        <f>IF(A1026&lt;&gt;"","https://direcciones507.github.io/direcciones507/panel.html?codigo="&amp;A1026&amp;"&amp;nombre="&amp;ENCODEURL(B1026)&amp;"&amp;telefono="&amp;SUBSTITUTE(C1026,"-","")&amp;"&amp;referencia="&amp;ENCODEURL(E1026)&amp;"&amp;lat="&amp;IZQUIERDA(SUBSTITUTE(F1026," ",""),ENCONTRAR(",",SUBSTITUTE(F1026," ",""))-1)&amp;"&amp;lng="&amp;DERECHA(SUBSTITUTE(F1026," ",""),LARGO(SUBSTITUTE(F1026," ",""))-ENCONTRAR(",",SUBSTITUTE(F1026," ",""))),"")</f>
        <v/>
      </c>
    </row>
    <row r="1027" ht="15.75" customHeight="1" s="10">
      <c r="A1027" s="8">
        <f>CONCAT("AD507-",TEXT(ROW()-2,"0000"))</f>
        <v/>
      </c>
      <c r="C1027" s="8" t="n"/>
      <c r="F1027" s="8" t="n"/>
      <c r="G1027" s="8">
        <f>IF(F1027&lt;&gt;"",HYPERLINK("https://www.google.com/maps/search/?api=1&amp;query="&amp;SUBSTITUTE(F1027," ",""),"🗺 Google Maps"),"")</f>
        <v/>
      </c>
      <c r="H1027" s="8">
        <f>IF(F1027&lt;&gt;"",HYPERLINK("https://waze.com/ul?ll="&amp;SUBSTITUTE(F1027," ","")&amp;"&amp;navigate=yes","🚗 Waze"),"")</f>
        <v/>
      </c>
      <c r="I1027" s="8">
        <f>IF(F1027&lt;&gt;"",HYPERLINK("https://m.uber.com/ul/?action=setPickup&amp;pickup=my_location&amp;dropoff[latitude]="&amp;LEFT(SUBSTITUTE(F1027," ",""),FIND(",",SUBSTITUTE(F1027," ",""))-1)&amp;"&amp;dropoff[longitude]="&amp;MID(SUBSTITUTE(F1027," ",""),FIND(",",SUBSTITUTE(F1027," ",""))+1,99),"🚕 Uber"),"")</f>
        <v/>
      </c>
      <c r="J1027" s="8">
        <f>IF(F1027&lt;&gt;"","https://api.qrserver.com/v1/create-qr-code/?size=200x200&amp;data="&amp;ENCODEURL("https://www.google.com/maps/search/?api=1&amp;query="&amp;SUBSTITUTE(F1027," ","")),"")</f>
        <v/>
      </c>
      <c r="K1027" s="8">
        <f>IF(C1027&lt;&gt;"",HYPERLINK("https://wa.me/507"&amp;REGEXREPLACE(C1027,"[^0-9]","")&amp;"?text="&amp;ENCODEURL("Ya llegue. Codigo: "&amp;A1027&amp;". Ubicacion: "&amp;"https://www.google.com/maps/search/?api=1&amp;query="&amp;SUBSTITUTE(F1027," ","")),"📲 Avisar al cliente"),"")</f>
        <v/>
      </c>
      <c r="L1027" s="8">
        <f>IF(C1027&lt;&gt;"","https://api.qrserver.com/v1/create-qr-code/?size=200x200&amp;data="&amp;ENCODEURL("https://wa.me/507"&amp;REGEXREPLACE(C1027,"[^0-9]","")&amp;"?text="&amp;ENCODEURL("Ya llegue. Codigo: "&amp;A1027&amp;". Ubicacion: "&amp;"https://www.google.com/maps/search/?api=1&amp;query="&amp;SUBSTITUTE(F1027," ",""))),"")</f>
        <v/>
      </c>
      <c r="M1027" s="8">
        <f>IF(B1027&lt;&gt;"",TODAY(),"")</f>
        <v/>
      </c>
      <c r="N1027" s="8">
        <f>IF(F1027&lt;&gt;"",IFERROR(IF(AND(REGEXMATCH(SUBSTITUTE(TRIM(F1027)," ",""),"^-?\d+(\.\d+)?,-?\d+(\.\d+)?$"),VALUE(REGEXEXTRACT(SUBSTITUTE(TRIM(F1027)," ",""),"^-?\d+(\.\d+)?"))&gt;=-90,VALUE(REGEXEXTRACT(SUBSTITUTE(TRIM(F1027)," ",""),"^-?\d+(\.\d+)?"))&lt;=90,VALUE(REGEXEXTRACT(SUBSTITUTE(TRIM(F1027)," ",""),"-?\d+(\.\d+)?$"))&gt;=-180,VALUE(REGEXEXTRACT(SUBSTITUTE(TRIM(F1027)," ",""),"-?\d+(\.\d+)?$"))&lt;=180),"OK","REVISAR"),"REVISAR"),"")</f>
        <v/>
      </c>
      <c r="O1027">
        <f>IF(A1027&lt;&gt;"","https://direcciones507.github.io/direcciones507/panel.html?codigo="&amp;A1027&amp;"&amp;nombre="&amp;ENCODEURL(B1027)&amp;"&amp;telefono="&amp;SUBSTITUTE(C1027,"-","")&amp;"&amp;referencia="&amp;ENCODEURL(E1027)&amp;"&amp;lat="&amp;IZQUIERDA(SUBSTITUTE(F1027," ",""),ENCONTRAR(",",SUBSTITUTE(F1027," ",""))-1)&amp;"&amp;lng="&amp;DERECHA(SUBSTITUTE(F1027," ",""),LARGO(SUBSTITUTE(F1027," ",""))-ENCONTRAR(",",SUBSTITUTE(F1027," ",""))),"")</f>
        <v/>
      </c>
    </row>
    <row r="1028" ht="15.75" customHeight="1" s="10">
      <c r="A1028" s="8">
        <f>CONCAT("AD507-",TEXT(ROW()-2,"0000"))</f>
        <v/>
      </c>
      <c r="C1028" s="8" t="n"/>
      <c r="F1028" s="8" t="n"/>
      <c r="G1028" s="8">
        <f>IF(F1028&lt;&gt;"",HYPERLINK("https://www.google.com/maps/search/?api=1&amp;query="&amp;SUBSTITUTE(F1028," ",""),"🗺 Google Maps"),"")</f>
        <v/>
      </c>
      <c r="H1028" s="8">
        <f>IF(F1028&lt;&gt;"",HYPERLINK("https://waze.com/ul?ll="&amp;SUBSTITUTE(F1028," ","")&amp;"&amp;navigate=yes","🚗 Waze"),"")</f>
        <v/>
      </c>
      <c r="I1028" s="8">
        <f>IF(F1028&lt;&gt;"",HYPERLINK("https://m.uber.com/ul/?action=setPickup&amp;pickup=my_location&amp;dropoff[latitude]="&amp;LEFT(SUBSTITUTE(F1028," ",""),FIND(",",SUBSTITUTE(F1028," ",""))-1)&amp;"&amp;dropoff[longitude]="&amp;MID(SUBSTITUTE(F1028," ",""),FIND(",",SUBSTITUTE(F1028," ",""))+1,99),"🚕 Uber"),"")</f>
        <v/>
      </c>
      <c r="J1028" s="8">
        <f>IF(F1028&lt;&gt;"","https://api.qrserver.com/v1/create-qr-code/?size=200x200&amp;data="&amp;ENCODEURL("https://www.google.com/maps/search/?api=1&amp;query="&amp;SUBSTITUTE(F1028," ","")),"")</f>
        <v/>
      </c>
      <c r="K1028" s="8">
        <f>IF(C1028&lt;&gt;"",HYPERLINK("https://wa.me/507"&amp;REGEXREPLACE(C1028,"[^0-9]","")&amp;"?text="&amp;ENCODEURL("Ya llegue. Codigo: "&amp;A1028&amp;". Ubicacion: "&amp;"https://www.google.com/maps/search/?api=1&amp;query="&amp;SUBSTITUTE(F1028," ","")),"📲 Avisar al cliente"),"")</f>
        <v/>
      </c>
      <c r="L1028" s="8">
        <f>IF(C1028&lt;&gt;"","https://api.qrserver.com/v1/create-qr-code/?size=200x200&amp;data="&amp;ENCODEURL("https://wa.me/507"&amp;REGEXREPLACE(C1028,"[^0-9]","")&amp;"?text="&amp;ENCODEURL("Ya llegue. Codigo: "&amp;A1028&amp;". Ubicacion: "&amp;"https://www.google.com/maps/search/?api=1&amp;query="&amp;SUBSTITUTE(F1028," ",""))),"")</f>
        <v/>
      </c>
      <c r="M1028" s="8">
        <f>IF(B1028&lt;&gt;"",TODAY(),"")</f>
        <v/>
      </c>
      <c r="N1028" s="8">
        <f>IF(F1028&lt;&gt;"",IFERROR(IF(AND(REGEXMATCH(SUBSTITUTE(TRIM(F1028)," ",""),"^-?\d+(\.\d+)?,-?\d+(\.\d+)?$"),VALUE(REGEXEXTRACT(SUBSTITUTE(TRIM(F1028)," ",""),"^-?\d+(\.\d+)?"))&gt;=-90,VALUE(REGEXEXTRACT(SUBSTITUTE(TRIM(F1028)," ",""),"^-?\d+(\.\d+)?"))&lt;=90,VALUE(REGEXEXTRACT(SUBSTITUTE(TRIM(F1028)," ",""),"-?\d+(\.\d+)?$"))&gt;=-180,VALUE(REGEXEXTRACT(SUBSTITUTE(TRIM(F1028)," ",""),"-?\d+(\.\d+)?$"))&lt;=180),"OK","REVISAR"),"REVISAR"),"")</f>
        <v/>
      </c>
      <c r="O1028">
        <f>IF(A1028&lt;&gt;"","https://direcciones507.github.io/direcciones507/panel.html?codigo="&amp;A1028&amp;"&amp;nombre="&amp;ENCODEURL(B1028)&amp;"&amp;telefono="&amp;SUBSTITUTE(C1028,"-","")&amp;"&amp;referencia="&amp;ENCODEURL(E1028)&amp;"&amp;lat="&amp;IZQUIERDA(SUBSTITUTE(F1028," ",""),ENCONTRAR(",",SUBSTITUTE(F1028," ",""))-1)&amp;"&amp;lng="&amp;DERECHA(SUBSTITUTE(F1028," ",""),LARGO(SUBSTITUTE(F1028," ",""))-ENCONTRAR(",",SUBSTITUTE(F1028," ",""))),"")</f>
        <v/>
      </c>
    </row>
    <row r="1029" ht="15.75" customHeight="1" s="10">
      <c r="A1029" s="8">
        <f>CONCAT("AD507-",TEXT(ROW()-2,"0000"))</f>
        <v/>
      </c>
      <c r="C1029" s="8" t="n"/>
      <c r="F1029" s="8" t="n"/>
      <c r="G1029" s="8">
        <f>IF(F1029&lt;&gt;"",HYPERLINK("https://www.google.com/maps/search/?api=1&amp;query="&amp;SUBSTITUTE(F1029," ",""),"🗺 Google Maps"),"")</f>
        <v/>
      </c>
      <c r="H1029" s="8">
        <f>IF(F1029&lt;&gt;"",HYPERLINK("https://waze.com/ul?ll="&amp;SUBSTITUTE(F1029," ","")&amp;"&amp;navigate=yes","🚗 Waze"),"")</f>
        <v/>
      </c>
      <c r="I1029" s="8">
        <f>IF(F1029&lt;&gt;"",HYPERLINK("https://m.uber.com/ul/?action=setPickup&amp;pickup=my_location&amp;dropoff[latitude]="&amp;LEFT(SUBSTITUTE(F1029," ",""),FIND(",",SUBSTITUTE(F1029," ",""))-1)&amp;"&amp;dropoff[longitude]="&amp;MID(SUBSTITUTE(F1029," ",""),FIND(",",SUBSTITUTE(F1029," ",""))+1,99),"🚕 Uber"),"")</f>
        <v/>
      </c>
      <c r="J1029" s="8">
        <f>IF(F1029&lt;&gt;"","https://api.qrserver.com/v1/create-qr-code/?size=200x200&amp;data="&amp;ENCODEURL("https://www.google.com/maps/search/?api=1&amp;query="&amp;SUBSTITUTE(F1029," ","")),"")</f>
        <v/>
      </c>
      <c r="K1029" s="8">
        <f>IF(C1029&lt;&gt;"",HYPERLINK("https://wa.me/507"&amp;REGEXREPLACE(C1029,"[^0-9]","")&amp;"?text="&amp;ENCODEURL("Ya llegue. Codigo: "&amp;A1029&amp;". Ubicacion: "&amp;"https://www.google.com/maps/search/?api=1&amp;query="&amp;SUBSTITUTE(F1029," ","")),"📲 Avisar al cliente"),"")</f>
        <v/>
      </c>
      <c r="L1029" s="8">
        <f>IF(C1029&lt;&gt;"","https://api.qrserver.com/v1/create-qr-code/?size=200x200&amp;data="&amp;ENCODEURL("https://wa.me/507"&amp;REGEXREPLACE(C1029,"[^0-9]","")&amp;"?text="&amp;ENCODEURL("Ya llegue. Codigo: "&amp;A1029&amp;". Ubicacion: "&amp;"https://www.google.com/maps/search/?api=1&amp;query="&amp;SUBSTITUTE(F1029," ",""))),"")</f>
        <v/>
      </c>
      <c r="M1029" s="8">
        <f>IF(B1029&lt;&gt;"",TODAY(),"")</f>
        <v/>
      </c>
      <c r="N1029" s="8">
        <f>IF(F1029&lt;&gt;"",IFERROR(IF(AND(REGEXMATCH(SUBSTITUTE(TRIM(F1029)," ",""),"^-?\d+(\.\d+)?,-?\d+(\.\d+)?$"),VALUE(REGEXEXTRACT(SUBSTITUTE(TRIM(F1029)," ",""),"^-?\d+(\.\d+)?"))&gt;=-90,VALUE(REGEXEXTRACT(SUBSTITUTE(TRIM(F1029)," ",""),"^-?\d+(\.\d+)?"))&lt;=90,VALUE(REGEXEXTRACT(SUBSTITUTE(TRIM(F1029)," ",""),"-?\d+(\.\d+)?$"))&gt;=-180,VALUE(REGEXEXTRACT(SUBSTITUTE(TRIM(F1029)," ",""),"-?\d+(\.\d+)?$"))&lt;=180),"OK","REVISAR"),"REVISAR"),"")</f>
        <v/>
      </c>
      <c r="O1029">
        <f>IF(A1029&lt;&gt;"","https://direcciones507.github.io/direcciones507/panel.html?codigo="&amp;A1029&amp;"&amp;nombre="&amp;ENCODEURL(B1029)&amp;"&amp;telefono="&amp;SUBSTITUTE(C1029,"-","")&amp;"&amp;referencia="&amp;ENCODEURL(E1029)&amp;"&amp;lat="&amp;IZQUIERDA(SUBSTITUTE(F1029," ",""),ENCONTRAR(",",SUBSTITUTE(F1029," ",""))-1)&amp;"&amp;lng="&amp;DERECHA(SUBSTITUTE(F1029," ",""),LARGO(SUBSTITUTE(F1029," ",""))-ENCONTRAR(",",SUBSTITUTE(F1029," ",""))),"")</f>
        <v/>
      </c>
    </row>
    <row r="1030" ht="15.75" customHeight="1" s="10">
      <c r="A1030" s="8">
        <f>CONCAT("AD507-",TEXT(ROW()-2,"0000"))</f>
        <v/>
      </c>
      <c r="C1030" s="8" t="n"/>
      <c r="F1030" s="8" t="n"/>
      <c r="G1030" s="8">
        <f>IF(F1030&lt;&gt;"",HYPERLINK("https://www.google.com/maps/search/?api=1&amp;query="&amp;SUBSTITUTE(F1030," ",""),"🗺 Google Maps"),"")</f>
        <v/>
      </c>
      <c r="H1030" s="8">
        <f>IF(F1030&lt;&gt;"",HYPERLINK("https://waze.com/ul?ll="&amp;SUBSTITUTE(F1030," ","")&amp;"&amp;navigate=yes","🚗 Waze"),"")</f>
        <v/>
      </c>
      <c r="I1030" s="8">
        <f>IF(F1030&lt;&gt;"",HYPERLINK("https://m.uber.com/ul/?action=setPickup&amp;pickup=my_location&amp;dropoff[latitude]="&amp;LEFT(SUBSTITUTE(F1030," ",""),FIND(",",SUBSTITUTE(F1030," ",""))-1)&amp;"&amp;dropoff[longitude]="&amp;MID(SUBSTITUTE(F1030," ",""),FIND(",",SUBSTITUTE(F1030," ",""))+1,99),"🚕 Uber"),"")</f>
        <v/>
      </c>
      <c r="J1030" s="8">
        <f>IF(F1030&lt;&gt;"","https://api.qrserver.com/v1/create-qr-code/?size=200x200&amp;data="&amp;ENCODEURL("https://www.google.com/maps/search/?api=1&amp;query="&amp;SUBSTITUTE(F1030," ","")),"")</f>
        <v/>
      </c>
      <c r="K1030" s="8">
        <f>IF(C1030&lt;&gt;"",HYPERLINK("https://wa.me/507"&amp;REGEXREPLACE(C1030,"[^0-9]","")&amp;"?text="&amp;ENCODEURL("Ya llegue. Codigo: "&amp;A1030&amp;". Ubicacion: "&amp;"https://www.google.com/maps/search/?api=1&amp;query="&amp;SUBSTITUTE(F1030," ","")),"📲 Avisar al cliente"),"")</f>
        <v/>
      </c>
      <c r="L1030" s="8">
        <f>IF(C1030&lt;&gt;"","https://api.qrserver.com/v1/create-qr-code/?size=200x200&amp;data="&amp;ENCODEURL("https://wa.me/507"&amp;REGEXREPLACE(C1030,"[^0-9]","")&amp;"?text="&amp;ENCODEURL("Ya llegue. Codigo: "&amp;A1030&amp;". Ubicacion: "&amp;"https://www.google.com/maps/search/?api=1&amp;query="&amp;SUBSTITUTE(F1030," ",""))),"")</f>
        <v/>
      </c>
      <c r="M1030" s="8">
        <f>IF(B1030&lt;&gt;"",TODAY(),"")</f>
        <v/>
      </c>
      <c r="N1030" s="8">
        <f>IF(F1030&lt;&gt;"",IFERROR(IF(AND(REGEXMATCH(SUBSTITUTE(TRIM(F1030)," ",""),"^-?\d+(\.\d+)?,-?\d+(\.\d+)?$"),VALUE(REGEXEXTRACT(SUBSTITUTE(TRIM(F1030)," ",""),"^-?\d+(\.\d+)?"))&gt;=-90,VALUE(REGEXEXTRACT(SUBSTITUTE(TRIM(F1030)," ",""),"^-?\d+(\.\d+)?"))&lt;=90,VALUE(REGEXEXTRACT(SUBSTITUTE(TRIM(F1030)," ",""),"-?\d+(\.\d+)?$"))&gt;=-180,VALUE(REGEXEXTRACT(SUBSTITUTE(TRIM(F1030)," ",""),"-?\d+(\.\d+)?$"))&lt;=180),"OK","REVISAR"),"REVISAR"),"")</f>
        <v/>
      </c>
      <c r="O1030">
        <f>IF(A1030&lt;&gt;"","https://direcciones507.github.io/direcciones507/panel.html?codigo="&amp;A1030&amp;"&amp;nombre="&amp;ENCODEURL(B1030)&amp;"&amp;telefono="&amp;SUBSTITUTE(C1030,"-","")&amp;"&amp;referencia="&amp;ENCODEURL(E1030)&amp;"&amp;lat="&amp;IZQUIERDA(SUBSTITUTE(F1030," ",""),ENCONTRAR(",",SUBSTITUTE(F1030," ",""))-1)&amp;"&amp;lng="&amp;DERECHA(SUBSTITUTE(F1030," ",""),LARGO(SUBSTITUTE(F1030," ",""))-ENCONTRAR(",",SUBSTITUTE(F1030," ",""))),"")</f>
        <v/>
      </c>
    </row>
    <row r="1031" ht="15.75" customHeight="1" s="10">
      <c r="A1031" s="8">
        <f>CONCAT("AD507-",TEXT(ROW()-2,"0000"))</f>
        <v/>
      </c>
      <c r="C1031" s="8" t="n"/>
      <c r="F1031" s="8" t="n"/>
      <c r="G1031" s="8">
        <f>IF(F1031&lt;&gt;"",HYPERLINK("https://www.google.com/maps/search/?api=1&amp;query="&amp;SUBSTITUTE(F1031," ",""),"🗺 Google Maps"),"")</f>
        <v/>
      </c>
      <c r="H1031" s="8">
        <f>IF(F1031&lt;&gt;"",HYPERLINK("https://waze.com/ul?ll="&amp;SUBSTITUTE(F1031," ","")&amp;"&amp;navigate=yes","🚗 Waze"),"")</f>
        <v/>
      </c>
      <c r="I1031" s="8">
        <f>IF(F1031&lt;&gt;"",HYPERLINK("https://m.uber.com/ul/?action=setPickup&amp;pickup=my_location&amp;dropoff[latitude]="&amp;LEFT(SUBSTITUTE(F1031," ",""),FIND(",",SUBSTITUTE(F1031," ",""))-1)&amp;"&amp;dropoff[longitude]="&amp;MID(SUBSTITUTE(F1031," ",""),FIND(",",SUBSTITUTE(F1031," ",""))+1,99),"🚕 Uber"),"")</f>
        <v/>
      </c>
      <c r="J1031" s="8">
        <f>IF(F1031&lt;&gt;"","https://api.qrserver.com/v1/create-qr-code/?size=200x200&amp;data="&amp;ENCODEURL("https://www.google.com/maps/search/?api=1&amp;query="&amp;SUBSTITUTE(F1031," ","")),"")</f>
        <v/>
      </c>
      <c r="K1031" s="8">
        <f>IF(C1031&lt;&gt;"",HYPERLINK("https://wa.me/507"&amp;REGEXREPLACE(C1031,"[^0-9]","")&amp;"?text="&amp;ENCODEURL("Ya llegue. Codigo: "&amp;A1031&amp;". Ubicacion: "&amp;"https://www.google.com/maps/search/?api=1&amp;query="&amp;SUBSTITUTE(F1031," ","")),"📲 Avisar al cliente"),"")</f>
        <v/>
      </c>
      <c r="L1031" s="8">
        <f>IF(C1031&lt;&gt;"","https://api.qrserver.com/v1/create-qr-code/?size=200x200&amp;data="&amp;ENCODEURL("https://wa.me/507"&amp;REGEXREPLACE(C1031,"[^0-9]","")&amp;"?text="&amp;ENCODEURL("Ya llegue. Codigo: "&amp;A1031&amp;". Ubicacion: "&amp;"https://www.google.com/maps/search/?api=1&amp;query="&amp;SUBSTITUTE(F1031," ",""))),"")</f>
        <v/>
      </c>
      <c r="M1031" s="8">
        <f>IF(B1031&lt;&gt;"",TODAY(),"")</f>
        <v/>
      </c>
      <c r="N1031" s="8">
        <f>IF(F1031&lt;&gt;"",IFERROR(IF(AND(REGEXMATCH(SUBSTITUTE(TRIM(F1031)," ",""),"^-?\d+(\.\d+)?,-?\d+(\.\d+)?$"),VALUE(REGEXEXTRACT(SUBSTITUTE(TRIM(F1031)," ",""),"^-?\d+(\.\d+)?"))&gt;=-90,VALUE(REGEXEXTRACT(SUBSTITUTE(TRIM(F1031)," ",""),"^-?\d+(\.\d+)?"))&lt;=90,VALUE(REGEXEXTRACT(SUBSTITUTE(TRIM(F1031)," ",""),"-?\d+(\.\d+)?$"))&gt;=-180,VALUE(REGEXEXTRACT(SUBSTITUTE(TRIM(F1031)," ",""),"-?\d+(\.\d+)?$"))&lt;=180),"OK","REVISAR"),"REVISAR"),"")</f>
        <v/>
      </c>
      <c r="O1031">
        <f>IF(A1031&lt;&gt;"","https://direcciones507.github.io/direcciones507/panel.html?codigo="&amp;A1031&amp;"&amp;nombre="&amp;ENCODEURL(B1031)&amp;"&amp;telefono="&amp;SUBSTITUTE(C1031,"-","")&amp;"&amp;referencia="&amp;ENCODEURL(E1031)&amp;"&amp;lat="&amp;IZQUIERDA(SUBSTITUTE(F1031," ",""),ENCONTRAR(",",SUBSTITUTE(F1031," ",""))-1)&amp;"&amp;lng="&amp;DERECHA(SUBSTITUTE(F1031," ",""),LARGO(SUBSTITUTE(F1031," ",""))-ENCONTRAR(",",SUBSTITUTE(F1031," ",""))),"")</f>
        <v/>
      </c>
    </row>
    <row r="1032" ht="15.75" customHeight="1" s="10">
      <c r="A1032" s="8">
        <f>CONCAT("AD507-",TEXT(ROW()-2,"0000"))</f>
        <v/>
      </c>
      <c r="C1032" s="8" t="n"/>
      <c r="F1032" s="8" t="n"/>
      <c r="G1032" s="8">
        <f>IF(F1032&lt;&gt;"",HYPERLINK("https://www.google.com/maps/search/?api=1&amp;query="&amp;SUBSTITUTE(F1032," ",""),"🗺 Google Maps"),"")</f>
        <v/>
      </c>
      <c r="H1032" s="8">
        <f>IF(F1032&lt;&gt;"",HYPERLINK("https://waze.com/ul?ll="&amp;SUBSTITUTE(F1032," ","")&amp;"&amp;navigate=yes","🚗 Waze"),"")</f>
        <v/>
      </c>
      <c r="I1032" s="8">
        <f>IF(F1032&lt;&gt;"",HYPERLINK("https://m.uber.com/ul/?action=setPickup&amp;pickup=my_location&amp;dropoff[latitude]="&amp;LEFT(SUBSTITUTE(F1032," ",""),FIND(",",SUBSTITUTE(F1032," ",""))-1)&amp;"&amp;dropoff[longitude]="&amp;MID(SUBSTITUTE(F1032," ",""),FIND(",",SUBSTITUTE(F1032," ",""))+1,99),"🚕 Uber"),"")</f>
        <v/>
      </c>
      <c r="J1032" s="8">
        <f>IF(F1032&lt;&gt;"","https://api.qrserver.com/v1/create-qr-code/?size=200x200&amp;data="&amp;ENCODEURL("https://www.google.com/maps/search/?api=1&amp;query="&amp;SUBSTITUTE(F1032," ","")),"")</f>
        <v/>
      </c>
      <c r="K1032" s="8">
        <f>IF(C1032&lt;&gt;"",HYPERLINK("https://wa.me/507"&amp;REGEXREPLACE(C1032,"[^0-9]","")&amp;"?text="&amp;ENCODEURL("Ya llegue. Codigo: "&amp;A1032&amp;". Ubicacion: "&amp;"https://www.google.com/maps/search/?api=1&amp;query="&amp;SUBSTITUTE(F1032," ","")),"📲 Avisar al cliente"),"")</f>
        <v/>
      </c>
      <c r="L1032" s="8">
        <f>IF(C1032&lt;&gt;"","https://api.qrserver.com/v1/create-qr-code/?size=200x200&amp;data="&amp;ENCODEURL("https://wa.me/507"&amp;REGEXREPLACE(C1032,"[^0-9]","")&amp;"?text="&amp;ENCODEURL("Ya llegue. Codigo: "&amp;A1032&amp;". Ubicacion: "&amp;"https://www.google.com/maps/search/?api=1&amp;query="&amp;SUBSTITUTE(F1032," ",""))),"")</f>
        <v/>
      </c>
      <c r="M1032" s="8">
        <f>IF(B1032&lt;&gt;"",TODAY(),"")</f>
        <v/>
      </c>
      <c r="N1032" s="8">
        <f>IF(F1032&lt;&gt;"",IFERROR(IF(AND(REGEXMATCH(SUBSTITUTE(TRIM(F1032)," ",""),"^-?\d+(\.\d+)?,-?\d+(\.\d+)?$"),VALUE(REGEXEXTRACT(SUBSTITUTE(TRIM(F1032)," ",""),"^-?\d+(\.\d+)?"))&gt;=-90,VALUE(REGEXEXTRACT(SUBSTITUTE(TRIM(F1032)," ",""),"^-?\d+(\.\d+)?"))&lt;=90,VALUE(REGEXEXTRACT(SUBSTITUTE(TRIM(F1032)," ",""),"-?\d+(\.\d+)?$"))&gt;=-180,VALUE(REGEXEXTRACT(SUBSTITUTE(TRIM(F1032)," ",""),"-?\d+(\.\d+)?$"))&lt;=180),"OK","REVISAR"),"REVISAR"),"")</f>
        <v/>
      </c>
      <c r="O1032">
        <f>IF(A1032&lt;&gt;"","https://direcciones507.github.io/direcciones507/panel.html?codigo="&amp;A1032&amp;"&amp;nombre="&amp;ENCODEURL(B1032)&amp;"&amp;telefono="&amp;SUBSTITUTE(C1032,"-","")&amp;"&amp;referencia="&amp;ENCODEURL(E1032)&amp;"&amp;lat="&amp;IZQUIERDA(SUBSTITUTE(F1032," ",""),ENCONTRAR(",",SUBSTITUTE(F1032," ",""))-1)&amp;"&amp;lng="&amp;DERECHA(SUBSTITUTE(F1032," ",""),LARGO(SUBSTITUTE(F1032," ",""))-ENCONTRAR(",",SUBSTITUTE(F1032," ",""))),"")</f>
        <v/>
      </c>
    </row>
    <row r="1033" ht="15.75" customHeight="1" s="10">
      <c r="A1033" s="8">
        <f>CONCAT("AD507-",TEXT(ROW()-2,"0000"))</f>
        <v/>
      </c>
      <c r="C1033" s="8" t="n"/>
      <c r="F1033" s="8" t="n"/>
      <c r="G1033" s="8">
        <f>IF(F1033&lt;&gt;"",HYPERLINK("https://www.google.com/maps/search/?api=1&amp;query="&amp;SUBSTITUTE(F1033," ",""),"🗺 Google Maps"),"")</f>
        <v/>
      </c>
      <c r="H1033" s="8">
        <f>IF(F1033&lt;&gt;"",HYPERLINK("https://waze.com/ul?ll="&amp;SUBSTITUTE(F1033," ","")&amp;"&amp;navigate=yes","🚗 Waze"),"")</f>
        <v/>
      </c>
      <c r="I1033" s="8">
        <f>IF(F1033&lt;&gt;"",HYPERLINK("https://m.uber.com/ul/?action=setPickup&amp;pickup=my_location&amp;dropoff[latitude]="&amp;LEFT(SUBSTITUTE(F1033," ",""),FIND(",",SUBSTITUTE(F1033," ",""))-1)&amp;"&amp;dropoff[longitude]="&amp;MID(SUBSTITUTE(F1033," ",""),FIND(",",SUBSTITUTE(F1033," ",""))+1,99),"🚕 Uber"),"")</f>
        <v/>
      </c>
      <c r="J1033" s="8">
        <f>IF(F1033&lt;&gt;"","https://api.qrserver.com/v1/create-qr-code/?size=200x200&amp;data="&amp;ENCODEURL("https://www.google.com/maps/search/?api=1&amp;query="&amp;SUBSTITUTE(F1033," ","")),"")</f>
        <v/>
      </c>
      <c r="K1033" s="8">
        <f>IF(C1033&lt;&gt;"",HYPERLINK("https://wa.me/507"&amp;REGEXREPLACE(C1033,"[^0-9]","")&amp;"?text="&amp;ENCODEURL("Ya llegue. Codigo: "&amp;A1033&amp;". Ubicacion: "&amp;"https://www.google.com/maps/search/?api=1&amp;query="&amp;SUBSTITUTE(F1033," ","")),"📲 Avisar al cliente"),"")</f>
        <v/>
      </c>
      <c r="L1033" s="8">
        <f>IF(C1033&lt;&gt;"","https://api.qrserver.com/v1/create-qr-code/?size=200x200&amp;data="&amp;ENCODEURL("https://wa.me/507"&amp;REGEXREPLACE(C1033,"[^0-9]","")&amp;"?text="&amp;ENCODEURL("Ya llegue. Codigo: "&amp;A1033&amp;". Ubicacion: "&amp;"https://www.google.com/maps/search/?api=1&amp;query="&amp;SUBSTITUTE(F1033," ",""))),"")</f>
        <v/>
      </c>
      <c r="M1033" s="8">
        <f>IF(B1033&lt;&gt;"",TODAY(),"")</f>
        <v/>
      </c>
      <c r="N1033" s="8">
        <f>IF(F1033&lt;&gt;"",IFERROR(IF(AND(REGEXMATCH(SUBSTITUTE(TRIM(F1033)," ",""),"^-?\d+(\.\d+)?,-?\d+(\.\d+)?$"),VALUE(REGEXEXTRACT(SUBSTITUTE(TRIM(F1033)," ",""),"^-?\d+(\.\d+)?"))&gt;=-90,VALUE(REGEXEXTRACT(SUBSTITUTE(TRIM(F1033)," ",""),"^-?\d+(\.\d+)?"))&lt;=90,VALUE(REGEXEXTRACT(SUBSTITUTE(TRIM(F1033)," ",""),"-?\d+(\.\d+)?$"))&gt;=-180,VALUE(REGEXEXTRACT(SUBSTITUTE(TRIM(F1033)," ",""),"-?\d+(\.\d+)?$"))&lt;=180),"OK","REVISAR"),"REVISAR"),"")</f>
        <v/>
      </c>
      <c r="O1033">
        <f>IF(A1033&lt;&gt;"","https://direcciones507.github.io/direcciones507/panel.html?codigo="&amp;A1033&amp;"&amp;nombre="&amp;ENCODEURL(B1033)&amp;"&amp;telefono="&amp;SUBSTITUTE(C1033,"-","")&amp;"&amp;referencia="&amp;ENCODEURL(E1033)&amp;"&amp;lat="&amp;IZQUIERDA(SUBSTITUTE(F1033," ",""),ENCONTRAR(",",SUBSTITUTE(F1033," ",""))-1)&amp;"&amp;lng="&amp;DERECHA(SUBSTITUTE(F1033," ",""),LARGO(SUBSTITUTE(F1033," ",""))-ENCONTRAR(",",SUBSTITUTE(F1033," ",""))),"")</f>
        <v/>
      </c>
    </row>
    <row r="1034" ht="15.75" customHeight="1" s="10">
      <c r="A1034" s="8">
        <f>CONCAT("AD507-",TEXT(ROW()-2,"0000"))</f>
        <v/>
      </c>
      <c r="C1034" s="8" t="n"/>
      <c r="F1034" s="8" t="n"/>
      <c r="G1034" s="8">
        <f>IF(F1034&lt;&gt;"",HYPERLINK("https://www.google.com/maps/search/?api=1&amp;query="&amp;SUBSTITUTE(F1034," ",""),"🗺 Google Maps"),"")</f>
        <v/>
      </c>
      <c r="H1034" s="8">
        <f>IF(F1034&lt;&gt;"",HYPERLINK("https://waze.com/ul?ll="&amp;SUBSTITUTE(F1034," ","")&amp;"&amp;navigate=yes","🚗 Waze"),"")</f>
        <v/>
      </c>
      <c r="I1034" s="8">
        <f>IF(F1034&lt;&gt;"",HYPERLINK("https://m.uber.com/ul/?action=setPickup&amp;pickup=my_location&amp;dropoff[latitude]="&amp;LEFT(SUBSTITUTE(F1034," ",""),FIND(",",SUBSTITUTE(F1034," ",""))-1)&amp;"&amp;dropoff[longitude]="&amp;MID(SUBSTITUTE(F1034," ",""),FIND(",",SUBSTITUTE(F1034," ",""))+1,99),"🚕 Uber"),"")</f>
        <v/>
      </c>
      <c r="J1034" s="8">
        <f>IF(F1034&lt;&gt;"","https://api.qrserver.com/v1/create-qr-code/?size=200x200&amp;data="&amp;ENCODEURL("https://www.google.com/maps/search/?api=1&amp;query="&amp;SUBSTITUTE(F1034," ","")),"")</f>
        <v/>
      </c>
      <c r="K1034" s="8">
        <f>IF(C1034&lt;&gt;"",HYPERLINK("https://wa.me/507"&amp;REGEXREPLACE(C1034,"[^0-9]","")&amp;"?text="&amp;ENCODEURL("Ya llegue. Codigo: "&amp;A1034&amp;". Ubicacion: "&amp;"https://www.google.com/maps/search/?api=1&amp;query="&amp;SUBSTITUTE(F1034," ","")),"📲 Avisar al cliente"),"")</f>
        <v/>
      </c>
      <c r="L1034" s="8">
        <f>IF(C1034&lt;&gt;"","https://api.qrserver.com/v1/create-qr-code/?size=200x200&amp;data="&amp;ENCODEURL("https://wa.me/507"&amp;REGEXREPLACE(C1034,"[^0-9]","")&amp;"?text="&amp;ENCODEURL("Ya llegue. Codigo: "&amp;A1034&amp;". Ubicacion: "&amp;"https://www.google.com/maps/search/?api=1&amp;query="&amp;SUBSTITUTE(F1034," ",""))),"")</f>
        <v/>
      </c>
      <c r="M1034" s="8">
        <f>IF(B1034&lt;&gt;"",TODAY(),"")</f>
        <v/>
      </c>
      <c r="N1034" s="8">
        <f>IF(F1034&lt;&gt;"",IFERROR(IF(AND(REGEXMATCH(SUBSTITUTE(TRIM(F1034)," ",""),"^-?\d+(\.\d+)?,-?\d+(\.\d+)?$"),VALUE(REGEXEXTRACT(SUBSTITUTE(TRIM(F1034)," ",""),"^-?\d+(\.\d+)?"))&gt;=-90,VALUE(REGEXEXTRACT(SUBSTITUTE(TRIM(F1034)," ",""),"^-?\d+(\.\d+)?"))&lt;=90,VALUE(REGEXEXTRACT(SUBSTITUTE(TRIM(F1034)," ",""),"-?\d+(\.\d+)?$"))&gt;=-180,VALUE(REGEXEXTRACT(SUBSTITUTE(TRIM(F1034)," ",""),"-?\d+(\.\d+)?$"))&lt;=180),"OK","REVISAR"),"REVISAR"),"")</f>
        <v/>
      </c>
      <c r="O1034">
        <f>IF(A1034&lt;&gt;"","https://direcciones507.github.io/direcciones507/panel.html?codigo="&amp;A1034&amp;"&amp;nombre="&amp;ENCODEURL(B1034)&amp;"&amp;telefono="&amp;SUBSTITUTE(C1034,"-","")&amp;"&amp;referencia="&amp;ENCODEURL(E1034)&amp;"&amp;lat="&amp;IZQUIERDA(SUBSTITUTE(F1034," ",""),ENCONTRAR(",",SUBSTITUTE(F1034," ",""))-1)&amp;"&amp;lng="&amp;DERECHA(SUBSTITUTE(F1034," ",""),LARGO(SUBSTITUTE(F1034," ",""))-ENCONTRAR(",",SUBSTITUTE(F1034," ",""))),"")</f>
        <v/>
      </c>
    </row>
    <row r="1035" ht="15.75" customHeight="1" s="10">
      <c r="A1035" s="8">
        <f>CONCAT("AD507-",TEXT(ROW()-2,"0000"))</f>
        <v/>
      </c>
      <c r="C1035" s="8" t="n"/>
      <c r="F1035" s="8" t="n"/>
      <c r="G1035" s="8">
        <f>IF(F1035&lt;&gt;"",HYPERLINK("https://www.google.com/maps/search/?api=1&amp;query="&amp;SUBSTITUTE(F1035," ",""),"🗺 Google Maps"),"")</f>
        <v/>
      </c>
      <c r="H1035" s="8">
        <f>IF(F1035&lt;&gt;"",HYPERLINK("https://waze.com/ul?ll="&amp;SUBSTITUTE(F1035," ","")&amp;"&amp;navigate=yes","🚗 Waze"),"")</f>
        <v/>
      </c>
      <c r="I1035" s="8">
        <f>IF(F1035&lt;&gt;"",HYPERLINK("https://m.uber.com/ul/?action=setPickup&amp;pickup=my_location&amp;dropoff[latitude]="&amp;LEFT(SUBSTITUTE(F1035," ",""),FIND(",",SUBSTITUTE(F1035," ",""))-1)&amp;"&amp;dropoff[longitude]="&amp;MID(SUBSTITUTE(F1035," ",""),FIND(",",SUBSTITUTE(F1035," ",""))+1,99),"🚕 Uber"),"")</f>
        <v/>
      </c>
      <c r="J1035" s="8">
        <f>IF(F1035&lt;&gt;"","https://api.qrserver.com/v1/create-qr-code/?size=200x200&amp;data="&amp;ENCODEURL("https://www.google.com/maps/search/?api=1&amp;query="&amp;SUBSTITUTE(F1035," ","")),"")</f>
        <v/>
      </c>
      <c r="K1035" s="8">
        <f>IF(C1035&lt;&gt;"",HYPERLINK("https://wa.me/507"&amp;REGEXREPLACE(C1035,"[^0-9]","")&amp;"?text="&amp;ENCODEURL("Ya llegue. Codigo: "&amp;A1035&amp;". Ubicacion: "&amp;"https://www.google.com/maps/search/?api=1&amp;query="&amp;SUBSTITUTE(F1035," ","")),"📲 Avisar al cliente"),"")</f>
        <v/>
      </c>
      <c r="L1035" s="8">
        <f>IF(C1035&lt;&gt;"","https://api.qrserver.com/v1/create-qr-code/?size=200x200&amp;data="&amp;ENCODEURL("https://wa.me/507"&amp;REGEXREPLACE(C1035,"[^0-9]","")&amp;"?text="&amp;ENCODEURL("Ya llegue. Codigo: "&amp;A1035&amp;". Ubicacion: "&amp;"https://www.google.com/maps/search/?api=1&amp;query="&amp;SUBSTITUTE(F1035," ",""))),"")</f>
        <v/>
      </c>
      <c r="M1035" s="8">
        <f>IF(B1035&lt;&gt;"",TODAY(),"")</f>
        <v/>
      </c>
      <c r="N1035" s="8">
        <f>IF(F1035&lt;&gt;"",IFERROR(IF(AND(REGEXMATCH(SUBSTITUTE(TRIM(F1035)," ",""),"^-?\d+(\.\d+)?,-?\d+(\.\d+)?$"),VALUE(REGEXEXTRACT(SUBSTITUTE(TRIM(F1035)," ",""),"^-?\d+(\.\d+)?"))&gt;=-90,VALUE(REGEXEXTRACT(SUBSTITUTE(TRIM(F1035)," ",""),"^-?\d+(\.\d+)?"))&lt;=90,VALUE(REGEXEXTRACT(SUBSTITUTE(TRIM(F1035)," ",""),"-?\d+(\.\d+)?$"))&gt;=-180,VALUE(REGEXEXTRACT(SUBSTITUTE(TRIM(F1035)," ",""),"-?\d+(\.\d+)?$"))&lt;=180),"OK","REVISAR"),"REVISAR"),"")</f>
        <v/>
      </c>
      <c r="O1035">
        <f>IF(A1035&lt;&gt;"","https://direcciones507.github.io/direcciones507/panel.html?codigo="&amp;A1035&amp;"&amp;nombre="&amp;ENCODEURL(B1035)&amp;"&amp;telefono="&amp;SUBSTITUTE(C1035,"-","")&amp;"&amp;referencia="&amp;ENCODEURL(E1035)&amp;"&amp;lat="&amp;IZQUIERDA(SUBSTITUTE(F1035," ",""),ENCONTRAR(",",SUBSTITUTE(F1035," ",""))-1)&amp;"&amp;lng="&amp;DERECHA(SUBSTITUTE(F1035," ",""),LARGO(SUBSTITUTE(F1035," ",""))-ENCONTRAR(",",SUBSTITUTE(F1035," ",""))),"")</f>
        <v/>
      </c>
    </row>
    <row r="1036" ht="15.75" customHeight="1" s="10">
      <c r="A1036" s="8">
        <f>CONCAT("AD507-",TEXT(ROW()-2,"0000"))</f>
        <v/>
      </c>
      <c r="C1036" s="8" t="n"/>
      <c r="F1036" s="8" t="n"/>
      <c r="G1036" s="8">
        <f>IF(F1036&lt;&gt;"",HYPERLINK("https://www.google.com/maps/search/?api=1&amp;query="&amp;SUBSTITUTE(F1036," ",""),"🗺 Google Maps"),"")</f>
        <v/>
      </c>
      <c r="H1036" s="8">
        <f>IF(F1036&lt;&gt;"",HYPERLINK("https://waze.com/ul?ll="&amp;SUBSTITUTE(F1036," ","")&amp;"&amp;navigate=yes","🚗 Waze"),"")</f>
        <v/>
      </c>
      <c r="I1036" s="8">
        <f>IF(F1036&lt;&gt;"",HYPERLINK("https://m.uber.com/ul/?action=setPickup&amp;pickup=my_location&amp;dropoff[latitude]="&amp;LEFT(SUBSTITUTE(F1036," ",""),FIND(",",SUBSTITUTE(F1036," ",""))-1)&amp;"&amp;dropoff[longitude]="&amp;MID(SUBSTITUTE(F1036," ",""),FIND(",",SUBSTITUTE(F1036," ",""))+1,99),"🚕 Uber"),"")</f>
        <v/>
      </c>
      <c r="J1036" s="8">
        <f>IF(F1036&lt;&gt;"","https://api.qrserver.com/v1/create-qr-code/?size=200x200&amp;data="&amp;ENCODEURL("https://www.google.com/maps/search/?api=1&amp;query="&amp;SUBSTITUTE(F1036," ","")),"")</f>
        <v/>
      </c>
      <c r="K1036" s="8">
        <f>IF(C1036&lt;&gt;"",HYPERLINK("https://wa.me/507"&amp;REGEXREPLACE(C1036,"[^0-9]","")&amp;"?text="&amp;ENCODEURL("Ya llegue. Codigo: "&amp;A1036&amp;". Ubicacion: "&amp;"https://www.google.com/maps/search/?api=1&amp;query="&amp;SUBSTITUTE(F1036," ","")),"📲 Avisar al cliente"),"")</f>
        <v/>
      </c>
      <c r="L1036" s="8">
        <f>IF(C1036&lt;&gt;"","https://api.qrserver.com/v1/create-qr-code/?size=200x200&amp;data="&amp;ENCODEURL("https://wa.me/507"&amp;REGEXREPLACE(C1036,"[^0-9]","")&amp;"?text="&amp;ENCODEURL("Ya llegue. Codigo: "&amp;A1036&amp;". Ubicacion: "&amp;"https://www.google.com/maps/search/?api=1&amp;query="&amp;SUBSTITUTE(F1036," ",""))),"")</f>
        <v/>
      </c>
      <c r="M1036" s="8">
        <f>IF(B1036&lt;&gt;"",TODAY(),"")</f>
        <v/>
      </c>
      <c r="N1036" s="8">
        <f>IF(F1036&lt;&gt;"",IFERROR(IF(AND(REGEXMATCH(SUBSTITUTE(TRIM(F1036)," ",""),"^-?\d+(\.\d+)?,-?\d+(\.\d+)?$"),VALUE(REGEXEXTRACT(SUBSTITUTE(TRIM(F1036)," ",""),"^-?\d+(\.\d+)?"))&gt;=-90,VALUE(REGEXEXTRACT(SUBSTITUTE(TRIM(F1036)," ",""),"^-?\d+(\.\d+)?"))&lt;=90,VALUE(REGEXEXTRACT(SUBSTITUTE(TRIM(F1036)," ",""),"-?\d+(\.\d+)?$"))&gt;=-180,VALUE(REGEXEXTRACT(SUBSTITUTE(TRIM(F1036)," ",""),"-?\d+(\.\d+)?$"))&lt;=180),"OK","REVISAR"),"REVISAR"),"")</f>
        <v/>
      </c>
      <c r="O1036">
        <f>IF(A1036&lt;&gt;"","https://direcciones507.github.io/direcciones507/panel.html?codigo="&amp;A1036&amp;"&amp;nombre="&amp;ENCODEURL(B1036)&amp;"&amp;telefono="&amp;SUBSTITUTE(C1036,"-","")&amp;"&amp;referencia="&amp;ENCODEURL(E1036)&amp;"&amp;lat="&amp;IZQUIERDA(SUBSTITUTE(F1036," ",""),ENCONTRAR(",",SUBSTITUTE(F1036," ",""))-1)&amp;"&amp;lng="&amp;DERECHA(SUBSTITUTE(F1036," ",""),LARGO(SUBSTITUTE(F1036," ",""))-ENCONTRAR(",",SUBSTITUTE(F1036," ",""))),"")</f>
        <v/>
      </c>
    </row>
    <row r="1037" ht="15.75" customHeight="1" s="10">
      <c r="A1037" s="8">
        <f>CONCAT("AD507-",TEXT(ROW()-2,"0000"))</f>
        <v/>
      </c>
      <c r="C1037" s="8" t="n"/>
      <c r="F1037" s="8" t="n"/>
      <c r="G1037" s="8">
        <f>IF(F1037&lt;&gt;"",HYPERLINK("https://www.google.com/maps/search/?api=1&amp;query="&amp;SUBSTITUTE(F1037," ",""),"🗺 Google Maps"),"")</f>
        <v/>
      </c>
      <c r="H1037" s="8">
        <f>IF(F1037&lt;&gt;"",HYPERLINK("https://waze.com/ul?ll="&amp;SUBSTITUTE(F1037," ","")&amp;"&amp;navigate=yes","🚗 Waze"),"")</f>
        <v/>
      </c>
      <c r="I1037" s="8">
        <f>IF(F1037&lt;&gt;"",HYPERLINK("https://m.uber.com/ul/?action=setPickup&amp;pickup=my_location&amp;dropoff[latitude]="&amp;LEFT(SUBSTITUTE(F1037," ",""),FIND(",",SUBSTITUTE(F1037," ",""))-1)&amp;"&amp;dropoff[longitude]="&amp;MID(SUBSTITUTE(F1037," ",""),FIND(",",SUBSTITUTE(F1037," ",""))+1,99),"🚕 Uber"),"")</f>
        <v/>
      </c>
      <c r="J1037" s="8">
        <f>IF(F1037&lt;&gt;"","https://api.qrserver.com/v1/create-qr-code/?size=200x200&amp;data="&amp;ENCODEURL("https://www.google.com/maps/search/?api=1&amp;query="&amp;SUBSTITUTE(F1037," ","")),"")</f>
        <v/>
      </c>
      <c r="K1037" s="8">
        <f>IF(C1037&lt;&gt;"",HYPERLINK("https://wa.me/507"&amp;REGEXREPLACE(C1037,"[^0-9]","")&amp;"?text="&amp;ENCODEURL("Ya llegue. Codigo: "&amp;A1037&amp;". Ubicacion: "&amp;"https://www.google.com/maps/search/?api=1&amp;query="&amp;SUBSTITUTE(F1037," ","")),"📲 Avisar al cliente"),"")</f>
        <v/>
      </c>
      <c r="L1037" s="8">
        <f>IF(C1037&lt;&gt;"","https://api.qrserver.com/v1/create-qr-code/?size=200x200&amp;data="&amp;ENCODEURL("https://wa.me/507"&amp;REGEXREPLACE(C1037,"[^0-9]","")&amp;"?text="&amp;ENCODEURL("Ya llegue. Codigo: "&amp;A1037&amp;". Ubicacion: "&amp;"https://www.google.com/maps/search/?api=1&amp;query="&amp;SUBSTITUTE(F1037," ",""))),"")</f>
        <v/>
      </c>
      <c r="M1037" s="8">
        <f>IF(B1037&lt;&gt;"",TODAY(),"")</f>
        <v/>
      </c>
      <c r="N1037" s="8">
        <f>IF(F1037&lt;&gt;"",IFERROR(IF(AND(REGEXMATCH(SUBSTITUTE(TRIM(F1037)," ",""),"^-?\d+(\.\d+)?,-?\d+(\.\d+)?$"),VALUE(REGEXEXTRACT(SUBSTITUTE(TRIM(F1037)," ",""),"^-?\d+(\.\d+)?"))&gt;=-90,VALUE(REGEXEXTRACT(SUBSTITUTE(TRIM(F1037)," ",""),"^-?\d+(\.\d+)?"))&lt;=90,VALUE(REGEXEXTRACT(SUBSTITUTE(TRIM(F1037)," ",""),"-?\d+(\.\d+)?$"))&gt;=-180,VALUE(REGEXEXTRACT(SUBSTITUTE(TRIM(F1037)," ",""),"-?\d+(\.\d+)?$"))&lt;=180),"OK","REVISAR"),"REVISAR"),"")</f>
        <v/>
      </c>
      <c r="O1037">
        <f>IF(A1037&lt;&gt;"","https://direcciones507.github.io/direcciones507/panel.html?codigo="&amp;A1037&amp;"&amp;nombre="&amp;ENCODEURL(B1037)&amp;"&amp;telefono="&amp;SUBSTITUTE(C1037,"-","")&amp;"&amp;referencia="&amp;ENCODEURL(E1037)&amp;"&amp;lat="&amp;IZQUIERDA(SUBSTITUTE(F1037," ",""),ENCONTRAR(",",SUBSTITUTE(F1037," ",""))-1)&amp;"&amp;lng="&amp;DERECHA(SUBSTITUTE(F1037," ",""),LARGO(SUBSTITUTE(F1037," ",""))-ENCONTRAR(",",SUBSTITUTE(F1037," ",""))),"")</f>
        <v/>
      </c>
    </row>
    <row r="1038" ht="15.75" customHeight="1" s="10">
      <c r="A1038" s="8">
        <f>CONCAT("AD507-",TEXT(ROW()-2,"0000"))</f>
        <v/>
      </c>
      <c r="C1038" s="8" t="n"/>
      <c r="F1038" s="8" t="n"/>
      <c r="G1038" s="8">
        <f>IF(F1038&lt;&gt;"",HYPERLINK("https://www.google.com/maps/search/?api=1&amp;query="&amp;SUBSTITUTE(F1038," ",""),"🗺 Google Maps"),"")</f>
        <v/>
      </c>
      <c r="H1038" s="8">
        <f>IF(F1038&lt;&gt;"",HYPERLINK("https://waze.com/ul?ll="&amp;SUBSTITUTE(F1038," ","")&amp;"&amp;navigate=yes","🚗 Waze"),"")</f>
        <v/>
      </c>
      <c r="I1038" s="8">
        <f>IF(F1038&lt;&gt;"",HYPERLINK("https://m.uber.com/ul/?action=setPickup&amp;pickup=my_location&amp;dropoff[latitude]="&amp;LEFT(SUBSTITUTE(F1038," ",""),FIND(",",SUBSTITUTE(F1038," ",""))-1)&amp;"&amp;dropoff[longitude]="&amp;MID(SUBSTITUTE(F1038," ",""),FIND(",",SUBSTITUTE(F1038," ",""))+1,99),"🚕 Uber"),"")</f>
        <v/>
      </c>
      <c r="J1038" s="8">
        <f>IF(F1038&lt;&gt;"","https://api.qrserver.com/v1/create-qr-code/?size=200x200&amp;data="&amp;ENCODEURL("https://www.google.com/maps/search/?api=1&amp;query="&amp;SUBSTITUTE(F1038," ","")),"")</f>
        <v/>
      </c>
      <c r="K1038" s="8">
        <f>IF(C1038&lt;&gt;"",HYPERLINK("https://wa.me/507"&amp;REGEXREPLACE(C1038,"[^0-9]","")&amp;"?text="&amp;ENCODEURL("Ya llegue. Codigo: "&amp;A1038&amp;". Ubicacion: "&amp;"https://www.google.com/maps/search/?api=1&amp;query="&amp;SUBSTITUTE(F1038," ","")),"📲 Avisar al cliente"),"")</f>
        <v/>
      </c>
      <c r="L1038" s="8">
        <f>IF(C1038&lt;&gt;"","https://api.qrserver.com/v1/create-qr-code/?size=200x200&amp;data="&amp;ENCODEURL("https://wa.me/507"&amp;REGEXREPLACE(C1038,"[^0-9]","")&amp;"?text="&amp;ENCODEURL("Ya llegue. Codigo: "&amp;A1038&amp;". Ubicacion: "&amp;"https://www.google.com/maps/search/?api=1&amp;query="&amp;SUBSTITUTE(F1038," ",""))),"")</f>
        <v/>
      </c>
      <c r="M1038" s="8">
        <f>IF(B1038&lt;&gt;"",TODAY(),"")</f>
        <v/>
      </c>
      <c r="N1038" s="8">
        <f>IF(F1038&lt;&gt;"",IFERROR(IF(AND(REGEXMATCH(SUBSTITUTE(TRIM(F1038)," ",""),"^-?\d+(\.\d+)?,-?\d+(\.\d+)?$"),VALUE(REGEXEXTRACT(SUBSTITUTE(TRIM(F1038)," ",""),"^-?\d+(\.\d+)?"))&gt;=-90,VALUE(REGEXEXTRACT(SUBSTITUTE(TRIM(F1038)," ",""),"^-?\d+(\.\d+)?"))&lt;=90,VALUE(REGEXEXTRACT(SUBSTITUTE(TRIM(F1038)," ",""),"-?\d+(\.\d+)?$"))&gt;=-180,VALUE(REGEXEXTRACT(SUBSTITUTE(TRIM(F1038)," ",""),"-?\d+(\.\d+)?$"))&lt;=180),"OK","REVISAR"),"REVISAR"),"")</f>
        <v/>
      </c>
      <c r="O1038">
        <f>IF(A1038&lt;&gt;"","https://direcciones507.github.io/direcciones507/panel.html?codigo="&amp;A1038&amp;"&amp;nombre="&amp;ENCODEURL(B1038)&amp;"&amp;telefono="&amp;SUBSTITUTE(C1038,"-","")&amp;"&amp;referencia="&amp;ENCODEURL(E1038)&amp;"&amp;lat="&amp;IZQUIERDA(SUBSTITUTE(F1038," ",""),ENCONTRAR(",",SUBSTITUTE(F1038," ",""))-1)&amp;"&amp;lng="&amp;DERECHA(SUBSTITUTE(F1038," ",""),LARGO(SUBSTITUTE(F1038," ",""))-ENCONTRAR(",",SUBSTITUTE(F1038," ",""))),"")</f>
        <v/>
      </c>
    </row>
    <row r="1039" ht="15.75" customHeight="1" s="10">
      <c r="A1039" s="8">
        <f>CONCAT("AD507-",TEXT(ROW()-2,"0000"))</f>
        <v/>
      </c>
      <c r="C1039" s="8" t="n"/>
      <c r="F1039" s="8" t="n"/>
      <c r="G1039" s="8">
        <f>IF(F1039&lt;&gt;"",HYPERLINK("https://www.google.com/maps/search/?api=1&amp;query="&amp;SUBSTITUTE(F1039," ",""),"🗺 Google Maps"),"")</f>
        <v/>
      </c>
      <c r="H1039" s="8">
        <f>IF(F1039&lt;&gt;"",HYPERLINK("https://waze.com/ul?ll="&amp;SUBSTITUTE(F1039," ","")&amp;"&amp;navigate=yes","🚗 Waze"),"")</f>
        <v/>
      </c>
      <c r="I1039" s="8">
        <f>IF(F1039&lt;&gt;"",HYPERLINK("https://m.uber.com/ul/?action=setPickup&amp;pickup=my_location&amp;dropoff[latitude]="&amp;LEFT(SUBSTITUTE(F1039," ",""),FIND(",",SUBSTITUTE(F1039," ",""))-1)&amp;"&amp;dropoff[longitude]="&amp;MID(SUBSTITUTE(F1039," ",""),FIND(",",SUBSTITUTE(F1039," ",""))+1,99),"🚕 Uber"),"")</f>
        <v/>
      </c>
      <c r="J1039" s="8">
        <f>IF(F1039&lt;&gt;"","https://api.qrserver.com/v1/create-qr-code/?size=200x200&amp;data="&amp;ENCODEURL("https://www.google.com/maps/search/?api=1&amp;query="&amp;SUBSTITUTE(F1039," ","")),"")</f>
        <v/>
      </c>
      <c r="K1039" s="8">
        <f>IF(C1039&lt;&gt;"",HYPERLINK("https://wa.me/507"&amp;REGEXREPLACE(C1039,"[^0-9]","")&amp;"?text="&amp;ENCODEURL("Ya llegue. Codigo: "&amp;A1039&amp;". Ubicacion: "&amp;"https://www.google.com/maps/search/?api=1&amp;query="&amp;SUBSTITUTE(F1039," ","")),"📲 Avisar al cliente"),"")</f>
        <v/>
      </c>
      <c r="L1039" s="8">
        <f>IF(C1039&lt;&gt;"","https://api.qrserver.com/v1/create-qr-code/?size=200x200&amp;data="&amp;ENCODEURL("https://wa.me/507"&amp;REGEXREPLACE(C1039,"[^0-9]","")&amp;"?text="&amp;ENCODEURL("Ya llegue. Codigo: "&amp;A1039&amp;". Ubicacion: "&amp;"https://www.google.com/maps/search/?api=1&amp;query="&amp;SUBSTITUTE(F1039," ",""))),"")</f>
        <v/>
      </c>
      <c r="M1039" s="8">
        <f>IF(B1039&lt;&gt;"",TODAY(),"")</f>
        <v/>
      </c>
      <c r="N1039" s="8">
        <f>IF(F1039&lt;&gt;"",IFERROR(IF(AND(REGEXMATCH(SUBSTITUTE(TRIM(F1039)," ",""),"^-?\d+(\.\d+)?,-?\d+(\.\d+)?$"),VALUE(REGEXEXTRACT(SUBSTITUTE(TRIM(F1039)," ",""),"^-?\d+(\.\d+)?"))&gt;=-90,VALUE(REGEXEXTRACT(SUBSTITUTE(TRIM(F1039)," ",""),"^-?\d+(\.\d+)?"))&lt;=90,VALUE(REGEXEXTRACT(SUBSTITUTE(TRIM(F1039)," ",""),"-?\d+(\.\d+)?$"))&gt;=-180,VALUE(REGEXEXTRACT(SUBSTITUTE(TRIM(F1039)," ",""),"-?\d+(\.\d+)?$"))&lt;=180),"OK","REVISAR"),"REVISAR"),"")</f>
        <v/>
      </c>
      <c r="O1039">
        <f>IF(A1039&lt;&gt;"","https://direcciones507.github.io/direcciones507/panel.html?codigo="&amp;A1039&amp;"&amp;nombre="&amp;ENCODEURL(B1039)&amp;"&amp;telefono="&amp;SUBSTITUTE(C1039,"-","")&amp;"&amp;referencia="&amp;ENCODEURL(E1039)&amp;"&amp;lat="&amp;IZQUIERDA(SUBSTITUTE(F1039," ",""),ENCONTRAR(",",SUBSTITUTE(F1039," ",""))-1)&amp;"&amp;lng="&amp;DERECHA(SUBSTITUTE(F1039," ",""),LARGO(SUBSTITUTE(F1039," ",""))-ENCONTRAR(",",SUBSTITUTE(F1039," ",""))),"")</f>
        <v/>
      </c>
    </row>
    <row r="1040" ht="15.75" customHeight="1" s="10">
      <c r="A1040" s="8">
        <f>CONCAT("AD507-",TEXT(ROW()-2,"0000"))</f>
        <v/>
      </c>
      <c r="C1040" s="8" t="n"/>
      <c r="F1040" s="8" t="n"/>
      <c r="G1040" s="8">
        <f>IF(F1040&lt;&gt;"",HYPERLINK("https://www.google.com/maps/search/?api=1&amp;query="&amp;SUBSTITUTE(F1040," ",""),"🗺 Google Maps"),"")</f>
        <v/>
      </c>
      <c r="H1040" s="8">
        <f>IF(F1040&lt;&gt;"",HYPERLINK("https://waze.com/ul?ll="&amp;SUBSTITUTE(F1040," ","")&amp;"&amp;navigate=yes","🚗 Waze"),"")</f>
        <v/>
      </c>
      <c r="I1040" s="8">
        <f>IF(F1040&lt;&gt;"",HYPERLINK("https://m.uber.com/ul/?action=setPickup&amp;pickup=my_location&amp;dropoff[latitude]="&amp;LEFT(SUBSTITUTE(F1040," ",""),FIND(",",SUBSTITUTE(F1040," ",""))-1)&amp;"&amp;dropoff[longitude]="&amp;MID(SUBSTITUTE(F1040," ",""),FIND(",",SUBSTITUTE(F1040," ",""))+1,99),"🚕 Uber"),"")</f>
        <v/>
      </c>
      <c r="J1040" s="8">
        <f>IF(F1040&lt;&gt;"","https://api.qrserver.com/v1/create-qr-code/?size=200x200&amp;data="&amp;ENCODEURL("https://www.google.com/maps/search/?api=1&amp;query="&amp;SUBSTITUTE(F1040," ","")),"")</f>
        <v/>
      </c>
      <c r="K1040" s="8">
        <f>IF(C1040&lt;&gt;"",HYPERLINK("https://wa.me/507"&amp;REGEXREPLACE(C1040,"[^0-9]","")&amp;"?text="&amp;ENCODEURL("Ya llegue. Codigo: "&amp;A1040&amp;". Ubicacion: "&amp;"https://www.google.com/maps/search/?api=1&amp;query="&amp;SUBSTITUTE(F1040," ","")),"📲 Avisar al cliente"),"")</f>
        <v/>
      </c>
      <c r="L1040" s="8">
        <f>IF(C1040&lt;&gt;"","https://api.qrserver.com/v1/create-qr-code/?size=200x200&amp;data="&amp;ENCODEURL("https://wa.me/507"&amp;REGEXREPLACE(C1040,"[^0-9]","")&amp;"?text="&amp;ENCODEURL("Ya llegue. Codigo: "&amp;A1040&amp;". Ubicacion: "&amp;"https://www.google.com/maps/search/?api=1&amp;query="&amp;SUBSTITUTE(F1040," ",""))),"")</f>
        <v/>
      </c>
      <c r="M1040" s="8">
        <f>IF(B1040&lt;&gt;"",TODAY(),"")</f>
        <v/>
      </c>
      <c r="N1040" s="8">
        <f>IF(F1040&lt;&gt;"",IFERROR(IF(AND(REGEXMATCH(SUBSTITUTE(TRIM(F1040)," ",""),"^-?\d+(\.\d+)?,-?\d+(\.\d+)?$"),VALUE(REGEXEXTRACT(SUBSTITUTE(TRIM(F1040)," ",""),"^-?\d+(\.\d+)?"))&gt;=-90,VALUE(REGEXEXTRACT(SUBSTITUTE(TRIM(F1040)," ",""),"^-?\d+(\.\d+)?"))&lt;=90,VALUE(REGEXEXTRACT(SUBSTITUTE(TRIM(F1040)," ",""),"-?\d+(\.\d+)?$"))&gt;=-180,VALUE(REGEXEXTRACT(SUBSTITUTE(TRIM(F1040)," ",""),"-?\d+(\.\d+)?$"))&lt;=180),"OK","REVISAR"),"REVISAR"),"")</f>
        <v/>
      </c>
      <c r="O1040">
        <f>IF(A1040&lt;&gt;"","https://direcciones507.github.io/direcciones507/panel.html?codigo="&amp;A1040&amp;"&amp;nombre="&amp;ENCODEURL(B1040)&amp;"&amp;telefono="&amp;SUBSTITUTE(C1040,"-","")&amp;"&amp;referencia="&amp;ENCODEURL(E1040)&amp;"&amp;lat="&amp;IZQUIERDA(SUBSTITUTE(F1040," ",""),ENCONTRAR(",",SUBSTITUTE(F1040," ",""))-1)&amp;"&amp;lng="&amp;DERECHA(SUBSTITUTE(F1040," ",""),LARGO(SUBSTITUTE(F1040," ",""))-ENCONTRAR(",",SUBSTITUTE(F1040," ",""))),"")</f>
        <v/>
      </c>
    </row>
    <row r="1041" ht="15.75" customHeight="1" s="10">
      <c r="A1041" s="8">
        <f>CONCAT("AD507-",TEXT(ROW()-2,"0000"))</f>
        <v/>
      </c>
      <c r="C1041" s="8" t="n"/>
      <c r="F1041" s="8" t="n"/>
      <c r="G1041" s="8">
        <f>IF(F1041&lt;&gt;"",HYPERLINK("https://www.google.com/maps/search/?api=1&amp;query="&amp;SUBSTITUTE(F1041," ",""),"🗺 Google Maps"),"")</f>
        <v/>
      </c>
      <c r="H1041" s="8">
        <f>IF(F1041&lt;&gt;"",HYPERLINK("https://waze.com/ul?ll="&amp;SUBSTITUTE(F1041," ","")&amp;"&amp;navigate=yes","🚗 Waze"),"")</f>
        <v/>
      </c>
      <c r="I1041" s="8">
        <f>IF(F1041&lt;&gt;"",HYPERLINK("https://m.uber.com/ul/?action=setPickup&amp;pickup=my_location&amp;dropoff[latitude]="&amp;LEFT(SUBSTITUTE(F1041," ",""),FIND(",",SUBSTITUTE(F1041," ",""))-1)&amp;"&amp;dropoff[longitude]="&amp;MID(SUBSTITUTE(F1041," ",""),FIND(",",SUBSTITUTE(F1041," ",""))+1,99),"🚕 Uber"),"")</f>
        <v/>
      </c>
      <c r="J1041" s="8">
        <f>IF(F1041&lt;&gt;"","https://api.qrserver.com/v1/create-qr-code/?size=200x200&amp;data="&amp;ENCODEURL("https://www.google.com/maps/search/?api=1&amp;query="&amp;SUBSTITUTE(F1041," ","")),"")</f>
        <v/>
      </c>
      <c r="K1041" s="8">
        <f>IF(C1041&lt;&gt;"",HYPERLINK("https://wa.me/507"&amp;REGEXREPLACE(C1041,"[^0-9]","")&amp;"?text="&amp;ENCODEURL("Ya llegue. Codigo: "&amp;A1041&amp;". Ubicacion: "&amp;"https://www.google.com/maps/search/?api=1&amp;query="&amp;SUBSTITUTE(F1041," ","")),"📲 Avisar al cliente"),"")</f>
        <v/>
      </c>
      <c r="L1041" s="8">
        <f>IF(C1041&lt;&gt;"","https://api.qrserver.com/v1/create-qr-code/?size=200x200&amp;data="&amp;ENCODEURL("https://wa.me/507"&amp;REGEXREPLACE(C1041,"[^0-9]","")&amp;"?text="&amp;ENCODEURL("Ya llegue. Codigo: "&amp;A1041&amp;". Ubicacion: "&amp;"https://www.google.com/maps/search/?api=1&amp;query="&amp;SUBSTITUTE(F1041," ",""))),"")</f>
        <v/>
      </c>
      <c r="M1041" s="8">
        <f>IF(B1041&lt;&gt;"",TODAY(),"")</f>
        <v/>
      </c>
      <c r="N1041" s="8">
        <f>IF(F1041&lt;&gt;"",IFERROR(IF(AND(REGEXMATCH(SUBSTITUTE(TRIM(F1041)," ",""),"^-?\d+(\.\d+)?,-?\d+(\.\d+)?$"),VALUE(REGEXEXTRACT(SUBSTITUTE(TRIM(F1041)," ",""),"^-?\d+(\.\d+)?"))&gt;=-90,VALUE(REGEXEXTRACT(SUBSTITUTE(TRIM(F1041)," ",""),"^-?\d+(\.\d+)?"))&lt;=90,VALUE(REGEXEXTRACT(SUBSTITUTE(TRIM(F1041)," ",""),"-?\d+(\.\d+)?$"))&gt;=-180,VALUE(REGEXEXTRACT(SUBSTITUTE(TRIM(F1041)," ",""),"-?\d+(\.\d+)?$"))&lt;=180),"OK","REVISAR"),"REVISAR"),"")</f>
        <v/>
      </c>
      <c r="O1041">
        <f>IF(A1041&lt;&gt;"","https://direcciones507.github.io/direcciones507/panel.html?codigo="&amp;A1041&amp;"&amp;nombre="&amp;ENCODEURL(B1041)&amp;"&amp;telefono="&amp;SUBSTITUTE(C1041,"-","")&amp;"&amp;referencia="&amp;ENCODEURL(E1041)&amp;"&amp;lat="&amp;IZQUIERDA(SUBSTITUTE(F1041," ",""),ENCONTRAR(",",SUBSTITUTE(F1041," ",""))-1)&amp;"&amp;lng="&amp;DERECHA(SUBSTITUTE(F1041," ",""),LARGO(SUBSTITUTE(F1041," ",""))-ENCONTRAR(",",SUBSTITUTE(F1041," ",""))),"")</f>
        <v/>
      </c>
    </row>
    <row r="1042" ht="15.75" customHeight="1" s="10">
      <c r="A1042" s="8">
        <f>CONCAT("AD507-",TEXT(ROW()-2,"0000"))</f>
        <v/>
      </c>
      <c r="C1042" s="8" t="n"/>
      <c r="F1042" s="8" t="n"/>
      <c r="G1042" s="8">
        <f>IF(F1042&lt;&gt;"",HYPERLINK("https://www.google.com/maps/search/?api=1&amp;query="&amp;SUBSTITUTE(F1042," ",""),"🗺 Google Maps"),"")</f>
        <v/>
      </c>
      <c r="H1042" s="8">
        <f>IF(F1042&lt;&gt;"",HYPERLINK("https://waze.com/ul?ll="&amp;SUBSTITUTE(F1042," ","")&amp;"&amp;navigate=yes","🚗 Waze"),"")</f>
        <v/>
      </c>
      <c r="I1042" s="8">
        <f>IF(F1042&lt;&gt;"",HYPERLINK("https://m.uber.com/ul/?action=setPickup&amp;pickup=my_location&amp;dropoff[latitude]="&amp;LEFT(SUBSTITUTE(F1042," ",""),FIND(",",SUBSTITUTE(F1042," ",""))-1)&amp;"&amp;dropoff[longitude]="&amp;MID(SUBSTITUTE(F1042," ",""),FIND(",",SUBSTITUTE(F1042," ",""))+1,99),"🚕 Uber"),"")</f>
        <v/>
      </c>
      <c r="J1042" s="8">
        <f>IF(F1042&lt;&gt;"","https://api.qrserver.com/v1/create-qr-code/?size=200x200&amp;data="&amp;ENCODEURL("https://www.google.com/maps/search/?api=1&amp;query="&amp;SUBSTITUTE(F1042," ","")),"")</f>
        <v/>
      </c>
      <c r="K1042" s="8">
        <f>IF(C1042&lt;&gt;"",HYPERLINK("https://wa.me/507"&amp;REGEXREPLACE(C1042,"[^0-9]","")&amp;"?text="&amp;ENCODEURL("Ya llegue. Codigo: "&amp;A1042&amp;". Ubicacion: "&amp;"https://www.google.com/maps/search/?api=1&amp;query="&amp;SUBSTITUTE(F1042," ","")),"📲 Avisar al cliente"),"")</f>
        <v/>
      </c>
      <c r="L1042" s="8">
        <f>IF(C1042&lt;&gt;"","https://api.qrserver.com/v1/create-qr-code/?size=200x200&amp;data="&amp;ENCODEURL("https://wa.me/507"&amp;REGEXREPLACE(C1042,"[^0-9]","")&amp;"?text="&amp;ENCODEURL("Ya llegue. Codigo: "&amp;A1042&amp;". Ubicacion: "&amp;"https://www.google.com/maps/search/?api=1&amp;query="&amp;SUBSTITUTE(F1042," ",""))),"")</f>
        <v/>
      </c>
      <c r="M1042" s="8">
        <f>IF(B1042&lt;&gt;"",TODAY(),"")</f>
        <v/>
      </c>
      <c r="N1042" s="8">
        <f>IF(F1042&lt;&gt;"",IFERROR(IF(AND(REGEXMATCH(SUBSTITUTE(TRIM(F1042)," ",""),"^-?\d+(\.\d+)?,-?\d+(\.\d+)?$"),VALUE(REGEXEXTRACT(SUBSTITUTE(TRIM(F1042)," ",""),"^-?\d+(\.\d+)?"))&gt;=-90,VALUE(REGEXEXTRACT(SUBSTITUTE(TRIM(F1042)," ",""),"^-?\d+(\.\d+)?"))&lt;=90,VALUE(REGEXEXTRACT(SUBSTITUTE(TRIM(F1042)," ",""),"-?\d+(\.\d+)?$"))&gt;=-180,VALUE(REGEXEXTRACT(SUBSTITUTE(TRIM(F1042)," ",""),"-?\d+(\.\d+)?$"))&lt;=180),"OK","REVISAR"),"REVISAR"),"")</f>
        <v/>
      </c>
      <c r="O1042">
        <f>IF(A1042&lt;&gt;"","https://direcciones507.github.io/direcciones507/panel.html?codigo="&amp;A1042&amp;"&amp;nombre="&amp;ENCODEURL(B1042)&amp;"&amp;telefono="&amp;SUBSTITUTE(C1042,"-","")&amp;"&amp;referencia="&amp;ENCODEURL(E1042)&amp;"&amp;lat="&amp;IZQUIERDA(SUBSTITUTE(F1042," ",""),ENCONTRAR(",",SUBSTITUTE(F1042," ",""))-1)&amp;"&amp;lng="&amp;DERECHA(SUBSTITUTE(F1042," ",""),LARGO(SUBSTITUTE(F1042," ",""))-ENCONTRAR(",",SUBSTITUTE(F1042," ",""))),"")</f>
        <v/>
      </c>
    </row>
    <row r="1043" ht="15.75" customHeight="1" s="10">
      <c r="A1043" s="8">
        <f>CONCAT("AD507-",TEXT(ROW()-2,"0000"))</f>
        <v/>
      </c>
      <c r="C1043" s="8" t="n"/>
      <c r="F1043" s="8" t="n"/>
      <c r="G1043" s="8">
        <f>IF(F1043&lt;&gt;"",HYPERLINK("https://www.google.com/maps/search/?api=1&amp;query="&amp;SUBSTITUTE(F1043," ",""),"🗺 Google Maps"),"")</f>
        <v/>
      </c>
      <c r="H1043" s="8">
        <f>IF(F1043&lt;&gt;"",HYPERLINK("https://waze.com/ul?ll="&amp;SUBSTITUTE(F1043," ","")&amp;"&amp;navigate=yes","🚗 Waze"),"")</f>
        <v/>
      </c>
      <c r="I1043" s="8">
        <f>IF(F1043&lt;&gt;"",HYPERLINK("https://m.uber.com/ul/?action=setPickup&amp;pickup=my_location&amp;dropoff[latitude]="&amp;LEFT(SUBSTITUTE(F1043," ",""),FIND(",",SUBSTITUTE(F1043," ",""))-1)&amp;"&amp;dropoff[longitude]="&amp;MID(SUBSTITUTE(F1043," ",""),FIND(",",SUBSTITUTE(F1043," ",""))+1,99),"🚕 Uber"),"")</f>
        <v/>
      </c>
      <c r="J1043" s="8">
        <f>IF(F1043&lt;&gt;"","https://api.qrserver.com/v1/create-qr-code/?size=200x200&amp;data="&amp;ENCODEURL("https://www.google.com/maps/search/?api=1&amp;query="&amp;SUBSTITUTE(F1043," ","")),"")</f>
        <v/>
      </c>
      <c r="K1043" s="8">
        <f>IF(C1043&lt;&gt;"",HYPERLINK("https://wa.me/507"&amp;REGEXREPLACE(C1043,"[^0-9]","")&amp;"?text="&amp;ENCODEURL("Ya llegue. Codigo: "&amp;A1043&amp;". Ubicacion: "&amp;"https://www.google.com/maps/search/?api=1&amp;query="&amp;SUBSTITUTE(F1043," ","")),"📲 Avisar al cliente"),"")</f>
        <v/>
      </c>
      <c r="L1043" s="8">
        <f>IF(C1043&lt;&gt;"","https://api.qrserver.com/v1/create-qr-code/?size=200x200&amp;data="&amp;ENCODEURL("https://wa.me/507"&amp;REGEXREPLACE(C1043,"[^0-9]","")&amp;"?text="&amp;ENCODEURL("Ya llegue. Codigo: "&amp;A1043&amp;". Ubicacion: "&amp;"https://www.google.com/maps/search/?api=1&amp;query="&amp;SUBSTITUTE(F1043," ",""))),"")</f>
        <v/>
      </c>
      <c r="M1043" s="8">
        <f>IF(B1043&lt;&gt;"",TODAY(),"")</f>
        <v/>
      </c>
      <c r="N1043" s="8">
        <f>IF(F1043&lt;&gt;"",IFERROR(IF(AND(REGEXMATCH(SUBSTITUTE(TRIM(F1043)," ",""),"^-?\d+(\.\d+)?,-?\d+(\.\d+)?$"),VALUE(REGEXEXTRACT(SUBSTITUTE(TRIM(F1043)," ",""),"^-?\d+(\.\d+)?"))&gt;=-90,VALUE(REGEXEXTRACT(SUBSTITUTE(TRIM(F1043)," ",""),"^-?\d+(\.\d+)?"))&lt;=90,VALUE(REGEXEXTRACT(SUBSTITUTE(TRIM(F1043)," ",""),"-?\d+(\.\d+)?$"))&gt;=-180,VALUE(REGEXEXTRACT(SUBSTITUTE(TRIM(F1043)," ",""),"-?\d+(\.\d+)?$"))&lt;=180),"OK","REVISAR"),"REVISAR"),"")</f>
        <v/>
      </c>
      <c r="O1043">
        <f>IF(A1043&lt;&gt;"","https://direcciones507.github.io/direcciones507/panel.html?codigo="&amp;A1043&amp;"&amp;nombre="&amp;ENCODEURL(B1043)&amp;"&amp;telefono="&amp;SUBSTITUTE(C1043,"-","")&amp;"&amp;referencia="&amp;ENCODEURL(E1043)&amp;"&amp;lat="&amp;IZQUIERDA(SUBSTITUTE(F1043," ",""),ENCONTRAR(",",SUBSTITUTE(F1043," ",""))-1)&amp;"&amp;lng="&amp;DERECHA(SUBSTITUTE(F1043," ",""),LARGO(SUBSTITUTE(F1043," ",""))-ENCONTRAR(",",SUBSTITUTE(F1043," ",""))),"")</f>
        <v/>
      </c>
    </row>
    <row r="1044" ht="15.75" customHeight="1" s="10">
      <c r="A1044" s="8">
        <f>CONCAT("AD507-",TEXT(ROW()-2,"0000"))</f>
        <v/>
      </c>
      <c r="C1044" s="8" t="n"/>
      <c r="F1044" s="8" t="n"/>
      <c r="G1044" s="8">
        <f>IF(F1044&lt;&gt;"",HYPERLINK("https://www.google.com/maps/search/?api=1&amp;query="&amp;SUBSTITUTE(F1044," ",""),"🗺 Google Maps"),"")</f>
        <v/>
      </c>
      <c r="H1044" s="8">
        <f>IF(F1044&lt;&gt;"",HYPERLINK("https://waze.com/ul?ll="&amp;SUBSTITUTE(F1044," ","")&amp;"&amp;navigate=yes","🚗 Waze"),"")</f>
        <v/>
      </c>
      <c r="I1044" s="8">
        <f>IF(F1044&lt;&gt;"",HYPERLINK("https://m.uber.com/ul/?action=setPickup&amp;pickup=my_location&amp;dropoff[latitude]="&amp;LEFT(SUBSTITUTE(F1044," ",""),FIND(",",SUBSTITUTE(F1044," ",""))-1)&amp;"&amp;dropoff[longitude]="&amp;MID(SUBSTITUTE(F1044," ",""),FIND(",",SUBSTITUTE(F1044," ",""))+1,99),"🚕 Uber"),"")</f>
        <v/>
      </c>
      <c r="J1044" s="8">
        <f>IF(F1044&lt;&gt;"","https://api.qrserver.com/v1/create-qr-code/?size=200x200&amp;data="&amp;ENCODEURL("https://www.google.com/maps/search/?api=1&amp;query="&amp;SUBSTITUTE(F1044," ","")),"")</f>
        <v/>
      </c>
      <c r="K1044" s="8">
        <f>IF(C1044&lt;&gt;"",HYPERLINK("https://wa.me/507"&amp;REGEXREPLACE(C1044,"[^0-9]","")&amp;"?text="&amp;ENCODEURL("Ya llegue. Codigo: "&amp;A1044&amp;". Ubicacion: "&amp;"https://www.google.com/maps/search/?api=1&amp;query="&amp;SUBSTITUTE(F1044," ","")),"📲 Avisar al cliente"),"")</f>
        <v/>
      </c>
      <c r="L1044" s="8">
        <f>IF(C1044&lt;&gt;"","https://api.qrserver.com/v1/create-qr-code/?size=200x200&amp;data="&amp;ENCODEURL("https://wa.me/507"&amp;REGEXREPLACE(C1044,"[^0-9]","")&amp;"?text="&amp;ENCODEURL("Ya llegue. Codigo: "&amp;A1044&amp;". Ubicacion: "&amp;"https://www.google.com/maps/search/?api=1&amp;query="&amp;SUBSTITUTE(F1044," ",""))),"")</f>
        <v/>
      </c>
      <c r="M1044" s="8">
        <f>IF(B1044&lt;&gt;"",TODAY(),"")</f>
        <v/>
      </c>
      <c r="N1044" s="8">
        <f>IF(F1044&lt;&gt;"",IFERROR(IF(AND(REGEXMATCH(SUBSTITUTE(TRIM(F1044)," ",""),"^-?\d+(\.\d+)?,-?\d+(\.\d+)?$"),VALUE(REGEXEXTRACT(SUBSTITUTE(TRIM(F1044)," ",""),"^-?\d+(\.\d+)?"))&gt;=-90,VALUE(REGEXEXTRACT(SUBSTITUTE(TRIM(F1044)," ",""),"^-?\d+(\.\d+)?"))&lt;=90,VALUE(REGEXEXTRACT(SUBSTITUTE(TRIM(F1044)," ",""),"-?\d+(\.\d+)?$"))&gt;=-180,VALUE(REGEXEXTRACT(SUBSTITUTE(TRIM(F1044)," ",""),"-?\d+(\.\d+)?$"))&lt;=180),"OK","REVISAR"),"REVISAR"),"")</f>
        <v/>
      </c>
      <c r="O1044">
        <f>IF(A1044&lt;&gt;"","https://direcciones507.github.io/direcciones507/panel.html?codigo="&amp;A1044&amp;"&amp;nombre="&amp;ENCODEURL(B1044)&amp;"&amp;telefono="&amp;SUBSTITUTE(C1044,"-","")&amp;"&amp;referencia="&amp;ENCODEURL(E1044)&amp;"&amp;lat="&amp;IZQUIERDA(SUBSTITUTE(F1044," ",""),ENCONTRAR(",",SUBSTITUTE(F1044," ",""))-1)&amp;"&amp;lng="&amp;DERECHA(SUBSTITUTE(F1044," ",""),LARGO(SUBSTITUTE(F1044," ",""))-ENCONTRAR(",",SUBSTITUTE(F1044," ",""))),"")</f>
        <v/>
      </c>
    </row>
    <row r="1045" ht="15.75" customHeight="1" s="10">
      <c r="A1045" s="8">
        <f>CONCAT("AD507-",TEXT(ROW()-2,"0000"))</f>
        <v/>
      </c>
      <c r="C1045" s="8" t="n"/>
      <c r="F1045" s="8" t="n"/>
      <c r="G1045" s="8">
        <f>IF(F1045&lt;&gt;"",HYPERLINK("https://www.google.com/maps/search/?api=1&amp;query="&amp;SUBSTITUTE(F1045," ",""),"🗺 Google Maps"),"")</f>
        <v/>
      </c>
      <c r="H1045" s="8">
        <f>IF(F1045&lt;&gt;"",HYPERLINK("https://waze.com/ul?ll="&amp;SUBSTITUTE(F1045," ","")&amp;"&amp;navigate=yes","🚗 Waze"),"")</f>
        <v/>
      </c>
      <c r="I1045" s="8">
        <f>IF(F1045&lt;&gt;"",HYPERLINK("https://m.uber.com/ul/?action=setPickup&amp;pickup=my_location&amp;dropoff[latitude]="&amp;LEFT(SUBSTITUTE(F1045," ",""),FIND(",",SUBSTITUTE(F1045," ",""))-1)&amp;"&amp;dropoff[longitude]="&amp;MID(SUBSTITUTE(F1045," ",""),FIND(",",SUBSTITUTE(F1045," ",""))+1,99),"🚕 Uber"),"")</f>
        <v/>
      </c>
      <c r="J1045" s="8">
        <f>IF(F1045&lt;&gt;"","https://api.qrserver.com/v1/create-qr-code/?size=200x200&amp;data="&amp;ENCODEURL("https://www.google.com/maps/search/?api=1&amp;query="&amp;SUBSTITUTE(F1045," ","")),"")</f>
        <v/>
      </c>
      <c r="K1045" s="8">
        <f>IF(C1045&lt;&gt;"",HYPERLINK("https://wa.me/507"&amp;REGEXREPLACE(C1045,"[^0-9]","")&amp;"?text="&amp;ENCODEURL("Ya llegue. Codigo: "&amp;A1045&amp;". Ubicacion: "&amp;"https://www.google.com/maps/search/?api=1&amp;query="&amp;SUBSTITUTE(F1045," ","")),"📲 Avisar al cliente"),"")</f>
        <v/>
      </c>
      <c r="L1045" s="8">
        <f>IF(C1045&lt;&gt;"","https://api.qrserver.com/v1/create-qr-code/?size=200x200&amp;data="&amp;ENCODEURL("https://wa.me/507"&amp;REGEXREPLACE(C1045,"[^0-9]","")&amp;"?text="&amp;ENCODEURL("Ya llegue. Codigo: "&amp;A1045&amp;". Ubicacion: "&amp;"https://www.google.com/maps/search/?api=1&amp;query="&amp;SUBSTITUTE(F1045," ",""))),"")</f>
        <v/>
      </c>
      <c r="M1045" s="8">
        <f>IF(B1045&lt;&gt;"",TODAY(),"")</f>
        <v/>
      </c>
      <c r="N1045" s="8">
        <f>IF(F1045&lt;&gt;"",IFERROR(IF(AND(REGEXMATCH(SUBSTITUTE(TRIM(F1045)," ",""),"^-?\d+(\.\d+)?,-?\d+(\.\d+)?$"),VALUE(REGEXEXTRACT(SUBSTITUTE(TRIM(F1045)," ",""),"^-?\d+(\.\d+)?"))&gt;=-90,VALUE(REGEXEXTRACT(SUBSTITUTE(TRIM(F1045)," ",""),"^-?\d+(\.\d+)?"))&lt;=90,VALUE(REGEXEXTRACT(SUBSTITUTE(TRIM(F1045)," ",""),"-?\d+(\.\d+)?$"))&gt;=-180,VALUE(REGEXEXTRACT(SUBSTITUTE(TRIM(F1045)," ",""),"-?\d+(\.\d+)?$"))&lt;=180),"OK","REVISAR"),"REVISAR"),"")</f>
        <v/>
      </c>
      <c r="O1045">
        <f>IF(A1045&lt;&gt;"","https://direcciones507.github.io/direcciones507/panel.html?codigo="&amp;A1045&amp;"&amp;nombre="&amp;ENCODEURL(B1045)&amp;"&amp;telefono="&amp;SUBSTITUTE(C1045,"-","")&amp;"&amp;referencia="&amp;ENCODEURL(E1045)&amp;"&amp;lat="&amp;IZQUIERDA(SUBSTITUTE(F1045," ",""),ENCONTRAR(",",SUBSTITUTE(F1045," ",""))-1)&amp;"&amp;lng="&amp;DERECHA(SUBSTITUTE(F1045," ",""),LARGO(SUBSTITUTE(F1045," ",""))-ENCONTRAR(",",SUBSTITUTE(F1045," ",""))),"")</f>
        <v/>
      </c>
    </row>
    <row r="1046" ht="15.75" customHeight="1" s="10">
      <c r="A1046" s="8">
        <f>CONCAT("AD507-",TEXT(ROW()-2,"0000"))</f>
        <v/>
      </c>
      <c r="C1046" s="8" t="n"/>
      <c r="F1046" s="8" t="n"/>
      <c r="G1046" s="8">
        <f>IF(F1046&lt;&gt;"",HYPERLINK("https://www.google.com/maps/search/?api=1&amp;query="&amp;SUBSTITUTE(F1046," ",""),"🗺 Google Maps"),"")</f>
        <v/>
      </c>
      <c r="H1046" s="8">
        <f>IF(F1046&lt;&gt;"",HYPERLINK("https://waze.com/ul?ll="&amp;SUBSTITUTE(F1046," ","")&amp;"&amp;navigate=yes","🚗 Waze"),"")</f>
        <v/>
      </c>
      <c r="I1046" s="8">
        <f>IF(F1046&lt;&gt;"",HYPERLINK("https://m.uber.com/ul/?action=setPickup&amp;pickup=my_location&amp;dropoff[latitude]="&amp;LEFT(SUBSTITUTE(F1046," ",""),FIND(",",SUBSTITUTE(F1046," ",""))-1)&amp;"&amp;dropoff[longitude]="&amp;MID(SUBSTITUTE(F1046," ",""),FIND(",",SUBSTITUTE(F1046," ",""))+1,99),"🚕 Uber"),"")</f>
        <v/>
      </c>
      <c r="J1046" s="8">
        <f>IF(F1046&lt;&gt;"","https://api.qrserver.com/v1/create-qr-code/?size=200x200&amp;data="&amp;ENCODEURL("https://www.google.com/maps/search/?api=1&amp;query="&amp;SUBSTITUTE(F1046," ","")),"")</f>
        <v/>
      </c>
      <c r="K1046" s="8">
        <f>IF(C1046&lt;&gt;"",HYPERLINK("https://wa.me/507"&amp;REGEXREPLACE(C1046,"[^0-9]","")&amp;"?text="&amp;ENCODEURL("Ya llegue. Codigo: "&amp;A1046&amp;". Ubicacion: "&amp;"https://www.google.com/maps/search/?api=1&amp;query="&amp;SUBSTITUTE(F1046," ","")),"📲 Avisar al cliente"),"")</f>
        <v/>
      </c>
      <c r="L1046" s="8">
        <f>IF(C1046&lt;&gt;"","https://api.qrserver.com/v1/create-qr-code/?size=200x200&amp;data="&amp;ENCODEURL("https://wa.me/507"&amp;REGEXREPLACE(C1046,"[^0-9]","")&amp;"?text="&amp;ENCODEURL("Ya llegue. Codigo: "&amp;A1046&amp;". Ubicacion: "&amp;"https://www.google.com/maps/search/?api=1&amp;query="&amp;SUBSTITUTE(F1046," ",""))),"")</f>
        <v/>
      </c>
      <c r="M1046" s="8">
        <f>IF(B1046&lt;&gt;"",TODAY(),"")</f>
        <v/>
      </c>
      <c r="N1046" s="8">
        <f>IF(F1046&lt;&gt;"",IFERROR(IF(AND(REGEXMATCH(SUBSTITUTE(TRIM(F1046)," ",""),"^-?\d+(\.\d+)?,-?\d+(\.\d+)?$"),VALUE(REGEXEXTRACT(SUBSTITUTE(TRIM(F1046)," ",""),"^-?\d+(\.\d+)?"))&gt;=-90,VALUE(REGEXEXTRACT(SUBSTITUTE(TRIM(F1046)," ",""),"^-?\d+(\.\d+)?"))&lt;=90,VALUE(REGEXEXTRACT(SUBSTITUTE(TRIM(F1046)," ",""),"-?\d+(\.\d+)?$"))&gt;=-180,VALUE(REGEXEXTRACT(SUBSTITUTE(TRIM(F1046)," ",""),"-?\d+(\.\d+)?$"))&lt;=180),"OK","REVISAR"),"REVISAR"),"")</f>
        <v/>
      </c>
      <c r="O1046">
        <f>IF(A1046&lt;&gt;"","https://direcciones507.github.io/direcciones507/panel.html?codigo="&amp;A1046&amp;"&amp;nombre="&amp;ENCODEURL(B1046)&amp;"&amp;telefono="&amp;SUBSTITUTE(C1046,"-","")&amp;"&amp;referencia="&amp;ENCODEURL(E1046)&amp;"&amp;lat="&amp;IZQUIERDA(SUBSTITUTE(F1046," ",""),ENCONTRAR(",",SUBSTITUTE(F1046," ",""))-1)&amp;"&amp;lng="&amp;DERECHA(SUBSTITUTE(F1046," ",""),LARGO(SUBSTITUTE(F1046," ",""))-ENCONTRAR(",",SUBSTITUTE(F1046," ",""))),"")</f>
        <v/>
      </c>
    </row>
    <row r="1047" ht="15.75" customHeight="1" s="10">
      <c r="A1047" s="8">
        <f>CONCAT("AD507-",TEXT(ROW()-2,"0000"))</f>
        <v/>
      </c>
      <c r="C1047" s="8" t="n"/>
      <c r="F1047" s="8" t="n"/>
      <c r="G1047" s="8">
        <f>IF(F1047&lt;&gt;"",HYPERLINK("https://www.google.com/maps/search/?api=1&amp;query="&amp;SUBSTITUTE(F1047," ",""),"🗺 Google Maps"),"")</f>
        <v/>
      </c>
      <c r="H1047" s="8">
        <f>IF(F1047&lt;&gt;"",HYPERLINK("https://waze.com/ul?ll="&amp;SUBSTITUTE(F1047," ","")&amp;"&amp;navigate=yes","🚗 Waze"),"")</f>
        <v/>
      </c>
      <c r="I1047" s="8">
        <f>IF(F1047&lt;&gt;"",HYPERLINK("https://m.uber.com/ul/?action=setPickup&amp;pickup=my_location&amp;dropoff[latitude]="&amp;LEFT(SUBSTITUTE(F1047," ",""),FIND(",",SUBSTITUTE(F1047," ",""))-1)&amp;"&amp;dropoff[longitude]="&amp;MID(SUBSTITUTE(F1047," ",""),FIND(",",SUBSTITUTE(F1047," ",""))+1,99),"🚕 Uber"),"")</f>
        <v/>
      </c>
      <c r="J1047" s="8">
        <f>IF(F1047&lt;&gt;"","https://api.qrserver.com/v1/create-qr-code/?size=200x200&amp;data="&amp;ENCODEURL("https://www.google.com/maps/search/?api=1&amp;query="&amp;SUBSTITUTE(F1047," ","")),"")</f>
        <v/>
      </c>
      <c r="K1047" s="8">
        <f>IF(C1047&lt;&gt;"",HYPERLINK("https://wa.me/507"&amp;REGEXREPLACE(C1047,"[^0-9]","")&amp;"?text="&amp;ENCODEURL("Ya llegue. Codigo: "&amp;A1047&amp;". Ubicacion: "&amp;"https://www.google.com/maps/search/?api=1&amp;query="&amp;SUBSTITUTE(F1047," ","")),"📲 Avisar al cliente"),"")</f>
        <v/>
      </c>
      <c r="L1047" s="8">
        <f>IF(C1047&lt;&gt;"","https://api.qrserver.com/v1/create-qr-code/?size=200x200&amp;data="&amp;ENCODEURL("https://wa.me/507"&amp;REGEXREPLACE(C1047,"[^0-9]","")&amp;"?text="&amp;ENCODEURL("Ya llegue. Codigo: "&amp;A1047&amp;". Ubicacion: "&amp;"https://www.google.com/maps/search/?api=1&amp;query="&amp;SUBSTITUTE(F1047," ",""))),"")</f>
        <v/>
      </c>
      <c r="M1047" s="8">
        <f>IF(B1047&lt;&gt;"",TODAY(),"")</f>
        <v/>
      </c>
      <c r="N1047" s="8">
        <f>IF(F1047&lt;&gt;"",IFERROR(IF(AND(REGEXMATCH(SUBSTITUTE(TRIM(F1047)," ",""),"^-?\d+(\.\d+)?,-?\d+(\.\d+)?$"),VALUE(REGEXEXTRACT(SUBSTITUTE(TRIM(F1047)," ",""),"^-?\d+(\.\d+)?"))&gt;=-90,VALUE(REGEXEXTRACT(SUBSTITUTE(TRIM(F1047)," ",""),"^-?\d+(\.\d+)?"))&lt;=90,VALUE(REGEXEXTRACT(SUBSTITUTE(TRIM(F1047)," ",""),"-?\d+(\.\d+)?$"))&gt;=-180,VALUE(REGEXEXTRACT(SUBSTITUTE(TRIM(F1047)," ",""),"-?\d+(\.\d+)?$"))&lt;=180),"OK","REVISAR"),"REVISAR"),"")</f>
        <v/>
      </c>
      <c r="O1047">
        <f>IF(A1047&lt;&gt;"","https://direcciones507.github.io/direcciones507/panel.html?codigo="&amp;A1047&amp;"&amp;nombre="&amp;ENCODEURL(B1047)&amp;"&amp;telefono="&amp;SUBSTITUTE(C1047,"-","")&amp;"&amp;referencia="&amp;ENCODEURL(E1047)&amp;"&amp;lat="&amp;IZQUIERDA(SUBSTITUTE(F1047," ",""),ENCONTRAR(",",SUBSTITUTE(F1047," ",""))-1)&amp;"&amp;lng="&amp;DERECHA(SUBSTITUTE(F1047," ",""),LARGO(SUBSTITUTE(F1047," ",""))-ENCONTRAR(",",SUBSTITUTE(F1047," ",""))),"")</f>
        <v/>
      </c>
    </row>
    <row r="1048" ht="15.75" customHeight="1" s="10">
      <c r="A1048" s="8">
        <f>CONCAT("AD507-",TEXT(ROW()-2,"0000"))</f>
        <v/>
      </c>
      <c r="C1048" s="8" t="n"/>
      <c r="F1048" s="8" t="n"/>
      <c r="G1048" s="8">
        <f>IF(F1048&lt;&gt;"",HYPERLINK("https://www.google.com/maps/search/?api=1&amp;query="&amp;SUBSTITUTE(F1048," ",""),"🗺 Google Maps"),"")</f>
        <v/>
      </c>
      <c r="H1048" s="8">
        <f>IF(F1048&lt;&gt;"",HYPERLINK("https://waze.com/ul?ll="&amp;SUBSTITUTE(F1048," ","")&amp;"&amp;navigate=yes","🚗 Waze"),"")</f>
        <v/>
      </c>
      <c r="I1048" s="8">
        <f>IF(F1048&lt;&gt;"",HYPERLINK("https://m.uber.com/ul/?action=setPickup&amp;pickup=my_location&amp;dropoff[latitude]="&amp;LEFT(SUBSTITUTE(F1048," ",""),FIND(",",SUBSTITUTE(F1048," ",""))-1)&amp;"&amp;dropoff[longitude]="&amp;MID(SUBSTITUTE(F1048," ",""),FIND(",",SUBSTITUTE(F1048," ",""))+1,99),"🚕 Uber"),"")</f>
        <v/>
      </c>
      <c r="J1048" s="8">
        <f>IF(F1048&lt;&gt;"","https://api.qrserver.com/v1/create-qr-code/?size=200x200&amp;data="&amp;ENCODEURL("https://www.google.com/maps/search/?api=1&amp;query="&amp;SUBSTITUTE(F1048," ","")),"")</f>
        <v/>
      </c>
      <c r="K1048" s="8">
        <f>IF(C1048&lt;&gt;"",HYPERLINK("https://wa.me/507"&amp;REGEXREPLACE(C1048,"[^0-9]","")&amp;"?text="&amp;ENCODEURL("Ya llegue. Codigo: "&amp;A1048&amp;". Ubicacion: "&amp;"https://www.google.com/maps/search/?api=1&amp;query="&amp;SUBSTITUTE(F1048," ","")),"📲 Avisar al cliente"),"")</f>
        <v/>
      </c>
      <c r="L1048" s="8">
        <f>IF(C1048&lt;&gt;"","https://api.qrserver.com/v1/create-qr-code/?size=200x200&amp;data="&amp;ENCODEURL("https://wa.me/507"&amp;REGEXREPLACE(C1048,"[^0-9]","")&amp;"?text="&amp;ENCODEURL("Ya llegue. Codigo: "&amp;A1048&amp;". Ubicacion: "&amp;"https://www.google.com/maps/search/?api=1&amp;query="&amp;SUBSTITUTE(F1048," ",""))),"")</f>
        <v/>
      </c>
      <c r="M1048" s="8">
        <f>IF(B1048&lt;&gt;"",TODAY(),"")</f>
        <v/>
      </c>
      <c r="N1048" s="8">
        <f>IF(F1048&lt;&gt;"",IFERROR(IF(AND(REGEXMATCH(SUBSTITUTE(TRIM(F1048)," ",""),"^-?\d+(\.\d+)?,-?\d+(\.\d+)?$"),VALUE(REGEXEXTRACT(SUBSTITUTE(TRIM(F1048)," ",""),"^-?\d+(\.\d+)?"))&gt;=-90,VALUE(REGEXEXTRACT(SUBSTITUTE(TRIM(F1048)," ",""),"^-?\d+(\.\d+)?"))&lt;=90,VALUE(REGEXEXTRACT(SUBSTITUTE(TRIM(F1048)," ",""),"-?\d+(\.\d+)?$"))&gt;=-180,VALUE(REGEXEXTRACT(SUBSTITUTE(TRIM(F1048)," ",""),"-?\d+(\.\d+)?$"))&lt;=180),"OK","REVISAR"),"REVISAR"),"")</f>
        <v/>
      </c>
      <c r="O1048">
        <f>IF(A1048&lt;&gt;"","https://direcciones507.github.io/direcciones507/panel.html?codigo="&amp;A1048&amp;"&amp;nombre="&amp;ENCODEURL(B1048)&amp;"&amp;telefono="&amp;SUBSTITUTE(C1048,"-","")&amp;"&amp;referencia="&amp;ENCODEURL(E1048)&amp;"&amp;lat="&amp;IZQUIERDA(SUBSTITUTE(F1048," ",""),ENCONTRAR(",",SUBSTITUTE(F1048," ",""))-1)&amp;"&amp;lng="&amp;DERECHA(SUBSTITUTE(F1048," ",""),LARGO(SUBSTITUTE(F1048," ",""))-ENCONTRAR(",",SUBSTITUTE(F1048," ",""))),"")</f>
        <v/>
      </c>
    </row>
    <row r="1049" ht="15.75" customHeight="1" s="10">
      <c r="A1049" s="8">
        <f>CONCAT("AD507-",TEXT(ROW()-2,"0000"))</f>
        <v/>
      </c>
      <c r="C1049" s="8" t="n"/>
      <c r="F1049" s="8" t="n"/>
      <c r="G1049" s="8">
        <f>IF(F1049&lt;&gt;"",HYPERLINK("https://www.google.com/maps/search/?api=1&amp;query="&amp;SUBSTITUTE(F1049," ",""),"🗺 Google Maps"),"")</f>
        <v/>
      </c>
      <c r="H1049" s="8">
        <f>IF(F1049&lt;&gt;"",HYPERLINK("https://waze.com/ul?ll="&amp;SUBSTITUTE(F1049," ","")&amp;"&amp;navigate=yes","🚗 Waze"),"")</f>
        <v/>
      </c>
      <c r="I1049" s="8">
        <f>IF(F1049&lt;&gt;"",HYPERLINK("https://m.uber.com/ul/?action=setPickup&amp;pickup=my_location&amp;dropoff[latitude]="&amp;LEFT(SUBSTITUTE(F1049," ",""),FIND(",",SUBSTITUTE(F1049," ",""))-1)&amp;"&amp;dropoff[longitude]="&amp;MID(SUBSTITUTE(F1049," ",""),FIND(",",SUBSTITUTE(F1049," ",""))+1,99),"🚕 Uber"),"")</f>
        <v/>
      </c>
      <c r="J1049" s="8">
        <f>IF(F1049&lt;&gt;"","https://api.qrserver.com/v1/create-qr-code/?size=200x200&amp;data="&amp;ENCODEURL("https://www.google.com/maps/search/?api=1&amp;query="&amp;SUBSTITUTE(F1049," ","")),"")</f>
        <v/>
      </c>
      <c r="K1049" s="8">
        <f>IF(C1049&lt;&gt;"",HYPERLINK("https://wa.me/507"&amp;REGEXREPLACE(C1049,"[^0-9]","")&amp;"?text="&amp;ENCODEURL("Ya llegue. Codigo: "&amp;A1049&amp;". Ubicacion: "&amp;"https://www.google.com/maps/search/?api=1&amp;query="&amp;SUBSTITUTE(F1049," ","")),"📲 Avisar al cliente"),"")</f>
        <v/>
      </c>
      <c r="L1049" s="8">
        <f>IF(C1049&lt;&gt;"","https://api.qrserver.com/v1/create-qr-code/?size=200x200&amp;data="&amp;ENCODEURL("https://wa.me/507"&amp;REGEXREPLACE(C1049,"[^0-9]","")&amp;"?text="&amp;ENCODEURL("Ya llegue. Codigo: "&amp;A1049&amp;". Ubicacion: "&amp;"https://www.google.com/maps/search/?api=1&amp;query="&amp;SUBSTITUTE(F1049," ",""))),"")</f>
        <v/>
      </c>
      <c r="M1049" s="8">
        <f>IF(B1049&lt;&gt;"",TODAY(),"")</f>
        <v/>
      </c>
      <c r="N1049" s="8">
        <f>IF(F1049&lt;&gt;"",IFERROR(IF(AND(REGEXMATCH(SUBSTITUTE(TRIM(F1049)," ",""),"^-?\d+(\.\d+)?,-?\d+(\.\d+)?$"),VALUE(REGEXEXTRACT(SUBSTITUTE(TRIM(F1049)," ",""),"^-?\d+(\.\d+)?"))&gt;=-90,VALUE(REGEXEXTRACT(SUBSTITUTE(TRIM(F1049)," ",""),"^-?\d+(\.\d+)?"))&lt;=90,VALUE(REGEXEXTRACT(SUBSTITUTE(TRIM(F1049)," ",""),"-?\d+(\.\d+)?$"))&gt;=-180,VALUE(REGEXEXTRACT(SUBSTITUTE(TRIM(F1049)," ",""),"-?\d+(\.\d+)?$"))&lt;=180),"OK","REVISAR"),"REVISAR"),"")</f>
        <v/>
      </c>
      <c r="O1049">
        <f>IF(A1049&lt;&gt;"","https://direcciones507.github.io/direcciones507/panel.html?codigo="&amp;A1049&amp;"&amp;nombre="&amp;ENCODEURL(B1049)&amp;"&amp;telefono="&amp;SUBSTITUTE(C1049,"-","")&amp;"&amp;referencia="&amp;ENCODEURL(E1049)&amp;"&amp;lat="&amp;IZQUIERDA(SUBSTITUTE(F1049," ",""),ENCONTRAR(",",SUBSTITUTE(F1049," ",""))-1)&amp;"&amp;lng="&amp;DERECHA(SUBSTITUTE(F1049," ",""),LARGO(SUBSTITUTE(F1049," ",""))-ENCONTRAR(",",SUBSTITUTE(F1049," ",""))),"")</f>
        <v/>
      </c>
    </row>
    <row r="1050" ht="15.75" customHeight="1" s="10">
      <c r="A1050" s="8">
        <f>CONCAT("AD507-",TEXT(ROW()-2,"0000"))</f>
        <v/>
      </c>
      <c r="C1050" s="8" t="n"/>
      <c r="F1050" s="8" t="n"/>
      <c r="G1050" s="8">
        <f>IF(F1050&lt;&gt;"",HYPERLINK("https://www.google.com/maps/search/?api=1&amp;query="&amp;SUBSTITUTE(F1050," ",""),"🗺 Google Maps"),"")</f>
        <v/>
      </c>
      <c r="H1050" s="8">
        <f>IF(F1050&lt;&gt;"",HYPERLINK("https://waze.com/ul?ll="&amp;SUBSTITUTE(F1050," ","")&amp;"&amp;navigate=yes","🚗 Waze"),"")</f>
        <v/>
      </c>
      <c r="I1050" s="8">
        <f>IF(F1050&lt;&gt;"",HYPERLINK("https://m.uber.com/ul/?action=setPickup&amp;pickup=my_location&amp;dropoff[latitude]="&amp;LEFT(SUBSTITUTE(F1050," ",""),FIND(",",SUBSTITUTE(F1050," ",""))-1)&amp;"&amp;dropoff[longitude]="&amp;MID(SUBSTITUTE(F1050," ",""),FIND(",",SUBSTITUTE(F1050," ",""))+1,99),"🚕 Uber"),"")</f>
        <v/>
      </c>
      <c r="J1050" s="8">
        <f>IF(F1050&lt;&gt;"","https://api.qrserver.com/v1/create-qr-code/?size=200x200&amp;data="&amp;ENCODEURL("https://www.google.com/maps/search/?api=1&amp;query="&amp;SUBSTITUTE(F1050," ","")),"")</f>
        <v/>
      </c>
      <c r="K1050" s="8">
        <f>IF(C1050&lt;&gt;"",HYPERLINK("https://wa.me/507"&amp;REGEXREPLACE(C1050,"[^0-9]","")&amp;"?text="&amp;ENCODEURL("Ya llegue. Codigo: "&amp;A1050&amp;". Ubicacion: "&amp;"https://www.google.com/maps/search/?api=1&amp;query="&amp;SUBSTITUTE(F1050," ","")),"📲 Avisar al cliente"),"")</f>
        <v/>
      </c>
      <c r="L1050" s="8">
        <f>IF(C1050&lt;&gt;"","https://api.qrserver.com/v1/create-qr-code/?size=200x200&amp;data="&amp;ENCODEURL("https://wa.me/507"&amp;REGEXREPLACE(C1050,"[^0-9]","")&amp;"?text="&amp;ENCODEURL("Ya llegue. Codigo: "&amp;A1050&amp;". Ubicacion: "&amp;"https://www.google.com/maps/search/?api=1&amp;query="&amp;SUBSTITUTE(F1050," ",""))),"")</f>
        <v/>
      </c>
      <c r="M1050" s="8">
        <f>IF(B1050&lt;&gt;"",TODAY(),"")</f>
        <v/>
      </c>
      <c r="N1050" s="8">
        <f>IF(F1050&lt;&gt;"",IFERROR(IF(AND(REGEXMATCH(SUBSTITUTE(TRIM(F1050)," ",""),"^-?\d+(\.\d+)?,-?\d+(\.\d+)?$"),VALUE(REGEXEXTRACT(SUBSTITUTE(TRIM(F1050)," ",""),"^-?\d+(\.\d+)?"))&gt;=-90,VALUE(REGEXEXTRACT(SUBSTITUTE(TRIM(F1050)," ",""),"^-?\d+(\.\d+)?"))&lt;=90,VALUE(REGEXEXTRACT(SUBSTITUTE(TRIM(F1050)," ",""),"-?\d+(\.\d+)?$"))&gt;=-180,VALUE(REGEXEXTRACT(SUBSTITUTE(TRIM(F1050)," ",""),"-?\d+(\.\d+)?$"))&lt;=180),"OK","REVISAR"),"REVISAR"),"")</f>
        <v/>
      </c>
      <c r="O1050">
        <f>IF(A1050&lt;&gt;"","https://direcciones507.github.io/direcciones507/panel.html?codigo="&amp;A1050&amp;"&amp;nombre="&amp;ENCODEURL(B1050)&amp;"&amp;telefono="&amp;SUBSTITUTE(C1050,"-","")&amp;"&amp;referencia="&amp;ENCODEURL(E1050)&amp;"&amp;lat="&amp;IZQUIERDA(SUBSTITUTE(F1050," ",""),ENCONTRAR(",",SUBSTITUTE(F1050," ",""))-1)&amp;"&amp;lng="&amp;DERECHA(SUBSTITUTE(F1050," ",""),LARGO(SUBSTITUTE(F1050," ",""))-ENCONTRAR(",",SUBSTITUTE(F1050," ",""))),"")</f>
        <v/>
      </c>
    </row>
    <row r="1051" ht="15.75" customHeight="1" s="10">
      <c r="A1051" s="8">
        <f>CONCAT("AD507-",TEXT(ROW()-2,"0000"))</f>
        <v/>
      </c>
      <c r="C1051" s="8" t="n"/>
      <c r="F1051" s="8" t="n"/>
      <c r="G1051" s="8">
        <f>IF(F1051&lt;&gt;"",HYPERLINK("https://www.google.com/maps/search/?api=1&amp;query="&amp;SUBSTITUTE(F1051," ",""),"🗺 Google Maps"),"")</f>
        <v/>
      </c>
      <c r="H1051" s="8">
        <f>IF(F1051&lt;&gt;"",HYPERLINK("https://waze.com/ul?ll="&amp;SUBSTITUTE(F1051," ","")&amp;"&amp;navigate=yes","🚗 Waze"),"")</f>
        <v/>
      </c>
      <c r="I1051" s="8">
        <f>IF(F1051&lt;&gt;"",HYPERLINK("https://m.uber.com/ul/?action=setPickup&amp;pickup=my_location&amp;dropoff[latitude]="&amp;LEFT(SUBSTITUTE(F1051," ",""),FIND(",",SUBSTITUTE(F1051," ",""))-1)&amp;"&amp;dropoff[longitude]="&amp;MID(SUBSTITUTE(F1051," ",""),FIND(",",SUBSTITUTE(F1051," ",""))+1,99),"🚕 Uber"),"")</f>
        <v/>
      </c>
      <c r="J1051" s="8">
        <f>IF(F1051&lt;&gt;"","https://api.qrserver.com/v1/create-qr-code/?size=200x200&amp;data="&amp;ENCODEURL("https://www.google.com/maps/search/?api=1&amp;query="&amp;SUBSTITUTE(F1051," ","")),"")</f>
        <v/>
      </c>
      <c r="K1051" s="8">
        <f>IF(C1051&lt;&gt;"",HYPERLINK("https://wa.me/507"&amp;REGEXREPLACE(C1051,"[^0-9]","")&amp;"?text="&amp;ENCODEURL("Ya llegue. Codigo: "&amp;A1051&amp;". Ubicacion: "&amp;"https://www.google.com/maps/search/?api=1&amp;query="&amp;SUBSTITUTE(F1051," ","")),"📲 Avisar al cliente"),"")</f>
        <v/>
      </c>
      <c r="L1051" s="8">
        <f>IF(C1051&lt;&gt;"","https://api.qrserver.com/v1/create-qr-code/?size=200x200&amp;data="&amp;ENCODEURL("https://wa.me/507"&amp;REGEXREPLACE(C1051,"[^0-9]","")&amp;"?text="&amp;ENCODEURL("Ya llegue. Codigo: "&amp;A1051&amp;". Ubicacion: "&amp;"https://www.google.com/maps/search/?api=1&amp;query="&amp;SUBSTITUTE(F1051," ",""))),"")</f>
        <v/>
      </c>
      <c r="M1051" s="8">
        <f>IF(B1051&lt;&gt;"",TODAY(),"")</f>
        <v/>
      </c>
      <c r="N1051" s="8">
        <f>IF(F1051&lt;&gt;"",IFERROR(IF(AND(REGEXMATCH(SUBSTITUTE(TRIM(F1051)," ",""),"^-?\d+(\.\d+)?,-?\d+(\.\d+)?$"),VALUE(REGEXEXTRACT(SUBSTITUTE(TRIM(F1051)," ",""),"^-?\d+(\.\d+)?"))&gt;=-90,VALUE(REGEXEXTRACT(SUBSTITUTE(TRIM(F1051)," ",""),"^-?\d+(\.\d+)?"))&lt;=90,VALUE(REGEXEXTRACT(SUBSTITUTE(TRIM(F1051)," ",""),"-?\d+(\.\d+)?$"))&gt;=-180,VALUE(REGEXEXTRACT(SUBSTITUTE(TRIM(F1051)," ",""),"-?\d+(\.\d+)?$"))&lt;=180),"OK","REVISAR"),"REVISAR"),"")</f>
        <v/>
      </c>
      <c r="O1051">
        <f>IF(A1051&lt;&gt;"","https://direcciones507.github.io/direcciones507/panel.html?codigo="&amp;A1051&amp;"&amp;nombre="&amp;ENCODEURL(B1051)&amp;"&amp;telefono="&amp;SUBSTITUTE(C1051,"-","")&amp;"&amp;referencia="&amp;ENCODEURL(E1051)&amp;"&amp;lat="&amp;IZQUIERDA(SUBSTITUTE(F1051," ",""),ENCONTRAR(",",SUBSTITUTE(F1051," ",""))-1)&amp;"&amp;lng="&amp;DERECHA(SUBSTITUTE(F1051," ",""),LARGO(SUBSTITUTE(F1051," ",""))-ENCONTRAR(",",SUBSTITUTE(F1051," ",""))),"")</f>
        <v/>
      </c>
    </row>
    <row r="1052" ht="15.75" customHeight="1" s="10">
      <c r="A1052" s="8">
        <f>CONCAT("AD507-",TEXT(ROW()-2,"0000"))</f>
        <v/>
      </c>
      <c r="C1052" s="8" t="n"/>
      <c r="F1052" s="8" t="n"/>
      <c r="G1052" s="8">
        <f>IF(F1052&lt;&gt;"",HYPERLINK("https://www.google.com/maps/search/?api=1&amp;query="&amp;SUBSTITUTE(F1052," ",""),"🗺 Google Maps"),"")</f>
        <v/>
      </c>
      <c r="H1052" s="8">
        <f>IF(F1052&lt;&gt;"",HYPERLINK("https://waze.com/ul?ll="&amp;SUBSTITUTE(F1052," ","")&amp;"&amp;navigate=yes","🚗 Waze"),"")</f>
        <v/>
      </c>
      <c r="I1052" s="8">
        <f>IF(F1052&lt;&gt;"",HYPERLINK("https://m.uber.com/ul/?action=setPickup&amp;pickup=my_location&amp;dropoff[latitude]="&amp;LEFT(SUBSTITUTE(F1052," ",""),FIND(",",SUBSTITUTE(F1052," ",""))-1)&amp;"&amp;dropoff[longitude]="&amp;MID(SUBSTITUTE(F1052," ",""),FIND(",",SUBSTITUTE(F1052," ",""))+1,99),"🚕 Uber"),"")</f>
        <v/>
      </c>
      <c r="J1052" s="8">
        <f>IF(F1052&lt;&gt;"","https://api.qrserver.com/v1/create-qr-code/?size=200x200&amp;data="&amp;ENCODEURL("https://www.google.com/maps/search/?api=1&amp;query="&amp;SUBSTITUTE(F1052," ","")),"")</f>
        <v/>
      </c>
      <c r="K1052" s="8">
        <f>IF(C1052&lt;&gt;"",HYPERLINK("https://wa.me/507"&amp;REGEXREPLACE(C1052,"[^0-9]","")&amp;"?text="&amp;ENCODEURL("Ya llegue. Codigo: "&amp;A1052&amp;". Ubicacion: "&amp;"https://www.google.com/maps/search/?api=1&amp;query="&amp;SUBSTITUTE(F1052," ","")),"📲 Avisar al cliente"),"")</f>
        <v/>
      </c>
      <c r="L1052" s="8">
        <f>IF(C1052&lt;&gt;"","https://api.qrserver.com/v1/create-qr-code/?size=200x200&amp;data="&amp;ENCODEURL("https://wa.me/507"&amp;REGEXREPLACE(C1052,"[^0-9]","")&amp;"?text="&amp;ENCODEURL("Ya llegue. Codigo: "&amp;A1052&amp;". Ubicacion: "&amp;"https://www.google.com/maps/search/?api=1&amp;query="&amp;SUBSTITUTE(F1052," ",""))),"")</f>
        <v/>
      </c>
      <c r="M1052" s="8">
        <f>IF(B1052&lt;&gt;"",TODAY(),"")</f>
        <v/>
      </c>
      <c r="N1052" s="8">
        <f>IF(F1052&lt;&gt;"",IFERROR(IF(AND(REGEXMATCH(SUBSTITUTE(TRIM(F1052)," ",""),"^-?\d+(\.\d+)?,-?\d+(\.\d+)?$"),VALUE(REGEXEXTRACT(SUBSTITUTE(TRIM(F1052)," ",""),"^-?\d+(\.\d+)?"))&gt;=-90,VALUE(REGEXEXTRACT(SUBSTITUTE(TRIM(F1052)," ",""),"^-?\d+(\.\d+)?"))&lt;=90,VALUE(REGEXEXTRACT(SUBSTITUTE(TRIM(F1052)," ",""),"-?\d+(\.\d+)?$"))&gt;=-180,VALUE(REGEXEXTRACT(SUBSTITUTE(TRIM(F1052)," ",""),"-?\d+(\.\d+)?$"))&lt;=180),"OK","REVISAR"),"REVISAR"),"")</f>
        <v/>
      </c>
      <c r="O1052">
        <f>IF(A1052&lt;&gt;"","https://direcciones507.github.io/direcciones507/panel.html?codigo="&amp;A1052&amp;"&amp;nombre="&amp;ENCODEURL(B1052)&amp;"&amp;telefono="&amp;SUBSTITUTE(C1052,"-","")&amp;"&amp;referencia="&amp;ENCODEURL(E1052)&amp;"&amp;lat="&amp;IZQUIERDA(SUBSTITUTE(F1052," ",""),ENCONTRAR(",",SUBSTITUTE(F1052," ",""))-1)&amp;"&amp;lng="&amp;DERECHA(SUBSTITUTE(F1052," ",""),LARGO(SUBSTITUTE(F1052," ",""))-ENCONTRAR(",",SUBSTITUTE(F1052," ",""))),"")</f>
        <v/>
      </c>
    </row>
    <row r="1053" ht="15.75" customHeight="1" s="10">
      <c r="A1053" s="8">
        <f>CONCAT("AD507-",TEXT(ROW()-2,"0000"))</f>
        <v/>
      </c>
      <c r="C1053" s="8" t="n"/>
      <c r="F1053" s="8" t="n"/>
      <c r="G1053" s="8">
        <f>IF(F1053&lt;&gt;"",HYPERLINK("https://www.google.com/maps/search/?api=1&amp;query="&amp;SUBSTITUTE(F1053," ",""),"🗺 Google Maps"),"")</f>
        <v/>
      </c>
      <c r="H1053" s="8">
        <f>IF(F1053&lt;&gt;"",HYPERLINK("https://waze.com/ul?ll="&amp;SUBSTITUTE(F1053," ","")&amp;"&amp;navigate=yes","🚗 Waze"),"")</f>
        <v/>
      </c>
      <c r="I1053" s="8">
        <f>IF(F1053&lt;&gt;"",HYPERLINK("https://m.uber.com/ul/?action=setPickup&amp;pickup=my_location&amp;dropoff[latitude]="&amp;LEFT(SUBSTITUTE(F1053," ",""),FIND(",",SUBSTITUTE(F1053," ",""))-1)&amp;"&amp;dropoff[longitude]="&amp;MID(SUBSTITUTE(F1053," ",""),FIND(",",SUBSTITUTE(F1053," ",""))+1,99),"🚕 Uber"),"")</f>
        <v/>
      </c>
      <c r="J1053" s="8">
        <f>IF(F1053&lt;&gt;"","https://api.qrserver.com/v1/create-qr-code/?size=200x200&amp;data="&amp;ENCODEURL("https://www.google.com/maps/search/?api=1&amp;query="&amp;SUBSTITUTE(F1053," ","")),"")</f>
        <v/>
      </c>
      <c r="K1053" s="8">
        <f>IF(C1053&lt;&gt;"",HYPERLINK("https://wa.me/507"&amp;REGEXREPLACE(C1053,"[^0-9]","")&amp;"?text="&amp;ENCODEURL("Ya llegue. Codigo: "&amp;A1053&amp;". Ubicacion: "&amp;"https://www.google.com/maps/search/?api=1&amp;query="&amp;SUBSTITUTE(F1053," ","")),"📲 Avisar al cliente"),"")</f>
        <v/>
      </c>
      <c r="L1053" s="8">
        <f>IF(C1053&lt;&gt;"","https://api.qrserver.com/v1/create-qr-code/?size=200x200&amp;data="&amp;ENCODEURL("https://wa.me/507"&amp;REGEXREPLACE(C1053,"[^0-9]","")&amp;"?text="&amp;ENCODEURL("Ya llegue. Codigo: "&amp;A1053&amp;". Ubicacion: "&amp;"https://www.google.com/maps/search/?api=1&amp;query="&amp;SUBSTITUTE(F1053," ",""))),"")</f>
        <v/>
      </c>
      <c r="M1053" s="8">
        <f>IF(B1053&lt;&gt;"",TODAY(),"")</f>
        <v/>
      </c>
      <c r="N1053" s="8">
        <f>IF(F1053&lt;&gt;"",IFERROR(IF(AND(REGEXMATCH(SUBSTITUTE(TRIM(F1053)," ",""),"^-?\d+(\.\d+)?,-?\d+(\.\d+)?$"),VALUE(REGEXEXTRACT(SUBSTITUTE(TRIM(F1053)," ",""),"^-?\d+(\.\d+)?"))&gt;=-90,VALUE(REGEXEXTRACT(SUBSTITUTE(TRIM(F1053)," ",""),"^-?\d+(\.\d+)?"))&lt;=90,VALUE(REGEXEXTRACT(SUBSTITUTE(TRIM(F1053)," ",""),"-?\d+(\.\d+)?$"))&gt;=-180,VALUE(REGEXEXTRACT(SUBSTITUTE(TRIM(F1053)," ",""),"-?\d+(\.\d+)?$"))&lt;=180),"OK","REVISAR"),"REVISAR"),"")</f>
        <v/>
      </c>
      <c r="O1053">
        <f>IF(A1053&lt;&gt;"","https://direcciones507.github.io/direcciones507/panel.html?codigo="&amp;A1053&amp;"&amp;nombre="&amp;ENCODEURL(B1053)&amp;"&amp;telefono="&amp;SUBSTITUTE(C1053,"-","")&amp;"&amp;referencia="&amp;ENCODEURL(E1053)&amp;"&amp;lat="&amp;IZQUIERDA(SUBSTITUTE(F1053," ",""),ENCONTRAR(",",SUBSTITUTE(F1053," ",""))-1)&amp;"&amp;lng="&amp;DERECHA(SUBSTITUTE(F1053," ",""),LARGO(SUBSTITUTE(F1053," ",""))-ENCONTRAR(",",SUBSTITUTE(F1053," ",""))),"")</f>
        <v/>
      </c>
    </row>
    <row r="1054" ht="15.75" customHeight="1" s="10">
      <c r="A1054" s="8">
        <f>CONCAT("AD507-",TEXT(ROW()-2,"0000"))</f>
        <v/>
      </c>
      <c r="C1054" s="8" t="n"/>
      <c r="F1054" s="8" t="n"/>
      <c r="G1054" s="8">
        <f>IF(F1054&lt;&gt;"",HYPERLINK("https://www.google.com/maps/search/?api=1&amp;query="&amp;SUBSTITUTE(F1054," ",""),"🗺 Google Maps"),"")</f>
        <v/>
      </c>
      <c r="H1054" s="8">
        <f>IF(F1054&lt;&gt;"",HYPERLINK("https://waze.com/ul?ll="&amp;SUBSTITUTE(F1054," ","")&amp;"&amp;navigate=yes","🚗 Waze"),"")</f>
        <v/>
      </c>
      <c r="I1054" s="8">
        <f>IF(F1054&lt;&gt;"",HYPERLINK("https://m.uber.com/ul/?action=setPickup&amp;pickup=my_location&amp;dropoff[latitude]="&amp;LEFT(SUBSTITUTE(F1054," ",""),FIND(",",SUBSTITUTE(F1054," ",""))-1)&amp;"&amp;dropoff[longitude]="&amp;MID(SUBSTITUTE(F1054," ",""),FIND(",",SUBSTITUTE(F1054," ",""))+1,99),"🚕 Uber"),"")</f>
        <v/>
      </c>
      <c r="J1054" s="8">
        <f>IF(F1054&lt;&gt;"","https://api.qrserver.com/v1/create-qr-code/?size=200x200&amp;data="&amp;ENCODEURL("https://www.google.com/maps/search/?api=1&amp;query="&amp;SUBSTITUTE(F1054," ","")),"")</f>
        <v/>
      </c>
      <c r="K1054" s="8">
        <f>IF(C1054&lt;&gt;"",HYPERLINK("https://wa.me/507"&amp;REGEXREPLACE(C1054,"[^0-9]","")&amp;"?text="&amp;ENCODEURL("Ya llegue. Codigo: "&amp;A1054&amp;". Ubicacion: "&amp;"https://www.google.com/maps/search/?api=1&amp;query="&amp;SUBSTITUTE(F1054," ","")),"📲 Avisar al cliente"),"")</f>
        <v/>
      </c>
      <c r="L1054" s="8">
        <f>IF(C1054&lt;&gt;"","https://api.qrserver.com/v1/create-qr-code/?size=200x200&amp;data="&amp;ENCODEURL("https://wa.me/507"&amp;REGEXREPLACE(C1054,"[^0-9]","")&amp;"?text="&amp;ENCODEURL("Ya llegue. Codigo: "&amp;A1054&amp;". Ubicacion: "&amp;"https://www.google.com/maps/search/?api=1&amp;query="&amp;SUBSTITUTE(F1054," ",""))),"")</f>
        <v/>
      </c>
      <c r="M1054" s="8">
        <f>IF(B1054&lt;&gt;"",TODAY(),"")</f>
        <v/>
      </c>
      <c r="N1054" s="8">
        <f>IF(F1054&lt;&gt;"",IFERROR(IF(AND(REGEXMATCH(SUBSTITUTE(TRIM(F1054)," ",""),"^-?\d+(\.\d+)?,-?\d+(\.\d+)?$"),VALUE(REGEXEXTRACT(SUBSTITUTE(TRIM(F1054)," ",""),"^-?\d+(\.\d+)?"))&gt;=-90,VALUE(REGEXEXTRACT(SUBSTITUTE(TRIM(F1054)," ",""),"^-?\d+(\.\d+)?"))&lt;=90,VALUE(REGEXEXTRACT(SUBSTITUTE(TRIM(F1054)," ",""),"-?\d+(\.\d+)?$"))&gt;=-180,VALUE(REGEXEXTRACT(SUBSTITUTE(TRIM(F1054)," ",""),"-?\d+(\.\d+)?$"))&lt;=180),"OK","REVISAR"),"REVISAR"),"")</f>
        <v/>
      </c>
      <c r="O1054">
        <f>IF(A1054&lt;&gt;"","https://direcciones507.github.io/direcciones507/panel.html?codigo="&amp;A1054&amp;"&amp;nombre="&amp;ENCODEURL(B1054)&amp;"&amp;telefono="&amp;SUBSTITUTE(C1054,"-","")&amp;"&amp;referencia="&amp;ENCODEURL(E1054)&amp;"&amp;lat="&amp;IZQUIERDA(SUBSTITUTE(F1054," ",""),ENCONTRAR(",",SUBSTITUTE(F1054," ",""))-1)&amp;"&amp;lng="&amp;DERECHA(SUBSTITUTE(F1054," ",""),LARGO(SUBSTITUTE(F1054," ",""))-ENCONTRAR(",",SUBSTITUTE(F1054," ",""))),"")</f>
        <v/>
      </c>
    </row>
    <row r="1055" ht="15.75" customHeight="1" s="10">
      <c r="A1055" s="8">
        <f>CONCAT("AD507-",TEXT(ROW()-2,"0000"))</f>
        <v/>
      </c>
      <c r="C1055" s="8" t="n"/>
      <c r="F1055" s="8" t="n"/>
      <c r="G1055" s="8">
        <f>IF(F1055&lt;&gt;"",HYPERLINK("https://www.google.com/maps/search/?api=1&amp;query="&amp;SUBSTITUTE(F1055," ",""),"🗺 Google Maps"),"")</f>
        <v/>
      </c>
      <c r="H1055" s="8">
        <f>IF(F1055&lt;&gt;"",HYPERLINK("https://waze.com/ul?ll="&amp;SUBSTITUTE(F1055," ","")&amp;"&amp;navigate=yes","🚗 Waze"),"")</f>
        <v/>
      </c>
      <c r="I1055" s="8">
        <f>IF(F1055&lt;&gt;"",HYPERLINK("https://m.uber.com/ul/?action=setPickup&amp;pickup=my_location&amp;dropoff[latitude]="&amp;LEFT(SUBSTITUTE(F1055," ",""),FIND(",",SUBSTITUTE(F1055," ",""))-1)&amp;"&amp;dropoff[longitude]="&amp;MID(SUBSTITUTE(F1055," ",""),FIND(",",SUBSTITUTE(F1055," ",""))+1,99),"🚕 Uber"),"")</f>
        <v/>
      </c>
      <c r="J1055" s="8">
        <f>IF(F1055&lt;&gt;"","https://api.qrserver.com/v1/create-qr-code/?size=200x200&amp;data="&amp;ENCODEURL("https://www.google.com/maps/search/?api=1&amp;query="&amp;SUBSTITUTE(F1055," ","")),"")</f>
        <v/>
      </c>
      <c r="K1055" s="8">
        <f>IF(C1055&lt;&gt;"",HYPERLINK("https://wa.me/507"&amp;REGEXREPLACE(C1055,"[^0-9]","")&amp;"?text="&amp;ENCODEURL("Ya llegue. Codigo: "&amp;A1055&amp;". Ubicacion: "&amp;"https://www.google.com/maps/search/?api=1&amp;query="&amp;SUBSTITUTE(F1055," ","")),"📲 Avisar al cliente"),"")</f>
        <v/>
      </c>
      <c r="L1055" s="8">
        <f>IF(C1055&lt;&gt;"","https://api.qrserver.com/v1/create-qr-code/?size=200x200&amp;data="&amp;ENCODEURL("https://wa.me/507"&amp;REGEXREPLACE(C1055,"[^0-9]","")&amp;"?text="&amp;ENCODEURL("Ya llegue. Codigo: "&amp;A1055&amp;". Ubicacion: "&amp;"https://www.google.com/maps/search/?api=1&amp;query="&amp;SUBSTITUTE(F1055," ",""))),"")</f>
        <v/>
      </c>
      <c r="M1055" s="8">
        <f>IF(B1055&lt;&gt;"",TODAY(),"")</f>
        <v/>
      </c>
      <c r="N1055" s="8">
        <f>IF(F1055&lt;&gt;"",IFERROR(IF(AND(REGEXMATCH(SUBSTITUTE(TRIM(F1055)," ",""),"^-?\d+(\.\d+)?,-?\d+(\.\d+)?$"),VALUE(REGEXEXTRACT(SUBSTITUTE(TRIM(F1055)," ",""),"^-?\d+(\.\d+)?"))&gt;=-90,VALUE(REGEXEXTRACT(SUBSTITUTE(TRIM(F1055)," ",""),"^-?\d+(\.\d+)?"))&lt;=90,VALUE(REGEXEXTRACT(SUBSTITUTE(TRIM(F1055)," ",""),"-?\d+(\.\d+)?$"))&gt;=-180,VALUE(REGEXEXTRACT(SUBSTITUTE(TRIM(F1055)," ",""),"-?\d+(\.\d+)?$"))&lt;=180),"OK","REVISAR"),"REVISAR"),"")</f>
        <v/>
      </c>
      <c r="O1055">
        <f>IF(A1055&lt;&gt;"","https://direcciones507.github.io/direcciones507/panel.html?codigo="&amp;A1055&amp;"&amp;nombre="&amp;ENCODEURL(B1055)&amp;"&amp;telefono="&amp;SUBSTITUTE(C1055,"-","")&amp;"&amp;referencia="&amp;ENCODEURL(E1055)&amp;"&amp;lat="&amp;IZQUIERDA(SUBSTITUTE(F1055," ",""),ENCONTRAR(",",SUBSTITUTE(F1055," ",""))-1)&amp;"&amp;lng="&amp;DERECHA(SUBSTITUTE(F1055," ",""),LARGO(SUBSTITUTE(F1055," ",""))-ENCONTRAR(",",SUBSTITUTE(F1055," ",""))),"")</f>
        <v/>
      </c>
    </row>
    <row r="1056" ht="15.75" customHeight="1" s="10">
      <c r="A1056" s="8">
        <f>CONCAT("AD507-",TEXT(ROW()-2,"0000"))</f>
        <v/>
      </c>
      <c r="C1056" s="8" t="n"/>
      <c r="F1056" s="8" t="n"/>
      <c r="G1056" s="8">
        <f>IF(F1056&lt;&gt;"",HYPERLINK("https://www.google.com/maps/search/?api=1&amp;query="&amp;SUBSTITUTE(F1056," ",""),"🗺 Google Maps"),"")</f>
        <v/>
      </c>
      <c r="H1056" s="8">
        <f>IF(F1056&lt;&gt;"",HYPERLINK("https://waze.com/ul?ll="&amp;SUBSTITUTE(F1056," ","")&amp;"&amp;navigate=yes","🚗 Waze"),"")</f>
        <v/>
      </c>
      <c r="I1056" s="8">
        <f>IF(F1056&lt;&gt;"",HYPERLINK("https://m.uber.com/ul/?action=setPickup&amp;pickup=my_location&amp;dropoff[latitude]="&amp;LEFT(SUBSTITUTE(F1056," ",""),FIND(",",SUBSTITUTE(F1056," ",""))-1)&amp;"&amp;dropoff[longitude]="&amp;MID(SUBSTITUTE(F1056," ",""),FIND(",",SUBSTITUTE(F1056," ",""))+1,99),"🚕 Uber"),"")</f>
        <v/>
      </c>
      <c r="J1056" s="8">
        <f>IF(F1056&lt;&gt;"","https://api.qrserver.com/v1/create-qr-code/?size=200x200&amp;data="&amp;ENCODEURL("https://www.google.com/maps/search/?api=1&amp;query="&amp;SUBSTITUTE(F1056," ","")),"")</f>
        <v/>
      </c>
      <c r="K1056" s="8">
        <f>IF(C1056&lt;&gt;"",HYPERLINK("https://wa.me/507"&amp;REGEXREPLACE(C1056,"[^0-9]","")&amp;"?text="&amp;ENCODEURL("Ya llegue. Codigo: "&amp;A1056&amp;". Ubicacion: "&amp;"https://www.google.com/maps/search/?api=1&amp;query="&amp;SUBSTITUTE(F1056," ","")),"📲 Avisar al cliente"),"")</f>
        <v/>
      </c>
      <c r="L1056" s="8">
        <f>IF(C1056&lt;&gt;"","https://api.qrserver.com/v1/create-qr-code/?size=200x200&amp;data="&amp;ENCODEURL("https://wa.me/507"&amp;REGEXREPLACE(C1056,"[^0-9]","")&amp;"?text="&amp;ENCODEURL("Ya llegue. Codigo: "&amp;A1056&amp;". Ubicacion: "&amp;"https://www.google.com/maps/search/?api=1&amp;query="&amp;SUBSTITUTE(F1056," ",""))),"")</f>
        <v/>
      </c>
      <c r="M1056" s="8">
        <f>IF(B1056&lt;&gt;"",TODAY(),"")</f>
        <v/>
      </c>
      <c r="N1056" s="8">
        <f>IF(F1056&lt;&gt;"",IFERROR(IF(AND(REGEXMATCH(SUBSTITUTE(TRIM(F1056)," ",""),"^-?\d+(\.\d+)?,-?\d+(\.\d+)?$"),VALUE(REGEXEXTRACT(SUBSTITUTE(TRIM(F1056)," ",""),"^-?\d+(\.\d+)?"))&gt;=-90,VALUE(REGEXEXTRACT(SUBSTITUTE(TRIM(F1056)," ",""),"^-?\d+(\.\d+)?"))&lt;=90,VALUE(REGEXEXTRACT(SUBSTITUTE(TRIM(F1056)," ",""),"-?\d+(\.\d+)?$"))&gt;=-180,VALUE(REGEXEXTRACT(SUBSTITUTE(TRIM(F1056)," ",""),"-?\d+(\.\d+)?$"))&lt;=180),"OK","REVISAR"),"REVISAR"),"")</f>
        <v/>
      </c>
      <c r="O1056">
        <f>IF(A1056&lt;&gt;"","https://direcciones507.github.io/direcciones507/panel.html?codigo="&amp;A1056&amp;"&amp;nombre="&amp;ENCODEURL(B1056)&amp;"&amp;telefono="&amp;SUBSTITUTE(C1056,"-","")&amp;"&amp;referencia="&amp;ENCODEURL(E1056)&amp;"&amp;lat="&amp;IZQUIERDA(SUBSTITUTE(F1056," ",""),ENCONTRAR(",",SUBSTITUTE(F1056," ",""))-1)&amp;"&amp;lng="&amp;DERECHA(SUBSTITUTE(F1056," ",""),LARGO(SUBSTITUTE(F1056," ",""))-ENCONTRAR(",",SUBSTITUTE(F1056," ",""))),"")</f>
        <v/>
      </c>
    </row>
    <row r="1057" ht="15.75" customHeight="1" s="10">
      <c r="A1057" s="8">
        <f>CONCAT("AD507-",TEXT(ROW()-2,"0000"))</f>
        <v/>
      </c>
      <c r="C1057" s="8" t="n"/>
      <c r="F1057" s="8" t="n"/>
      <c r="G1057" s="8">
        <f>IF(F1057&lt;&gt;"",HYPERLINK("https://www.google.com/maps/search/?api=1&amp;query="&amp;SUBSTITUTE(F1057," ",""),"🗺 Google Maps"),"")</f>
        <v/>
      </c>
      <c r="H1057" s="8">
        <f>IF(F1057&lt;&gt;"",HYPERLINK("https://waze.com/ul?ll="&amp;SUBSTITUTE(F1057," ","")&amp;"&amp;navigate=yes","🚗 Waze"),"")</f>
        <v/>
      </c>
      <c r="I1057" s="8">
        <f>IF(F1057&lt;&gt;"",HYPERLINK("https://m.uber.com/ul/?action=setPickup&amp;pickup=my_location&amp;dropoff[latitude]="&amp;LEFT(SUBSTITUTE(F1057," ",""),FIND(",",SUBSTITUTE(F1057," ",""))-1)&amp;"&amp;dropoff[longitude]="&amp;MID(SUBSTITUTE(F1057," ",""),FIND(",",SUBSTITUTE(F1057," ",""))+1,99),"🚕 Uber"),"")</f>
        <v/>
      </c>
      <c r="J1057" s="8">
        <f>IF(F1057&lt;&gt;"","https://api.qrserver.com/v1/create-qr-code/?size=200x200&amp;data="&amp;ENCODEURL("https://www.google.com/maps/search/?api=1&amp;query="&amp;SUBSTITUTE(F1057," ","")),"")</f>
        <v/>
      </c>
      <c r="K1057" s="8">
        <f>IF(C1057&lt;&gt;"",HYPERLINK("https://wa.me/507"&amp;REGEXREPLACE(C1057,"[^0-9]","")&amp;"?text="&amp;ENCODEURL("Ya llegue. Codigo: "&amp;A1057&amp;". Ubicacion: "&amp;"https://www.google.com/maps/search/?api=1&amp;query="&amp;SUBSTITUTE(F1057," ","")),"📲 Avisar al cliente"),"")</f>
        <v/>
      </c>
      <c r="L1057" s="8">
        <f>IF(C1057&lt;&gt;"","https://api.qrserver.com/v1/create-qr-code/?size=200x200&amp;data="&amp;ENCODEURL("https://wa.me/507"&amp;REGEXREPLACE(C1057,"[^0-9]","")&amp;"?text="&amp;ENCODEURL("Ya llegue. Codigo: "&amp;A1057&amp;". Ubicacion: "&amp;"https://www.google.com/maps/search/?api=1&amp;query="&amp;SUBSTITUTE(F1057," ",""))),"")</f>
        <v/>
      </c>
      <c r="M1057" s="8">
        <f>IF(B1057&lt;&gt;"",TODAY(),"")</f>
        <v/>
      </c>
      <c r="N1057" s="8">
        <f>IF(F1057&lt;&gt;"",IFERROR(IF(AND(REGEXMATCH(SUBSTITUTE(TRIM(F1057)," ",""),"^-?\d+(\.\d+)?,-?\d+(\.\d+)?$"),VALUE(REGEXEXTRACT(SUBSTITUTE(TRIM(F1057)," ",""),"^-?\d+(\.\d+)?"))&gt;=-90,VALUE(REGEXEXTRACT(SUBSTITUTE(TRIM(F1057)," ",""),"^-?\d+(\.\d+)?"))&lt;=90,VALUE(REGEXEXTRACT(SUBSTITUTE(TRIM(F1057)," ",""),"-?\d+(\.\d+)?$"))&gt;=-180,VALUE(REGEXEXTRACT(SUBSTITUTE(TRIM(F1057)," ",""),"-?\d+(\.\d+)?$"))&lt;=180),"OK","REVISAR"),"REVISAR"),"")</f>
        <v/>
      </c>
      <c r="O1057">
        <f>IF(A1057&lt;&gt;"","https://direcciones507.github.io/direcciones507/panel.html?codigo="&amp;A1057&amp;"&amp;nombre="&amp;ENCODEURL(B1057)&amp;"&amp;telefono="&amp;SUBSTITUTE(C1057,"-","")&amp;"&amp;referencia="&amp;ENCODEURL(E1057)&amp;"&amp;lat="&amp;IZQUIERDA(SUBSTITUTE(F1057," ",""),ENCONTRAR(",",SUBSTITUTE(F1057," ",""))-1)&amp;"&amp;lng="&amp;DERECHA(SUBSTITUTE(F1057," ",""),LARGO(SUBSTITUTE(F1057," ",""))-ENCONTRAR(",",SUBSTITUTE(F1057," ",""))),"")</f>
        <v/>
      </c>
    </row>
    <row r="1058" ht="15.75" customHeight="1" s="10">
      <c r="A1058" s="8">
        <f>CONCAT("AD507-",TEXT(ROW()-2,"0000"))</f>
        <v/>
      </c>
      <c r="C1058" s="8" t="n"/>
      <c r="F1058" s="8" t="n"/>
      <c r="G1058" s="8">
        <f>IF(F1058&lt;&gt;"",HYPERLINK("https://www.google.com/maps/search/?api=1&amp;query="&amp;SUBSTITUTE(F1058," ",""),"🗺 Google Maps"),"")</f>
        <v/>
      </c>
      <c r="H1058" s="8">
        <f>IF(F1058&lt;&gt;"",HYPERLINK("https://waze.com/ul?ll="&amp;SUBSTITUTE(F1058," ","")&amp;"&amp;navigate=yes","🚗 Waze"),"")</f>
        <v/>
      </c>
      <c r="I1058" s="8">
        <f>IF(F1058&lt;&gt;"",HYPERLINK("https://m.uber.com/ul/?action=setPickup&amp;pickup=my_location&amp;dropoff[latitude]="&amp;LEFT(SUBSTITUTE(F1058," ",""),FIND(",",SUBSTITUTE(F1058," ",""))-1)&amp;"&amp;dropoff[longitude]="&amp;MID(SUBSTITUTE(F1058," ",""),FIND(",",SUBSTITUTE(F1058," ",""))+1,99),"🚕 Uber"),"")</f>
        <v/>
      </c>
      <c r="J1058" s="8">
        <f>IF(F1058&lt;&gt;"","https://api.qrserver.com/v1/create-qr-code/?size=200x200&amp;data="&amp;ENCODEURL("https://www.google.com/maps/search/?api=1&amp;query="&amp;SUBSTITUTE(F1058," ","")),"")</f>
        <v/>
      </c>
      <c r="K1058" s="8">
        <f>IF(C1058&lt;&gt;"",HYPERLINK("https://wa.me/507"&amp;REGEXREPLACE(C1058,"[^0-9]","")&amp;"?text="&amp;ENCODEURL("Ya llegue. Codigo: "&amp;A1058&amp;". Ubicacion: "&amp;"https://www.google.com/maps/search/?api=1&amp;query="&amp;SUBSTITUTE(F1058," ","")),"📲 Avisar al cliente"),"")</f>
        <v/>
      </c>
      <c r="L1058" s="8">
        <f>IF(C1058&lt;&gt;"","https://api.qrserver.com/v1/create-qr-code/?size=200x200&amp;data="&amp;ENCODEURL("https://wa.me/507"&amp;REGEXREPLACE(C1058,"[^0-9]","")&amp;"?text="&amp;ENCODEURL("Ya llegue. Codigo: "&amp;A1058&amp;". Ubicacion: "&amp;"https://www.google.com/maps/search/?api=1&amp;query="&amp;SUBSTITUTE(F1058," ",""))),"")</f>
        <v/>
      </c>
      <c r="M1058" s="8">
        <f>IF(B1058&lt;&gt;"",TODAY(),"")</f>
        <v/>
      </c>
      <c r="N1058" s="8">
        <f>IF(F1058&lt;&gt;"",IFERROR(IF(AND(REGEXMATCH(SUBSTITUTE(TRIM(F1058)," ",""),"^-?\d+(\.\d+)?,-?\d+(\.\d+)?$"),VALUE(REGEXEXTRACT(SUBSTITUTE(TRIM(F1058)," ",""),"^-?\d+(\.\d+)?"))&gt;=-90,VALUE(REGEXEXTRACT(SUBSTITUTE(TRIM(F1058)," ",""),"^-?\d+(\.\d+)?"))&lt;=90,VALUE(REGEXEXTRACT(SUBSTITUTE(TRIM(F1058)," ",""),"-?\d+(\.\d+)?$"))&gt;=-180,VALUE(REGEXEXTRACT(SUBSTITUTE(TRIM(F1058)," ",""),"-?\d+(\.\d+)?$"))&lt;=180),"OK","REVISAR"),"REVISAR"),"")</f>
        <v/>
      </c>
      <c r="O1058">
        <f>IF(A1058&lt;&gt;"","https://direcciones507.github.io/direcciones507/panel.html?codigo="&amp;A1058&amp;"&amp;nombre="&amp;ENCODEURL(B1058)&amp;"&amp;telefono="&amp;SUBSTITUTE(C1058,"-","")&amp;"&amp;referencia="&amp;ENCODEURL(E1058)&amp;"&amp;lat="&amp;IZQUIERDA(SUBSTITUTE(F1058," ",""),ENCONTRAR(",",SUBSTITUTE(F1058," ",""))-1)&amp;"&amp;lng="&amp;DERECHA(SUBSTITUTE(F1058," ",""),LARGO(SUBSTITUTE(F1058," ",""))-ENCONTRAR(",",SUBSTITUTE(F1058," ",""))),"")</f>
        <v/>
      </c>
    </row>
    <row r="1059" ht="15.75" customHeight="1" s="10">
      <c r="A1059" s="8">
        <f>CONCAT("AD507-",TEXT(ROW()-2,"0000"))</f>
        <v/>
      </c>
      <c r="C1059" s="8" t="n"/>
      <c r="F1059" s="8" t="n"/>
      <c r="G1059" s="8">
        <f>IF(F1059&lt;&gt;"",HYPERLINK("https://www.google.com/maps/search/?api=1&amp;query="&amp;SUBSTITUTE(F1059," ",""),"🗺 Google Maps"),"")</f>
        <v/>
      </c>
      <c r="H1059" s="8">
        <f>IF(F1059&lt;&gt;"",HYPERLINK("https://waze.com/ul?ll="&amp;SUBSTITUTE(F1059," ","")&amp;"&amp;navigate=yes","🚗 Waze"),"")</f>
        <v/>
      </c>
      <c r="I1059" s="8">
        <f>IF(F1059&lt;&gt;"",HYPERLINK("https://m.uber.com/ul/?action=setPickup&amp;pickup=my_location&amp;dropoff[latitude]="&amp;LEFT(SUBSTITUTE(F1059," ",""),FIND(",",SUBSTITUTE(F1059," ",""))-1)&amp;"&amp;dropoff[longitude]="&amp;MID(SUBSTITUTE(F1059," ",""),FIND(",",SUBSTITUTE(F1059," ",""))+1,99),"🚕 Uber"),"")</f>
        <v/>
      </c>
      <c r="J1059" s="8">
        <f>IF(F1059&lt;&gt;"","https://api.qrserver.com/v1/create-qr-code/?size=200x200&amp;data="&amp;ENCODEURL("https://www.google.com/maps/search/?api=1&amp;query="&amp;SUBSTITUTE(F1059," ","")),"")</f>
        <v/>
      </c>
      <c r="K1059" s="8">
        <f>IF(C1059&lt;&gt;"",HYPERLINK("https://wa.me/507"&amp;REGEXREPLACE(C1059,"[^0-9]","")&amp;"?text="&amp;ENCODEURL("Ya llegue. Codigo: "&amp;A1059&amp;". Ubicacion: "&amp;"https://www.google.com/maps/search/?api=1&amp;query="&amp;SUBSTITUTE(F1059," ","")),"📲 Avisar al cliente"),"")</f>
        <v/>
      </c>
      <c r="L1059" s="8">
        <f>IF(C1059&lt;&gt;"","https://api.qrserver.com/v1/create-qr-code/?size=200x200&amp;data="&amp;ENCODEURL("https://wa.me/507"&amp;REGEXREPLACE(C1059,"[^0-9]","")&amp;"?text="&amp;ENCODEURL("Ya llegue. Codigo: "&amp;A1059&amp;". Ubicacion: "&amp;"https://www.google.com/maps/search/?api=1&amp;query="&amp;SUBSTITUTE(F1059," ",""))),"")</f>
        <v/>
      </c>
      <c r="M1059" s="8">
        <f>IF(B1059&lt;&gt;"",TODAY(),"")</f>
        <v/>
      </c>
      <c r="N1059" s="8">
        <f>IF(F1059&lt;&gt;"",IFERROR(IF(AND(REGEXMATCH(SUBSTITUTE(TRIM(F1059)," ",""),"^-?\d+(\.\d+)?,-?\d+(\.\d+)?$"),VALUE(REGEXEXTRACT(SUBSTITUTE(TRIM(F1059)," ",""),"^-?\d+(\.\d+)?"))&gt;=-90,VALUE(REGEXEXTRACT(SUBSTITUTE(TRIM(F1059)," ",""),"^-?\d+(\.\d+)?"))&lt;=90,VALUE(REGEXEXTRACT(SUBSTITUTE(TRIM(F1059)," ",""),"-?\d+(\.\d+)?$"))&gt;=-180,VALUE(REGEXEXTRACT(SUBSTITUTE(TRIM(F1059)," ",""),"-?\d+(\.\d+)?$"))&lt;=180),"OK","REVISAR"),"REVISAR"),"")</f>
        <v/>
      </c>
      <c r="O1059">
        <f>IF(A1059&lt;&gt;"","https://direcciones507.github.io/direcciones507/panel.html?codigo="&amp;A1059&amp;"&amp;nombre="&amp;ENCODEURL(B1059)&amp;"&amp;telefono="&amp;SUBSTITUTE(C1059,"-","")&amp;"&amp;referencia="&amp;ENCODEURL(E1059)&amp;"&amp;lat="&amp;IZQUIERDA(SUBSTITUTE(F1059," ",""),ENCONTRAR(",",SUBSTITUTE(F1059," ",""))-1)&amp;"&amp;lng="&amp;DERECHA(SUBSTITUTE(F1059," ",""),LARGO(SUBSTITUTE(F1059," ",""))-ENCONTRAR(",",SUBSTITUTE(F1059," ",""))),"")</f>
        <v/>
      </c>
    </row>
    <row r="1060" ht="15.75" customHeight="1" s="10">
      <c r="A1060" s="8">
        <f>CONCAT("AD507-",TEXT(ROW()-2,"0000"))</f>
        <v/>
      </c>
      <c r="C1060" s="8" t="n"/>
      <c r="F1060" s="8" t="n"/>
      <c r="G1060" s="8">
        <f>IF(F1060&lt;&gt;"",HYPERLINK("https://www.google.com/maps/search/?api=1&amp;query="&amp;SUBSTITUTE(F1060," ",""),"🗺 Google Maps"),"")</f>
        <v/>
      </c>
      <c r="H1060" s="8">
        <f>IF(F1060&lt;&gt;"",HYPERLINK("https://waze.com/ul?ll="&amp;SUBSTITUTE(F1060," ","")&amp;"&amp;navigate=yes","🚗 Waze"),"")</f>
        <v/>
      </c>
      <c r="I1060" s="8">
        <f>IF(F1060&lt;&gt;"",HYPERLINK("https://m.uber.com/ul/?action=setPickup&amp;pickup=my_location&amp;dropoff[latitude]="&amp;LEFT(SUBSTITUTE(F1060," ",""),FIND(",",SUBSTITUTE(F1060," ",""))-1)&amp;"&amp;dropoff[longitude]="&amp;MID(SUBSTITUTE(F1060," ",""),FIND(",",SUBSTITUTE(F1060," ",""))+1,99),"🚕 Uber"),"")</f>
        <v/>
      </c>
      <c r="J1060" s="8">
        <f>IF(F1060&lt;&gt;"","https://api.qrserver.com/v1/create-qr-code/?size=200x200&amp;data="&amp;ENCODEURL("https://www.google.com/maps/search/?api=1&amp;query="&amp;SUBSTITUTE(F1060," ","")),"")</f>
        <v/>
      </c>
      <c r="K1060" s="8">
        <f>IF(C1060&lt;&gt;"",HYPERLINK("https://wa.me/507"&amp;REGEXREPLACE(C1060,"[^0-9]","")&amp;"?text="&amp;ENCODEURL("Ya llegue. Codigo: "&amp;A1060&amp;". Ubicacion: "&amp;"https://www.google.com/maps/search/?api=1&amp;query="&amp;SUBSTITUTE(F1060," ","")),"📲 Avisar al cliente"),"")</f>
        <v/>
      </c>
      <c r="L1060" s="8">
        <f>IF(C1060&lt;&gt;"","https://api.qrserver.com/v1/create-qr-code/?size=200x200&amp;data="&amp;ENCODEURL("https://wa.me/507"&amp;REGEXREPLACE(C1060,"[^0-9]","")&amp;"?text="&amp;ENCODEURL("Ya llegue. Codigo: "&amp;A1060&amp;". Ubicacion: "&amp;"https://www.google.com/maps/search/?api=1&amp;query="&amp;SUBSTITUTE(F1060," ",""))),"")</f>
        <v/>
      </c>
      <c r="M1060" s="8">
        <f>IF(B1060&lt;&gt;"",TODAY(),"")</f>
        <v/>
      </c>
      <c r="N1060" s="8">
        <f>IF(F1060&lt;&gt;"",IFERROR(IF(AND(REGEXMATCH(SUBSTITUTE(TRIM(F1060)," ",""),"^-?\d+(\.\d+)?,-?\d+(\.\d+)?$"),VALUE(REGEXEXTRACT(SUBSTITUTE(TRIM(F1060)," ",""),"^-?\d+(\.\d+)?"))&gt;=-90,VALUE(REGEXEXTRACT(SUBSTITUTE(TRIM(F1060)," ",""),"^-?\d+(\.\d+)?"))&lt;=90,VALUE(REGEXEXTRACT(SUBSTITUTE(TRIM(F1060)," ",""),"-?\d+(\.\d+)?$"))&gt;=-180,VALUE(REGEXEXTRACT(SUBSTITUTE(TRIM(F1060)," ",""),"-?\d+(\.\d+)?$"))&lt;=180),"OK","REVISAR"),"REVISAR"),"")</f>
        <v/>
      </c>
      <c r="O1060">
        <f>IF(A1060&lt;&gt;"","https://direcciones507.github.io/direcciones507/panel.html?codigo="&amp;A1060&amp;"&amp;nombre="&amp;ENCODEURL(B1060)&amp;"&amp;telefono="&amp;SUBSTITUTE(C1060,"-","")&amp;"&amp;referencia="&amp;ENCODEURL(E1060)&amp;"&amp;lat="&amp;IZQUIERDA(SUBSTITUTE(F1060," ",""),ENCONTRAR(",",SUBSTITUTE(F1060," ",""))-1)&amp;"&amp;lng="&amp;DERECHA(SUBSTITUTE(F1060," ",""),LARGO(SUBSTITUTE(F1060," ",""))-ENCONTRAR(",",SUBSTITUTE(F1060," ",""))),"")</f>
        <v/>
      </c>
    </row>
    <row r="1061" ht="15.75" customHeight="1" s="10">
      <c r="A1061" s="8">
        <f>CONCAT("AD507-",TEXT(ROW()-2,"0000"))</f>
        <v/>
      </c>
      <c r="C1061" s="8" t="n"/>
      <c r="F1061" s="8" t="n"/>
      <c r="G1061" s="8">
        <f>IF(F1061&lt;&gt;"",HYPERLINK("https://www.google.com/maps/search/?api=1&amp;query="&amp;SUBSTITUTE(F1061," ",""),"🗺 Google Maps"),"")</f>
        <v/>
      </c>
      <c r="H1061" s="8">
        <f>IF(F1061&lt;&gt;"",HYPERLINK("https://waze.com/ul?ll="&amp;SUBSTITUTE(F1061," ","")&amp;"&amp;navigate=yes","🚗 Waze"),"")</f>
        <v/>
      </c>
      <c r="I1061" s="8">
        <f>IF(F1061&lt;&gt;"",HYPERLINK("https://m.uber.com/ul/?action=setPickup&amp;pickup=my_location&amp;dropoff[latitude]="&amp;LEFT(SUBSTITUTE(F1061," ",""),FIND(",",SUBSTITUTE(F1061," ",""))-1)&amp;"&amp;dropoff[longitude]="&amp;MID(SUBSTITUTE(F1061," ",""),FIND(",",SUBSTITUTE(F1061," ",""))+1,99),"🚕 Uber"),"")</f>
        <v/>
      </c>
      <c r="J1061" s="8">
        <f>IF(F1061&lt;&gt;"","https://api.qrserver.com/v1/create-qr-code/?size=200x200&amp;data="&amp;ENCODEURL("https://www.google.com/maps/search/?api=1&amp;query="&amp;SUBSTITUTE(F1061," ","")),"")</f>
        <v/>
      </c>
      <c r="K1061" s="8">
        <f>IF(C1061&lt;&gt;"",HYPERLINK("https://wa.me/507"&amp;REGEXREPLACE(C1061,"[^0-9]","")&amp;"?text="&amp;ENCODEURL("Ya llegue. Codigo: "&amp;A1061&amp;". Ubicacion: "&amp;"https://www.google.com/maps/search/?api=1&amp;query="&amp;SUBSTITUTE(F1061," ","")),"📲 Avisar al cliente"),"")</f>
        <v/>
      </c>
      <c r="L1061" s="8">
        <f>IF(C1061&lt;&gt;"","https://api.qrserver.com/v1/create-qr-code/?size=200x200&amp;data="&amp;ENCODEURL("https://wa.me/507"&amp;REGEXREPLACE(C1061,"[^0-9]","")&amp;"?text="&amp;ENCODEURL("Ya llegue. Codigo: "&amp;A1061&amp;". Ubicacion: "&amp;"https://www.google.com/maps/search/?api=1&amp;query="&amp;SUBSTITUTE(F1061," ",""))),"")</f>
        <v/>
      </c>
      <c r="M1061" s="8">
        <f>IF(B1061&lt;&gt;"",TODAY(),"")</f>
        <v/>
      </c>
      <c r="N1061" s="8">
        <f>IF(F1061&lt;&gt;"",IFERROR(IF(AND(REGEXMATCH(SUBSTITUTE(TRIM(F1061)," ",""),"^-?\d+(\.\d+)?,-?\d+(\.\d+)?$"),VALUE(REGEXEXTRACT(SUBSTITUTE(TRIM(F1061)," ",""),"^-?\d+(\.\d+)?"))&gt;=-90,VALUE(REGEXEXTRACT(SUBSTITUTE(TRIM(F1061)," ",""),"^-?\d+(\.\d+)?"))&lt;=90,VALUE(REGEXEXTRACT(SUBSTITUTE(TRIM(F1061)," ",""),"-?\d+(\.\d+)?$"))&gt;=-180,VALUE(REGEXEXTRACT(SUBSTITUTE(TRIM(F1061)," ",""),"-?\d+(\.\d+)?$"))&lt;=180),"OK","REVISAR"),"REVISAR"),"")</f>
        <v/>
      </c>
      <c r="O1061">
        <f>IF(A1061&lt;&gt;"","https://direcciones507.github.io/direcciones507/panel.html?codigo="&amp;A1061&amp;"&amp;nombre="&amp;ENCODEURL(B1061)&amp;"&amp;telefono="&amp;SUBSTITUTE(C1061,"-","")&amp;"&amp;referencia="&amp;ENCODEURL(E1061)&amp;"&amp;lat="&amp;IZQUIERDA(SUBSTITUTE(F1061," ",""),ENCONTRAR(",",SUBSTITUTE(F1061," ",""))-1)&amp;"&amp;lng="&amp;DERECHA(SUBSTITUTE(F1061," ",""),LARGO(SUBSTITUTE(F1061," ",""))-ENCONTRAR(",",SUBSTITUTE(F1061," ",""))),"")</f>
        <v/>
      </c>
    </row>
    <row r="1062" ht="15.75" customHeight="1" s="10">
      <c r="A1062" s="8">
        <f>CONCAT("AD507-",TEXT(ROW()-2,"0000"))</f>
        <v/>
      </c>
      <c r="C1062" s="8" t="n"/>
      <c r="F1062" s="8" t="n"/>
      <c r="G1062" s="8">
        <f>IF(F1062&lt;&gt;"",HYPERLINK("https://www.google.com/maps/search/?api=1&amp;query="&amp;SUBSTITUTE(F1062," ",""),"🗺 Google Maps"),"")</f>
        <v/>
      </c>
      <c r="H1062" s="8">
        <f>IF(F1062&lt;&gt;"",HYPERLINK("https://waze.com/ul?ll="&amp;SUBSTITUTE(F1062," ","")&amp;"&amp;navigate=yes","🚗 Waze"),"")</f>
        <v/>
      </c>
      <c r="I1062" s="8">
        <f>IF(F1062&lt;&gt;"",HYPERLINK("https://m.uber.com/ul/?action=setPickup&amp;pickup=my_location&amp;dropoff[latitude]="&amp;LEFT(SUBSTITUTE(F1062," ",""),FIND(",",SUBSTITUTE(F1062," ",""))-1)&amp;"&amp;dropoff[longitude]="&amp;MID(SUBSTITUTE(F1062," ",""),FIND(",",SUBSTITUTE(F1062," ",""))+1,99),"🚕 Uber"),"")</f>
        <v/>
      </c>
      <c r="J1062" s="8">
        <f>IF(F1062&lt;&gt;"","https://api.qrserver.com/v1/create-qr-code/?size=200x200&amp;data="&amp;ENCODEURL("https://www.google.com/maps/search/?api=1&amp;query="&amp;SUBSTITUTE(F1062," ","")),"")</f>
        <v/>
      </c>
      <c r="K1062" s="8">
        <f>IF(C1062&lt;&gt;"",HYPERLINK("https://wa.me/507"&amp;REGEXREPLACE(C1062,"[^0-9]","")&amp;"?text="&amp;ENCODEURL("Ya llegue. Codigo: "&amp;A1062&amp;". Ubicacion: "&amp;"https://www.google.com/maps/search/?api=1&amp;query="&amp;SUBSTITUTE(F1062," ","")),"📲 Avisar al cliente"),"")</f>
        <v/>
      </c>
      <c r="L1062" s="8">
        <f>IF(C1062&lt;&gt;"","https://api.qrserver.com/v1/create-qr-code/?size=200x200&amp;data="&amp;ENCODEURL("https://wa.me/507"&amp;REGEXREPLACE(C1062,"[^0-9]","")&amp;"?text="&amp;ENCODEURL("Ya llegue. Codigo: "&amp;A1062&amp;". Ubicacion: "&amp;"https://www.google.com/maps/search/?api=1&amp;query="&amp;SUBSTITUTE(F1062," ",""))),"")</f>
        <v/>
      </c>
      <c r="M1062" s="8">
        <f>IF(B1062&lt;&gt;"",TODAY(),"")</f>
        <v/>
      </c>
      <c r="N1062" s="8">
        <f>IF(F1062&lt;&gt;"",IFERROR(IF(AND(REGEXMATCH(SUBSTITUTE(TRIM(F1062)," ",""),"^-?\d+(\.\d+)?,-?\d+(\.\d+)?$"),VALUE(REGEXEXTRACT(SUBSTITUTE(TRIM(F1062)," ",""),"^-?\d+(\.\d+)?"))&gt;=-90,VALUE(REGEXEXTRACT(SUBSTITUTE(TRIM(F1062)," ",""),"^-?\d+(\.\d+)?"))&lt;=90,VALUE(REGEXEXTRACT(SUBSTITUTE(TRIM(F1062)," ",""),"-?\d+(\.\d+)?$"))&gt;=-180,VALUE(REGEXEXTRACT(SUBSTITUTE(TRIM(F1062)," ",""),"-?\d+(\.\d+)?$"))&lt;=180),"OK","REVISAR"),"REVISAR"),"")</f>
        <v/>
      </c>
      <c r="O1062">
        <f>IF(A1062&lt;&gt;"","https://direcciones507.github.io/direcciones507/panel.html?codigo="&amp;A1062&amp;"&amp;nombre="&amp;ENCODEURL(B1062)&amp;"&amp;telefono="&amp;SUBSTITUTE(C1062,"-","")&amp;"&amp;referencia="&amp;ENCODEURL(E1062)&amp;"&amp;lat="&amp;IZQUIERDA(SUBSTITUTE(F1062," ",""),ENCONTRAR(",",SUBSTITUTE(F1062," ",""))-1)&amp;"&amp;lng="&amp;DERECHA(SUBSTITUTE(F1062," ",""),LARGO(SUBSTITUTE(F1062," ",""))-ENCONTRAR(",",SUBSTITUTE(F1062," ",""))),"")</f>
        <v/>
      </c>
    </row>
    <row r="1063" ht="15.75" customHeight="1" s="10">
      <c r="A1063" s="8">
        <f>CONCAT("AD507-",TEXT(ROW()-2,"0000"))</f>
        <v/>
      </c>
      <c r="C1063" s="8" t="n"/>
      <c r="F1063" s="8" t="n"/>
      <c r="G1063" s="8">
        <f>IF(F1063&lt;&gt;"",HYPERLINK("https://www.google.com/maps/search/?api=1&amp;query="&amp;SUBSTITUTE(F1063," ",""),"🗺 Google Maps"),"")</f>
        <v/>
      </c>
      <c r="H1063" s="8">
        <f>IF(F1063&lt;&gt;"",HYPERLINK("https://waze.com/ul?ll="&amp;SUBSTITUTE(F1063," ","")&amp;"&amp;navigate=yes","🚗 Waze"),"")</f>
        <v/>
      </c>
      <c r="I1063" s="8">
        <f>IF(F1063&lt;&gt;"",HYPERLINK("https://m.uber.com/ul/?action=setPickup&amp;pickup=my_location&amp;dropoff[latitude]="&amp;LEFT(SUBSTITUTE(F1063," ",""),FIND(",",SUBSTITUTE(F1063," ",""))-1)&amp;"&amp;dropoff[longitude]="&amp;MID(SUBSTITUTE(F1063," ",""),FIND(",",SUBSTITUTE(F1063," ",""))+1,99),"🚕 Uber"),"")</f>
        <v/>
      </c>
      <c r="J1063" s="8">
        <f>IF(F1063&lt;&gt;"","https://api.qrserver.com/v1/create-qr-code/?size=200x200&amp;data="&amp;ENCODEURL("https://www.google.com/maps/search/?api=1&amp;query="&amp;SUBSTITUTE(F1063," ","")),"")</f>
        <v/>
      </c>
      <c r="K1063" s="8">
        <f>IF(C1063&lt;&gt;"",HYPERLINK("https://wa.me/507"&amp;REGEXREPLACE(C1063,"[^0-9]","")&amp;"?text="&amp;ENCODEURL("Ya llegue. Codigo: "&amp;A1063&amp;". Ubicacion: "&amp;"https://www.google.com/maps/search/?api=1&amp;query="&amp;SUBSTITUTE(F1063," ","")),"📲 Avisar al cliente"),"")</f>
        <v/>
      </c>
      <c r="L1063" s="8">
        <f>IF(C1063&lt;&gt;"","https://api.qrserver.com/v1/create-qr-code/?size=200x200&amp;data="&amp;ENCODEURL("https://wa.me/507"&amp;REGEXREPLACE(C1063,"[^0-9]","")&amp;"?text="&amp;ENCODEURL("Ya llegue. Codigo: "&amp;A1063&amp;". Ubicacion: "&amp;"https://www.google.com/maps/search/?api=1&amp;query="&amp;SUBSTITUTE(F1063," ",""))),"")</f>
        <v/>
      </c>
      <c r="M1063" s="8">
        <f>IF(B1063&lt;&gt;"",TODAY(),"")</f>
        <v/>
      </c>
      <c r="N1063" s="8">
        <f>IF(F1063&lt;&gt;"",IFERROR(IF(AND(REGEXMATCH(SUBSTITUTE(TRIM(F1063)," ",""),"^-?\d+(\.\d+)?,-?\d+(\.\d+)?$"),VALUE(REGEXEXTRACT(SUBSTITUTE(TRIM(F1063)," ",""),"^-?\d+(\.\d+)?"))&gt;=-90,VALUE(REGEXEXTRACT(SUBSTITUTE(TRIM(F1063)," ",""),"^-?\d+(\.\d+)?"))&lt;=90,VALUE(REGEXEXTRACT(SUBSTITUTE(TRIM(F1063)," ",""),"-?\d+(\.\d+)?$"))&gt;=-180,VALUE(REGEXEXTRACT(SUBSTITUTE(TRIM(F1063)," ",""),"-?\d+(\.\d+)?$"))&lt;=180),"OK","REVISAR"),"REVISAR"),"")</f>
        <v/>
      </c>
      <c r="O1063">
        <f>IF(A1063&lt;&gt;"","https://direcciones507.github.io/direcciones507/panel.html?codigo="&amp;A1063&amp;"&amp;nombre="&amp;ENCODEURL(B1063)&amp;"&amp;telefono="&amp;SUBSTITUTE(C1063,"-","")&amp;"&amp;referencia="&amp;ENCODEURL(E1063)&amp;"&amp;lat="&amp;IZQUIERDA(SUBSTITUTE(F1063," ",""),ENCONTRAR(",",SUBSTITUTE(F1063," ",""))-1)&amp;"&amp;lng="&amp;DERECHA(SUBSTITUTE(F1063," ",""),LARGO(SUBSTITUTE(F1063," ",""))-ENCONTRAR(",",SUBSTITUTE(F1063," ",""))),"")</f>
        <v/>
      </c>
    </row>
    <row r="1064" ht="15.75" customHeight="1" s="10">
      <c r="A1064" s="8">
        <f>CONCAT("AD507-",TEXT(ROW()-2,"0000"))</f>
        <v/>
      </c>
      <c r="C1064" s="8" t="n"/>
      <c r="F1064" s="8" t="n"/>
      <c r="G1064" s="8">
        <f>IF(F1064&lt;&gt;"",HYPERLINK("https://www.google.com/maps/search/?api=1&amp;query="&amp;SUBSTITUTE(F1064," ",""),"🗺 Google Maps"),"")</f>
        <v/>
      </c>
      <c r="H1064" s="8">
        <f>IF(F1064&lt;&gt;"",HYPERLINK("https://waze.com/ul?ll="&amp;SUBSTITUTE(F1064," ","")&amp;"&amp;navigate=yes","🚗 Waze"),"")</f>
        <v/>
      </c>
      <c r="I1064" s="8">
        <f>IF(F1064&lt;&gt;"",HYPERLINK("https://m.uber.com/ul/?action=setPickup&amp;pickup=my_location&amp;dropoff[latitude]="&amp;LEFT(SUBSTITUTE(F1064," ",""),FIND(",",SUBSTITUTE(F1064," ",""))-1)&amp;"&amp;dropoff[longitude]="&amp;MID(SUBSTITUTE(F1064," ",""),FIND(",",SUBSTITUTE(F1064," ",""))+1,99),"🚕 Uber"),"")</f>
        <v/>
      </c>
      <c r="J1064" s="8">
        <f>IF(F1064&lt;&gt;"","https://api.qrserver.com/v1/create-qr-code/?size=200x200&amp;data="&amp;ENCODEURL("https://www.google.com/maps/search/?api=1&amp;query="&amp;SUBSTITUTE(F1064," ","")),"")</f>
        <v/>
      </c>
      <c r="K1064" s="8">
        <f>IF(C1064&lt;&gt;"",HYPERLINK("https://wa.me/507"&amp;REGEXREPLACE(C1064,"[^0-9]","")&amp;"?text="&amp;ENCODEURL("Ya llegue. Codigo: "&amp;A1064&amp;". Ubicacion: "&amp;"https://www.google.com/maps/search/?api=1&amp;query="&amp;SUBSTITUTE(F1064," ","")),"📲 Avisar al cliente"),"")</f>
        <v/>
      </c>
      <c r="L1064" s="8">
        <f>IF(C1064&lt;&gt;"","https://api.qrserver.com/v1/create-qr-code/?size=200x200&amp;data="&amp;ENCODEURL("https://wa.me/507"&amp;REGEXREPLACE(C1064,"[^0-9]","")&amp;"?text="&amp;ENCODEURL("Ya llegue. Codigo: "&amp;A1064&amp;". Ubicacion: "&amp;"https://www.google.com/maps/search/?api=1&amp;query="&amp;SUBSTITUTE(F1064," ",""))),"")</f>
        <v/>
      </c>
      <c r="M1064" s="8">
        <f>IF(B1064&lt;&gt;"",TODAY(),"")</f>
        <v/>
      </c>
      <c r="N1064" s="8">
        <f>IF(F1064&lt;&gt;"",IFERROR(IF(AND(REGEXMATCH(SUBSTITUTE(TRIM(F1064)," ",""),"^-?\d+(\.\d+)?,-?\d+(\.\d+)?$"),VALUE(REGEXEXTRACT(SUBSTITUTE(TRIM(F1064)," ",""),"^-?\d+(\.\d+)?"))&gt;=-90,VALUE(REGEXEXTRACT(SUBSTITUTE(TRIM(F1064)," ",""),"^-?\d+(\.\d+)?"))&lt;=90,VALUE(REGEXEXTRACT(SUBSTITUTE(TRIM(F1064)," ",""),"-?\d+(\.\d+)?$"))&gt;=-180,VALUE(REGEXEXTRACT(SUBSTITUTE(TRIM(F1064)," ",""),"-?\d+(\.\d+)?$"))&lt;=180),"OK","REVISAR"),"REVISAR"),"")</f>
        <v/>
      </c>
      <c r="O1064">
        <f>IF(A1064&lt;&gt;"","https://direcciones507.github.io/direcciones507/panel.html?codigo="&amp;A1064&amp;"&amp;nombre="&amp;ENCODEURL(B1064)&amp;"&amp;telefono="&amp;SUBSTITUTE(C1064,"-","")&amp;"&amp;referencia="&amp;ENCODEURL(E1064)&amp;"&amp;lat="&amp;IZQUIERDA(SUBSTITUTE(F1064," ",""),ENCONTRAR(",",SUBSTITUTE(F1064," ",""))-1)&amp;"&amp;lng="&amp;DERECHA(SUBSTITUTE(F1064," ",""),LARGO(SUBSTITUTE(F1064," ",""))-ENCONTRAR(",",SUBSTITUTE(F1064," ",""))),"")</f>
        <v/>
      </c>
    </row>
    <row r="1065" ht="15.75" customHeight="1" s="10">
      <c r="A1065" s="8">
        <f>CONCAT("AD507-",TEXT(ROW()-2,"0000"))</f>
        <v/>
      </c>
      <c r="C1065" s="8" t="n"/>
      <c r="F1065" s="8" t="n"/>
      <c r="G1065" s="8">
        <f>IF(F1065&lt;&gt;"",HYPERLINK("https://www.google.com/maps/search/?api=1&amp;query="&amp;SUBSTITUTE(F1065," ",""),"🗺 Google Maps"),"")</f>
        <v/>
      </c>
      <c r="H1065" s="8">
        <f>IF(F1065&lt;&gt;"",HYPERLINK("https://waze.com/ul?ll="&amp;SUBSTITUTE(F1065," ","")&amp;"&amp;navigate=yes","🚗 Waze"),"")</f>
        <v/>
      </c>
      <c r="I1065" s="8">
        <f>IF(F1065&lt;&gt;"",HYPERLINK("https://m.uber.com/ul/?action=setPickup&amp;pickup=my_location&amp;dropoff[latitude]="&amp;LEFT(SUBSTITUTE(F1065," ",""),FIND(",",SUBSTITUTE(F1065," ",""))-1)&amp;"&amp;dropoff[longitude]="&amp;MID(SUBSTITUTE(F1065," ",""),FIND(",",SUBSTITUTE(F1065," ",""))+1,99),"🚕 Uber"),"")</f>
        <v/>
      </c>
      <c r="J1065" s="8">
        <f>IF(F1065&lt;&gt;"","https://api.qrserver.com/v1/create-qr-code/?size=200x200&amp;data="&amp;ENCODEURL("https://www.google.com/maps/search/?api=1&amp;query="&amp;SUBSTITUTE(F1065," ","")),"")</f>
        <v/>
      </c>
      <c r="K1065" s="8">
        <f>IF(C1065&lt;&gt;"",HYPERLINK("https://wa.me/507"&amp;REGEXREPLACE(C1065,"[^0-9]","")&amp;"?text="&amp;ENCODEURL("Ya llegue. Codigo: "&amp;A1065&amp;". Ubicacion: "&amp;"https://www.google.com/maps/search/?api=1&amp;query="&amp;SUBSTITUTE(F1065," ","")),"📲 Avisar al cliente"),"")</f>
        <v/>
      </c>
      <c r="L1065" s="8">
        <f>IF(C1065&lt;&gt;"","https://api.qrserver.com/v1/create-qr-code/?size=200x200&amp;data="&amp;ENCODEURL("https://wa.me/507"&amp;REGEXREPLACE(C1065,"[^0-9]","")&amp;"?text="&amp;ENCODEURL("Ya llegue. Codigo: "&amp;A1065&amp;". Ubicacion: "&amp;"https://www.google.com/maps/search/?api=1&amp;query="&amp;SUBSTITUTE(F1065," ",""))),"")</f>
        <v/>
      </c>
      <c r="M1065" s="8">
        <f>IF(B1065&lt;&gt;"",TODAY(),"")</f>
        <v/>
      </c>
      <c r="N1065" s="8">
        <f>IF(F1065&lt;&gt;"",IFERROR(IF(AND(REGEXMATCH(SUBSTITUTE(TRIM(F1065)," ",""),"^-?\d+(\.\d+)?,-?\d+(\.\d+)?$"),VALUE(REGEXEXTRACT(SUBSTITUTE(TRIM(F1065)," ",""),"^-?\d+(\.\d+)?"))&gt;=-90,VALUE(REGEXEXTRACT(SUBSTITUTE(TRIM(F1065)," ",""),"^-?\d+(\.\d+)?"))&lt;=90,VALUE(REGEXEXTRACT(SUBSTITUTE(TRIM(F1065)," ",""),"-?\d+(\.\d+)?$"))&gt;=-180,VALUE(REGEXEXTRACT(SUBSTITUTE(TRIM(F1065)," ",""),"-?\d+(\.\d+)?$"))&lt;=180),"OK","REVISAR"),"REVISAR"),"")</f>
        <v/>
      </c>
      <c r="O1065">
        <f>IF(A1065&lt;&gt;"","https://direcciones507.github.io/direcciones507/panel.html?codigo="&amp;A1065&amp;"&amp;nombre="&amp;ENCODEURL(B1065)&amp;"&amp;telefono="&amp;SUBSTITUTE(C1065,"-","")&amp;"&amp;referencia="&amp;ENCODEURL(E1065)&amp;"&amp;lat="&amp;IZQUIERDA(SUBSTITUTE(F1065," ",""),ENCONTRAR(",",SUBSTITUTE(F1065," ",""))-1)&amp;"&amp;lng="&amp;DERECHA(SUBSTITUTE(F1065," ",""),LARGO(SUBSTITUTE(F1065," ",""))-ENCONTRAR(",",SUBSTITUTE(F1065," ",""))),"")</f>
        <v/>
      </c>
    </row>
    <row r="1066" ht="15.75" customHeight="1" s="10">
      <c r="A1066" s="8">
        <f>CONCAT("AD507-",TEXT(ROW()-2,"0000"))</f>
        <v/>
      </c>
      <c r="C1066" s="8" t="n"/>
      <c r="F1066" s="8" t="n"/>
      <c r="G1066" s="8">
        <f>IF(F1066&lt;&gt;"",HYPERLINK("https://www.google.com/maps/search/?api=1&amp;query="&amp;SUBSTITUTE(F1066," ",""),"🗺 Google Maps"),"")</f>
        <v/>
      </c>
      <c r="H1066" s="8">
        <f>IF(F1066&lt;&gt;"",HYPERLINK("https://waze.com/ul?ll="&amp;SUBSTITUTE(F1066," ","")&amp;"&amp;navigate=yes","🚗 Waze"),"")</f>
        <v/>
      </c>
      <c r="I1066" s="8">
        <f>IF(F1066&lt;&gt;"",HYPERLINK("https://m.uber.com/ul/?action=setPickup&amp;pickup=my_location&amp;dropoff[latitude]="&amp;LEFT(SUBSTITUTE(F1066," ",""),FIND(",",SUBSTITUTE(F1066," ",""))-1)&amp;"&amp;dropoff[longitude]="&amp;MID(SUBSTITUTE(F1066," ",""),FIND(",",SUBSTITUTE(F1066," ",""))+1,99),"🚕 Uber"),"")</f>
        <v/>
      </c>
      <c r="J1066" s="8">
        <f>IF(F1066&lt;&gt;"","https://api.qrserver.com/v1/create-qr-code/?size=200x200&amp;data="&amp;ENCODEURL("https://www.google.com/maps/search/?api=1&amp;query="&amp;SUBSTITUTE(F1066," ","")),"")</f>
        <v/>
      </c>
      <c r="K1066" s="8">
        <f>IF(C1066&lt;&gt;"",HYPERLINK("https://wa.me/507"&amp;REGEXREPLACE(C1066,"[^0-9]","")&amp;"?text="&amp;ENCODEURL("Ya llegue. Codigo: "&amp;A1066&amp;". Ubicacion: "&amp;"https://www.google.com/maps/search/?api=1&amp;query="&amp;SUBSTITUTE(F1066," ","")),"📲 Avisar al cliente"),"")</f>
        <v/>
      </c>
      <c r="L1066" s="8">
        <f>IF(C1066&lt;&gt;"","https://api.qrserver.com/v1/create-qr-code/?size=200x200&amp;data="&amp;ENCODEURL("https://wa.me/507"&amp;REGEXREPLACE(C1066,"[^0-9]","")&amp;"?text="&amp;ENCODEURL("Ya llegue. Codigo: "&amp;A1066&amp;". Ubicacion: "&amp;"https://www.google.com/maps/search/?api=1&amp;query="&amp;SUBSTITUTE(F1066," ",""))),"")</f>
        <v/>
      </c>
      <c r="M1066" s="8">
        <f>IF(B1066&lt;&gt;"",TODAY(),"")</f>
        <v/>
      </c>
      <c r="N1066" s="8">
        <f>IF(F1066&lt;&gt;"",IFERROR(IF(AND(REGEXMATCH(SUBSTITUTE(TRIM(F1066)," ",""),"^-?\d+(\.\d+)?,-?\d+(\.\d+)?$"),VALUE(REGEXEXTRACT(SUBSTITUTE(TRIM(F1066)," ",""),"^-?\d+(\.\d+)?"))&gt;=-90,VALUE(REGEXEXTRACT(SUBSTITUTE(TRIM(F1066)," ",""),"^-?\d+(\.\d+)?"))&lt;=90,VALUE(REGEXEXTRACT(SUBSTITUTE(TRIM(F1066)," ",""),"-?\d+(\.\d+)?$"))&gt;=-180,VALUE(REGEXEXTRACT(SUBSTITUTE(TRIM(F1066)," ",""),"-?\d+(\.\d+)?$"))&lt;=180),"OK","REVISAR"),"REVISAR"),"")</f>
        <v/>
      </c>
      <c r="O1066">
        <f>IF(A1066&lt;&gt;"","https://direcciones507.github.io/direcciones507/panel.html?codigo="&amp;A1066&amp;"&amp;nombre="&amp;ENCODEURL(B1066)&amp;"&amp;telefono="&amp;SUBSTITUTE(C1066,"-","")&amp;"&amp;referencia="&amp;ENCODEURL(E1066)&amp;"&amp;lat="&amp;IZQUIERDA(SUBSTITUTE(F1066," ",""),ENCONTRAR(",",SUBSTITUTE(F1066," ",""))-1)&amp;"&amp;lng="&amp;DERECHA(SUBSTITUTE(F1066," ",""),LARGO(SUBSTITUTE(F1066," ",""))-ENCONTRAR(",",SUBSTITUTE(F1066," ",""))),"")</f>
        <v/>
      </c>
    </row>
    <row r="1067" ht="15.75" customHeight="1" s="10">
      <c r="A1067" s="8">
        <f>CONCAT("AD507-",TEXT(ROW()-2,"0000"))</f>
        <v/>
      </c>
      <c r="C1067" s="8" t="n"/>
      <c r="F1067" s="8" t="n"/>
      <c r="G1067" s="8">
        <f>IF(F1067&lt;&gt;"",HYPERLINK("https://www.google.com/maps/search/?api=1&amp;query="&amp;SUBSTITUTE(F1067," ",""),"🗺 Google Maps"),"")</f>
        <v/>
      </c>
      <c r="H1067" s="8">
        <f>IF(F1067&lt;&gt;"",HYPERLINK("https://waze.com/ul?ll="&amp;SUBSTITUTE(F1067," ","")&amp;"&amp;navigate=yes","🚗 Waze"),"")</f>
        <v/>
      </c>
      <c r="I1067" s="8">
        <f>IF(F1067&lt;&gt;"",HYPERLINK("https://m.uber.com/ul/?action=setPickup&amp;pickup=my_location&amp;dropoff[latitude]="&amp;LEFT(SUBSTITUTE(F1067," ",""),FIND(",",SUBSTITUTE(F1067," ",""))-1)&amp;"&amp;dropoff[longitude]="&amp;MID(SUBSTITUTE(F1067," ",""),FIND(",",SUBSTITUTE(F1067," ",""))+1,99),"🚕 Uber"),"")</f>
        <v/>
      </c>
      <c r="J1067" s="8">
        <f>IF(F1067&lt;&gt;"","https://api.qrserver.com/v1/create-qr-code/?size=200x200&amp;data="&amp;ENCODEURL("https://www.google.com/maps/search/?api=1&amp;query="&amp;SUBSTITUTE(F1067," ","")),"")</f>
        <v/>
      </c>
      <c r="K1067" s="8">
        <f>IF(C1067&lt;&gt;"",HYPERLINK("https://wa.me/507"&amp;REGEXREPLACE(C1067,"[^0-9]","")&amp;"?text="&amp;ENCODEURL("Ya llegue. Codigo: "&amp;A1067&amp;". Ubicacion: "&amp;"https://www.google.com/maps/search/?api=1&amp;query="&amp;SUBSTITUTE(F1067," ","")),"📲 Avisar al cliente"),"")</f>
        <v/>
      </c>
      <c r="L1067" s="8">
        <f>IF(C1067&lt;&gt;"","https://api.qrserver.com/v1/create-qr-code/?size=200x200&amp;data="&amp;ENCODEURL("https://wa.me/507"&amp;REGEXREPLACE(C1067,"[^0-9]","")&amp;"?text="&amp;ENCODEURL("Ya llegue. Codigo: "&amp;A1067&amp;". Ubicacion: "&amp;"https://www.google.com/maps/search/?api=1&amp;query="&amp;SUBSTITUTE(F1067," ",""))),"")</f>
        <v/>
      </c>
      <c r="M1067" s="8">
        <f>IF(B1067&lt;&gt;"",TODAY(),"")</f>
        <v/>
      </c>
      <c r="N1067" s="8">
        <f>IF(F1067&lt;&gt;"",IFERROR(IF(AND(REGEXMATCH(SUBSTITUTE(TRIM(F1067)," ",""),"^-?\d+(\.\d+)?,-?\d+(\.\d+)?$"),VALUE(REGEXEXTRACT(SUBSTITUTE(TRIM(F1067)," ",""),"^-?\d+(\.\d+)?"))&gt;=-90,VALUE(REGEXEXTRACT(SUBSTITUTE(TRIM(F1067)," ",""),"^-?\d+(\.\d+)?"))&lt;=90,VALUE(REGEXEXTRACT(SUBSTITUTE(TRIM(F1067)," ",""),"-?\d+(\.\d+)?$"))&gt;=-180,VALUE(REGEXEXTRACT(SUBSTITUTE(TRIM(F1067)," ",""),"-?\d+(\.\d+)?$"))&lt;=180),"OK","REVISAR"),"REVISAR"),"")</f>
        <v/>
      </c>
      <c r="O1067">
        <f>IF(A1067&lt;&gt;"","https://direcciones507.github.io/direcciones507/panel.html?codigo="&amp;A1067&amp;"&amp;nombre="&amp;ENCODEURL(B1067)&amp;"&amp;telefono="&amp;SUBSTITUTE(C1067,"-","")&amp;"&amp;referencia="&amp;ENCODEURL(E1067)&amp;"&amp;lat="&amp;IZQUIERDA(SUBSTITUTE(F1067," ",""),ENCONTRAR(",",SUBSTITUTE(F1067," ",""))-1)&amp;"&amp;lng="&amp;DERECHA(SUBSTITUTE(F1067," ",""),LARGO(SUBSTITUTE(F1067," ",""))-ENCONTRAR(",",SUBSTITUTE(F1067," ",""))),"")</f>
        <v/>
      </c>
    </row>
    <row r="1068" ht="15.75" customHeight="1" s="10">
      <c r="A1068" s="8">
        <f>CONCAT("AD507-",TEXT(ROW()-2,"0000"))</f>
        <v/>
      </c>
      <c r="C1068" s="8" t="n"/>
      <c r="F1068" s="8" t="n"/>
      <c r="G1068" s="8">
        <f>IF(F1068&lt;&gt;"",HYPERLINK("https://www.google.com/maps/search/?api=1&amp;query="&amp;SUBSTITUTE(F1068," ",""),"🗺 Google Maps"),"")</f>
        <v/>
      </c>
      <c r="H1068" s="8">
        <f>IF(F1068&lt;&gt;"",HYPERLINK("https://waze.com/ul?ll="&amp;SUBSTITUTE(F1068," ","")&amp;"&amp;navigate=yes","🚗 Waze"),"")</f>
        <v/>
      </c>
      <c r="I1068" s="8">
        <f>IF(F1068&lt;&gt;"",HYPERLINK("https://m.uber.com/ul/?action=setPickup&amp;pickup=my_location&amp;dropoff[latitude]="&amp;LEFT(SUBSTITUTE(F1068," ",""),FIND(",",SUBSTITUTE(F1068," ",""))-1)&amp;"&amp;dropoff[longitude]="&amp;MID(SUBSTITUTE(F1068," ",""),FIND(",",SUBSTITUTE(F1068," ",""))+1,99),"🚕 Uber"),"")</f>
        <v/>
      </c>
      <c r="J1068" s="8">
        <f>IF(F1068&lt;&gt;"","https://api.qrserver.com/v1/create-qr-code/?size=200x200&amp;data="&amp;ENCODEURL("https://www.google.com/maps/search/?api=1&amp;query="&amp;SUBSTITUTE(F1068," ","")),"")</f>
        <v/>
      </c>
      <c r="K1068" s="8">
        <f>IF(C1068&lt;&gt;"",HYPERLINK("https://wa.me/507"&amp;REGEXREPLACE(C1068,"[^0-9]","")&amp;"?text="&amp;ENCODEURL("Ya llegue. Codigo: "&amp;A1068&amp;". Ubicacion: "&amp;"https://www.google.com/maps/search/?api=1&amp;query="&amp;SUBSTITUTE(F1068," ","")),"📲 Avisar al cliente"),"")</f>
        <v/>
      </c>
      <c r="L1068" s="8">
        <f>IF(C1068&lt;&gt;"","https://api.qrserver.com/v1/create-qr-code/?size=200x200&amp;data="&amp;ENCODEURL("https://wa.me/507"&amp;REGEXREPLACE(C1068,"[^0-9]","")&amp;"?text="&amp;ENCODEURL("Ya llegue. Codigo: "&amp;A1068&amp;". Ubicacion: "&amp;"https://www.google.com/maps/search/?api=1&amp;query="&amp;SUBSTITUTE(F1068," ",""))),"")</f>
        <v/>
      </c>
      <c r="M1068" s="8">
        <f>IF(B1068&lt;&gt;"",TODAY(),"")</f>
        <v/>
      </c>
      <c r="N1068" s="8">
        <f>IF(F1068&lt;&gt;"",IFERROR(IF(AND(REGEXMATCH(SUBSTITUTE(TRIM(F1068)," ",""),"^-?\d+(\.\d+)?,-?\d+(\.\d+)?$"),VALUE(REGEXEXTRACT(SUBSTITUTE(TRIM(F1068)," ",""),"^-?\d+(\.\d+)?"))&gt;=-90,VALUE(REGEXEXTRACT(SUBSTITUTE(TRIM(F1068)," ",""),"^-?\d+(\.\d+)?"))&lt;=90,VALUE(REGEXEXTRACT(SUBSTITUTE(TRIM(F1068)," ",""),"-?\d+(\.\d+)?$"))&gt;=-180,VALUE(REGEXEXTRACT(SUBSTITUTE(TRIM(F1068)," ",""),"-?\d+(\.\d+)?$"))&lt;=180),"OK","REVISAR"),"REVISAR"),"")</f>
        <v/>
      </c>
      <c r="O1068">
        <f>IF(A1068&lt;&gt;"","https://direcciones507.github.io/direcciones507/panel.html?codigo="&amp;A1068&amp;"&amp;nombre="&amp;ENCODEURL(B1068)&amp;"&amp;telefono="&amp;SUBSTITUTE(C1068,"-","")&amp;"&amp;referencia="&amp;ENCODEURL(E1068)&amp;"&amp;lat="&amp;IZQUIERDA(SUBSTITUTE(F1068," ",""),ENCONTRAR(",",SUBSTITUTE(F1068," ",""))-1)&amp;"&amp;lng="&amp;DERECHA(SUBSTITUTE(F1068," ",""),LARGO(SUBSTITUTE(F1068," ",""))-ENCONTRAR(",",SUBSTITUTE(F1068," ",""))),"")</f>
        <v/>
      </c>
    </row>
    <row r="1069" ht="15.75" customHeight="1" s="10">
      <c r="A1069" s="8">
        <f>CONCAT("AD507-",TEXT(ROW()-2,"0000"))</f>
        <v/>
      </c>
      <c r="C1069" s="8" t="n"/>
      <c r="F1069" s="8" t="n"/>
      <c r="G1069" s="8">
        <f>IF(F1069&lt;&gt;"",HYPERLINK("https://www.google.com/maps/search/?api=1&amp;query="&amp;SUBSTITUTE(F1069," ",""),"🗺 Google Maps"),"")</f>
        <v/>
      </c>
      <c r="H1069" s="8">
        <f>IF(F1069&lt;&gt;"",HYPERLINK("https://waze.com/ul?ll="&amp;SUBSTITUTE(F1069," ","")&amp;"&amp;navigate=yes","🚗 Waze"),"")</f>
        <v/>
      </c>
      <c r="I1069" s="8">
        <f>IF(F1069&lt;&gt;"",HYPERLINK("https://m.uber.com/ul/?action=setPickup&amp;pickup=my_location&amp;dropoff[latitude]="&amp;LEFT(SUBSTITUTE(F1069," ",""),FIND(",",SUBSTITUTE(F1069," ",""))-1)&amp;"&amp;dropoff[longitude]="&amp;MID(SUBSTITUTE(F1069," ",""),FIND(",",SUBSTITUTE(F1069," ",""))+1,99),"🚕 Uber"),"")</f>
        <v/>
      </c>
      <c r="J1069" s="8">
        <f>IF(F1069&lt;&gt;"","https://api.qrserver.com/v1/create-qr-code/?size=200x200&amp;data="&amp;ENCODEURL("https://www.google.com/maps/search/?api=1&amp;query="&amp;SUBSTITUTE(F1069," ","")),"")</f>
        <v/>
      </c>
      <c r="K1069" s="8">
        <f>IF(C1069&lt;&gt;"",HYPERLINK("https://wa.me/507"&amp;REGEXREPLACE(C1069,"[^0-9]","")&amp;"?text="&amp;ENCODEURL("Ya llegue. Codigo: "&amp;A1069&amp;". Ubicacion: "&amp;"https://www.google.com/maps/search/?api=1&amp;query="&amp;SUBSTITUTE(F1069," ","")),"📲 Avisar al cliente"),"")</f>
        <v/>
      </c>
      <c r="L1069" s="8">
        <f>IF(C1069&lt;&gt;"","https://api.qrserver.com/v1/create-qr-code/?size=200x200&amp;data="&amp;ENCODEURL("https://wa.me/507"&amp;REGEXREPLACE(C1069,"[^0-9]","")&amp;"?text="&amp;ENCODEURL("Ya llegue. Codigo: "&amp;A1069&amp;". Ubicacion: "&amp;"https://www.google.com/maps/search/?api=1&amp;query="&amp;SUBSTITUTE(F1069," ",""))),"")</f>
        <v/>
      </c>
      <c r="M1069" s="8">
        <f>IF(B1069&lt;&gt;"",TODAY(),"")</f>
        <v/>
      </c>
      <c r="N1069" s="8">
        <f>IF(F1069&lt;&gt;"",IFERROR(IF(AND(REGEXMATCH(SUBSTITUTE(TRIM(F1069)," ",""),"^-?\d+(\.\d+)?,-?\d+(\.\d+)?$"),VALUE(REGEXEXTRACT(SUBSTITUTE(TRIM(F1069)," ",""),"^-?\d+(\.\d+)?"))&gt;=-90,VALUE(REGEXEXTRACT(SUBSTITUTE(TRIM(F1069)," ",""),"^-?\d+(\.\d+)?"))&lt;=90,VALUE(REGEXEXTRACT(SUBSTITUTE(TRIM(F1069)," ",""),"-?\d+(\.\d+)?$"))&gt;=-180,VALUE(REGEXEXTRACT(SUBSTITUTE(TRIM(F1069)," ",""),"-?\d+(\.\d+)?$"))&lt;=180),"OK","REVISAR"),"REVISAR"),"")</f>
        <v/>
      </c>
      <c r="O1069">
        <f>IF(A1069&lt;&gt;"","https://direcciones507.github.io/direcciones507/panel.html?codigo="&amp;A1069&amp;"&amp;nombre="&amp;ENCODEURL(B1069)&amp;"&amp;telefono="&amp;SUBSTITUTE(C1069,"-","")&amp;"&amp;referencia="&amp;ENCODEURL(E1069)&amp;"&amp;lat="&amp;IZQUIERDA(SUBSTITUTE(F1069," ",""),ENCONTRAR(",",SUBSTITUTE(F1069," ",""))-1)&amp;"&amp;lng="&amp;DERECHA(SUBSTITUTE(F1069," ",""),LARGO(SUBSTITUTE(F1069," ",""))-ENCONTRAR(",",SUBSTITUTE(F1069," ",""))),"")</f>
        <v/>
      </c>
    </row>
    <row r="1070" ht="15.75" customHeight="1" s="10">
      <c r="A1070" s="8">
        <f>CONCAT("AD507-",TEXT(ROW()-2,"0000"))</f>
        <v/>
      </c>
      <c r="C1070" s="8" t="n"/>
      <c r="F1070" s="8" t="n"/>
      <c r="G1070" s="8">
        <f>IF(F1070&lt;&gt;"",HYPERLINK("https://www.google.com/maps/search/?api=1&amp;query="&amp;SUBSTITUTE(F1070," ",""),"🗺 Google Maps"),"")</f>
        <v/>
      </c>
      <c r="H1070" s="8">
        <f>IF(F1070&lt;&gt;"",HYPERLINK("https://waze.com/ul?ll="&amp;SUBSTITUTE(F1070," ","")&amp;"&amp;navigate=yes","🚗 Waze"),"")</f>
        <v/>
      </c>
      <c r="I1070" s="8">
        <f>IF(F1070&lt;&gt;"",HYPERLINK("https://m.uber.com/ul/?action=setPickup&amp;pickup=my_location&amp;dropoff[latitude]="&amp;LEFT(SUBSTITUTE(F1070," ",""),FIND(",",SUBSTITUTE(F1070," ",""))-1)&amp;"&amp;dropoff[longitude]="&amp;MID(SUBSTITUTE(F1070," ",""),FIND(",",SUBSTITUTE(F1070," ",""))+1,99),"🚕 Uber"),"")</f>
        <v/>
      </c>
      <c r="J1070" s="8">
        <f>IF(F1070&lt;&gt;"","https://api.qrserver.com/v1/create-qr-code/?size=200x200&amp;data="&amp;ENCODEURL("https://www.google.com/maps/search/?api=1&amp;query="&amp;SUBSTITUTE(F1070," ","")),"")</f>
        <v/>
      </c>
      <c r="K1070" s="8">
        <f>IF(C1070&lt;&gt;"",HYPERLINK("https://wa.me/507"&amp;REGEXREPLACE(C1070,"[^0-9]","")&amp;"?text="&amp;ENCODEURL("Ya llegue. Codigo: "&amp;A1070&amp;". Ubicacion: "&amp;"https://www.google.com/maps/search/?api=1&amp;query="&amp;SUBSTITUTE(F1070," ","")),"📲 Avisar al cliente"),"")</f>
        <v/>
      </c>
      <c r="L1070" s="8">
        <f>IF(C1070&lt;&gt;"","https://api.qrserver.com/v1/create-qr-code/?size=200x200&amp;data="&amp;ENCODEURL("https://wa.me/507"&amp;REGEXREPLACE(C1070,"[^0-9]","")&amp;"?text="&amp;ENCODEURL("Ya llegue. Codigo: "&amp;A1070&amp;". Ubicacion: "&amp;"https://www.google.com/maps/search/?api=1&amp;query="&amp;SUBSTITUTE(F1070," ",""))),"")</f>
        <v/>
      </c>
      <c r="M1070" s="8">
        <f>IF(B1070&lt;&gt;"",TODAY(),"")</f>
        <v/>
      </c>
      <c r="N1070" s="8">
        <f>IF(F1070&lt;&gt;"",IFERROR(IF(AND(REGEXMATCH(SUBSTITUTE(TRIM(F1070)," ",""),"^-?\d+(\.\d+)?,-?\d+(\.\d+)?$"),VALUE(REGEXEXTRACT(SUBSTITUTE(TRIM(F1070)," ",""),"^-?\d+(\.\d+)?"))&gt;=-90,VALUE(REGEXEXTRACT(SUBSTITUTE(TRIM(F1070)," ",""),"^-?\d+(\.\d+)?"))&lt;=90,VALUE(REGEXEXTRACT(SUBSTITUTE(TRIM(F1070)," ",""),"-?\d+(\.\d+)?$"))&gt;=-180,VALUE(REGEXEXTRACT(SUBSTITUTE(TRIM(F1070)," ",""),"-?\d+(\.\d+)?$"))&lt;=180),"OK","REVISAR"),"REVISAR"),"")</f>
        <v/>
      </c>
      <c r="O1070">
        <f>IF(A1070&lt;&gt;"","https://direcciones507.github.io/direcciones507/panel.html?codigo="&amp;A1070&amp;"&amp;nombre="&amp;ENCODEURL(B1070)&amp;"&amp;telefono="&amp;SUBSTITUTE(C1070,"-","")&amp;"&amp;referencia="&amp;ENCODEURL(E1070)&amp;"&amp;lat="&amp;IZQUIERDA(SUBSTITUTE(F1070," ",""),ENCONTRAR(",",SUBSTITUTE(F1070," ",""))-1)&amp;"&amp;lng="&amp;DERECHA(SUBSTITUTE(F1070," ",""),LARGO(SUBSTITUTE(F1070," ",""))-ENCONTRAR(",",SUBSTITUTE(F1070," ",""))),"")</f>
        <v/>
      </c>
    </row>
    <row r="1071" ht="15.75" customHeight="1" s="10">
      <c r="A1071" s="8">
        <f>CONCAT("AD507-",TEXT(ROW()-2,"0000"))</f>
        <v/>
      </c>
      <c r="C1071" s="8" t="n"/>
      <c r="F1071" s="8" t="n"/>
      <c r="G1071" s="8">
        <f>IF(F1071&lt;&gt;"",HYPERLINK("https://www.google.com/maps/search/?api=1&amp;query="&amp;SUBSTITUTE(F1071," ",""),"🗺 Google Maps"),"")</f>
        <v/>
      </c>
      <c r="H1071" s="8">
        <f>IF(F1071&lt;&gt;"",HYPERLINK("https://waze.com/ul?ll="&amp;SUBSTITUTE(F1071," ","")&amp;"&amp;navigate=yes","🚗 Waze"),"")</f>
        <v/>
      </c>
      <c r="I1071" s="8">
        <f>IF(F1071&lt;&gt;"",HYPERLINK("https://m.uber.com/ul/?action=setPickup&amp;pickup=my_location&amp;dropoff[latitude]="&amp;LEFT(SUBSTITUTE(F1071," ",""),FIND(",",SUBSTITUTE(F1071," ",""))-1)&amp;"&amp;dropoff[longitude]="&amp;MID(SUBSTITUTE(F1071," ",""),FIND(",",SUBSTITUTE(F1071," ",""))+1,99),"🚕 Uber"),"")</f>
        <v/>
      </c>
      <c r="J1071" s="8">
        <f>IF(F1071&lt;&gt;"","https://api.qrserver.com/v1/create-qr-code/?size=200x200&amp;data="&amp;ENCODEURL("https://www.google.com/maps/search/?api=1&amp;query="&amp;SUBSTITUTE(F1071," ","")),"")</f>
        <v/>
      </c>
      <c r="K1071" s="8">
        <f>IF(C1071&lt;&gt;"",HYPERLINK("https://wa.me/507"&amp;REGEXREPLACE(C1071,"[^0-9]","")&amp;"?text="&amp;ENCODEURL("Ya llegue. Codigo: "&amp;A1071&amp;". Ubicacion: "&amp;"https://www.google.com/maps/search/?api=1&amp;query="&amp;SUBSTITUTE(F1071," ","")),"📲 Avisar al cliente"),"")</f>
        <v/>
      </c>
      <c r="L1071" s="8">
        <f>IF(C1071&lt;&gt;"","https://api.qrserver.com/v1/create-qr-code/?size=200x200&amp;data="&amp;ENCODEURL("https://wa.me/507"&amp;REGEXREPLACE(C1071,"[^0-9]","")&amp;"?text="&amp;ENCODEURL("Ya llegue. Codigo: "&amp;A1071&amp;". Ubicacion: "&amp;"https://www.google.com/maps/search/?api=1&amp;query="&amp;SUBSTITUTE(F1071," ",""))),"")</f>
        <v/>
      </c>
      <c r="M1071" s="8">
        <f>IF(B1071&lt;&gt;"",TODAY(),"")</f>
        <v/>
      </c>
      <c r="N1071" s="8">
        <f>IF(F1071&lt;&gt;"",IFERROR(IF(AND(REGEXMATCH(SUBSTITUTE(TRIM(F1071)," ",""),"^-?\d+(\.\d+)?,-?\d+(\.\d+)?$"),VALUE(REGEXEXTRACT(SUBSTITUTE(TRIM(F1071)," ",""),"^-?\d+(\.\d+)?"))&gt;=-90,VALUE(REGEXEXTRACT(SUBSTITUTE(TRIM(F1071)," ",""),"^-?\d+(\.\d+)?"))&lt;=90,VALUE(REGEXEXTRACT(SUBSTITUTE(TRIM(F1071)," ",""),"-?\d+(\.\d+)?$"))&gt;=-180,VALUE(REGEXEXTRACT(SUBSTITUTE(TRIM(F1071)," ",""),"-?\d+(\.\d+)?$"))&lt;=180),"OK","REVISAR"),"REVISAR"),"")</f>
        <v/>
      </c>
      <c r="O1071">
        <f>IF(A1071&lt;&gt;"","https://direcciones507.github.io/direcciones507/panel.html?codigo="&amp;A1071&amp;"&amp;nombre="&amp;ENCODEURL(B1071)&amp;"&amp;telefono="&amp;SUBSTITUTE(C1071,"-","")&amp;"&amp;referencia="&amp;ENCODEURL(E1071)&amp;"&amp;lat="&amp;IZQUIERDA(SUBSTITUTE(F1071," ",""),ENCONTRAR(",",SUBSTITUTE(F1071," ",""))-1)&amp;"&amp;lng="&amp;DERECHA(SUBSTITUTE(F1071," ",""),LARGO(SUBSTITUTE(F1071," ",""))-ENCONTRAR(",",SUBSTITUTE(F1071," ",""))),"")</f>
        <v/>
      </c>
    </row>
    <row r="1072" ht="15.75" customHeight="1" s="10">
      <c r="A1072" s="8">
        <f>CONCAT("AD507-",TEXT(ROW()-2,"0000"))</f>
        <v/>
      </c>
      <c r="C1072" s="8" t="n"/>
      <c r="F1072" s="8" t="n"/>
      <c r="G1072" s="8">
        <f>IF(F1072&lt;&gt;"",HYPERLINK("https://www.google.com/maps/search/?api=1&amp;query="&amp;SUBSTITUTE(F1072," ",""),"🗺 Google Maps"),"")</f>
        <v/>
      </c>
      <c r="H1072" s="8">
        <f>IF(F1072&lt;&gt;"",HYPERLINK("https://waze.com/ul?ll="&amp;SUBSTITUTE(F1072," ","")&amp;"&amp;navigate=yes","🚗 Waze"),"")</f>
        <v/>
      </c>
      <c r="I1072" s="8">
        <f>IF(F1072&lt;&gt;"",HYPERLINK("https://m.uber.com/ul/?action=setPickup&amp;pickup=my_location&amp;dropoff[latitude]="&amp;LEFT(SUBSTITUTE(F1072," ",""),FIND(",",SUBSTITUTE(F1072," ",""))-1)&amp;"&amp;dropoff[longitude]="&amp;MID(SUBSTITUTE(F1072," ",""),FIND(",",SUBSTITUTE(F1072," ",""))+1,99),"🚕 Uber"),"")</f>
        <v/>
      </c>
      <c r="J1072" s="8">
        <f>IF(F1072&lt;&gt;"","https://api.qrserver.com/v1/create-qr-code/?size=200x200&amp;data="&amp;ENCODEURL("https://www.google.com/maps/search/?api=1&amp;query="&amp;SUBSTITUTE(F1072," ","")),"")</f>
        <v/>
      </c>
      <c r="K1072" s="8">
        <f>IF(C1072&lt;&gt;"",HYPERLINK("https://wa.me/507"&amp;REGEXREPLACE(C1072,"[^0-9]","")&amp;"?text="&amp;ENCODEURL("Ya llegue. Codigo: "&amp;A1072&amp;". Ubicacion: "&amp;"https://www.google.com/maps/search/?api=1&amp;query="&amp;SUBSTITUTE(F1072," ","")),"📲 Avisar al cliente"),"")</f>
        <v/>
      </c>
      <c r="L1072" s="8">
        <f>IF(C1072&lt;&gt;"","https://api.qrserver.com/v1/create-qr-code/?size=200x200&amp;data="&amp;ENCODEURL("https://wa.me/507"&amp;REGEXREPLACE(C1072,"[^0-9]","")&amp;"?text="&amp;ENCODEURL("Ya llegue. Codigo: "&amp;A1072&amp;". Ubicacion: "&amp;"https://www.google.com/maps/search/?api=1&amp;query="&amp;SUBSTITUTE(F1072," ",""))),"")</f>
        <v/>
      </c>
      <c r="M1072" s="8">
        <f>IF(B1072&lt;&gt;"",TODAY(),"")</f>
        <v/>
      </c>
      <c r="N1072" s="8">
        <f>IF(F1072&lt;&gt;"",IFERROR(IF(AND(REGEXMATCH(SUBSTITUTE(TRIM(F1072)," ",""),"^-?\d+(\.\d+)?,-?\d+(\.\d+)?$"),VALUE(REGEXEXTRACT(SUBSTITUTE(TRIM(F1072)," ",""),"^-?\d+(\.\d+)?"))&gt;=-90,VALUE(REGEXEXTRACT(SUBSTITUTE(TRIM(F1072)," ",""),"^-?\d+(\.\d+)?"))&lt;=90,VALUE(REGEXEXTRACT(SUBSTITUTE(TRIM(F1072)," ",""),"-?\d+(\.\d+)?$"))&gt;=-180,VALUE(REGEXEXTRACT(SUBSTITUTE(TRIM(F1072)," ",""),"-?\d+(\.\d+)?$"))&lt;=180),"OK","REVISAR"),"REVISAR"),"")</f>
        <v/>
      </c>
      <c r="O1072">
        <f>IF(A1072&lt;&gt;"","https://direcciones507.github.io/direcciones507/panel.html?codigo="&amp;A1072&amp;"&amp;nombre="&amp;ENCODEURL(B1072)&amp;"&amp;telefono="&amp;SUBSTITUTE(C1072,"-","")&amp;"&amp;referencia="&amp;ENCODEURL(E1072)&amp;"&amp;lat="&amp;IZQUIERDA(SUBSTITUTE(F1072," ",""),ENCONTRAR(",",SUBSTITUTE(F1072," ",""))-1)&amp;"&amp;lng="&amp;DERECHA(SUBSTITUTE(F1072," ",""),LARGO(SUBSTITUTE(F1072," ",""))-ENCONTRAR(",",SUBSTITUTE(F1072," ",""))),"")</f>
        <v/>
      </c>
    </row>
    <row r="1073" ht="15.75" customHeight="1" s="10">
      <c r="A1073" s="8">
        <f>CONCAT("AD507-",TEXT(ROW()-2,"0000"))</f>
        <v/>
      </c>
      <c r="C1073" s="8" t="n"/>
      <c r="F1073" s="8" t="n"/>
      <c r="G1073" s="8">
        <f>IF(F1073&lt;&gt;"",HYPERLINK("https://www.google.com/maps/search/?api=1&amp;query="&amp;SUBSTITUTE(F1073," ",""),"🗺 Google Maps"),"")</f>
        <v/>
      </c>
      <c r="H1073" s="8">
        <f>IF(F1073&lt;&gt;"",HYPERLINK("https://waze.com/ul?ll="&amp;SUBSTITUTE(F1073," ","")&amp;"&amp;navigate=yes","🚗 Waze"),"")</f>
        <v/>
      </c>
      <c r="I1073" s="8">
        <f>IF(F1073&lt;&gt;"",HYPERLINK("https://m.uber.com/ul/?action=setPickup&amp;pickup=my_location&amp;dropoff[latitude]="&amp;LEFT(SUBSTITUTE(F1073," ",""),FIND(",",SUBSTITUTE(F1073," ",""))-1)&amp;"&amp;dropoff[longitude]="&amp;MID(SUBSTITUTE(F1073," ",""),FIND(",",SUBSTITUTE(F1073," ",""))+1,99),"🚕 Uber"),"")</f>
        <v/>
      </c>
      <c r="J1073" s="8">
        <f>IF(F1073&lt;&gt;"","https://api.qrserver.com/v1/create-qr-code/?size=200x200&amp;data="&amp;ENCODEURL("https://www.google.com/maps/search/?api=1&amp;query="&amp;SUBSTITUTE(F1073," ","")),"")</f>
        <v/>
      </c>
      <c r="K1073" s="8">
        <f>IF(C1073&lt;&gt;"",HYPERLINK("https://wa.me/507"&amp;REGEXREPLACE(C1073,"[^0-9]","")&amp;"?text="&amp;ENCODEURL("Ya llegue. Codigo: "&amp;A1073&amp;". Ubicacion: "&amp;"https://www.google.com/maps/search/?api=1&amp;query="&amp;SUBSTITUTE(F1073," ","")),"📲 Avisar al cliente"),"")</f>
        <v/>
      </c>
      <c r="L1073" s="8">
        <f>IF(C1073&lt;&gt;"","https://api.qrserver.com/v1/create-qr-code/?size=200x200&amp;data="&amp;ENCODEURL("https://wa.me/507"&amp;REGEXREPLACE(C1073,"[^0-9]","")&amp;"?text="&amp;ENCODEURL("Ya llegue. Codigo: "&amp;A1073&amp;". Ubicacion: "&amp;"https://www.google.com/maps/search/?api=1&amp;query="&amp;SUBSTITUTE(F1073," ",""))),"")</f>
        <v/>
      </c>
      <c r="M1073" s="8">
        <f>IF(B1073&lt;&gt;"",TODAY(),"")</f>
        <v/>
      </c>
      <c r="N1073" s="8">
        <f>IF(F1073&lt;&gt;"",IFERROR(IF(AND(REGEXMATCH(SUBSTITUTE(TRIM(F1073)," ",""),"^-?\d+(\.\d+)?,-?\d+(\.\d+)?$"),VALUE(REGEXEXTRACT(SUBSTITUTE(TRIM(F1073)," ",""),"^-?\d+(\.\d+)?"))&gt;=-90,VALUE(REGEXEXTRACT(SUBSTITUTE(TRIM(F1073)," ",""),"^-?\d+(\.\d+)?"))&lt;=90,VALUE(REGEXEXTRACT(SUBSTITUTE(TRIM(F1073)," ",""),"-?\d+(\.\d+)?$"))&gt;=-180,VALUE(REGEXEXTRACT(SUBSTITUTE(TRIM(F1073)," ",""),"-?\d+(\.\d+)?$"))&lt;=180),"OK","REVISAR"),"REVISAR"),"")</f>
        <v/>
      </c>
      <c r="O1073">
        <f>IF(A1073&lt;&gt;"","https://direcciones507.github.io/direcciones507/panel.html?codigo="&amp;A1073&amp;"&amp;nombre="&amp;ENCODEURL(B1073)&amp;"&amp;telefono="&amp;SUBSTITUTE(C1073,"-","")&amp;"&amp;referencia="&amp;ENCODEURL(E1073)&amp;"&amp;lat="&amp;IZQUIERDA(SUBSTITUTE(F1073," ",""),ENCONTRAR(",",SUBSTITUTE(F1073," ",""))-1)&amp;"&amp;lng="&amp;DERECHA(SUBSTITUTE(F1073," ",""),LARGO(SUBSTITUTE(F1073," ",""))-ENCONTRAR(",",SUBSTITUTE(F1073," ",""))),"")</f>
        <v/>
      </c>
    </row>
    <row r="1074" ht="15.75" customHeight="1" s="10">
      <c r="A1074" s="8">
        <f>CONCAT("AD507-",TEXT(ROW()-2,"0000"))</f>
        <v/>
      </c>
      <c r="C1074" s="8" t="n"/>
      <c r="F1074" s="8" t="n"/>
      <c r="G1074" s="8">
        <f>IF(F1074&lt;&gt;"",HYPERLINK("https://www.google.com/maps/search/?api=1&amp;query="&amp;SUBSTITUTE(F1074," ",""),"🗺 Google Maps"),"")</f>
        <v/>
      </c>
      <c r="H1074" s="8">
        <f>IF(F1074&lt;&gt;"",HYPERLINK("https://waze.com/ul?ll="&amp;SUBSTITUTE(F1074," ","")&amp;"&amp;navigate=yes","🚗 Waze"),"")</f>
        <v/>
      </c>
      <c r="I1074" s="8">
        <f>IF(F1074&lt;&gt;"",HYPERLINK("https://m.uber.com/ul/?action=setPickup&amp;pickup=my_location&amp;dropoff[latitude]="&amp;LEFT(SUBSTITUTE(F1074," ",""),FIND(",",SUBSTITUTE(F1074," ",""))-1)&amp;"&amp;dropoff[longitude]="&amp;MID(SUBSTITUTE(F1074," ",""),FIND(",",SUBSTITUTE(F1074," ",""))+1,99),"🚕 Uber"),"")</f>
        <v/>
      </c>
      <c r="J1074" s="8">
        <f>IF(F1074&lt;&gt;"","https://api.qrserver.com/v1/create-qr-code/?size=200x200&amp;data="&amp;ENCODEURL("https://www.google.com/maps/search/?api=1&amp;query="&amp;SUBSTITUTE(F1074," ","")),"")</f>
        <v/>
      </c>
      <c r="K1074" s="8">
        <f>IF(C1074&lt;&gt;"",HYPERLINK("https://wa.me/507"&amp;REGEXREPLACE(C1074,"[^0-9]","")&amp;"?text="&amp;ENCODEURL("Ya llegue. Codigo: "&amp;A1074&amp;". Ubicacion: "&amp;"https://www.google.com/maps/search/?api=1&amp;query="&amp;SUBSTITUTE(F1074," ","")),"📲 Avisar al cliente"),"")</f>
        <v/>
      </c>
      <c r="L1074" s="8">
        <f>IF(C1074&lt;&gt;"","https://api.qrserver.com/v1/create-qr-code/?size=200x200&amp;data="&amp;ENCODEURL("https://wa.me/507"&amp;REGEXREPLACE(C1074,"[^0-9]","")&amp;"?text="&amp;ENCODEURL("Ya llegue. Codigo: "&amp;A1074&amp;". Ubicacion: "&amp;"https://www.google.com/maps/search/?api=1&amp;query="&amp;SUBSTITUTE(F1074," ",""))),"")</f>
        <v/>
      </c>
      <c r="M1074" s="8">
        <f>IF(B1074&lt;&gt;"",TODAY(),"")</f>
        <v/>
      </c>
      <c r="N1074" s="8">
        <f>IF(F1074&lt;&gt;"",IFERROR(IF(AND(REGEXMATCH(SUBSTITUTE(TRIM(F1074)," ",""),"^-?\d+(\.\d+)?,-?\d+(\.\d+)?$"),VALUE(REGEXEXTRACT(SUBSTITUTE(TRIM(F1074)," ",""),"^-?\d+(\.\d+)?"))&gt;=-90,VALUE(REGEXEXTRACT(SUBSTITUTE(TRIM(F1074)," ",""),"^-?\d+(\.\d+)?"))&lt;=90,VALUE(REGEXEXTRACT(SUBSTITUTE(TRIM(F1074)," ",""),"-?\d+(\.\d+)?$"))&gt;=-180,VALUE(REGEXEXTRACT(SUBSTITUTE(TRIM(F1074)," ",""),"-?\d+(\.\d+)?$"))&lt;=180),"OK","REVISAR"),"REVISAR"),"")</f>
        <v/>
      </c>
      <c r="O1074">
        <f>IF(A1074&lt;&gt;"","https://direcciones507.github.io/direcciones507/panel.html?codigo="&amp;A1074&amp;"&amp;nombre="&amp;ENCODEURL(B1074)&amp;"&amp;telefono="&amp;SUBSTITUTE(C1074,"-","")&amp;"&amp;referencia="&amp;ENCODEURL(E1074)&amp;"&amp;lat="&amp;IZQUIERDA(SUBSTITUTE(F1074," ",""),ENCONTRAR(",",SUBSTITUTE(F1074," ",""))-1)&amp;"&amp;lng="&amp;DERECHA(SUBSTITUTE(F1074," ",""),LARGO(SUBSTITUTE(F1074," ",""))-ENCONTRAR(",",SUBSTITUTE(F1074," ",""))),"")</f>
        <v/>
      </c>
    </row>
    <row r="1075" ht="15.75" customHeight="1" s="10">
      <c r="A1075" s="8">
        <f>CONCAT("AD507-",TEXT(ROW()-2,"0000"))</f>
        <v/>
      </c>
      <c r="C1075" s="8" t="n"/>
      <c r="F1075" s="8" t="n"/>
      <c r="G1075" s="8">
        <f>IF(F1075&lt;&gt;"",HYPERLINK("https://www.google.com/maps/search/?api=1&amp;query="&amp;SUBSTITUTE(F1075," ",""),"🗺 Google Maps"),"")</f>
        <v/>
      </c>
      <c r="H1075" s="8">
        <f>IF(F1075&lt;&gt;"",HYPERLINK("https://waze.com/ul?ll="&amp;SUBSTITUTE(F1075," ","")&amp;"&amp;navigate=yes","🚗 Waze"),"")</f>
        <v/>
      </c>
      <c r="I1075" s="8">
        <f>IF(F1075&lt;&gt;"",HYPERLINK("https://m.uber.com/ul/?action=setPickup&amp;pickup=my_location&amp;dropoff[latitude]="&amp;LEFT(SUBSTITUTE(F1075," ",""),FIND(",",SUBSTITUTE(F1075," ",""))-1)&amp;"&amp;dropoff[longitude]="&amp;MID(SUBSTITUTE(F1075," ",""),FIND(",",SUBSTITUTE(F1075," ",""))+1,99),"🚕 Uber"),"")</f>
        <v/>
      </c>
      <c r="J1075" s="8">
        <f>IF(F1075&lt;&gt;"","https://api.qrserver.com/v1/create-qr-code/?size=200x200&amp;data="&amp;ENCODEURL("https://www.google.com/maps/search/?api=1&amp;query="&amp;SUBSTITUTE(F1075," ","")),"")</f>
        <v/>
      </c>
      <c r="K1075" s="8">
        <f>IF(C1075&lt;&gt;"",HYPERLINK("https://wa.me/507"&amp;REGEXREPLACE(C1075,"[^0-9]","")&amp;"?text="&amp;ENCODEURL("Ya llegue. Codigo: "&amp;A1075&amp;". Ubicacion: "&amp;"https://www.google.com/maps/search/?api=1&amp;query="&amp;SUBSTITUTE(F1075," ","")),"📲 Avisar al cliente"),"")</f>
        <v/>
      </c>
      <c r="L1075" s="8">
        <f>IF(C1075&lt;&gt;"","https://api.qrserver.com/v1/create-qr-code/?size=200x200&amp;data="&amp;ENCODEURL("https://wa.me/507"&amp;REGEXREPLACE(C1075,"[^0-9]","")&amp;"?text="&amp;ENCODEURL("Ya llegue. Codigo: "&amp;A1075&amp;". Ubicacion: "&amp;"https://www.google.com/maps/search/?api=1&amp;query="&amp;SUBSTITUTE(F1075," ",""))),"")</f>
        <v/>
      </c>
      <c r="M1075" s="8">
        <f>IF(B1075&lt;&gt;"",TODAY(),"")</f>
        <v/>
      </c>
      <c r="N1075" s="8">
        <f>IF(F1075&lt;&gt;"",IFERROR(IF(AND(REGEXMATCH(SUBSTITUTE(TRIM(F1075)," ",""),"^-?\d+(\.\d+)?,-?\d+(\.\d+)?$"),VALUE(REGEXEXTRACT(SUBSTITUTE(TRIM(F1075)," ",""),"^-?\d+(\.\d+)?"))&gt;=-90,VALUE(REGEXEXTRACT(SUBSTITUTE(TRIM(F1075)," ",""),"^-?\d+(\.\d+)?"))&lt;=90,VALUE(REGEXEXTRACT(SUBSTITUTE(TRIM(F1075)," ",""),"-?\d+(\.\d+)?$"))&gt;=-180,VALUE(REGEXEXTRACT(SUBSTITUTE(TRIM(F1075)," ",""),"-?\d+(\.\d+)?$"))&lt;=180),"OK","REVISAR"),"REVISAR"),"")</f>
        <v/>
      </c>
      <c r="O1075">
        <f>IF(A1075&lt;&gt;"","https://direcciones507.github.io/direcciones507/panel.html?codigo="&amp;A1075&amp;"&amp;nombre="&amp;ENCODEURL(B1075)&amp;"&amp;telefono="&amp;SUBSTITUTE(C1075,"-","")&amp;"&amp;referencia="&amp;ENCODEURL(E1075)&amp;"&amp;lat="&amp;IZQUIERDA(SUBSTITUTE(F1075," ",""),ENCONTRAR(",",SUBSTITUTE(F1075," ",""))-1)&amp;"&amp;lng="&amp;DERECHA(SUBSTITUTE(F1075," ",""),LARGO(SUBSTITUTE(F1075," ",""))-ENCONTRAR(",",SUBSTITUTE(F1075," ",""))),"")</f>
        <v/>
      </c>
    </row>
    <row r="1076" ht="15.75" customHeight="1" s="10">
      <c r="A1076" s="8">
        <f>CONCAT("AD507-",TEXT(ROW()-2,"0000"))</f>
        <v/>
      </c>
      <c r="C1076" s="8" t="n"/>
      <c r="F1076" s="8" t="n"/>
      <c r="G1076" s="8">
        <f>IF(F1076&lt;&gt;"",HYPERLINK("https://www.google.com/maps/search/?api=1&amp;query="&amp;SUBSTITUTE(F1076," ",""),"🗺 Google Maps"),"")</f>
        <v/>
      </c>
      <c r="H1076" s="8">
        <f>IF(F1076&lt;&gt;"",HYPERLINK("https://waze.com/ul?ll="&amp;SUBSTITUTE(F1076," ","")&amp;"&amp;navigate=yes","🚗 Waze"),"")</f>
        <v/>
      </c>
      <c r="I1076" s="8">
        <f>IF(F1076&lt;&gt;"",HYPERLINK("https://m.uber.com/ul/?action=setPickup&amp;pickup=my_location&amp;dropoff[latitude]="&amp;LEFT(SUBSTITUTE(F1076," ",""),FIND(",",SUBSTITUTE(F1076," ",""))-1)&amp;"&amp;dropoff[longitude]="&amp;MID(SUBSTITUTE(F1076," ",""),FIND(",",SUBSTITUTE(F1076," ",""))+1,99),"🚕 Uber"),"")</f>
        <v/>
      </c>
      <c r="J1076" s="8">
        <f>IF(F1076&lt;&gt;"","https://api.qrserver.com/v1/create-qr-code/?size=200x200&amp;data="&amp;ENCODEURL("https://www.google.com/maps/search/?api=1&amp;query="&amp;SUBSTITUTE(F1076," ","")),"")</f>
        <v/>
      </c>
      <c r="K1076" s="8">
        <f>IF(C1076&lt;&gt;"",HYPERLINK("https://wa.me/507"&amp;REGEXREPLACE(C1076,"[^0-9]","")&amp;"?text="&amp;ENCODEURL("Ya llegue. Codigo: "&amp;A1076&amp;". Ubicacion: "&amp;"https://www.google.com/maps/search/?api=1&amp;query="&amp;SUBSTITUTE(F1076," ","")),"📲 Avisar al cliente"),"")</f>
        <v/>
      </c>
      <c r="L1076" s="8">
        <f>IF(C1076&lt;&gt;"","https://api.qrserver.com/v1/create-qr-code/?size=200x200&amp;data="&amp;ENCODEURL("https://wa.me/507"&amp;REGEXREPLACE(C1076,"[^0-9]","")&amp;"?text="&amp;ENCODEURL("Ya llegue. Codigo: "&amp;A1076&amp;". Ubicacion: "&amp;"https://www.google.com/maps/search/?api=1&amp;query="&amp;SUBSTITUTE(F1076," ",""))),"")</f>
        <v/>
      </c>
      <c r="M1076" s="8">
        <f>IF(B1076&lt;&gt;"",TODAY(),"")</f>
        <v/>
      </c>
      <c r="N1076" s="8">
        <f>IF(F1076&lt;&gt;"",IFERROR(IF(AND(REGEXMATCH(SUBSTITUTE(TRIM(F1076)," ",""),"^-?\d+(\.\d+)?,-?\d+(\.\d+)?$"),VALUE(REGEXEXTRACT(SUBSTITUTE(TRIM(F1076)," ",""),"^-?\d+(\.\d+)?"))&gt;=-90,VALUE(REGEXEXTRACT(SUBSTITUTE(TRIM(F1076)," ",""),"^-?\d+(\.\d+)?"))&lt;=90,VALUE(REGEXEXTRACT(SUBSTITUTE(TRIM(F1076)," ",""),"-?\d+(\.\d+)?$"))&gt;=-180,VALUE(REGEXEXTRACT(SUBSTITUTE(TRIM(F1076)," ",""),"-?\d+(\.\d+)?$"))&lt;=180),"OK","REVISAR"),"REVISAR"),"")</f>
        <v/>
      </c>
      <c r="O1076">
        <f>IF(A1076&lt;&gt;"","https://direcciones507.github.io/direcciones507/panel.html?codigo="&amp;A1076&amp;"&amp;nombre="&amp;ENCODEURL(B1076)&amp;"&amp;telefono="&amp;SUBSTITUTE(C1076,"-","")&amp;"&amp;referencia="&amp;ENCODEURL(E1076)&amp;"&amp;lat="&amp;IZQUIERDA(SUBSTITUTE(F1076," ",""),ENCONTRAR(",",SUBSTITUTE(F1076," ",""))-1)&amp;"&amp;lng="&amp;DERECHA(SUBSTITUTE(F1076," ",""),LARGO(SUBSTITUTE(F1076," ",""))-ENCONTRAR(",",SUBSTITUTE(F1076," ",""))),"")</f>
        <v/>
      </c>
    </row>
    <row r="1077" ht="15.75" customHeight="1" s="10">
      <c r="A1077" s="8">
        <f>CONCAT("AD507-",TEXT(ROW()-2,"0000"))</f>
        <v/>
      </c>
      <c r="C1077" s="8" t="n"/>
      <c r="F1077" s="8" t="n"/>
      <c r="G1077" s="8">
        <f>IF(F1077&lt;&gt;"",HYPERLINK("https://www.google.com/maps/search/?api=1&amp;query="&amp;SUBSTITUTE(F1077," ",""),"🗺 Google Maps"),"")</f>
        <v/>
      </c>
      <c r="H1077" s="8">
        <f>IF(F1077&lt;&gt;"",HYPERLINK("https://waze.com/ul?ll="&amp;SUBSTITUTE(F1077," ","")&amp;"&amp;navigate=yes","🚗 Waze"),"")</f>
        <v/>
      </c>
      <c r="I1077" s="8">
        <f>IF(F1077&lt;&gt;"",HYPERLINK("https://m.uber.com/ul/?action=setPickup&amp;pickup=my_location&amp;dropoff[latitude]="&amp;LEFT(SUBSTITUTE(F1077," ",""),FIND(",",SUBSTITUTE(F1077," ",""))-1)&amp;"&amp;dropoff[longitude]="&amp;MID(SUBSTITUTE(F1077," ",""),FIND(",",SUBSTITUTE(F1077," ",""))+1,99),"🚕 Uber"),"")</f>
        <v/>
      </c>
      <c r="J1077" s="8">
        <f>IF(F1077&lt;&gt;"","https://api.qrserver.com/v1/create-qr-code/?size=200x200&amp;data="&amp;ENCODEURL("https://www.google.com/maps/search/?api=1&amp;query="&amp;SUBSTITUTE(F1077," ","")),"")</f>
        <v/>
      </c>
      <c r="K1077" s="8">
        <f>IF(C1077&lt;&gt;"",HYPERLINK("https://wa.me/507"&amp;REGEXREPLACE(C1077,"[^0-9]","")&amp;"?text="&amp;ENCODEURL("Ya llegue. Codigo: "&amp;A1077&amp;". Ubicacion: "&amp;"https://www.google.com/maps/search/?api=1&amp;query="&amp;SUBSTITUTE(F1077," ","")),"📲 Avisar al cliente"),"")</f>
        <v/>
      </c>
      <c r="L1077" s="8">
        <f>IF(C1077&lt;&gt;"","https://api.qrserver.com/v1/create-qr-code/?size=200x200&amp;data="&amp;ENCODEURL("https://wa.me/507"&amp;REGEXREPLACE(C1077,"[^0-9]","")&amp;"?text="&amp;ENCODEURL("Ya llegue. Codigo: "&amp;A1077&amp;". Ubicacion: "&amp;"https://www.google.com/maps/search/?api=1&amp;query="&amp;SUBSTITUTE(F1077," ",""))),"")</f>
        <v/>
      </c>
      <c r="M1077" s="8">
        <f>IF(B1077&lt;&gt;"",TODAY(),"")</f>
        <v/>
      </c>
      <c r="N1077" s="8">
        <f>IF(F1077&lt;&gt;"",IFERROR(IF(AND(REGEXMATCH(SUBSTITUTE(TRIM(F1077)," ",""),"^-?\d+(\.\d+)?,-?\d+(\.\d+)?$"),VALUE(REGEXEXTRACT(SUBSTITUTE(TRIM(F1077)," ",""),"^-?\d+(\.\d+)?"))&gt;=-90,VALUE(REGEXEXTRACT(SUBSTITUTE(TRIM(F1077)," ",""),"^-?\d+(\.\d+)?"))&lt;=90,VALUE(REGEXEXTRACT(SUBSTITUTE(TRIM(F1077)," ",""),"-?\d+(\.\d+)?$"))&gt;=-180,VALUE(REGEXEXTRACT(SUBSTITUTE(TRIM(F1077)," ",""),"-?\d+(\.\d+)?$"))&lt;=180),"OK","REVISAR"),"REVISAR"),"")</f>
        <v/>
      </c>
      <c r="O1077">
        <f>IF(A1077&lt;&gt;"","https://direcciones507.github.io/direcciones507/panel.html?codigo="&amp;A1077&amp;"&amp;nombre="&amp;ENCODEURL(B1077)&amp;"&amp;telefono="&amp;SUBSTITUTE(C1077,"-","")&amp;"&amp;referencia="&amp;ENCODEURL(E1077)&amp;"&amp;lat="&amp;IZQUIERDA(SUBSTITUTE(F1077," ",""),ENCONTRAR(",",SUBSTITUTE(F1077," ",""))-1)&amp;"&amp;lng="&amp;DERECHA(SUBSTITUTE(F1077," ",""),LARGO(SUBSTITUTE(F1077," ",""))-ENCONTRAR(",",SUBSTITUTE(F1077," ",""))),"")</f>
        <v/>
      </c>
    </row>
    <row r="1078" ht="15.75" customHeight="1" s="10">
      <c r="A1078" s="8">
        <f>CONCAT("AD507-",TEXT(ROW()-2,"0000"))</f>
        <v/>
      </c>
      <c r="C1078" s="8" t="n"/>
      <c r="F1078" s="8" t="n"/>
      <c r="G1078" s="8">
        <f>IF(F1078&lt;&gt;"",HYPERLINK("https://www.google.com/maps/search/?api=1&amp;query="&amp;SUBSTITUTE(F1078," ",""),"🗺 Google Maps"),"")</f>
        <v/>
      </c>
      <c r="H1078" s="8">
        <f>IF(F1078&lt;&gt;"",HYPERLINK("https://waze.com/ul?ll="&amp;SUBSTITUTE(F1078," ","")&amp;"&amp;navigate=yes","🚗 Waze"),"")</f>
        <v/>
      </c>
      <c r="I1078" s="8">
        <f>IF(F1078&lt;&gt;"",HYPERLINK("https://m.uber.com/ul/?action=setPickup&amp;pickup=my_location&amp;dropoff[latitude]="&amp;LEFT(SUBSTITUTE(F1078," ",""),FIND(",",SUBSTITUTE(F1078," ",""))-1)&amp;"&amp;dropoff[longitude]="&amp;MID(SUBSTITUTE(F1078," ",""),FIND(",",SUBSTITUTE(F1078," ",""))+1,99),"🚕 Uber"),"")</f>
        <v/>
      </c>
      <c r="J1078" s="8">
        <f>IF(F1078&lt;&gt;"","https://api.qrserver.com/v1/create-qr-code/?size=200x200&amp;data="&amp;ENCODEURL("https://www.google.com/maps/search/?api=1&amp;query="&amp;SUBSTITUTE(F1078," ","")),"")</f>
        <v/>
      </c>
      <c r="K1078" s="8">
        <f>IF(C1078&lt;&gt;"",HYPERLINK("https://wa.me/507"&amp;REGEXREPLACE(C1078,"[^0-9]","")&amp;"?text="&amp;ENCODEURL("Ya llegue. Codigo: "&amp;A1078&amp;". Ubicacion: "&amp;"https://www.google.com/maps/search/?api=1&amp;query="&amp;SUBSTITUTE(F1078," ","")),"📲 Avisar al cliente"),"")</f>
        <v/>
      </c>
      <c r="L1078" s="8">
        <f>IF(C1078&lt;&gt;"","https://api.qrserver.com/v1/create-qr-code/?size=200x200&amp;data="&amp;ENCODEURL("https://wa.me/507"&amp;REGEXREPLACE(C1078,"[^0-9]","")&amp;"?text="&amp;ENCODEURL("Ya llegue. Codigo: "&amp;A1078&amp;". Ubicacion: "&amp;"https://www.google.com/maps/search/?api=1&amp;query="&amp;SUBSTITUTE(F1078," ",""))),"")</f>
        <v/>
      </c>
      <c r="M1078" s="8">
        <f>IF(B1078&lt;&gt;"",TODAY(),"")</f>
        <v/>
      </c>
      <c r="N1078" s="8">
        <f>IF(F1078&lt;&gt;"",IFERROR(IF(AND(REGEXMATCH(SUBSTITUTE(TRIM(F1078)," ",""),"^-?\d+(\.\d+)?,-?\d+(\.\d+)?$"),VALUE(REGEXEXTRACT(SUBSTITUTE(TRIM(F1078)," ",""),"^-?\d+(\.\d+)?"))&gt;=-90,VALUE(REGEXEXTRACT(SUBSTITUTE(TRIM(F1078)," ",""),"^-?\d+(\.\d+)?"))&lt;=90,VALUE(REGEXEXTRACT(SUBSTITUTE(TRIM(F1078)," ",""),"-?\d+(\.\d+)?$"))&gt;=-180,VALUE(REGEXEXTRACT(SUBSTITUTE(TRIM(F1078)," ",""),"-?\d+(\.\d+)?$"))&lt;=180),"OK","REVISAR"),"REVISAR"),"")</f>
        <v/>
      </c>
      <c r="O1078">
        <f>IF(A1078&lt;&gt;"","https://direcciones507.github.io/direcciones507/panel.html?codigo="&amp;A1078&amp;"&amp;nombre="&amp;ENCODEURL(B1078)&amp;"&amp;telefono="&amp;SUBSTITUTE(C1078,"-","")&amp;"&amp;referencia="&amp;ENCODEURL(E1078)&amp;"&amp;lat="&amp;IZQUIERDA(SUBSTITUTE(F1078," ",""),ENCONTRAR(",",SUBSTITUTE(F1078," ",""))-1)&amp;"&amp;lng="&amp;DERECHA(SUBSTITUTE(F1078," ",""),LARGO(SUBSTITUTE(F1078," ",""))-ENCONTRAR(",",SUBSTITUTE(F1078," ",""))),"")</f>
        <v/>
      </c>
    </row>
    <row r="1079" ht="15.75" customHeight="1" s="10">
      <c r="A1079" s="8">
        <f>CONCAT("AD507-",TEXT(ROW()-2,"0000"))</f>
        <v/>
      </c>
      <c r="C1079" s="8" t="n"/>
      <c r="F1079" s="8" t="n"/>
      <c r="G1079" s="8">
        <f>IF(F1079&lt;&gt;"",HYPERLINK("https://www.google.com/maps/search/?api=1&amp;query="&amp;SUBSTITUTE(F1079," ",""),"🗺 Google Maps"),"")</f>
        <v/>
      </c>
      <c r="H1079" s="8">
        <f>IF(F1079&lt;&gt;"",HYPERLINK("https://waze.com/ul?ll="&amp;SUBSTITUTE(F1079," ","")&amp;"&amp;navigate=yes","🚗 Waze"),"")</f>
        <v/>
      </c>
      <c r="I1079" s="8">
        <f>IF(F1079&lt;&gt;"",HYPERLINK("https://m.uber.com/ul/?action=setPickup&amp;pickup=my_location&amp;dropoff[latitude]="&amp;LEFT(SUBSTITUTE(F1079," ",""),FIND(",",SUBSTITUTE(F1079," ",""))-1)&amp;"&amp;dropoff[longitude]="&amp;MID(SUBSTITUTE(F1079," ",""),FIND(",",SUBSTITUTE(F1079," ",""))+1,99),"🚕 Uber"),"")</f>
        <v/>
      </c>
      <c r="J1079" s="8">
        <f>IF(F1079&lt;&gt;"","https://api.qrserver.com/v1/create-qr-code/?size=200x200&amp;data="&amp;ENCODEURL("https://www.google.com/maps/search/?api=1&amp;query="&amp;SUBSTITUTE(F1079," ","")),"")</f>
        <v/>
      </c>
      <c r="K1079" s="8">
        <f>IF(C1079&lt;&gt;"",HYPERLINK("https://wa.me/507"&amp;REGEXREPLACE(C1079,"[^0-9]","")&amp;"?text="&amp;ENCODEURL("Ya llegue. Codigo: "&amp;A1079&amp;". Ubicacion: "&amp;"https://www.google.com/maps/search/?api=1&amp;query="&amp;SUBSTITUTE(F1079," ","")),"📲 Avisar al cliente"),"")</f>
        <v/>
      </c>
      <c r="L1079" s="8">
        <f>IF(C1079&lt;&gt;"","https://api.qrserver.com/v1/create-qr-code/?size=200x200&amp;data="&amp;ENCODEURL("https://wa.me/507"&amp;REGEXREPLACE(C1079,"[^0-9]","")&amp;"?text="&amp;ENCODEURL("Ya llegue. Codigo: "&amp;A1079&amp;". Ubicacion: "&amp;"https://www.google.com/maps/search/?api=1&amp;query="&amp;SUBSTITUTE(F1079," ",""))),"")</f>
        <v/>
      </c>
      <c r="M1079" s="8">
        <f>IF(B1079&lt;&gt;"",TODAY(),"")</f>
        <v/>
      </c>
      <c r="N1079" s="8">
        <f>IF(F1079&lt;&gt;"",IFERROR(IF(AND(REGEXMATCH(SUBSTITUTE(TRIM(F1079)," ",""),"^-?\d+(\.\d+)?,-?\d+(\.\d+)?$"),VALUE(REGEXEXTRACT(SUBSTITUTE(TRIM(F1079)," ",""),"^-?\d+(\.\d+)?"))&gt;=-90,VALUE(REGEXEXTRACT(SUBSTITUTE(TRIM(F1079)," ",""),"^-?\d+(\.\d+)?"))&lt;=90,VALUE(REGEXEXTRACT(SUBSTITUTE(TRIM(F1079)," ",""),"-?\d+(\.\d+)?$"))&gt;=-180,VALUE(REGEXEXTRACT(SUBSTITUTE(TRIM(F1079)," ",""),"-?\d+(\.\d+)?$"))&lt;=180),"OK","REVISAR"),"REVISAR"),"")</f>
        <v/>
      </c>
      <c r="O1079">
        <f>IF(A1079&lt;&gt;"","https://direcciones507.github.io/direcciones507/panel.html?codigo="&amp;A1079&amp;"&amp;nombre="&amp;ENCODEURL(B1079)&amp;"&amp;telefono="&amp;SUBSTITUTE(C1079,"-","")&amp;"&amp;referencia="&amp;ENCODEURL(E1079)&amp;"&amp;lat="&amp;IZQUIERDA(SUBSTITUTE(F1079," ",""),ENCONTRAR(",",SUBSTITUTE(F1079," ",""))-1)&amp;"&amp;lng="&amp;DERECHA(SUBSTITUTE(F1079," ",""),LARGO(SUBSTITUTE(F1079," ",""))-ENCONTRAR(",",SUBSTITUTE(F1079," ",""))),"")</f>
        <v/>
      </c>
    </row>
    <row r="1080" ht="15.75" customHeight="1" s="10">
      <c r="A1080" s="8">
        <f>CONCAT("AD507-",TEXT(ROW()-2,"0000"))</f>
        <v/>
      </c>
      <c r="C1080" s="8" t="n"/>
      <c r="F1080" s="8" t="n"/>
      <c r="G1080" s="8">
        <f>IF(F1080&lt;&gt;"",HYPERLINK("https://www.google.com/maps/search/?api=1&amp;query="&amp;SUBSTITUTE(F1080," ",""),"🗺 Google Maps"),"")</f>
        <v/>
      </c>
      <c r="H1080" s="8">
        <f>IF(F1080&lt;&gt;"",HYPERLINK("https://waze.com/ul?ll="&amp;SUBSTITUTE(F1080," ","")&amp;"&amp;navigate=yes","🚗 Waze"),"")</f>
        <v/>
      </c>
      <c r="I1080" s="8">
        <f>IF(F1080&lt;&gt;"",HYPERLINK("https://m.uber.com/ul/?action=setPickup&amp;pickup=my_location&amp;dropoff[latitude]="&amp;LEFT(SUBSTITUTE(F1080," ",""),FIND(",",SUBSTITUTE(F1080," ",""))-1)&amp;"&amp;dropoff[longitude]="&amp;MID(SUBSTITUTE(F1080," ",""),FIND(",",SUBSTITUTE(F1080," ",""))+1,99),"🚕 Uber"),"")</f>
        <v/>
      </c>
      <c r="J1080" s="8">
        <f>IF(F1080&lt;&gt;"","https://api.qrserver.com/v1/create-qr-code/?size=200x200&amp;data="&amp;ENCODEURL("https://www.google.com/maps/search/?api=1&amp;query="&amp;SUBSTITUTE(F1080," ","")),"")</f>
        <v/>
      </c>
      <c r="K1080" s="8">
        <f>IF(C1080&lt;&gt;"",HYPERLINK("https://wa.me/507"&amp;REGEXREPLACE(C1080,"[^0-9]","")&amp;"?text="&amp;ENCODEURL("Ya llegue. Codigo: "&amp;A1080&amp;". Ubicacion: "&amp;"https://www.google.com/maps/search/?api=1&amp;query="&amp;SUBSTITUTE(F1080," ","")),"📲 Avisar al cliente"),"")</f>
        <v/>
      </c>
      <c r="L1080" s="8">
        <f>IF(C1080&lt;&gt;"","https://api.qrserver.com/v1/create-qr-code/?size=200x200&amp;data="&amp;ENCODEURL("https://wa.me/507"&amp;REGEXREPLACE(C1080,"[^0-9]","")&amp;"?text="&amp;ENCODEURL("Ya llegue. Codigo: "&amp;A1080&amp;". Ubicacion: "&amp;"https://www.google.com/maps/search/?api=1&amp;query="&amp;SUBSTITUTE(F1080," ",""))),"")</f>
        <v/>
      </c>
      <c r="M1080" s="8">
        <f>IF(B1080&lt;&gt;"",TODAY(),"")</f>
        <v/>
      </c>
      <c r="N1080" s="8">
        <f>IF(F1080&lt;&gt;"",IFERROR(IF(AND(REGEXMATCH(SUBSTITUTE(TRIM(F1080)," ",""),"^-?\d+(\.\d+)?,-?\d+(\.\d+)?$"),VALUE(REGEXEXTRACT(SUBSTITUTE(TRIM(F1080)," ",""),"^-?\d+(\.\d+)?"))&gt;=-90,VALUE(REGEXEXTRACT(SUBSTITUTE(TRIM(F1080)," ",""),"^-?\d+(\.\d+)?"))&lt;=90,VALUE(REGEXEXTRACT(SUBSTITUTE(TRIM(F1080)," ",""),"-?\d+(\.\d+)?$"))&gt;=-180,VALUE(REGEXEXTRACT(SUBSTITUTE(TRIM(F1080)," ",""),"-?\d+(\.\d+)?$"))&lt;=180),"OK","REVISAR"),"REVISAR"),"")</f>
        <v/>
      </c>
      <c r="O1080">
        <f>IF(A1080&lt;&gt;"","https://direcciones507.github.io/direcciones507/panel.html?codigo="&amp;A1080&amp;"&amp;nombre="&amp;ENCODEURL(B1080)&amp;"&amp;telefono="&amp;SUBSTITUTE(C1080,"-","")&amp;"&amp;referencia="&amp;ENCODEURL(E1080)&amp;"&amp;lat="&amp;IZQUIERDA(SUBSTITUTE(F1080," ",""),ENCONTRAR(",",SUBSTITUTE(F1080," ",""))-1)&amp;"&amp;lng="&amp;DERECHA(SUBSTITUTE(F1080," ",""),LARGO(SUBSTITUTE(F1080," ",""))-ENCONTRAR(",",SUBSTITUTE(F1080," ",""))),"")</f>
        <v/>
      </c>
    </row>
    <row r="1081" ht="15.75" customHeight="1" s="10">
      <c r="A1081" s="8">
        <f>CONCAT("AD507-",TEXT(ROW()-2,"0000"))</f>
        <v/>
      </c>
      <c r="C1081" s="8" t="n"/>
      <c r="F1081" s="8" t="n"/>
      <c r="G1081" s="8">
        <f>IF(F1081&lt;&gt;"",HYPERLINK("https://www.google.com/maps/search/?api=1&amp;query="&amp;SUBSTITUTE(F1081," ",""),"🗺 Google Maps"),"")</f>
        <v/>
      </c>
      <c r="H1081" s="8">
        <f>IF(F1081&lt;&gt;"",HYPERLINK("https://waze.com/ul?ll="&amp;SUBSTITUTE(F1081," ","")&amp;"&amp;navigate=yes","🚗 Waze"),"")</f>
        <v/>
      </c>
      <c r="I1081" s="8">
        <f>IF(F1081&lt;&gt;"",HYPERLINK("https://m.uber.com/ul/?action=setPickup&amp;pickup=my_location&amp;dropoff[latitude]="&amp;LEFT(SUBSTITUTE(F1081," ",""),FIND(",",SUBSTITUTE(F1081," ",""))-1)&amp;"&amp;dropoff[longitude]="&amp;MID(SUBSTITUTE(F1081," ",""),FIND(",",SUBSTITUTE(F1081," ",""))+1,99),"🚕 Uber"),"")</f>
        <v/>
      </c>
      <c r="J1081" s="8">
        <f>IF(F1081&lt;&gt;"","https://api.qrserver.com/v1/create-qr-code/?size=200x200&amp;data="&amp;ENCODEURL("https://www.google.com/maps/search/?api=1&amp;query="&amp;SUBSTITUTE(F1081," ","")),"")</f>
        <v/>
      </c>
      <c r="K1081" s="8">
        <f>IF(C1081&lt;&gt;"",HYPERLINK("https://wa.me/507"&amp;REGEXREPLACE(C1081,"[^0-9]","")&amp;"?text="&amp;ENCODEURL("Ya llegue. Codigo: "&amp;A1081&amp;". Ubicacion: "&amp;"https://www.google.com/maps/search/?api=1&amp;query="&amp;SUBSTITUTE(F1081," ","")),"📲 Avisar al cliente"),"")</f>
        <v/>
      </c>
      <c r="L1081" s="8">
        <f>IF(C1081&lt;&gt;"","https://api.qrserver.com/v1/create-qr-code/?size=200x200&amp;data="&amp;ENCODEURL("https://wa.me/507"&amp;REGEXREPLACE(C1081,"[^0-9]","")&amp;"?text="&amp;ENCODEURL("Ya llegue. Codigo: "&amp;A1081&amp;". Ubicacion: "&amp;"https://www.google.com/maps/search/?api=1&amp;query="&amp;SUBSTITUTE(F1081," ",""))),"")</f>
        <v/>
      </c>
      <c r="M1081" s="8">
        <f>IF(B1081&lt;&gt;"",TODAY(),"")</f>
        <v/>
      </c>
      <c r="N1081" s="8">
        <f>IF(F1081&lt;&gt;"",IFERROR(IF(AND(REGEXMATCH(SUBSTITUTE(TRIM(F1081)," ",""),"^-?\d+(\.\d+)?,-?\d+(\.\d+)?$"),VALUE(REGEXEXTRACT(SUBSTITUTE(TRIM(F1081)," ",""),"^-?\d+(\.\d+)?"))&gt;=-90,VALUE(REGEXEXTRACT(SUBSTITUTE(TRIM(F1081)," ",""),"^-?\d+(\.\d+)?"))&lt;=90,VALUE(REGEXEXTRACT(SUBSTITUTE(TRIM(F1081)," ",""),"-?\d+(\.\d+)?$"))&gt;=-180,VALUE(REGEXEXTRACT(SUBSTITUTE(TRIM(F1081)," ",""),"-?\d+(\.\d+)?$"))&lt;=180),"OK","REVISAR"),"REVISAR"),"")</f>
        <v/>
      </c>
      <c r="O1081">
        <f>IF(A1081&lt;&gt;"","https://direcciones507.github.io/direcciones507/panel.html?codigo="&amp;A1081&amp;"&amp;nombre="&amp;ENCODEURL(B1081)&amp;"&amp;telefono="&amp;SUBSTITUTE(C1081,"-","")&amp;"&amp;referencia="&amp;ENCODEURL(E1081)&amp;"&amp;lat="&amp;IZQUIERDA(SUBSTITUTE(F1081," ",""),ENCONTRAR(",",SUBSTITUTE(F1081," ",""))-1)&amp;"&amp;lng="&amp;DERECHA(SUBSTITUTE(F1081," ",""),LARGO(SUBSTITUTE(F1081," ",""))-ENCONTRAR(",",SUBSTITUTE(F1081," ",""))),"")</f>
        <v/>
      </c>
    </row>
    <row r="1082" ht="15.75" customHeight="1" s="10">
      <c r="A1082" s="8">
        <f>CONCAT("AD507-",TEXT(ROW()-2,"0000"))</f>
        <v/>
      </c>
      <c r="C1082" s="8" t="n"/>
      <c r="F1082" s="8" t="n"/>
      <c r="G1082" s="8">
        <f>IF(F1082&lt;&gt;"",HYPERLINK("https://www.google.com/maps/search/?api=1&amp;query="&amp;SUBSTITUTE(F1082," ",""),"🗺 Google Maps"),"")</f>
        <v/>
      </c>
      <c r="H1082" s="8">
        <f>IF(F1082&lt;&gt;"",HYPERLINK("https://waze.com/ul?ll="&amp;SUBSTITUTE(F1082," ","")&amp;"&amp;navigate=yes","🚗 Waze"),"")</f>
        <v/>
      </c>
      <c r="I1082" s="8">
        <f>IF(F1082&lt;&gt;"",HYPERLINK("https://m.uber.com/ul/?action=setPickup&amp;pickup=my_location&amp;dropoff[latitude]="&amp;LEFT(SUBSTITUTE(F1082," ",""),FIND(",",SUBSTITUTE(F1082," ",""))-1)&amp;"&amp;dropoff[longitude]="&amp;MID(SUBSTITUTE(F1082," ",""),FIND(",",SUBSTITUTE(F1082," ",""))+1,99),"🚕 Uber"),"")</f>
        <v/>
      </c>
      <c r="J1082" s="8">
        <f>IF(F1082&lt;&gt;"","https://api.qrserver.com/v1/create-qr-code/?size=200x200&amp;data="&amp;ENCODEURL("https://www.google.com/maps/search/?api=1&amp;query="&amp;SUBSTITUTE(F1082," ","")),"")</f>
        <v/>
      </c>
      <c r="K1082" s="8">
        <f>IF(C1082&lt;&gt;"",HYPERLINK("https://wa.me/507"&amp;REGEXREPLACE(C1082,"[^0-9]","")&amp;"?text="&amp;ENCODEURL("Ya llegue. Codigo: "&amp;A1082&amp;". Ubicacion: "&amp;"https://www.google.com/maps/search/?api=1&amp;query="&amp;SUBSTITUTE(F1082," ","")),"📲 Avisar al cliente"),"")</f>
        <v/>
      </c>
      <c r="L1082" s="8">
        <f>IF(C1082&lt;&gt;"","https://api.qrserver.com/v1/create-qr-code/?size=200x200&amp;data="&amp;ENCODEURL("https://wa.me/507"&amp;REGEXREPLACE(C1082,"[^0-9]","")&amp;"?text="&amp;ENCODEURL("Ya llegue. Codigo: "&amp;A1082&amp;". Ubicacion: "&amp;"https://www.google.com/maps/search/?api=1&amp;query="&amp;SUBSTITUTE(F1082," ",""))),"")</f>
        <v/>
      </c>
      <c r="M1082" s="8">
        <f>IF(B1082&lt;&gt;"",TODAY(),"")</f>
        <v/>
      </c>
      <c r="N1082" s="8">
        <f>IF(F1082&lt;&gt;"",IFERROR(IF(AND(REGEXMATCH(SUBSTITUTE(TRIM(F1082)," ",""),"^-?\d+(\.\d+)?,-?\d+(\.\d+)?$"),VALUE(REGEXEXTRACT(SUBSTITUTE(TRIM(F1082)," ",""),"^-?\d+(\.\d+)?"))&gt;=-90,VALUE(REGEXEXTRACT(SUBSTITUTE(TRIM(F1082)," ",""),"^-?\d+(\.\d+)?"))&lt;=90,VALUE(REGEXEXTRACT(SUBSTITUTE(TRIM(F1082)," ",""),"-?\d+(\.\d+)?$"))&gt;=-180,VALUE(REGEXEXTRACT(SUBSTITUTE(TRIM(F1082)," ",""),"-?\d+(\.\d+)?$"))&lt;=180),"OK","REVISAR"),"REVISAR"),"")</f>
        <v/>
      </c>
      <c r="O1082">
        <f>IF(A1082&lt;&gt;"","https://direcciones507.github.io/direcciones507/panel.html?codigo="&amp;A1082&amp;"&amp;nombre="&amp;ENCODEURL(B1082)&amp;"&amp;telefono="&amp;SUBSTITUTE(C1082,"-","")&amp;"&amp;referencia="&amp;ENCODEURL(E1082)&amp;"&amp;lat="&amp;IZQUIERDA(SUBSTITUTE(F1082," ",""),ENCONTRAR(",",SUBSTITUTE(F1082," ",""))-1)&amp;"&amp;lng="&amp;DERECHA(SUBSTITUTE(F1082," ",""),LARGO(SUBSTITUTE(F1082," ",""))-ENCONTRAR(",",SUBSTITUTE(F1082," ",""))),"")</f>
        <v/>
      </c>
    </row>
    <row r="1083" ht="15.75" customHeight="1" s="10">
      <c r="A1083" s="8">
        <f>CONCAT("AD507-",TEXT(ROW()-2,"0000"))</f>
        <v/>
      </c>
      <c r="C1083" s="8" t="n"/>
      <c r="F1083" s="8" t="n"/>
      <c r="G1083" s="8">
        <f>IF(F1083&lt;&gt;"",HYPERLINK("https://www.google.com/maps/search/?api=1&amp;query="&amp;SUBSTITUTE(F1083," ",""),"🗺 Google Maps"),"")</f>
        <v/>
      </c>
      <c r="H1083" s="8">
        <f>IF(F1083&lt;&gt;"",HYPERLINK("https://waze.com/ul?ll="&amp;SUBSTITUTE(F1083," ","")&amp;"&amp;navigate=yes","🚗 Waze"),"")</f>
        <v/>
      </c>
      <c r="I1083" s="8">
        <f>IF(F1083&lt;&gt;"",HYPERLINK("https://m.uber.com/ul/?action=setPickup&amp;pickup=my_location&amp;dropoff[latitude]="&amp;LEFT(SUBSTITUTE(F1083," ",""),FIND(",",SUBSTITUTE(F1083," ",""))-1)&amp;"&amp;dropoff[longitude]="&amp;MID(SUBSTITUTE(F1083," ",""),FIND(",",SUBSTITUTE(F1083," ",""))+1,99),"🚕 Uber"),"")</f>
        <v/>
      </c>
      <c r="J1083" s="8">
        <f>IF(F1083&lt;&gt;"","https://api.qrserver.com/v1/create-qr-code/?size=200x200&amp;data="&amp;ENCODEURL("https://www.google.com/maps/search/?api=1&amp;query="&amp;SUBSTITUTE(F1083," ","")),"")</f>
        <v/>
      </c>
      <c r="K1083" s="8">
        <f>IF(C1083&lt;&gt;"",HYPERLINK("https://wa.me/507"&amp;REGEXREPLACE(C1083,"[^0-9]","")&amp;"?text="&amp;ENCODEURL("Ya llegue. Codigo: "&amp;A1083&amp;". Ubicacion: "&amp;"https://www.google.com/maps/search/?api=1&amp;query="&amp;SUBSTITUTE(F1083," ","")),"📲 Avisar al cliente"),"")</f>
        <v/>
      </c>
      <c r="L1083" s="8">
        <f>IF(C1083&lt;&gt;"","https://api.qrserver.com/v1/create-qr-code/?size=200x200&amp;data="&amp;ENCODEURL("https://wa.me/507"&amp;REGEXREPLACE(C1083,"[^0-9]","")&amp;"?text="&amp;ENCODEURL("Ya llegue. Codigo: "&amp;A1083&amp;". Ubicacion: "&amp;"https://www.google.com/maps/search/?api=1&amp;query="&amp;SUBSTITUTE(F1083," ",""))),"")</f>
        <v/>
      </c>
      <c r="M1083" s="8">
        <f>IF(B1083&lt;&gt;"",TODAY(),"")</f>
        <v/>
      </c>
      <c r="N1083" s="8">
        <f>IF(F1083&lt;&gt;"",IFERROR(IF(AND(REGEXMATCH(SUBSTITUTE(TRIM(F1083)," ",""),"^-?\d+(\.\d+)?,-?\d+(\.\d+)?$"),VALUE(REGEXEXTRACT(SUBSTITUTE(TRIM(F1083)," ",""),"^-?\d+(\.\d+)?"))&gt;=-90,VALUE(REGEXEXTRACT(SUBSTITUTE(TRIM(F1083)," ",""),"^-?\d+(\.\d+)?"))&lt;=90,VALUE(REGEXEXTRACT(SUBSTITUTE(TRIM(F1083)," ",""),"-?\d+(\.\d+)?$"))&gt;=-180,VALUE(REGEXEXTRACT(SUBSTITUTE(TRIM(F1083)," ",""),"-?\d+(\.\d+)?$"))&lt;=180),"OK","REVISAR"),"REVISAR"),"")</f>
        <v/>
      </c>
      <c r="O1083">
        <f>IF(A1083&lt;&gt;"","https://direcciones507.github.io/direcciones507/panel.html?codigo="&amp;A1083&amp;"&amp;nombre="&amp;ENCODEURL(B1083)&amp;"&amp;telefono="&amp;SUBSTITUTE(C1083,"-","")&amp;"&amp;referencia="&amp;ENCODEURL(E1083)&amp;"&amp;lat="&amp;IZQUIERDA(SUBSTITUTE(F1083," ",""),ENCONTRAR(",",SUBSTITUTE(F1083," ",""))-1)&amp;"&amp;lng="&amp;DERECHA(SUBSTITUTE(F1083," ",""),LARGO(SUBSTITUTE(F1083," ",""))-ENCONTRAR(",",SUBSTITUTE(F1083," ",""))),"")</f>
        <v/>
      </c>
    </row>
    <row r="1084" ht="15.75" customHeight="1" s="10">
      <c r="A1084" s="8">
        <f>CONCAT("AD507-",TEXT(ROW()-2,"0000"))</f>
        <v/>
      </c>
      <c r="C1084" s="8" t="n"/>
      <c r="F1084" s="8" t="n"/>
      <c r="G1084" s="8">
        <f>IF(F1084&lt;&gt;"",HYPERLINK("https://www.google.com/maps/search/?api=1&amp;query="&amp;SUBSTITUTE(F1084," ",""),"🗺 Google Maps"),"")</f>
        <v/>
      </c>
      <c r="H1084" s="8">
        <f>IF(F1084&lt;&gt;"",HYPERLINK("https://waze.com/ul?ll="&amp;SUBSTITUTE(F1084," ","")&amp;"&amp;navigate=yes","🚗 Waze"),"")</f>
        <v/>
      </c>
      <c r="I1084" s="8">
        <f>IF(F1084&lt;&gt;"",HYPERLINK("https://m.uber.com/ul/?action=setPickup&amp;pickup=my_location&amp;dropoff[latitude]="&amp;LEFT(SUBSTITUTE(F1084," ",""),FIND(",",SUBSTITUTE(F1084," ",""))-1)&amp;"&amp;dropoff[longitude]="&amp;MID(SUBSTITUTE(F1084," ",""),FIND(",",SUBSTITUTE(F1084," ",""))+1,99),"🚕 Uber"),"")</f>
        <v/>
      </c>
      <c r="J1084" s="8">
        <f>IF(F1084&lt;&gt;"","https://api.qrserver.com/v1/create-qr-code/?size=200x200&amp;data="&amp;ENCODEURL("https://www.google.com/maps/search/?api=1&amp;query="&amp;SUBSTITUTE(F1084," ","")),"")</f>
        <v/>
      </c>
      <c r="K1084" s="8">
        <f>IF(C1084&lt;&gt;"",HYPERLINK("https://wa.me/507"&amp;REGEXREPLACE(C1084,"[^0-9]","")&amp;"?text="&amp;ENCODEURL("Ya llegue. Codigo: "&amp;A1084&amp;". Ubicacion: "&amp;"https://www.google.com/maps/search/?api=1&amp;query="&amp;SUBSTITUTE(F1084," ","")),"📲 Avisar al cliente"),"")</f>
        <v/>
      </c>
      <c r="L1084" s="8">
        <f>IF(C1084&lt;&gt;"","https://api.qrserver.com/v1/create-qr-code/?size=200x200&amp;data="&amp;ENCODEURL("https://wa.me/507"&amp;REGEXREPLACE(C1084,"[^0-9]","")&amp;"?text="&amp;ENCODEURL("Ya llegue. Codigo: "&amp;A1084&amp;". Ubicacion: "&amp;"https://www.google.com/maps/search/?api=1&amp;query="&amp;SUBSTITUTE(F1084," ",""))),"")</f>
        <v/>
      </c>
      <c r="M1084" s="8">
        <f>IF(B1084&lt;&gt;"",TODAY(),"")</f>
        <v/>
      </c>
      <c r="N1084" s="8">
        <f>IF(F1084&lt;&gt;"",IFERROR(IF(AND(REGEXMATCH(SUBSTITUTE(TRIM(F1084)," ",""),"^-?\d+(\.\d+)?,-?\d+(\.\d+)?$"),VALUE(REGEXEXTRACT(SUBSTITUTE(TRIM(F1084)," ",""),"^-?\d+(\.\d+)?"))&gt;=-90,VALUE(REGEXEXTRACT(SUBSTITUTE(TRIM(F1084)," ",""),"^-?\d+(\.\d+)?"))&lt;=90,VALUE(REGEXEXTRACT(SUBSTITUTE(TRIM(F1084)," ",""),"-?\d+(\.\d+)?$"))&gt;=-180,VALUE(REGEXEXTRACT(SUBSTITUTE(TRIM(F1084)," ",""),"-?\d+(\.\d+)?$"))&lt;=180),"OK","REVISAR"),"REVISAR"),"")</f>
        <v/>
      </c>
      <c r="O1084">
        <f>IF(A1084&lt;&gt;"","https://direcciones507.github.io/direcciones507/panel.html?codigo="&amp;A1084&amp;"&amp;nombre="&amp;ENCODEURL(B1084)&amp;"&amp;telefono="&amp;SUBSTITUTE(C1084,"-","")&amp;"&amp;referencia="&amp;ENCODEURL(E1084)&amp;"&amp;lat="&amp;IZQUIERDA(SUBSTITUTE(F1084," ",""),ENCONTRAR(",",SUBSTITUTE(F1084," ",""))-1)&amp;"&amp;lng="&amp;DERECHA(SUBSTITUTE(F1084," ",""),LARGO(SUBSTITUTE(F1084," ",""))-ENCONTRAR(",",SUBSTITUTE(F1084," ",""))),"")</f>
        <v/>
      </c>
    </row>
    <row r="1085" ht="15.75" customHeight="1" s="10">
      <c r="A1085" s="8">
        <f>CONCAT("AD507-",TEXT(ROW()-2,"0000"))</f>
        <v/>
      </c>
      <c r="C1085" s="8" t="n"/>
      <c r="F1085" s="8" t="n"/>
      <c r="G1085" s="8">
        <f>IF(F1085&lt;&gt;"",HYPERLINK("https://www.google.com/maps/search/?api=1&amp;query="&amp;SUBSTITUTE(F1085," ",""),"🗺 Google Maps"),"")</f>
        <v/>
      </c>
      <c r="H1085" s="8">
        <f>IF(F1085&lt;&gt;"",HYPERLINK("https://waze.com/ul?ll="&amp;SUBSTITUTE(F1085," ","")&amp;"&amp;navigate=yes","🚗 Waze"),"")</f>
        <v/>
      </c>
      <c r="I1085" s="8">
        <f>IF(F1085&lt;&gt;"",HYPERLINK("https://m.uber.com/ul/?action=setPickup&amp;pickup=my_location&amp;dropoff[latitude]="&amp;LEFT(SUBSTITUTE(F1085," ",""),FIND(",",SUBSTITUTE(F1085," ",""))-1)&amp;"&amp;dropoff[longitude]="&amp;MID(SUBSTITUTE(F1085," ",""),FIND(",",SUBSTITUTE(F1085," ",""))+1,99),"🚕 Uber"),"")</f>
        <v/>
      </c>
      <c r="J1085" s="8">
        <f>IF(F1085&lt;&gt;"","https://api.qrserver.com/v1/create-qr-code/?size=200x200&amp;data="&amp;ENCODEURL("https://www.google.com/maps/search/?api=1&amp;query="&amp;SUBSTITUTE(F1085," ","")),"")</f>
        <v/>
      </c>
      <c r="K1085" s="8">
        <f>IF(C1085&lt;&gt;"",HYPERLINK("https://wa.me/507"&amp;REGEXREPLACE(C1085,"[^0-9]","")&amp;"?text="&amp;ENCODEURL("Ya llegue. Codigo: "&amp;A1085&amp;". Ubicacion: "&amp;"https://www.google.com/maps/search/?api=1&amp;query="&amp;SUBSTITUTE(F1085," ","")),"📲 Avisar al cliente"),"")</f>
        <v/>
      </c>
      <c r="L1085" s="8">
        <f>IF(C1085&lt;&gt;"","https://api.qrserver.com/v1/create-qr-code/?size=200x200&amp;data="&amp;ENCODEURL("https://wa.me/507"&amp;REGEXREPLACE(C1085,"[^0-9]","")&amp;"?text="&amp;ENCODEURL("Ya llegue. Codigo: "&amp;A1085&amp;". Ubicacion: "&amp;"https://www.google.com/maps/search/?api=1&amp;query="&amp;SUBSTITUTE(F1085," ",""))),"")</f>
        <v/>
      </c>
      <c r="M1085" s="8">
        <f>IF(B1085&lt;&gt;"",TODAY(),"")</f>
        <v/>
      </c>
      <c r="N1085" s="8">
        <f>IF(F1085&lt;&gt;"",IFERROR(IF(AND(REGEXMATCH(SUBSTITUTE(TRIM(F1085)," ",""),"^-?\d+(\.\d+)?,-?\d+(\.\d+)?$"),VALUE(REGEXEXTRACT(SUBSTITUTE(TRIM(F1085)," ",""),"^-?\d+(\.\d+)?"))&gt;=-90,VALUE(REGEXEXTRACT(SUBSTITUTE(TRIM(F1085)," ",""),"^-?\d+(\.\d+)?"))&lt;=90,VALUE(REGEXEXTRACT(SUBSTITUTE(TRIM(F1085)," ",""),"-?\d+(\.\d+)?$"))&gt;=-180,VALUE(REGEXEXTRACT(SUBSTITUTE(TRIM(F1085)," ",""),"-?\d+(\.\d+)?$"))&lt;=180),"OK","REVISAR"),"REVISAR"),"")</f>
        <v/>
      </c>
      <c r="O1085">
        <f>IF(A1085&lt;&gt;"","https://direcciones507.github.io/direcciones507/panel.html?codigo="&amp;A1085&amp;"&amp;nombre="&amp;ENCODEURL(B1085)&amp;"&amp;telefono="&amp;SUBSTITUTE(C1085,"-","")&amp;"&amp;referencia="&amp;ENCODEURL(E1085)&amp;"&amp;lat="&amp;IZQUIERDA(SUBSTITUTE(F1085," ",""),ENCONTRAR(",",SUBSTITUTE(F1085," ",""))-1)&amp;"&amp;lng="&amp;DERECHA(SUBSTITUTE(F1085," ",""),LARGO(SUBSTITUTE(F1085," ",""))-ENCONTRAR(",",SUBSTITUTE(F1085," ",""))),"")</f>
        <v/>
      </c>
    </row>
    <row r="1086" ht="15.75" customHeight="1" s="10">
      <c r="A1086" s="8">
        <f>CONCAT("AD507-",TEXT(ROW()-2,"0000"))</f>
        <v/>
      </c>
      <c r="C1086" s="8" t="n"/>
      <c r="F1086" s="8" t="n"/>
      <c r="G1086" s="8">
        <f>IF(F1086&lt;&gt;"",HYPERLINK("https://www.google.com/maps/search/?api=1&amp;query="&amp;SUBSTITUTE(F1086," ",""),"🗺 Google Maps"),"")</f>
        <v/>
      </c>
      <c r="H1086" s="8">
        <f>IF(F1086&lt;&gt;"",HYPERLINK("https://waze.com/ul?ll="&amp;SUBSTITUTE(F1086," ","")&amp;"&amp;navigate=yes","🚗 Waze"),"")</f>
        <v/>
      </c>
      <c r="I1086" s="8">
        <f>IF(F1086&lt;&gt;"",HYPERLINK("https://m.uber.com/ul/?action=setPickup&amp;pickup=my_location&amp;dropoff[latitude]="&amp;LEFT(SUBSTITUTE(F1086," ",""),FIND(",",SUBSTITUTE(F1086," ",""))-1)&amp;"&amp;dropoff[longitude]="&amp;MID(SUBSTITUTE(F1086," ",""),FIND(",",SUBSTITUTE(F1086," ",""))+1,99),"🚕 Uber"),"")</f>
        <v/>
      </c>
      <c r="J1086" s="8">
        <f>IF(F1086&lt;&gt;"","https://api.qrserver.com/v1/create-qr-code/?size=200x200&amp;data="&amp;ENCODEURL("https://www.google.com/maps/search/?api=1&amp;query="&amp;SUBSTITUTE(F1086," ","")),"")</f>
        <v/>
      </c>
      <c r="K1086" s="8">
        <f>IF(C1086&lt;&gt;"",HYPERLINK("https://wa.me/507"&amp;REGEXREPLACE(C1086,"[^0-9]","")&amp;"?text="&amp;ENCODEURL("Ya llegue. Codigo: "&amp;A1086&amp;". Ubicacion: "&amp;"https://www.google.com/maps/search/?api=1&amp;query="&amp;SUBSTITUTE(F1086," ","")),"📲 Avisar al cliente"),"")</f>
        <v/>
      </c>
      <c r="L1086" s="8">
        <f>IF(C1086&lt;&gt;"","https://api.qrserver.com/v1/create-qr-code/?size=200x200&amp;data="&amp;ENCODEURL("https://wa.me/507"&amp;REGEXREPLACE(C1086,"[^0-9]","")&amp;"?text="&amp;ENCODEURL("Ya llegue. Codigo: "&amp;A1086&amp;". Ubicacion: "&amp;"https://www.google.com/maps/search/?api=1&amp;query="&amp;SUBSTITUTE(F1086," ",""))),"")</f>
        <v/>
      </c>
      <c r="M1086" s="8">
        <f>IF(B1086&lt;&gt;"",TODAY(),"")</f>
        <v/>
      </c>
      <c r="N1086" s="8">
        <f>IF(F1086&lt;&gt;"",IFERROR(IF(AND(REGEXMATCH(SUBSTITUTE(TRIM(F1086)," ",""),"^-?\d+(\.\d+)?,-?\d+(\.\d+)?$"),VALUE(REGEXEXTRACT(SUBSTITUTE(TRIM(F1086)," ",""),"^-?\d+(\.\d+)?"))&gt;=-90,VALUE(REGEXEXTRACT(SUBSTITUTE(TRIM(F1086)," ",""),"^-?\d+(\.\d+)?"))&lt;=90,VALUE(REGEXEXTRACT(SUBSTITUTE(TRIM(F1086)," ",""),"-?\d+(\.\d+)?$"))&gt;=-180,VALUE(REGEXEXTRACT(SUBSTITUTE(TRIM(F1086)," ",""),"-?\d+(\.\d+)?$"))&lt;=180),"OK","REVISAR"),"REVISAR"),"")</f>
        <v/>
      </c>
      <c r="O1086">
        <f>IF(A1086&lt;&gt;"","https://direcciones507.github.io/direcciones507/panel.html?codigo="&amp;A1086&amp;"&amp;nombre="&amp;ENCODEURL(B1086)&amp;"&amp;telefono="&amp;SUBSTITUTE(C1086,"-","")&amp;"&amp;referencia="&amp;ENCODEURL(E1086)&amp;"&amp;lat="&amp;IZQUIERDA(SUBSTITUTE(F1086," ",""),ENCONTRAR(",",SUBSTITUTE(F1086," ",""))-1)&amp;"&amp;lng="&amp;DERECHA(SUBSTITUTE(F1086," ",""),LARGO(SUBSTITUTE(F1086," ",""))-ENCONTRAR(",",SUBSTITUTE(F1086," ",""))),"")</f>
        <v/>
      </c>
    </row>
    <row r="1087" ht="15.75" customHeight="1" s="10">
      <c r="A1087" s="8">
        <f>CONCAT("AD507-",TEXT(ROW()-2,"0000"))</f>
        <v/>
      </c>
      <c r="C1087" s="8" t="n"/>
      <c r="F1087" s="8" t="n"/>
      <c r="G1087" s="8">
        <f>IF(F1087&lt;&gt;"",HYPERLINK("https://www.google.com/maps/search/?api=1&amp;query="&amp;SUBSTITUTE(F1087," ",""),"🗺 Google Maps"),"")</f>
        <v/>
      </c>
      <c r="H1087" s="8">
        <f>IF(F1087&lt;&gt;"",HYPERLINK("https://waze.com/ul?ll="&amp;SUBSTITUTE(F1087," ","")&amp;"&amp;navigate=yes","🚗 Waze"),"")</f>
        <v/>
      </c>
      <c r="I1087" s="8">
        <f>IF(F1087&lt;&gt;"",HYPERLINK("https://m.uber.com/ul/?action=setPickup&amp;pickup=my_location&amp;dropoff[latitude]="&amp;LEFT(SUBSTITUTE(F1087," ",""),FIND(",",SUBSTITUTE(F1087," ",""))-1)&amp;"&amp;dropoff[longitude]="&amp;MID(SUBSTITUTE(F1087," ",""),FIND(",",SUBSTITUTE(F1087," ",""))+1,99),"🚕 Uber"),"")</f>
        <v/>
      </c>
      <c r="J1087" s="8">
        <f>IF(F1087&lt;&gt;"","https://api.qrserver.com/v1/create-qr-code/?size=200x200&amp;data="&amp;ENCODEURL("https://www.google.com/maps/search/?api=1&amp;query="&amp;SUBSTITUTE(F1087," ","")),"")</f>
        <v/>
      </c>
      <c r="K1087" s="8">
        <f>IF(C1087&lt;&gt;"",HYPERLINK("https://wa.me/507"&amp;REGEXREPLACE(C1087,"[^0-9]","")&amp;"?text="&amp;ENCODEURL("Ya llegue. Codigo: "&amp;A1087&amp;". Ubicacion: "&amp;"https://www.google.com/maps/search/?api=1&amp;query="&amp;SUBSTITUTE(F1087," ","")),"📲 Avisar al cliente"),"")</f>
        <v/>
      </c>
      <c r="L1087" s="8">
        <f>IF(C1087&lt;&gt;"","https://api.qrserver.com/v1/create-qr-code/?size=200x200&amp;data="&amp;ENCODEURL("https://wa.me/507"&amp;REGEXREPLACE(C1087,"[^0-9]","")&amp;"?text="&amp;ENCODEURL("Ya llegue. Codigo: "&amp;A1087&amp;". Ubicacion: "&amp;"https://www.google.com/maps/search/?api=1&amp;query="&amp;SUBSTITUTE(F1087," ",""))),"")</f>
        <v/>
      </c>
      <c r="M1087" s="8">
        <f>IF(B1087&lt;&gt;"",TODAY(),"")</f>
        <v/>
      </c>
      <c r="N1087" s="8">
        <f>IF(F1087&lt;&gt;"",IFERROR(IF(AND(REGEXMATCH(SUBSTITUTE(TRIM(F1087)," ",""),"^-?\d+(\.\d+)?,-?\d+(\.\d+)?$"),VALUE(REGEXEXTRACT(SUBSTITUTE(TRIM(F1087)," ",""),"^-?\d+(\.\d+)?"))&gt;=-90,VALUE(REGEXEXTRACT(SUBSTITUTE(TRIM(F1087)," ",""),"^-?\d+(\.\d+)?"))&lt;=90,VALUE(REGEXEXTRACT(SUBSTITUTE(TRIM(F1087)," ",""),"-?\d+(\.\d+)?$"))&gt;=-180,VALUE(REGEXEXTRACT(SUBSTITUTE(TRIM(F1087)," ",""),"-?\d+(\.\d+)?$"))&lt;=180),"OK","REVISAR"),"REVISAR"),"")</f>
        <v/>
      </c>
      <c r="O1087">
        <f>IF(A1087&lt;&gt;"","https://direcciones507.github.io/direcciones507/panel.html?codigo="&amp;A1087&amp;"&amp;nombre="&amp;ENCODEURL(B1087)&amp;"&amp;telefono="&amp;SUBSTITUTE(C1087,"-","")&amp;"&amp;referencia="&amp;ENCODEURL(E1087)&amp;"&amp;lat="&amp;IZQUIERDA(SUBSTITUTE(F1087," ",""),ENCONTRAR(",",SUBSTITUTE(F1087," ",""))-1)&amp;"&amp;lng="&amp;DERECHA(SUBSTITUTE(F1087," ",""),LARGO(SUBSTITUTE(F1087," ",""))-ENCONTRAR(",",SUBSTITUTE(F1087," ",""))),"")</f>
        <v/>
      </c>
    </row>
    <row r="1088" ht="15.75" customHeight="1" s="10">
      <c r="A1088" s="8">
        <f>CONCAT("AD507-",TEXT(ROW()-2,"0000"))</f>
        <v/>
      </c>
      <c r="C1088" s="8" t="n"/>
      <c r="F1088" s="8" t="n"/>
      <c r="G1088" s="8">
        <f>IF(F1088&lt;&gt;"",HYPERLINK("https://www.google.com/maps/search/?api=1&amp;query="&amp;SUBSTITUTE(F1088," ",""),"🗺 Google Maps"),"")</f>
        <v/>
      </c>
      <c r="H1088" s="8">
        <f>IF(F1088&lt;&gt;"",HYPERLINK("https://waze.com/ul?ll="&amp;SUBSTITUTE(F1088," ","")&amp;"&amp;navigate=yes","🚗 Waze"),"")</f>
        <v/>
      </c>
      <c r="I1088" s="8">
        <f>IF(F1088&lt;&gt;"",HYPERLINK("https://m.uber.com/ul/?action=setPickup&amp;pickup=my_location&amp;dropoff[latitude]="&amp;LEFT(SUBSTITUTE(F1088," ",""),FIND(",",SUBSTITUTE(F1088," ",""))-1)&amp;"&amp;dropoff[longitude]="&amp;MID(SUBSTITUTE(F1088," ",""),FIND(",",SUBSTITUTE(F1088," ",""))+1,99),"🚕 Uber"),"")</f>
        <v/>
      </c>
      <c r="J1088" s="8">
        <f>IF(F1088&lt;&gt;"","https://api.qrserver.com/v1/create-qr-code/?size=200x200&amp;data="&amp;ENCODEURL("https://www.google.com/maps/search/?api=1&amp;query="&amp;SUBSTITUTE(F1088," ","")),"")</f>
        <v/>
      </c>
      <c r="K1088" s="8">
        <f>IF(C1088&lt;&gt;"",HYPERLINK("https://wa.me/507"&amp;REGEXREPLACE(C1088,"[^0-9]","")&amp;"?text="&amp;ENCODEURL("Ya llegue. Codigo: "&amp;A1088&amp;". Ubicacion: "&amp;"https://www.google.com/maps/search/?api=1&amp;query="&amp;SUBSTITUTE(F1088," ","")),"📲 Avisar al cliente"),"")</f>
        <v/>
      </c>
      <c r="L1088" s="8">
        <f>IF(C1088&lt;&gt;"","https://api.qrserver.com/v1/create-qr-code/?size=200x200&amp;data="&amp;ENCODEURL("https://wa.me/507"&amp;REGEXREPLACE(C1088,"[^0-9]","")&amp;"?text="&amp;ENCODEURL("Ya llegue. Codigo: "&amp;A1088&amp;". Ubicacion: "&amp;"https://www.google.com/maps/search/?api=1&amp;query="&amp;SUBSTITUTE(F1088," ",""))),"")</f>
        <v/>
      </c>
      <c r="M1088" s="8">
        <f>IF(B1088&lt;&gt;"",TODAY(),"")</f>
        <v/>
      </c>
      <c r="N1088" s="8">
        <f>IF(F1088&lt;&gt;"",IFERROR(IF(AND(REGEXMATCH(SUBSTITUTE(TRIM(F1088)," ",""),"^-?\d+(\.\d+)?,-?\d+(\.\d+)?$"),VALUE(REGEXEXTRACT(SUBSTITUTE(TRIM(F1088)," ",""),"^-?\d+(\.\d+)?"))&gt;=-90,VALUE(REGEXEXTRACT(SUBSTITUTE(TRIM(F1088)," ",""),"^-?\d+(\.\d+)?"))&lt;=90,VALUE(REGEXEXTRACT(SUBSTITUTE(TRIM(F1088)," ",""),"-?\d+(\.\d+)?$"))&gt;=-180,VALUE(REGEXEXTRACT(SUBSTITUTE(TRIM(F1088)," ",""),"-?\d+(\.\d+)?$"))&lt;=180),"OK","REVISAR"),"REVISAR"),"")</f>
        <v/>
      </c>
      <c r="O1088">
        <f>IF(A1088&lt;&gt;"","https://direcciones507.github.io/direcciones507/panel.html?codigo="&amp;A1088&amp;"&amp;nombre="&amp;ENCODEURL(B1088)&amp;"&amp;telefono="&amp;SUBSTITUTE(C1088,"-","")&amp;"&amp;referencia="&amp;ENCODEURL(E1088)&amp;"&amp;lat="&amp;IZQUIERDA(SUBSTITUTE(F1088," ",""),ENCONTRAR(",",SUBSTITUTE(F1088," ",""))-1)&amp;"&amp;lng="&amp;DERECHA(SUBSTITUTE(F1088," ",""),LARGO(SUBSTITUTE(F1088," ",""))-ENCONTRAR(",",SUBSTITUTE(F1088," ",""))),"")</f>
        <v/>
      </c>
    </row>
    <row r="1089" ht="15.75" customHeight="1" s="10">
      <c r="A1089" s="8">
        <f>CONCAT("AD507-",TEXT(ROW()-2,"0000"))</f>
        <v/>
      </c>
      <c r="C1089" s="8" t="n"/>
      <c r="F1089" s="8" t="n"/>
      <c r="G1089" s="8">
        <f>IF(F1089&lt;&gt;"",HYPERLINK("https://www.google.com/maps/search/?api=1&amp;query="&amp;SUBSTITUTE(F1089," ",""),"🗺 Google Maps"),"")</f>
        <v/>
      </c>
      <c r="H1089" s="8">
        <f>IF(F1089&lt;&gt;"",HYPERLINK("https://waze.com/ul?ll="&amp;SUBSTITUTE(F1089," ","")&amp;"&amp;navigate=yes","🚗 Waze"),"")</f>
        <v/>
      </c>
      <c r="I1089" s="8">
        <f>IF(F1089&lt;&gt;"",HYPERLINK("https://m.uber.com/ul/?action=setPickup&amp;pickup=my_location&amp;dropoff[latitude]="&amp;LEFT(SUBSTITUTE(F1089," ",""),FIND(",",SUBSTITUTE(F1089," ",""))-1)&amp;"&amp;dropoff[longitude]="&amp;MID(SUBSTITUTE(F1089," ",""),FIND(",",SUBSTITUTE(F1089," ",""))+1,99),"🚕 Uber"),"")</f>
        <v/>
      </c>
      <c r="J1089" s="8">
        <f>IF(F1089&lt;&gt;"","https://api.qrserver.com/v1/create-qr-code/?size=200x200&amp;data="&amp;ENCODEURL("https://www.google.com/maps/search/?api=1&amp;query="&amp;SUBSTITUTE(F1089," ","")),"")</f>
        <v/>
      </c>
      <c r="K1089" s="8">
        <f>IF(C1089&lt;&gt;"",HYPERLINK("https://wa.me/507"&amp;REGEXREPLACE(C1089,"[^0-9]","")&amp;"?text="&amp;ENCODEURL("Ya llegue. Codigo: "&amp;A1089&amp;". Ubicacion: "&amp;"https://www.google.com/maps/search/?api=1&amp;query="&amp;SUBSTITUTE(F1089," ","")),"📲 Avisar al cliente"),"")</f>
        <v/>
      </c>
      <c r="L1089" s="8">
        <f>IF(C1089&lt;&gt;"","https://api.qrserver.com/v1/create-qr-code/?size=200x200&amp;data="&amp;ENCODEURL("https://wa.me/507"&amp;REGEXREPLACE(C1089,"[^0-9]","")&amp;"?text="&amp;ENCODEURL("Ya llegue. Codigo: "&amp;A1089&amp;". Ubicacion: "&amp;"https://www.google.com/maps/search/?api=1&amp;query="&amp;SUBSTITUTE(F1089," ",""))),"")</f>
        <v/>
      </c>
      <c r="M1089" s="8">
        <f>IF(B1089&lt;&gt;"",TODAY(),"")</f>
        <v/>
      </c>
      <c r="N1089" s="8">
        <f>IF(F1089&lt;&gt;"",IFERROR(IF(AND(REGEXMATCH(SUBSTITUTE(TRIM(F1089)," ",""),"^-?\d+(\.\d+)?,-?\d+(\.\d+)?$"),VALUE(REGEXEXTRACT(SUBSTITUTE(TRIM(F1089)," ",""),"^-?\d+(\.\d+)?"))&gt;=-90,VALUE(REGEXEXTRACT(SUBSTITUTE(TRIM(F1089)," ",""),"^-?\d+(\.\d+)?"))&lt;=90,VALUE(REGEXEXTRACT(SUBSTITUTE(TRIM(F1089)," ",""),"-?\d+(\.\d+)?$"))&gt;=-180,VALUE(REGEXEXTRACT(SUBSTITUTE(TRIM(F1089)," ",""),"-?\d+(\.\d+)?$"))&lt;=180),"OK","REVISAR"),"REVISAR"),"")</f>
        <v/>
      </c>
      <c r="O1089">
        <f>IF(A1089&lt;&gt;"","https://direcciones507.github.io/direcciones507/panel.html?codigo="&amp;A1089&amp;"&amp;nombre="&amp;ENCODEURL(B1089)&amp;"&amp;telefono="&amp;SUBSTITUTE(C1089,"-","")&amp;"&amp;referencia="&amp;ENCODEURL(E1089)&amp;"&amp;lat="&amp;IZQUIERDA(SUBSTITUTE(F1089," ",""),ENCONTRAR(",",SUBSTITUTE(F1089," ",""))-1)&amp;"&amp;lng="&amp;DERECHA(SUBSTITUTE(F1089," ",""),LARGO(SUBSTITUTE(F1089," ",""))-ENCONTRAR(",",SUBSTITUTE(F1089," ",""))),"")</f>
        <v/>
      </c>
    </row>
    <row r="1090" ht="15.75" customHeight="1" s="10">
      <c r="A1090" s="8">
        <f>CONCAT("AD507-",TEXT(ROW()-2,"0000"))</f>
        <v/>
      </c>
      <c r="C1090" s="8" t="n"/>
      <c r="F1090" s="8" t="n"/>
      <c r="G1090" s="8">
        <f>IF(F1090&lt;&gt;"",HYPERLINK("https://www.google.com/maps/search/?api=1&amp;query="&amp;SUBSTITUTE(F1090," ",""),"🗺 Google Maps"),"")</f>
        <v/>
      </c>
      <c r="H1090" s="8">
        <f>IF(F1090&lt;&gt;"",HYPERLINK("https://waze.com/ul?ll="&amp;SUBSTITUTE(F1090," ","")&amp;"&amp;navigate=yes","🚗 Waze"),"")</f>
        <v/>
      </c>
      <c r="I1090" s="8">
        <f>IF(F1090&lt;&gt;"",HYPERLINK("https://m.uber.com/ul/?action=setPickup&amp;pickup=my_location&amp;dropoff[latitude]="&amp;LEFT(SUBSTITUTE(F1090," ",""),FIND(",",SUBSTITUTE(F1090," ",""))-1)&amp;"&amp;dropoff[longitude]="&amp;MID(SUBSTITUTE(F1090," ",""),FIND(",",SUBSTITUTE(F1090," ",""))+1,99),"🚕 Uber"),"")</f>
        <v/>
      </c>
      <c r="J1090" s="8">
        <f>IF(F1090&lt;&gt;"","https://api.qrserver.com/v1/create-qr-code/?size=200x200&amp;data="&amp;ENCODEURL("https://www.google.com/maps/search/?api=1&amp;query="&amp;SUBSTITUTE(F1090," ","")),"")</f>
        <v/>
      </c>
      <c r="K1090" s="8">
        <f>IF(C1090&lt;&gt;"",HYPERLINK("https://wa.me/507"&amp;REGEXREPLACE(C1090,"[^0-9]","")&amp;"?text="&amp;ENCODEURL("Ya llegue. Codigo: "&amp;A1090&amp;". Ubicacion: "&amp;"https://www.google.com/maps/search/?api=1&amp;query="&amp;SUBSTITUTE(F1090," ","")),"📲 Avisar al cliente"),"")</f>
        <v/>
      </c>
      <c r="L1090" s="8">
        <f>IF(C1090&lt;&gt;"","https://api.qrserver.com/v1/create-qr-code/?size=200x200&amp;data="&amp;ENCODEURL("https://wa.me/507"&amp;REGEXREPLACE(C1090,"[^0-9]","")&amp;"?text="&amp;ENCODEURL("Ya llegue. Codigo: "&amp;A1090&amp;". Ubicacion: "&amp;"https://www.google.com/maps/search/?api=1&amp;query="&amp;SUBSTITUTE(F1090," ",""))),"")</f>
        <v/>
      </c>
      <c r="M1090" s="8">
        <f>IF(B1090&lt;&gt;"",TODAY(),"")</f>
        <v/>
      </c>
      <c r="N1090" s="8">
        <f>IF(F1090&lt;&gt;"",IFERROR(IF(AND(REGEXMATCH(SUBSTITUTE(TRIM(F1090)," ",""),"^-?\d+(\.\d+)?,-?\d+(\.\d+)?$"),VALUE(REGEXEXTRACT(SUBSTITUTE(TRIM(F1090)," ",""),"^-?\d+(\.\d+)?"))&gt;=-90,VALUE(REGEXEXTRACT(SUBSTITUTE(TRIM(F1090)," ",""),"^-?\d+(\.\d+)?"))&lt;=90,VALUE(REGEXEXTRACT(SUBSTITUTE(TRIM(F1090)," ",""),"-?\d+(\.\d+)?$"))&gt;=-180,VALUE(REGEXEXTRACT(SUBSTITUTE(TRIM(F1090)," ",""),"-?\d+(\.\d+)?$"))&lt;=180),"OK","REVISAR"),"REVISAR"),"")</f>
        <v/>
      </c>
      <c r="O1090">
        <f>IF(A1090&lt;&gt;"","https://direcciones507.github.io/direcciones507/panel.html?codigo="&amp;A1090&amp;"&amp;nombre="&amp;ENCODEURL(B1090)&amp;"&amp;telefono="&amp;SUBSTITUTE(C1090,"-","")&amp;"&amp;referencia="&amp;ENCODEURL(E1090)&amp;"&amp;lat="&amp;IZQUIERDA(SUBSTITUTE(F1090," ",""),ENCONTRAR(",",SUBSTITUTE(F1090," ",""))-1)&amp;"&amp;lng="&amp;DERECHA(SUBSTITUTE(F1090," ",""),LARGO(SUBSTITUTE(F1090," ",""))-ENCONTRAR(",",SUBSTITUTE(F1090," ",""))),"")</f>
        <v/>
      </c>
    </row>
    <row r="1091" ht="15.75" customHeight="1" s="10">
      <c r="A1091" s="8">
        <f>CONCAT("AD507-",TEXT(ROW()-2,"0000"))</f>
        <v/>
      </c>
      <c r="C1091" s="8" t="n"/>
      <c r="F1091" s="8" t="n"/>
      <c r="G1091" s="8">
        <f>IF(F1091&lt;&gt;"",HYPERLINK("https://www.google.com/maps/search/?api=1&amp;query="&amp;SUBSTITUTE(F1091," ",""),"🗺 Google Maps"),"")</f>
        <v/>
      </c>
      <c r="H1091" s="8">
        <f>IF(F1091&lt;&gt;"",HYPERLINK("https://waze.com/ul?ll="&amp;SUBSTITUTE(F1091," ","")&amp;"&amp;navigate=yes","🚗 Waze"),"")</f>
        <v/>
      </c>
      <c r="I1091" s="8">
        <f>IF(F1091&lt;&gt;"",HYPERLINK("https://m.uber.com/ul/?action=setPickup&amp;pickup=my_location&amp;dropoff[latitude]="&amp;LEFT(SUBSTITUTE(F1091," ",""),FIND(",",SUBSTITUTE(F1091," ",""))-1)&amp;"&amp;dropoff[longitude]="&amp;MID(SUBSTITUTE(F1091," ",""),FIND(",",SUBSTITUTE(F1091," ",""))+1,99),"🚕 Uber"),"")</f>
        <v/>
      </c>
      <c r="J1091" s="8">
        <f>IF(F1091&lt;&gt;"","https://api.qrserver.com/v1/create-qr-code/?size=200x200&amp;data="&amp;ENCODEURL("https://www.google.com/maps/search/?api=1&amp;query="&amp;SUBSTITUTE(F1091," ","")),"")</f>
        <v/>
      </c>
      <c r="K1091" s="8">
        <f>IF(C1091&lt;&gt;"",HYPERLINK("https://wa.me/507"&amp;REGEXREPLACE(C1091,"[^0-9]","")&amp;"?text="&amp;ENCODEURL("Ya llegue. Codigo: "&amp;A1091&amp;". Ubicacion: "&amp;"https://www.google.com/maps/search/?api=1&amp;query="&amp;SUBSTITUTE(F1091," ","")),"📲 Avisar al cliente"),"")</f>
        <v/>
      </c>
      <c r="L1091" s="8">
        <f>IF(C1091&lt;&gt;"","https://api.qrserver.com/v1/create-qr-code/?size=200x200&amp;data="&amp;ENCODEURL("https://wa.me/507"&amp;REGEXREPLACE(C1091,"[^0-9]","")&amp;"?text="&amp;ENCODEURL("Ya llegue. Codigo: "&amp;A1091&amp;". Ubicacion: "&amp;"https://www.google.com/maps/search/?api=1&amp;query="&amp;SUBSTITUTE(F1091," ",""))),"")</f>
        <v/>
      </c>
      <c r="M1091" s="8">
        <f>IF(B1091&lt;&gt;"",TODAY(),"")</f>
        <v/>
      </c>
      <c r="N1091" s="8">
        <f>IF(F1091&lt;&gt;"",IFERROR(IF(AND(REGEXMATCH(SUBSTITUTE(TRIM(F1091)," ",""),"^-?\d+(\.\d+)?,-?\d+(\.\d+)?$"),VALUE(REGEXEXTRACT(SUBSTITUTE(TRIM(F1091)," ",""),"^-?\d+(\.\d+)?"))&gt;=-90,VALUE(REGEXEXTRACT(SUBSTITUTE(TRIM(F1091)," ",""),"^-?\d+(\.\d+)?"))&lt;=90,VALUE(REGEXEXTRACT(SUBSTITUTE(TRIM(F1091)," ",""),"-?\d+(\.\d+)?$"))&gt;=-180,VALUE(REGEXEXTRACT(SUBSTITUTE(TRIM(F1091)," ",""),"-?\d+(\.\d+)?$"))&lt;=180),"OK","REVISAR"),"REVISAR"),"")</f>
        <v/>
      </c>
      <c r="O1091">
        <f>IF(A1091&lt;&gt;"","https://direcciones507.github.io/direcciones507/panel.html?codigo="&amp;A1091&amp;"&amp;nombre="&amp;ENCODEURL(B1091)&amp;"&amp;telefono="&amp;SUBSTITUTE(C1091,"-","")&amp;"&amp;referencia="&amp;ENCODEURL(E1091)&amp;"&amp;lat="&amp;IZQUIERDA(SUBSTITUTE(F1091," ",""),ENCONTRAR(",",SUBSTITUTE(F1091," ",""))-1)&amp;"&amp;lng="&amp;DERECHA(SUBSTITUTE(F1091," ",""),LARGO(SUBSTITUTE(F1091," ",""))-ENCONTRAR(",",SUBSTITUTE(F1091," ",""))),"")</f>
        <v/>
      </c>
    </row>
    <row r="1092" ht="15.75" customHeight="1" s="10">
      <c r="A1092" s="8">
        <f>CONCAT("AD507-",TEXT(ROW()-2,"0000"))</f>
        <v/>
      </c>
      <c r="C1092" s="8" t="n"/>
      <c r="F1092" s="8" t="n"/>
      <c r="G1092" s="8">
        <f>IF(F1092&lt;&gt;"",HYPERLINK("https://www.google.com/maps/search/?api=1&amp;query="&amp;SUBSTITUTE(F1092," ",""),"🗺 Google Maps"),"")</f>
        <v/>
      </c>
      <c r="H1092" s="8">
        <f>IF(F1092&lt;&gt;"",HYPERLINK("https://waze.com/ul?ll="&amp;SUBSTITUTE(F1092," ","")&amp;"&amp;navigate=yes","🚗 Waze"),"")</f>
        <v/>
      </c>
      <c r="I1092" s="8">
        <f>IF(F1092&lt;&gt;"",HYPERLINK("https://m.uber.com/ul/?action=setPickup&amp;pickup=my_location&amp;dropoff[latitude]="&amp;LEFT(SUBSTITUTE(F1092," ",""),FIND(",",SUBSTITUTE(F1092," ",""))-1)&amp;"&amp;dropoff[longitude]="&amp;MID(SUBSTITUTE(F1092," ",""),FIND(",",SUBSTITUTE(F1092," ",""))+1,99),"🚕 Uber"),"")</f>
        <v/>
      </c>
      <c r="J1092" s="8">
        <f>IF(F1092&lt;&gt;"","https://api.qrserver.com/v1/create-qr-code/?size=200x200&amp;data="&amp;ENCODEURL("https://www.google.com/maps/search/?api=1&amp;query="&amp;SUBSTITUTE(F1092," ","")),"")</f>
        <v/>
      </c>
      <c r="K1092" s="8">
        <f>IF(C1092&lt;&gt;"",HYPERLINK("https://wa.me/507"&amp;REGEXREPLACE(C1092,"[^0-9]","")&amp;"?text="&amp;ENCODEURL("Ya llegue. Codigo: "&amp;A1092&amp;". Ubicacion: "&amp;"https://www.google.com/maps/search/?api=1&amp;query="&amp;SUBSTITUTE(F1092," ","")),"📲 Avisar al cliente"),"")</f>
        <v/>
      </c>
      <c r="L1092" s="8">
        <f>IF(C1092&lt;&gt;"","https://api.qrserver.com/v1/create-qr-code/?size=200x200&amp;data="&amp;ENCODEURL("https://wa.me/507"&amp;REGEXREPLACE(C1092,"[^0-9]","")&amp;"?text="&amp;ENCODEURL("Ya llegue. Codigo: "&amp;A1092&amp;". Ubicacion: "&amp;"https://www.google.com/maps/search/?api=1&amp;query="&amp;SUBSTITUTE(F1092," ",""))),"")</f>
        <v/>
      </c>
      <c r="M1092" s="8">
        <f>IF(B1092&lt;&gt;"",TODAY(),"")</f>
        <v/>
      </c>
      <c r="N1092" s="8">
        <f>IF(F1092&lt;&gt;"",IFERROR(IF(AND(REGEXMATCH(SUBSTITUTE(TRIM(F1092)," ",""),"^-?\d+(\.\d+)?,-?\d+(\.\d+)?$"),VALUE(REGEXEXTRACT(SUBSTITUTE(TRIM(F1092)," ",""),"^-?\d+(\.\d+)?"))&gt;=-90,VALUE(REGEXEXTRACT(SUBSTITUTE(TRIM(F1092)," ",""),"^-?\d+(\.\d+)?"))&lt;=90,VALUE(REGEXEXTRACT(SUBSTITUTE(TRIM(F1092)," ",""),"-?\d+(\.\d+)?$"))&gt;=-180,VALUE(REGEXEXTRACT(SUBSTITUTE(TRIM(F1092)," ",""),"-?\d+(\.\d+)?$"))&lt;=180),"OK","REVISAR"),"REVISAR"),"")</f>
        <v/>
      </c>
      <c r="O1092">
        <f>IF(A1092&lt;&gt;"","https://direcciones507.github.io/direcciones507/panel.html?codigo="&amp;A1092&amp;"&amp;nombre="&amp;ENCODEURL(B1092)&amp;"&amp;telefono="&amp;SUBSTITUTE(C1092,"-","")&amp;"&amp;referencia="&amp;ENCODEURL(E1092)&amp;"&amp;lat="&amp;IZQUIERDA(SUBSTITUTE(F1092," ",""),ENCONTRAR(",",SUBSTITUTE(F1092," ",""))-1)&amp;"&amp;lng="&amp;DERECHA(SUBSTITUTE(F1092," ",""),LARGO(SUBSTITUTE(F1092," ",""))-ENCONTRAR(",",SUBSTITUTE(F1092," ",""))),"")</f>
        <v/>
      </c>
    </row>
    <row r="1093" ht="15.75" customHeight="1" s="10">
      <c r="A1093" s="8">
        <f>CONCAT("AD507-",TEXT(ROW()-2,"0000"))</f>
        <v/>
      </c>
      <c r="C1093" s="8" t="n"/>
      <c r="F1093" s="8" t="n"/>
      <c r="G1093" s="8">
        <f>IF(F1093&lt;&gt;"",HYPERLINK("https://www.google.com/maps/search/?api=1&amp;query="&amp;SUBSTITUTE(F1093," ",""),"🗺 Google Maps"),"")</f>
        <v/>
      </c>
      <c r="H1093" s="8">
        <f>IF(F1093&lt;&gt;"",HYPERLINK("https://waze.com/ul?ll="&amp;SUBSTITUTE(F1093," ","")&amp;"&amp;navigate=yes","🚗 Waze"),"")</f>
        <v/>
      </c>
      <c r="I1093" s="8">
        <f>IF(F1093&lt;&gt;"",HYPERLINK("https://m.uber.com/ul/?action=setPickup&amp;pickup=my_location&amp;dropoff[latitude]="&amp;LEFT(SUBSTITUTE(F1093," ",""),FIND(",",SUBSTITUTE(F1093," ",""))-1)&amp;"&amp;dropoff[longitude]="&amp;MID(SUBSTITUTE(F1093," ",""),FIND(",",SUBSTITUTE(F1093," ",""))+1,99),"🚕 Uber"),"")</f>
        <v/>
      </c>
      <c r="J1093" s="8">
        <f>IF(F1093&lt;&gt;"","https://api.qrserver.com/v1/create-qr-code/?size=200x200&amp;data="&amp;ENCODEURL("https://www.google.com/maps/search/?api=1&amp;query="&amp;SUBSTITUTE(F1093," ","")),"")</f>
        <v/>
      </c>
      <c r="K1093" s="8">
        <f>IF(C1093&lt;&gt;"",HYPERLINK("https://wa.me/507"&amp;REGEXREPLACE(C1093,"[^0-9]","")&amp;"?text="&amp;ENCODEURL("Ya llegue. Codigo: "&amp;A1093&amp;". Ubicacion: "&amp;"https://www.google.com/maps/search/?api=1&amp;query="&amp;SUBSTITUTE(F1093," ","")),"📲 Avisar al cliente"),"")</f>
        <v/>
      </c>
      <c r="L1093" s="8">
        <f>IF(C1093&lt;&gt;"","https://api.qrserver.com/v1/create-qr-code/?size=200x200&amp;data="&amp;ENCODEURL("https://wa.me/507"&amp;REGEXREPLACE(C1093,"[^0-9]","")&amp;"?text="&amp;ENCODEURL("Ya llegue. Codigo: "&amp;A1093&amp;". Ubicacion: "&amp;"https://www.google.com/maps/search/?api=1&amp;query="&amp;SUBSTITUTE(F1093," ",""))),"")</f>
        <v/>
      </c>
      <c r="M1093" s="8">
        <f>IF(B1093&lt;&gt;"",TODAY(),"")</f>
        <v/>
      </c>
      <c r="N1093" s="8">
        <f>IF(F1093&lt;&gt;"",IFERROR(IF(AND(REGEXMATCH(SUBSTITUTE(TRIM(F1093)," ",""),"^-?\d+(\.\d+)?,-?\d+(\.\d+)?$"),VALUE(REGEXEXTRACT(SUBSTITUTE(TRIM(F1093)," ",""),"^-?\d+(\.\d+)?"))&gt;=-90,VALUE(REGEXEXTRACT(SUBSTITUTE(TRIM(F1093)," ",""),"^-?\d+(\.\d+)?"))&lt;=90,VALUE(REGEXEXTRACT(SUBSTITUTE(TRIM(F1093)," ",""),"-?\d+(\.\d+)?$"))&gt;=-180,VALUE(REGEXEXTRACT(SUBSTITUTE(TRIM(F1093)," ",""),"-?\d+(\.\d+)?$"))&lt;=180),"OK","REVISAR"),"REVISAR"),"")</f>
        <v/>
      </c>
      <c r="O1093">
        <f>IF(A1093&lt;&gt;"","https://direcciones507.github.io/direcciones507/panel.html?codigo="&amp;A1093&amp;"&amp;nombre="&amp;ENCODEURL(B1093)&amp;"&amp;telefono="&amp;SUBSTITUTE(C1093,"-","")&amp;"&amp;referencia="&amp;ENCODEURL(E1093)&amp;"&amp;lat="&amp;IZQUIERDA(SUBSTITUTE(F1093," ",""),ENCONTRAR(",",SUBSTITUTE(F1093," ",""))-1)&amp;"&amp;lng="&amp;DERECHA(SUBSTITUTE(F1093," ",""),LARGO(SUBSTITUTE(F1093," ",""))-ENCONTRAR(",",SUBSTITUTE(F1093," ",""))),"")</f>
        <v/>
      </c>
    </row>
    <row r="1094" ht="15.75" customHeight="1" s="10">
      <c r="A1094" s="8">
        <f>CONCAT("AD507-",TEXT(ROW()-2,"0000"))</f>
        <v/>
      </c>
      <c r="C1094" s="8" t="n"/>
      <c r="F1094" s="8" t="n"/>
      <c r="G1094" s="8">
        <f>IF(F1094&lt;&gt;"",HYPERLINK("https://www.google.com/maps/search/?api=1&amp;query="&amp;SUBSTITUTE(F1094," ",""),"🗺 Google Maps"),"")</f>
        <v/>
      </c>
      <c r="H1094" s="8">
        <f>IF(F1094&lt;&gt;"",HYPERLINK("https://waze.com/ul?ll="&amp;SUBSTITUTE(F1094," ","")&amp;"&amp;navigate=yes","🚗 Waze"),"")</f>
        <v/>
      </c>
      <c r="I1094" s="8">
        <f>IF(F1094&lt;&gt;"",HYPERLINK("https://m.uber.com/ul/?action=setPickup&amp;pickup=my_location&amp;dropoff[latitude]="&amp;LEFT(SUBSTITUTE(F1094," ",""),FIND(",",SUBSTITUTE(F1094," ",""))-1)&amp;"&amp;dropoff[longitude]="&amp;MID(SUBSTITUTE(F1094," ",""),FIND(",",SUBSTITUTE(F1094," ",""))+1,99),"🚕 Uber"),"")</f>
        <v/>
      </c>
      <c r="J1094" s="8">
        <f>IF(F1094&lt;&gt;"","https://api.qrserver.com/v1/create-qr-code/?size=200x200&amp;data="&amp;ENCODEURL("https://www.google.com/maps/search/?api=1&amp;query="&amp;SUBSTITUTE(F1094," ","")),"")</f>
        <v/>
      </c>
      <c r="K1094" s="8">
        <f>IF(C1094&lt;&gt;"",HYPERLINK("https://wa.me/507"&amp;REGEXREPLACE(C1094,"[^0-9]","")&amp;"?text="&amp;ENCODEURL("Ya llegue. Codigo: "&amp;A1094&amp;". Ubicacion: "&amp;"https://www.google.com/maps/search/?api=1&amp;query="&amp;SUBSTITUTE(F1094," ","")),"📲 Avisar al cliente"),"")</f>
        <v/>
      </c>
      <c r="L1094" s="8">
        <f>IF(C1094&lt;&gt;"","https://api.qrserver.com/v1/create-qr-code/?size=200x200&amp;data="&amp;ENCODEURL("https://wa.me/507"&amp;REGEXREPLACE(C1094,"[^0-9]","")&amp;"?text="&amp;ENCODEURL("Ya llegue. Codigo: "&amp;A1094&amp;". Ubicacion: "&amp;"https://www.google.com/maps/search/?api=1&amp;query="&amp;SUBSTITUTE(F1094," ",""))),"")</f>
        <v/>
      </c>
      <c r="M1094" s="8">
        <f>IF(B1094&lt;&gt;"",TODAY(),"")</f>
        <v/>
      </c>
      <c r="N1094" s="8">
        <f>IF(F1094&lt;&gt;"",IFERROR(IF(AND(REGEXMATCH(SUBSTITUTE(TRIM(F1094)," ",""),"^-?\d+(\.\d+)?,-?\d+(\.\d+)?$"),VALUE(REGEXEXTRACT(SUBSTITUTE(TRIM(F1094)," ",""),"^-?\d+(\.\d+)?"))&gt;=-90,VALUE(REGEXEXTRACT(SUBSTITUTE(TRIM(F1094)," ",""),"^-?\d+(\.\d+)?"))&lt;=90,VALUE(REGEXEXTRACT(SUBSTITUTE(TRIM(F1094)," ",""),"-?\d+(\.\d+)?$"))&gt;=-180,VALUE(REGEXEXTRACT(SUBSTITUTE(TRIM(F1094)," ",""),"-?\d+(\.\d+)?$"))&lt;=180),"OK","REVISAR"),"REVISAR"),"")</f>
        <v/>
      </c>
      <c r="O1094">
        <f>IF(A1094&lt;&gt;"","https://direcciones507.github.io/direcciones507/panel.html?codigo="&amp;A1094&amp;"&amp;nombre="&amp;ENCODEURL(B1094)&amp;"&amp;telefono="&amp;SUBSTITUTE(C1094,"-","")&amp;"&amp;referencia="&amp;ENCODEURL(E1094)&amp;"&amp;lat="&amp;IZQUIERDA(SUBSTITUTE(F1094," ",""),ENCONTRAR(",",SUBSTITUTE(F1094," ",""))-1)&amp;"&amp;lng="&amp;DERECHA(SUBSTITUTE(F1094," ",""),LARGO(SUBSTITUTE(F1094," ",""))-ENCONTRAR(",",SUBSTITUTE(F1094," ",""))),"")</f>
        <v/>
      </c>
    </row>
    <row r="1095" ht="15.75" customHeight="1" s="10">
      <c r="A1095" s="8">
        <f>CONCAT("AD507-",TEXT(ROW()-2,"0000"))</f>
        <v/>
      </c>
      <c r="C1095" s="8" t="n"/>
      <c r="F1095" s="8" t="n"/>
      <c r="G1095" s="8">
        <f>IF(F1095&lt;&gt;"",HYPERLINK("https://www.google.com/maps/search/?api=1&amp;query="&amp;SUBSTITUTE(F1095," ",""),"🗺 Google Maps"),"")</f>
        <v/>
      </c>
      <c r="H1095" s="8">
        <f>IF(F1095&lt;&gt;"",HYPERLINK("https://waze.com/ul?ll="&amp;SUBSTITUTE(F1095," ","")&amp;"&amp;navigate=yes","🚗 Waze"),"")</f>
        <v/>
      </c>
      <c r="I1095" s="8">
        <f>IF(F1095&lt;&gt;"",HYPERLINK("https://m.uber.com/ul/?action=setPickup&amp;pickup=my_location&amp;dropoff[latitude]="&amp;LEFT(SUBSTITUTE(F1095," ",""),FIND(",",SUBSTITUTE(F1095," ",""))-1)&amp;"&amp;dropoff[longitude]="&amp;MID(SUBSTITUTE(F1095," ",""),FIND(",",SUBSTITUTE(F1095," ",""))+1,99),"🚕 Uber"),"")</f>
        <v/>
      </c>
      <c r="J1095" s="8">
        <f>IF(F1095&lt;&gt;"","https://api.qrserver.com/v1/create-qr-code/?size=200x200&amp;data="&amp;ENCODEURL("https://www.google.com/maps/search/?api=1&amp;query="&amp;SUBSTITUTE(F1095," ","")),"")</f>
        <v/>
      </c>
      <c r="K1095" s="8">
        <f>IF(C1095&lt;&gt;"",HYPERLINK("https://wa.me/507"&amp;REGEXREPLACE(C1095,"[^0-9]","")&amp;"?text="&amp;ENCODEURL("Ya llegue. Codigo: "&amp;A1095&amp;". Ubicacion: "&amp;"https://www.google.com/maps/search/?api=1&amp;query="&amp;SUBSTITUTE(F1095," ","")),"📲 Avisar al cliente"),"")</f>
        <v/>
      </c>
      <c r="L1095" s="8">
        <f>IF(C1095&lt;&gt;"","https://api.qrserver.com/v1/create-qr-code/?size=200x200&amp;data="&amp;ENCODEURL("https://wa.me/507"&amp;REGEXREPLACE(C1095,"[^0-9]","")&amp;"?text="&amp;ENCODEURL("Ya llegue. Codigo: "&amp;A1095&amp;". Ubicacion: "&amp;"https://www.google.com/maps/search/?api=1&amp;query="&amp;SUBSTITUTE(F1095," ",""))),"")</f>
        <v/>
      </c>
      <c r="M1095" s="8">
        <f>IF(B1095&lt;&gt;"",TODAY(),"")</f>
        <v/>
      </c>
      <c r="N1095" s="8">
        <f>IF(F1095&lt;&gt;"",IFERROR(IF(AND(REGEXMATCH(SUBSTITUTE(TRIM(F1095)," ",""),"^-?\d+(\.\d+)?,-?\d+(\.\d+)?$"),VALUE(REGEXEXTRACT(SUBSTITUTE(TRIM(F1095)," ",""),"^-?\d+(\.\d+)?"))&gt;=-90,VALUE(REGEXEXTRACT(SUBSTITUTE(TRIM(F1095)," ",""),"^-?\d+(\.\d+)?"))&lt;=90,VALUE(REGEXEXTRACT(SUBSTITUTE(TRIM(F1095)," ",""),"-?\d+(\.\d+)?$"))&gt;=-180,VALUE(REGEXEXTRACT(SUBSTITUTE(TRIM(F1095)," ",""),"-?\d+(\.\d+)?$"))&lt;=180),"OK","REVISAR"),"REVISAR"),"")</f>
        <v/>
      </c>
      <c r="O1095">
        <f>IF(A1095&lt;&gt;"","https://direcciones507.github.io/direcciones507/panel.html?codigo="&amp;A1095&amp;"&amp;nombre="&amp;ENCODEURL(B1095)&amp;"&amp;telefono="&amp;SUBSTITUTE(C1095,"-","")&amp;"&amp;referencia="&amp;ENCODEURL(E1095)&amp;"&amp;lat="&amp;IZQUIERDA(SUBSTITUTE(F1095," ",""),ENCONTRAR(",",SUBSTITUTE(F1095," ",""))-1)&amp;"&amp;lng="&amp;DERECHA(SUBSTITUTE(F1095," ",""),LARGO(SUBSTITUTE(F1095," ",""))-ENCONTRAR(",",SUBSTITUTE(F1095," ",""))),"")</f>
        <v/>
      </c>
    </row>
    <row r="1096" ht="15.75" customHeight="1" s="10">
      <c r="A1096" s="8">
        <f>CONCAT("AD507-",TEXT(ROW()-2,"0000"))</f>
        <v/>
      </c>
      <c r="C1096" s="8" t="n"/>
      <c r="F1096" s="8" t="n"/>
      <c r="G1096" s="8">
        <f>IF(F1096&lt;&gt;"",HYPERLINK("https://www.google.com/maps/search/?api=1&amp;query="&amp;SUBSTITUTE(F1096," ",""),"🗺 Google Maps"),"")</f>
        <v/>
      </c>
      <c r="H1096" s="8">
        <f>IF(F1096&lt;&gt;"",HYPERLINK("https://waze.com/ul?ll="&amp;SUBSTITUTE(F1096," ","")&amp;"&amp;navigate=yes","🚗 Waze"),"")</f>
        <v/>
      </c>
      <c r="I1096" s="8">
        <f>IF(F1096&lt;&gt;"",HYPERLINK("https://m.uber.com/ul/?action=setPickup&amp;pickup=my_location&amp;dropoff[latitude]="&amp;LEFT(SUBSTITUTE(F1096," ",""),FIND(",",SUBSTITUTE(F1096," ",""))-1)&amp;"&amp;dropoff[longitude]="&amp;MID(SUBSTITUTE(F1096," ",""),FIND(",",SUBSTITUTE(F1096," ",""))+1,99),"🚕 Uber"),"")</f>
        <v/>
      </c>
      <c r="J1096" s="8">
        <f>IF(F1096&lt;&gt;"","https://api.qrserver.com/v1/create-qr-code/?size=200x200&amp;data="&amp;ENCODEURL("https://www.google.com/maps/search/?api=1&amp;query="&amp;SUBSTITUTE(F1096," ","")),"")</f>
        <v/>
      </c>
      <c r="K1096" s="8">
        <f>IF(C1096&lt;&gt;"",HYPERLINK("https://wa.me/507"&amp;REGEXREPLACE(C1096,"[^0-9]","")&amp;"?text="&amp;ENCODEURL("Ya llegue. Codigo: "&amp;A1096&amp;". Ubicacion: "&amp;"https://www.google.com/maps/search/?api=1&amp;query="&amp;SUBSTITUTE(F1096," ","")),"📲 Avisar al cliente"),"")</f>
        <v/>
      </c>
      <c r="L1096" s="8">
        <f>IF(C1096&lt;&gt;"","https://api.qrserver.com/v1/create-qr-code/?size=200x200&amp;data="&amp;ENCODEURL("https://wa.me/507"&amp;REGEXREPLACE(C1096,"[^0-9]","")&amp;"?text="&amp;ENCODEURL("Ya llegue. Codigo: "&amp;A1096&amp;". Ubicacion: "&amp;"https://www.google.com/maps/search/?api=1&amp;query="&amp;SUBSTITUTE(F1096," ",""))),"")</f>
        <v/>
      </c>
      <c r="M1096" s="8">
        <f>IF(B1096&lt;&gt;"",TODAY(),"")</f>
        <v/>
      </c>
      <c r="N1096" s="8">
        <f>IF(F1096&lt;&gt;"",IFERROR(IF(AND(REGEXMATCH(SUBSTITUTE(TRIM(F1096)," ",""),"^-?\d+(\.\d+)?,-?\d+(\.\d+)?$"),VALUE(REGEXEXTRACT(SUBSTITUTE(TRIM(F1096)," ",""),"^-?\d+(\.\d+)?"))&gt;=-90,VALUE(REGEXEXTRACT(SUBSTITUTE(TRIM(F1096)," ",""),"^-?\d+(\.\d+)?"))&lt;=90,VALUE(REGEXEXTRACT(SUBSTITUTE(TRIM(F1096)," ",""),"-?\d+(\.\d+)?$"))&gt;=-180,VALUE(REGEXEXTRACT(SUBSTITUTE(TRIM(F1096)," ",""),"-?\d+(\.\d+)?$"))&lt;=180),"OK","REVISAR"),"REVISAR"),"")</f>
        <v/>
      </c>
      <c r="O1096">
        <f>IF(A1096&lt;&gt;"","https://direcciones507.github.io/direcciones507/panel.html?codigo="&amp;A1096&amp;"&amp;nombre="&amp;ENCODEURL(B1096)&amp;"&amp;telefono="&amp;SUBSTITUTE(C1096,"-","")&amp;"&amp;referencia="&amp;ENCODEURL(E1096)&amp;"&amp;lat="&amp;IZQUIERDA(SUBSTITUTE(F1096," ",""),ENCONTRAR(",",SUBSTITUTE(F1096," ",""))-1)&amp;"&amp;lng="&amp;DERECHA(SUBSTITUTE(F1096," ",""),LARGO(SUBSTITUTE(F1096," ",""))-ENCONTRAR(",",SUBSTITUTE(F1096," ",""))),"")</f>
        <v/>
      </c>
    </row>
    <row r="1097" ht="15.75" customHeight="1" s="10">
      <c r="A1097" s="8">
        <f>CONCAT("AD507-",TEXT(ROW()-2,"0000"))</f>
        <v/>
      </c>
      <c r="C1097" s="8" t="n"/>
      <c r="F1097" s="8" t="n"/>
      <c r="G1097" s="8">
        <f>IF(F1097&lt;&gt;"",HYPERLINK("https://www.google.com/maps/search/?api=1&amp;query="&amp;SUBSTITUTE(F1097," ",""),"🗺 Google Maps"),"")</f>
        <v/>
      </c>
      <c r="H1097" s="8">
        <f>IF(F1097&lt;&gt;"",HYPERLINK("https://waze.com/ul?ll="&amp;SUBSTITUTE(F1097," ","")&amp;"&amp;navigate=yes","🚗 Waze"),"")</f>
        <v/>
      </c>
      <c r="I1097" s="8">
        <f>IF(F1097&lt;&gt;"",HYPERLINK("https://m.uber.com/ul/?action=setPickup&amp;pickup=my_location&amp;dropoff[latitude]="&amp;LEFT(SUBSTITUTE(F1097," ",""),FIND(",",SUBSTITUTE(F1097," ",""))-1)&amp;"&amp;dropoff[longitude]="&amp;MID(SUBSTITUTE(F1097," ",""),FIND(",",SUBSTITUTE(F1097," ",""))+1,99),"🚕 Uber"),"")</f>
        <v/>
      </c>
      <c r="J1097" s="8">
        <f>IF(F1097&lt;&gt;"","https://api.qrserver.com/v1/create-qr-code/?size=200x200&amp;data="&amp;ENCODEURL("https://www.google.com/maps/search/?api=1&amp;query="&amp;SUBSTITUTE(F1097," ","")),"")</f>
        <v/>
      </c>
      <c r="K1097" s="8">
        <f>IF(C1097&lt;&gt;"",HYPERLINK("https://wa.me/507"&amp;REGEXREPLACE(C1097,"[^0-9]","")&amp;"?text="&amp;ENCODEURL("Ya llegue. Codigo: "&amp;A1097&amp;". Ubicacion: "&amp;"https://www.google.com/maps/search/?api=1&amp;query="&amp;SUBSTITUTE(F1097," ","")),"📲 Avisar al cliente"),"")</f>
        <v/>
      </c>
      <c r="L1097" s="8">
        <f>IF(C1097&lt;&gt;"","https://api.qrserver.com/v1/create-qr-code/?size=200x200&amp;data="&amp;ENCODEURL("https://wa.me/507"&amp;REGEXREPLACE(C1097,"[^0-9]","")&amp;"?text="&amp;ENCODEURL("Ya llegue. Codigo: "&amp;A1097&amp;". Ubicacion: "&amp;"https://www.google.com/maps/search/?api=1&amp;query="&amp;SUBSTITUTE(F1097," ",""))),"")</f>
        <v/>
      </c>
      <c r="M1097" s="8">
        <f>IF(B1097&lt;&gt;"",TODAY(),"")</f>
        <v/>
      </c>
      <c r="N1097" s="8">
        <f>IF(F1097&lt;&gt;"",IFERROR(IF(AND(REGEXMATCH(SUBSTITUTE(TRIM(F1097)," ",""),"^-?\d+(\.\d+)?,-?\d+(\.\d+)?$"),VALUE(REGEXEXTRACT(SUBSTITUTE(TRIM(F1097)," ",""),"^-?\d+(\.\d+)?"))&gt;=-90,VALUE(REGEXEXTRACT(SUBSTITUTE(TRIM(F1097)," ",""),"^-?\d+(\.\d+)?"))&lt;=90,VALUE(REGEXEXTRACT(SUBSTITUTE(TRIM(F1097)," ",""),"-?\d+(\.\d+)?$"))&gt;=-180,VALUE(REGEXEXTRACT(SUBSTITUTE(TRIM(F1097)," ",""),"-?\d+(\.\d+)?$"))&lt;=180),"OK","REVISAR"),"REVISAR"),"")</f>
        <v/>
      </c>
      <c r="O1097">
        <f>IF(A1097&lt;&gt;"","https://direcciones507.github.io/direcciones507/panel.html?codigo="&amp;A1097&amp;"&amp;nombre="&amp;ENCODEURL(B1097)&amp;"&amp;telefono="&amp;SUBSTITUTE(C1097,"-","")&amp;"&amp;referencia="&amp;ENCODEURL(E1097)&amp;"&amp;lat="&amp;IZQUIERDA(SUBSTITUTE(F1097," ",""),ENCONTRAR(",",SUBSTITUTE(F1097," ",""))-1)&amp;"&amp;lng="&amp;DERECHA(SUBSTITUTE(F1097," ",""),LARGO(SUBSTITUTE(F1097," ",""))-ENCONTRAR(",",SUBSTITUTE(F1097," ",""))),"")</f>
        <v/>
      </c>
    </row>
    <row r="1098" ht="15.75" customHeight="1" s="10">
      <c r="A1098" s="8">
        <f>CONCAT("AD507-",TEXT(ROW()-2,"0000"))</f>
        <v/>
      </c>
      <c r="C1098" s="8" t="n"/>
      <c r="F1098" s="8" t="n"/>
      <c r="G1098" s="8">
        <f>IF(F1098&lt;&gt;"",HYPERLINK("https://www.google.com/maps/search/?api=1&amp;query="&amp;SUBSTITUTE(F1098," ",""),"🗺 Google Maps"),"")</f>
        <v/>
      </c>
      <c r="H1098" s="8">
        <f>IF(F1098&lt;&gt;"",HYPERLINK("https://waze.com/ul?ll="&amp;SUBSTITUTE(F1098," ","")&amp;"&amp;navigate=yes","🚗 Waze"),"")</f>
        <v/>
      </c>
      <c r="I1098" s="8">
        <f>IF(F1098&lt;&gt;"",HYPERLINK("https://m.uber.com/ul/?action=setPickup&amp;pickup=my_location&amp;dropoff[latitude]="&amp;LEFT(SUBSTITUTE(F1098," ",""),FIND(",",SUBSTITUTE(F1098," ",""))-1)&amp;"&amp;dropoff[longitude]="&amp;MID(SUBSTITUTE(F1098," ",""),FIND(",",SUBSTITUTE(F1098," ",""))+1,99),"🚕 Uber"),"")</f>
        <v/>
      </c>
      <c r="J1098" s="8">
        <f>IF(F1098&lt;&gt;"","https://api.qrserver.com/v1/create-qr-code/?size=200x200&amp;data="&amp;ENCODEURL("https://www.google.com/maps/search/?api=1&amp;query="&amp;SUBSTITUTE(F1098," ","")),"")</f>
        <v/>
      </c>
      <c r="K1098" s="8">
        <f>IF(C1098&lt;&gt;"",HYPERLINK("https://wa.me/507"&amp;REGEXREPLACE(C1098,"[^0-9]","")&amp;"?text="&amp;ENCODEURL("Ya llegue. Codigo: "&amp;A1098&amp;". Ubicacion: "&amp;"https://www.google.com/maps/search/?api=1&amp;query="&amp;SUBSTITUTE(F1098," ","")),"📲 Avisar al cliente"),"")</f>
        <v/>
      </c>
      <c r="L1098" s="8">
        <f>IF(C1098&lt;&gt;"","https://api.qrserver.com/v1/create-qr-code/?size=200x200&amp;data="&amp;ENCODEURL("https://wa.me/507"&amp;REGEXREPLACE(C1098,"[^0-9]","")&amp;"?text="&amp;ENCODEURL("Ya llegue. Codigo: "&amp;A1098&amp;". Ubicacion: "&amp;"https://www.google.com/maps/search/?api=1&amp;query="&amp;SUBSTITUTE(F1098," ",""))),"")</f>
        <v/>
      </c>
      <c r="M1098" s="8">
        <f>IF(B1098&lt;&gt;"",TODAY(),"")</f>
        <v/>
      </c>
      <c r="N1098" s="8">
        <f>IF(F1098&lt;&gt;"",IFERROR(IF(AND(REGEXMATCH(SUBSTITUTE(TRIM(F1098)," ",""),"^-?\d+(\.\d+)?,-?\d+(\.\d+)?$"),VALUE(REGEXEXTRACT(SUBSTITUTE(TRIM(F1098)," ",""),"^-?\d+(\.\d+)?"))&gt;=-90,VALUE(REGEXEXTRACT(SUBSTITUTE(TRIM(F1098)," ",""),"^-?\d+(\.\d+)?"))&lt;=90,VALUE(REGEXEXTRACT(SUBSTITUTE(TRIM(F1098)," ",""),"-?\d+(\.\d+)?$"))&gt;=-180,VALUE(REGEXEXTRACT(SUBSTITUTE(TRIM(F1098)," ",""),"-?\d+(\.\d+)?$"))&lt;=180),"OK","REVISAR"),"REVISAR"),"")</f>
        <v/>
      </c>
      <c r="O1098">
        <f>IF(A1098&lt;&gt;"","https://direcciones507.github.io/direcciones507/panel.html?codigo="&amp;A1098&amp;"&amp;nombre="&amp;ENCODEURL(B1098)&amp;"&amp;telefono="&amp;SUBSTITUTE(C1098,"-","")&amp;"&amp;referencia="&amp;ENCODEURL(E1098)&amp;"&amp;lat="&amp;IZQUIERDA(SUBSTITUTE(F1098," ",""),ENCONTRAR(",",SUBSTITUTE(F1098," ",""))-1)&amp;"&amp;lng="&amp;DERECHA(SUBSTITUTE(F1098," ",""),LARGO(SUBSTITUTE(F1098," ",""))-ENCONTRAR(",",SUBSTITUTE(F1098," ",""))),"")</f>
        <v/>
      </c>
    </row>
    <row r="1099" ht="15.75" customHeight="1" s="10">
      <c r="A1099" s="8">
        <f>CONCAT("AD507-",TEXT(ROW()-2,"0000"))</f>
        <v/>
      </c>
      <c r="C1099" s="8" t="n"/>
      <c r="F1099" s="8" t="n"/>
      <c r="G1099" s="8">
        <f>IF(F1099&lt;&gt;"",HYPERLINK("https://www.google.com/maps/search/?api=1&amp;query="&amp;SUBSTITUTE(F1099," ",""),"🗺 Google Maps"),"")</f>
        <v/>
      </c>
      <c r="H1099" s="8">
        <f>IF(F1099&lt;&gt;"",HYPERLINK("https://waze.com/ul?ll="&amp;SUBSTITUTE(F1099," ","")&amp;"&amp;navigate=yes","🚗 Waze"),"")</f>
        <v/>
      </c>
      <c r="I1099" s="8">
        <f>IF(F1099&lt;&gt;"",HYPERLINK("https://m.uber.com/ul/?action=setPickup&amp;pickup=my_location&amp;dropoff[latitude]="&amp;LEFT(SUBSTITUTE(F1099," ",""),FIND(",",SUBSTITUTE(F1099," ",""))-1)&amp;"&amp;dropoff[longitude]="&amp;MID(SUBSTITUTE(F1099," ",""),FIND(",",SUBSTITUTE(F1099," ",""))+1,99),"🚕 Uber"),"")</f>
        <v/>
      </c>
      <c r="J1099" s="8">
        <f>IF(F1099&lt;&gt;"","https://api.qrserver.com/v1/create-qr-code/?size=200x200&amp;data="&amp;ENCODEURL("https://www.google.com/maps/search/?api=1&amp;query="&amp;SUBSTITUTE(F1099," ","")),"")</f>
        <v/>
      </c>
      <c r="K1099" s="8">
        <f>IF(C1099&lt;&gt;"",HYPERLINK("https://wa.me/507"&amp;REGEXREPLACE(C1099,"[^0-9]","")&amp;"?text="&amp;ENCODEURL("Ya llegue. Codigo: "&amp;A1099&amp;". Ubicacion: "&amp;"https://www.google.com/maps/search/?api=1&amp;query="&amp;SUBSTITUTE(F1099," ","")),"📲 Avisar al cliente"),"")</f>
        <v/>
      </c>
      <c r="L1099" s="8">
        <f>IF(C1099&lt;&gt;"","https://api.qrserver.com/v1/create-qr-code/?size=200x200&amp;data="&amp;ENCODEURL("https://wa.me/507"&amp;REGEXREPLACE(C1099,"[^0-9]","")&amp;"?text="&amp;ENCODEURL("Ya llegue. Codigo: "&amp;A1099&amp;". Ubicacion: "&amp;"https://www.google.com/maps/search/?api=1&amp;query="&amp;SUBSTITUTE(F1099," ",""))),"")</f>
        <v/>
      </c>
      <c r="M1099" s="8">
        <f>IF(B1099&lt;&gt;"",TODAY(),"")</f>
        <v/>
      </c>
      <c r="N1099" s="8">
        <f>IF(F1099&lt;&gt;"",IFERROR(IF(AND(REGEXMATCH(SUBSTITUTE(TRIM(F1099)," ",""),"^-?\d+(\.\d+)?,-?\d+(\.\d+)?$"),VALUE(REGEXEXTRACT(SUBSTITUTE(TRIM(F1099)," ",""),"^-?\d+(\.\d+)?"))&gt;=-90,VALUE(REGEXEXTRACT(SUBSTITUTE(TRIM(F1099)," ",""),"^-?\d+(\.\d+)?"))&lt;=90,VALUE(REGEXEXTRACT(SUBSTITUTE(TRIM(F1099)," ",""),"-?\d+(\.\d+)?$"))&gt;=-180,VALUE(REGEXEXTRACT(SUBSTITUTE(TRIM(F1099)," ",""),"-?\d+(\.\d+)?$"))&lt;=180),"OK","REVISAR"),"REVISAR"),"")</f>
        <v/>
      </c>
      <c r="O1099">
        <f>IF(A1099&lt;&gt;"","https://direcciones507.github.io/direcciones507/panel.html?codigo="&amp;A1099&amp;"&amp;nombre="&amp;ENCODEURL(B1099)&amp;"&amp;telefono="&amp;SUBSTITUTE(C1099,"-","")&amp;"&amp;referencia="&amp;ENCODEURL(E1099)&amp;"&amp;lat="&amp;IZQUIERDA(SUBSTITUTE(F1099," ",""),ENCONTRAR(",",SUBSTITUTE(F1099," ",""))-1)&amp;"&amp;lng="&amp;DERECHA(SUBSTITUTE(F1099," ",""),LARGO(SUBSTITUTE(F1099," ",""))-ENCONTRAR(",",SUBSTITUTE(F1099," ",""))),"")</f>
        <v/>
      </c>
    </row>
    <row r="1100" ht="15.75" customHeight="1" s="10">
      <c r="A1100" s="8">
        <f>CONCAT("AD507-",TEXT(ROW()-2,"0000"))</f>
        <v/>
      </c>
      <c r="C1100" s="8" t="n"/>
      <c r="F1100" s="8" t="n"/>
      <c r="G1100" s="8">
        <f>IF(F1100&lt;&gt;"",HYPERLINK("https://www.google.com/maps/search/?api=1&amp;query="&amp;SUBSTITUTE(F1100," ",""),"🗺 Google Maps"),"")</f>
        <v/>
      </c>
      <c r="H1100" s="8">
        <f>IF(F1100&lt;&gt;"",HYPERLINK("https://waze.com/ul?ll="&amp;SUBSTITUTE(F1100," ","")&amp;"&amp;navigate=yes","🚗 Waze"),"")</f>
        <v/>
      </c>
      <c r="I1100" s="8">
        <f>IF(F1100&lt;&gt;"",HYPERLINK("https://m.uber.com/ul/?action=setPickup&amp;pickup=my_location&amp;dropoff[latitude]="&amp;LEFT(SUBSTITUTE(F1100," ",""),FIND(",",SUBSTITUTE(F1100," ",""))-1)&amp;"&amp;dropoff[longitude]="&amp;MID(SUBSTITUTE(F1100," ",""),FIND(",",SUBSTITUTE(F1100," ",""))+1,99),"🚕 Uber"),"")</f>
        <v/>
      </c>
      <c r="J1100" s="8">
        <f>IF(F1100&lt;&gt;"","https://api.qrserver.com/v1/create-qr-code/?size=200x200&amp;data="&amp;ENCODEURL("https://www.google.com/maps/search/?api=1&amp;query="&amp;SUBSTITUTE(F1100," ","")),"")</f>
        <v/>
      </c>
      <c r="K1100" s="8">
        <f>IF(C1100&lt;&gt;"",HYPERLINK("https://wa.me/507"&amp;REGEXREPLACE(C1100,"[^0-9]","")&amp;"?text="&amp;ENCODEURL("Ya llegue. Codigo: "&amp;A1100&amp;". Ubicacion: "&amp;"https://www.google.com/maps/search/?api=1&amp;query="&amp;SUBSTITUTE(F1100," ","")),"📲 Avisar al cliente"),"")</f>
        <v/>
      </c>
      <c r="L1100" s="8">
        <f>IF(C1100&lt;&gt;"","https://api.qrserver.com/v1/create-qr-code/?size=200x200&amp;data="&amp;ENCODEURL("https://wa.me/507"&amp;REGEXREPLACE(C1100,"[^0-9]","")&amp;"?text="&amp;ENCODEURL("Ya llegue. Codigo: "&amp;A1100&amp;". Ubicacion: "&amp;"https://www.google.com/maps/search/?api=1&amp;query="&amp;SUBSTITUTE(F1100," ",""))),"")</f>
        <v/>
      </c>
      <c r="M1100" s="8">
        <f>IF(B1100&lt;&gt;"",TODAY(),"")</f>
        <v/>
      </c>
      <c r="N1100" s="8">
        <f>IF(F1100&lt;&gt;"",IFERROR(IF(AND(REGEXMATCH(SUBSTITUTE(TRIM(F1100)," ",""),"^-?\d+(\.\d+)?,-?\d+(\.\d+)?$"),VALUE(REGEXEXTRACT(SUBSTITUTE(TRIM(F1100)," ",""),"^-?\d+(\.\d+)?"))&gt;=-90,VALUE(REGEXEXTRACT(SUBSTITUTE(TRIM(F1100)," ",""),"^-?\d+(\.\d+)?"))&lt;=90,VALUE(REGEXEXTRACT(SUBSTITUTE(TRIM(F1100)," ",""),"-?\d+(\.\d+)?$"))&gt;=-180,VALUE(REGEXEXTRACT(SUBSTITUTE(TRIM(F1100)," ",""),"-?\d+(\.\d+)?$"))&lt;=180),"OK","REVISAR"),"REVISAR"),"")</f>
        <v/>
      </c>
      <c r="O1100">
        <f>IF(A1100&lt;&gt;"","https://direcciones507.github.io/direcciones507/panel.html?codigo="&amp;A1100&amp;"&amp;nombre="&amp;ENCODEURL(B1100)&amp;"&amp;telefono="&amp;SUBSTITUTE(C1100,"-","")&amp;"&amp;referencia="&amp;ENCODEURL(E1100)&amp;"&amp;lat="&amp;IZQUIERDA(SUBSTITUTE(F1100," ",""),ENCONTRAR(",",SUBSTITUTE(F1100," ",""))-1)&amp;"&amp;lng="&amp;DERECHA(SUBSTITUTE(F1100," ",""),LARGO(SUBSTITUTE(F1100," ",""))-ENCONTRAR(",",SUBSTITUTE(F1100," ",""))),"")</f>
        <v/>
      </c>
    </row>
    <row r="1101" ht="15.75" customHeight="1" s="10">
      <c r="A1101" s="8">
        <f>CONCAT("AD507-",TEXT(ROW()-2,"0000"))</f>
        <v/>
      </c>
      <c r="C1101" s="8" t="n"/>
      <c r="F1101" s="8" t="n"/>
      <c r="G1101" s="8">
        <f>IF(F1101&lt;&gt;"",HYPERLINK("https://www.google.com/maps/search/?api=1&amp;query="&amp;SUBSTITUTE(F1101," ",""),"🗺 Google Maps"),"")</f>
        <v/>
      </c>
      <c r="H1101" s="8">
        <f>IF(F1101&lt;&gt;"",HYPERLINK("https://waze.com/ul?ll="&amp;SUBSTITUTE(F1101," ","")&amp;"&amp;navigate=yes","🚗 Waze"),"")</f>
        <v/>
      </c>
      <c r="I1101" s="8">
        <f>IF(F1101&lt;&gt;"",HYPERLINK("https://m.uber.com/ul/?action=setPickup&amp;pickup=my_location&amp;dropoff[latitude]="&amp;LEFT(SUBSTITUTE(F1101," ",""),FIND(",",SUBSTITUTE(F1101," ",""))-1)&amp;"&amp;dropoff[longitude]="&amp;MID(SUBSTITUTE(F1101," ",""),FIND(",",SUBSTITUTE(F1101," ",""))+1,99),"🚕 Uber"),"")</f>
        <v/>
      </c>
      <c r="J1101" s="8">
        <f>IF(F1101&lt;&gt;"","https://api.qrserver.com/v1/create-qr-code/?size=200x200&amp;data="&amp;ENCODEURL("https://www.google.com/maps/search/?api=1&amp;query="&amp;SUBSTITUTE(F1101," ","")),"")</f>
        <v/>
      </c>
      <c r="K1101" s="8">
        <f>IF(C1101&lt;&gt;"",HYPERLINK("https://wa.me/507"&amp;REGEXREPLACE(C1101,"[^0-9]","")&amp;"?text="&amp;ENCODEURL("Ya llegue. Codigo: "&amp;A1101&amp;". Ubicacion: "&amp;"https://www.google.com/maps/search/?api=1&amp;query="&amp;SUBSTITUTE(F1101," ","")),"📲 Avisar al cliente"),"")</f>
        <v/>
      </c>
      <c r="L1101" s="8">
        <f>IF(C1101&lt;&gt;"","https://api.qrserver.com/v1/create-qr-code/?size=200x200&amp;data="&amp;ENCODEURL("https://wa.me/507"&amp;REGEXREPLACE(C1101,"[^0-9]","")&amp;"?text="&amp;ENCODEURL("Ya llegue. Codigo: "&amp;A1101&amp;". Ubicacion: "&amp;"https://www.google.com/maps/search/?api=1&amp;query="&amp;SUBSTITUTE(F1101," ",""))),"")</f>
        <v/>
      </c>
      <c r="M1101" s="8">
        <f>IF(B1101&lt;&gt;"",TODAY(),"")</f>
        <v/>
      </c>
      <c r="N1101" s="8">
        <f>IF(F1101&lt;&gt;"",IFERROR(IF(AND(REGEXMATCH(SUBSTITUTE(TRIM(F1101)," ",""),"^-?\d+(\.\d+)?,-?\d+(\.\d+)?$"),VALUE(REGEXEXTRACT(SUBSTITUTE(TRIM(F1101)," ",""),"^-?\d+(\.\d+)?"))&gt;=-90,VALUE(REGEXEXTRACT(SUBSTITUTE(TRIM(F1101)," ",""),"^-?\d+(\.\d+)?"))&lt;=90,VALUE(REGEXEXTRACT(SUBSTITUTE(TRIM(F1101)," ",""),"-?\d+(\.\d+)?$"))&gt;=-180,VALUE(REGEXEXTRACT(SUBSTITUTE(TRIM(F1101)," ",""),"-?\d+(\.\d+)?$"))&lt;=180),"OK","REVISAR"),"REVISAR"),"")</f>
        <v/>
      </c>
      <c r="O1101">
        <f>IF(A1101&lt;&gt;"","https://direcciones507.github.io/direcciones507/panel.html?codigo="&amp;A1101&amp;"&amp;nombre="&amp;ENCODEURL(B1101)&amp;"&amp;telefono="&amp;SUBSTITUTE(C1101,"-","")&amp;"&amp;referencia="&amp;ENCODEURL(E1101)&amp;"&amp;lat="&amp;IZQUIERDA(SUBSTITUTE(F1101," ",""),ENCONTRAR(",",SUBSTITUTE(F1101," ",""))-1)&amp;"&amp;lng="&amp;DERECHA(SUBSTITUTE(F1101," ",""),LARGO(SUBSTITUTE(F1101," ",""))-ENCONTRAR(",",SUBSTITUTE(F1101," ",""))),"")</f>
        <v/>
      </c>
    </row>
    <row r="1102" ht="15.75" customHeight="1" s="10">
      <c r="A1102" s="8">
        <f>CONCAT("AD507-",TEXT(ROW()-2,"0000"))</f>
        <v/>
      </c>
      <c r="C1102" s="8" t="n"/>
      <c r="F1102" s="8" t="n"/>
      <c r="G1102" s="8">
        <f>IF(F1102&lt;&gt;"",HYPERLINK("https://www.google.com/maps/search/?api=1&amp;query="&amp;SUBSTITUTE(F1102," ",""),"🗺 Google Maps"),"")</f>
        <v/>
      </c>
      <c r="H1102" s="8">
        <f>IF(F1102&lt;&gt;"",HYPERLINK("https://waze.com/ul?ll="&amp;SUBSTITUTE(F1102," ","")&amp;"&amp;navigate=yes","🚗 Waze"),"")</f>
        <v/>
      </c>
      <c r="I1102" s="8">
        <f>IF(F1102&lt;&gt;"",HYPERLINK("https://m.uber.com/ul/?action=setPickup&amp;pickup=my_location&amp;dropoff[latitude]="&amp;LEFT(SUBSTITUTE(F1102," ",""),FIND(",",SUBSTITUTE(F1102," ",""))-1)&amp;"&amp;dropoff[longitude]="&amp;MID(SUBSTITUTE(F1102," ",""),FIND(",",SUBSTITUTE(F1102," ",""))+1,99),"🚕 Uber"),"")</f>
        <v/>
      </c>
      <c r="J1102" s="8">
        <f>IF(F1102&lt;&gt;"","https://api.qrserver.com/v1/create-qr-code/?size=200x200&amp;data="&amp;ENCODEURL("https://www.google.com/maps/search/?api=1&amp;query="&amp;SUBSTITUTE(F1102," ","")),"")</f>
        <v/>
      </c>
      <c r="K1102" s="8">
        <f>IF(C1102&lt;&gt;"",HYPERLINK("https://wa.me/507"&amp;REGEXREPLACE(C1102,"[^0-9]","")&amp;"?text="&amp;ENCODEURL("Ya llegue. Codigo: "&amp;A1102&amp;". Ubicacion: "&amp;"https://www.google.com/maps/search/?api=1&amp;query="&amp;SUBSTITUTE(F1102," ","")),"📲 Avisar al cliente"),"")</f>
        <v/>
      </c>
      <c r="L1102" s="8">
        <f>IF(C1102&lt;&gt;"","https://api.qrserver.com/v1/create-qr-code/?size=200x200&amp;data="&amp;ENCODEURL("https://wa.me/507"&amp;REGEXREPLACE(C1102,"[^0-9]","")&amp;"?text="&amp;ENCODEURL("Ya llegue. Codigo: "&amp;A1102&amp;". Ubicacion: "&amp;"https://www.google.com/maps/search/?api=1&amp;query="&amp;SUBSTITUTE(F1102," ",""))),"")</f>
        <v/>
      </c>
      <c r="M1102" s="8">
        <f>IF(B1102&lt;&gt;"",TODAY(),"")</f>
        <v/>
      </c>
      <c r="N1102" s="8">
        <f>IF(F1102&lt;&gt;"",IFERROR(IF(AND(REGEXMATCH(SUBSTITUTE(TRIM(F1102)," ",""),"^-?\d+(\.\d+)?,-?\d+(\.\d+)?$"),VALUE(REGEXEXTRACT(SUBSTITUTE(TRIM(F1102)," ",""),"^-?\d+(\.\d+)?"))&gt;=-90,VALUE(REGEXEXTRACT(SUBSTITUTE(TRIM(F1102)," ",""),"^-?\d+(\.\d+)?"))&lt;=90,VALUE(REGEXEXTRACT(SUBSTITUTE(TRIM(F1102)," ",""),"-?\d+(\.\d+)?$"))&gt;=-180,VALUE(REGEXEXTRACT(SUBSTITUTE(TRIM(F1102)," ",""),"-?\d+(\.\d+)?$"))&lt;=180),"OK","REVISAR"),"REVISAR"),"")</f>
        <v/>
      </c>
      <c r="O1102">
        <f>IF(A1102&lt;&gt;"","https://direcciones507.github.io/direcciones507/panel.html?codigo="&amp;A1102&amp;"&amp;nombre="&amp;ENCODEURL(B1102)&amp;"&amp;telefono="&amp;SUBSTITUTE(C1102,"-","")&amp;"&amp;referencia="&amp;ENCODEURL(E1102)&amp;"&amp;lat="&amp;IZQUIERDA(SUBSTITUTE(F1102," ",""),ENCONTRAR(",",SUBSTITUTE(F1102," ",""))-1)&amp;"&amp;lng="&amp;DERECHA(SUBSTITUTE(F1102," ",""),LARGO(SUBSTITUTE(F1102," ",""))-ENCONTRAR(",",SUBSTITUTE(F1102," ",""))),"")</f>
        <v/>
      </c>
    </row>
    <row r="1103" ht="15.75" customHeight="1" s="10">
      <c r="A1103" s="8">
        <f>CONCAT("AD507-",TEXT(ROW()-2,"0000"))</f>
        <v/>
      </c>
      <c r="C1103" s="8" t="n"/>
      <c r="F1103" s="8" t="n"/>
      <c r="G1103" s="8">
        <f>IF(F1103&lt;&gt;"",HYPERLINK("https://www.google.com/maps/search/?api=1&amp;query="&amp;SUBSTITUTE(F1103," ",""),"🗺 Google Maps"),"")</f>
        <v/>
      </c>
      <c r="H1103" s="8">
        <f>IF(F1103&lt;&gt;"",HYPERLINK("https://waze.com/ul?ll="&amp;SUBSTITUTE(F1103," ","")&amp;"&amp;navigate=yes","🚗 Waze"),"")</f>
        <v/>
      </c>
      <c r="I1103" s="8">
        <f>IF(F1103&lt;&gt;"",HYPERLINK("https://m.uber.com/ul/?action=setPickup&amp;pickup=my_location&amp;dropoff[latitude]="&amp;LEFT(SUBSTITUTE(F1103," ",""),FIND(",",SUBSTITUTE(F1103," ",""))-1)&amp;"&amp;dropoff[longitude]="&amp;MID(SUBSTITUTE(F1103," ",""),FIND(",",SUBSTITUTE(F1103," ",""))+1,99),"🚕 Uber"),"")</f>
        <v/>
      </c>
      <c r="J1103" s="8">
        <f>IF(F1103&lt;&gt;"","https://api.qrserver.com/v1/create-qr-code/?size=200x200&amp;data="&amp;ENCODEURL("https://www.google.com/maps/search/?api=1&amp;query="&amp;SUBSTITUTE(F1103," ","")),"")</f>
        <v/>
      </c>
      <c r="K1103" s="8">
        <f>IF(C1103&lt;&gt;"",HYPERLINK("https://wa.me/507"&amp;REGEXREPLACE(C1103,"[^0-9]","")&amp;"?text="&amp;ENCODEURL("Ya llegue. Codigo: "&amp;A1103&amp;". Ubicacion: "&amp;"https://www.google.com/maps/search/?api=1&amp;query="&amp;SUBSTITUTE(F1103," ","")),"📲 Avisar al cliente"),"")</f>
        <v/>
      </c>
      <c r="L1103" s="8">
        <f>IF(C1103&lt;&gt;"","https://api.qrserver.com/v1/create-qr-code/?size=200x200&amp;data="&amp;ENCODEURL("https://wa.me/507"&amp;REGEXREPLACE(C1103,"[^0-9]","")&amp;"?text="&amp;ENCODEURL("Ya llegue. Codigo: "&amp;A1103&amp;". Ubicacion: "&amp;"https://www.google.com/maps/search/?api=1&amp;query="&amp;SUBSTITUTE(F1103," ",""))),"")</f>
        <v/>
      </c>
      <c r="M1103" s="8">
        <f>IF(B1103&lt;&gt;"",TODAY(),"")</f>
        <v/>
      </c>
      <c r="N1103" s="8">
        <f>IF(F1103&lt;&gt;"",IFERROR(IF(AND(REGEXMATCH(SUBSTITUTE(TRIM(F1103)," ",""),"^-?\d+(\.\d+)?,-?\d+(\.\d+)?$"),VALUE(REGEXEXTRACT(SUBSTITUTE(TRIM(F1103)," ",""),"^-?\d+(\.\d+)?"))&gt;=-90,VALUE(REGEXEXTRACT(SUBSTITUTE(TRIM(F1103)," ",""),"^-?\d+(\.\d+)?"))&lt;=90,VALUE(REGEXEXTRACT(SUBSTITUTE(TRIM(F1103)," ",""),"-?\d+(\.\d+)?$"))&gt;=-180,VALUE(REGEXEXTRACT(SUBSTITUTE(TRIM(F1103)," ",""),"-?\d+(\.\d+)?$"))&lt;=180),"OK","REVISAR"),"REVISAR"),"")</f>
        <v/>
      </c>
      <c r="O1103">
        <f>IF(A1103&lt;&gt;"","https://direcciones507.github.io/direcciones507/panel.html?codigo="&amp;A1103&amp;"&amp;nombre="&amp;ENCODEURL(B1103)&amp;"&amp;telefono="&amp;SUBSTITUTE(C1103,"-","")&amp;"&amp;referencia="&amp;ENCODEURL(E1103)&amp;"&amp;lat="&amp;IZQUIERDA(SUBSTITUTE(F1103," ",""),ENCONTRAR(",",SUBSTITUTE(F1103," ",""))-1)&amp;"&amp;lng="&amp;DERECHA(SUBSTITUTE(F1103," ",""),LARGO(SUBSTITUTE(F1103," ",""))-ENCONTRAR(",",SUBSTITUTE(F1103," ",""))),"")</f>
        <v/>
      </c>
    </row>
    <row r="1104" ht="15.75" customHeight="1" s="10">
      <c r="A1104" s="8">
        <f>CONCAT("AD507-",TEXT(ROW()-2,"0000"))</f>
        <v/>
      </c>
      <c r="C1104" s="8" t="n"/>
      <c r="F1104" s="8" t="n"/>
      <c r="G1104" s="8">
        <f>IF(F1104&lt;&gt;"",HYPERLINK("https://www.google.com/maps/search/?api=1&amp;query="&amp;SUBSTITUTE(F1104," ",""),"🗺 Google Maps"),"")</f>
        <v/>
      </c>
      <c r="H1104" s="8">
        <f>IF(F1104&lt;&gt;"",HYPERLINK("https://waze.com/ul?ll="&amp;SUBSTITUTE(F1104," ","")&amp;"&amp;navigate=yes","🚗 Waze"),"")</f>
        <v/>
      </c>
      <c r="I1104" s="8">
        <f>IF(F1104&lt;&gt;"",HYPERLINK("https://m.uber.com/ul/?action=setPickup&amp;pickup=my_location&amp;dropoff[latitude]="&amp;LEFT(SUBSTITUTE(F1104," ",""),FIND(",",SUBSTITUTE(F1104," ",""))-1)&amp;"&amp;dropoff[longitude]="&amp;MID(SUBSTITUTE(F1104," ",""),FIND(",",SUBSTITUTE(F1104," ",""))+1,99),"🚕 Uber"),"")</f>
        <v/>
      </c>
      <c r="J1104" s="8">
        <f>IF(F1104&lt;&gt;"","https://api.qrserver.com/v1/create-qr-code/?size=200x200&amp;data="&amp;ENCODEURL("https://www.google.com/maps/search/?api=1&amp;query="&amp;SUBSTITUTE(F1104," ","")),"")</f>
        <v/>
      </c>
      <c r="K1104" s="8">
        <f>IF(C1104&lt;&gt;"",HYPERLINK("https://wa.me/507"&amp;REGEXREPLACE(C1104,"[^0-9]","")&amp;"?text="&amp;ENCODEURL("Ya llegue. Codigo: "&amp;A1104&amp;". Ubicacion: "&amp;"https://www.google.com/maps/search/?api=1&amp;query="&amp;SUBSTITUTE(F1104," ","")),"📲 Avisar al cliente"),"")</f>
        <v/>
      </c>
      <c r="L1104" s="8">
        <f>IF(C1104&lt;&gt;"","https://api.qrserver.com/v1/create-qr-code/?size=200x200&amp;data="&amp;ENCODEURL("https://wa.me/507"&amp;REGEXREPLACE(C1104,"[^0-9]","")&amp;"?text="&amp;ENCODEURL("Ya llegue. Codigo: "&amp;A1104&amp;". Ubicacion: "&amp;"https://www.google.com/maps/search/?api=1&amp;query="&amp;SUBSTITUTE(F1104," ",""))),"")</f>
        <v/>
      </c>
      <c r="M1104" s="8">
        <f>IF(B1104&lt;&gt;"",TODAY(),"")</f>
        <v/>
      </c>
      <c r="N1104" s="8">
        <f>IF(F1104&lt;&gt;"",IFERROR(IF(AND(REGEXMATCH(SUBSTITUTE(TRIM(F1104)," ",""),"^-?\d+(\.\d+)?,-?\d+(\.\d+)?$"),VALUE(REGEXEXTRACT(SUBSTITUTE(TRIM(F1104)," ",""),"^-?\d+(\.\d+)?"))&gt;=-90,VALUE(REGEXEXTRACT(SUBSTITUTE(TRIM(F1104)," ",""),"^-?\d+(\.\d+)?"))&lt;=90,VALUE(REGEXEXTRACT(SUBSTITUTE(TRIM(F1104)," ",""),"-?\d+(\.\d+)?$"))&gt;=-180,VALUE(REGEXEXTRACT(SUBSTITUTE(TRIM(F1104)," ",""),"-?\d+(\.\d+)?$"))&lt;=180),"OK","REVISAR"),"REVISAR"),"")</f>
        <v/>
      </c>
      <c r="O1104">
        <f>IF(A1104&lt;&gt;"","https://direcciones507.github.io/direcciones507/panel.html?codigo="&amp;A1104&amp;"&amp;nombre="&amp;ENCODEURL(B1104)&amp;"&amp;telefono="&amp;SUBSTITUTE(C1104,"-","")&amp;"&amp;referencia="&amp;ENCODEURL(E1104)&amp;"&amp;lat="&amp;IZQUIERDA(SUBSTITUTE(F1104," ",""),ENCONTRAR(",",SUBSTITUTE(F1104," ",""))-1)&amp;"&amp;lng="&amp;DERECHA(SUBSTITUTE(F1104," ",""),LARGO(SUBSTITUTE(F1104," ",""))-ENCONTRAR(",",SUBSTITUTE(F1104," ",""))),"")</f>
        <v/>
      </c>
    </row>
    <row r="1105" ht="15.75" customHeight="1" s="10">
      <c r="A1105" s="8">
        <f>CONCAT("AD507-",TEXT(ROW()-2,"0000"))</f>
        <v/>
      </c>
      <c r="C1105" s="8" t="n"/>
      <c r="F1105" s="8" t="n"/>
      <c r="G1105" s="8">
        <f>IF(F1105&lt;&gt;"",HYPERLINK("https://www.google.com/maps/search/?api=1&amp;query="&amp;SUBSTITUTE(F1105," ",""),"🗺 Google Maps"),"")</f>
        <v/>
      </c>
      <c r="H1105" s="8">
        <f>IF(F1105&lt;&gt;"",HYPERLINK("https://waze.com/ul?ll="&amp;SUBSTITUTE(F1105," ","")&amp;"&amp;navigate=yes","🚗 Waze"),"")</f>
        <v/>
      </c>
      <c r="I1105" s="8">
        <f>IF(F1105&lt;&gt;"",HYPERLINK("https://m.uber.com/ul/?action=setPickup&amp;pickup=my_location&amp;dropoff[latitude]="&amp;LEFT(SUBSTITUTE(F1105," ",""),FIND(",",SUBSTITUTE(F1105," ",""))-1)&amp;"&amp;dropoff[longitude]="&amp;MID(SUBSTITUTE(F1105," ",""),FIND(",",SUBSTITUTE(F1105," ",""))+1,99),"🚕 Uber"),"")</f>
        <v/>
      </c>
      <c r="J1105" s="8">
        <f>IF(F1105&lt;&gt;"","https://api.qrserver.com/v1/create-qr-code/?size=200x200&amp;data="&amp;ENCODEURL("https://www.google.com/maps/search/?api=1&amp;query="&amp;SUBSTITUTE(F1105," ","")),"")</f>
        <v/>
      </c>
      <c r="K1105" s="8">
        <f>IF(C1105&lt;&gt;"",HYPERLINK("https://wa.me/507"&amp;REGEXREPLACE(C1105,"[^0-9]","")&amp;"?text="&amp;ENCODEURL("Ya llegue. Codigo: "&amp;A1105&amp;". Ubicacion: "&amp;"https://www.google.com/maps/search/?api=1&amp;query="&amp;SUBSTITUTE(F1105," ","")),"📲 Avisar al cliente"),"")</f>
        <v/>
      </c>
      <c r="L1105" s="8">
        <f>IF(C1105&lt;&gt;"","https://api.qrserver.com/v1/create-qr-code/?size=200x200&amp;data="&amp;ENCODEURL("https://wa.me/507"&amp;REGEXREPLACE(C1105,"[^0-9]","")&amp;"?text="&amp;ENCODEURL("Ya llegue. Codigo: "&amp;A1105&amp;". Ubicacion: "&amp;"https://www.google.com/maps/search/?api=1&amp;query="&amp;SUBSTITUTE(F1105," ",""))),"")</f>
        <v/>
      </c>
      <c r="M1105" s="8">
        <f>IF(B1105&lt;&gt;"",TODAY(),"")</f>
        <v/>
      </c>
      <c r="N1105" s="8">
        <f>IF(F1105&lt;&gt;"",IFERROR(IF(AND(REGEXMATCH(SUBSTITUTE(TRIM(F1105)," ",""),"^-?\d+(\.\d+)?,-?\d+(\.\d+)?$"),VALUE(REGEXEXTRACT(SUBSTITUTE(TRIM(F1105)," ",""),"^-?\d+(\.\d+)?"))&gt;=-90,VALUE(REGEXEXTRACT(SUBSTITUTE(TRIM(F1105)," ",""),"^-?\d+(\.\d+)?"))&lt;=90,VALUE(REGEXEXTRACT(SUBSTITUTE(TRIM(F1105)," ",""),"-?\d+(\.\d+)?$"))&gt;=-180,VALUE(REGEXEXTRACT(SUBSTITUTE(TRIM(F1105)," ",""),"-?\d+(\.\d+)?$"))&lt;=180),"OK","REVISAR"),"REVISAR"),"")</f>
        <v/>
      </c>
      <c r="O1105">
        <f>IF(A1105&lt;&gt;"","https://direcciones507.github.io/direcciones507/panel.html?codigo="&amp;A1105&amp;"&amp;nombre="&amp;ENCODEURL(B1105)&amp;"&amp;telefono="&amp;SUBSTITUTE(C1105,"-","")&amp;"&amp;referencia="&amp;ENCODEURL(E1105)&amp;"&amp;lat="&amp;IZQUIERDA(SUBSTITUTE(F1105," ",""),ENCONTRAR(",",SUBSTITUTE(F1105," ",""))-1)&amp;"&amp;lng="&amp;DERECHA(SUBSTITUTE(F1105," ",""),LARGO(SUBSTITUTE(F1105," ",""))-ENCONTRAR(",",SUBSTITUTE(F1105," ",""))),"")</f>
        <v/>
      </c>
    </row>
    <row r="1106" ht="15.75" customHeight="1" s="10">
      <c r="A1106" s="8">
        <f>CONCAT("AD507-",TEXT(ROW()-2,"0000"))</f>
        <v/>
      </c>
      <c r="C1106" s="8" t="n"/>
      <c r="F1106" s="8" t="n"/>
      <c r="G1106" s="8">
        <f>IF(F1106&lt;&gt;"",HYPERLINK("https://www.google.com/maps/search/?api=1&amp;query="&amp;SUBSTITUTE(F1106," ",""),"🗺 Google Maps"),"")</f>
        <v/>
      </c>
      <c r="H1106" s="8">
        <f>IF(F1106&lt;&gt;"",HYPERLINK("https://waze.com/ul?ll="&amp;SUBSTITUTE(F1106," ","")&amp;"&amp;navigate=yes","🚗 Waze"),"")</f>
        <v/>
      </c>
      <c r="I1106" s="8">
        <f>IF(F1106&lt;&gt;"",HYPERLINK("https://m.uber.com/ul/?action=setPickup&amp;pickup=my_location&amp;dropoff[latitude]="&amp;LEFT(SUBSTITUTE(F1106," ",""),FIND(",",SUBSTITUTE(F1106," ",""))-1)&amp;"&amp;dropoff[longitude]="&amp;MID(SUBSTITUTE(F1106," ",""),FIND(",",SUBSTITUTE(F1106," ",""))+1,99),"🚕 Uber"),"")</f>
        <v/>
      </c>
      <c r="J1106" s="8">
        <f>IF(F1106&lt;&gt;"","https://api.qrserver.com/v1/create-qr-code/?size=200x200&amp;data="&amp;ENCODEURL("https://www.google.com/maps/search/?api=1&amp;query="&amp;SUBSTITUTE(F1106," ","")),"")</f>
        <v/>
      </c>
      <c r="K1106" s="8">
        <f>IF(C1106&lt;&gt;"",HYPERLINK("https://wa.me/507"&amp;REGEXREPLACE(C1106,"[^0-9]","")&amp;"?text="&amp;ENCODEURL("Ya llegue. Codigo: "&amp;A1106&amp;". Ubicacion: "&amp;"https://www.google.com/maps/search/?api=1&amp;query="&amp;SUBSTITUTE(F1106," ","")),"📲 Avisar al cliente"),"")</f>
        <v/>
      </c>
      <c r="L1106" s="8">
        <f>IF(C1106&lt;&gt;"","https://api.qrserver.com/v1/create-qr-code/?size=200x200&amp;data="&amp;ENCODEURL("https://wa.me/507"&amp;REGEXREPLACE(C1106,"[^0-9]","")&amp;"?text="&amp;ENCODEURL("Ya llegue. Codigo: "&amp;A1106&amp;". Ubicacion: "&amp;"https://www.google.com/maps/search/?api=1&amp;query="&amp;SUBSTITUTE(F1106," ",""))),"")</f>
        <v/>
      </c>
      <c r="M1106" s="8">
        <f>IF(B1106&lt;&gt;"",TODAY(),"")</f>
        <v/>
      </c>
      <c r="N1106" s="8">
        <f>IF(F1106&lt;&gt;"",IFERROR(IF(AND(REGEXMATCH(SUBSTITUTE(TRIM(F1106)," ",""),"^-?\d+(\.\d+)?,-?\d+(\.\d+)?$"),VALUE(REGEXEXTRACT(SUBSTITUTE(TRIM(F1106)," ",""),"^-?\d+(\.\d+)?"))&gt;=-90,VALUE(REGEXEXTRACT(SUBSTITUTE(TRIM(F1106)," ",""),"^-?\d+(\.\d+)?"))&lt;=90,VALUE(REGEXEXTRACT(SUBSTITUTE(TRIM(F1106)," ",""),"-?\d+(\.\d+)?$"))&gt;=-180,VALUE(REGEXEXTRACT(SUBSTITUTE(TRIM(F1106)," ",""),"-?\d+(\.\d+)?$"))&lt;=180),"OK","REVISAR"),"REVISAR"),"")</f>
        <v/>
      </c>
      <c r="O1106">
        <f>IF(A1106&lt;&gt;"","https://direcciones507.github.io/direcciones507/panel.html?codigo="&amp;A1106&amp;"&amp;nombre="&amp;ENCODEURL(B1106)&amp;"&amp;telefono="&amp;SUBSTITUTE(C1106,"-","")&amp;"&amp;referencia="&amp;ENCODEURL(E1106)&amp;"&amp;lat="&amp;IZQUIERDA(SUBSTITUTE(F1106," ",""),ENCONTRAR(",",SUBSTITUTE(F1106," ",""))-1)&amp;"&amp;lng="&amp;DERECHA(SUBSTITUTE(F1106," ",""),LARGO(SUBSTITUTE(F1106," ",""))-ENCONTRAR(",",SUBSTITUTE(F1106," ",""))),"")</f>
        <v/>
      </c>
    </row>
    <row r="1107" ht="15.75" customHeight="1" s="10">
      <c r="A1107" s="8">
        <f>CONCAT("AD507-",TEXT(ROW()-2,"0000"))</f>
        <v/>
      </c>
      <c r="C1107" s="8" t="n"/>
      <c r="F1107" s="8" t="n"/>
      <c r="G1107" s="8">
        <f>IF(F1107&lt;&gt;"",HYPERLINK("https://www.google.com/maps/search/?api=1&amp;query="&amp;SUBSTITUTE(F1107," ",""),"🗺 Google Maps"),"")</f>
        <v/>
      </c>
      <c r="H1107" s="8">
        <f>IF(F1107&lt;&gt;"",HYPERLINK("https://waze.com/ul?ll="&amp;SUBSTITUTE(F1107," ","")&amp;"&amp;navigate=yes","🚗 Waze"),"")</f>
        <v/>
      </c>
      <c r="I1107" s="8">
        <f>IF(F1107&lt;&gt;"",HYPERLINK("https://m.uber.com/ul/?action=setPickup&amp;pickup=my_location&amp;dropoff[latitude]="&amp;LEFT(SUBSTITUTE(F1107," ",""),FIND(",",SUBSTITUTE(F1107," ",""))-1)&amp;"&amp;dropoff[longitude]="&amp;MID(SUBSTITUTE(F1107," ",""),FIND(",",SUBSTITUTE(F1107," ",""))+1,99),"🚕 Uber"),"")</f>
        <v/>
      </c>
      <c r="J1107" s="8">
        <f>IF(F1107&lt;&gt;"","https://api.qrserver.com/v1/create-qr-code/?size=200x200&amp;data="&amp;ENCODEURL("https://www.google.com/maps/search/?api=1&amp;query="&amp;SUBSTITUTE(F1107," ","")),"")</f>
        <v/>
      </c>
      <c r="K1107" s="8">
        <f>IF(C1107&lt;&gt;"",HYPERLINK("https://wa.me/507"&amp;REGEXREPLACE(C1107,"[^0-9]","")&amp;"?text="&amp;ENCODEURL("Ya llegue. Codigo: "&amp;A1107&amp;". Ubicacion: "&amp;"https://www.google.com/maps/search/?api=1&amp;query="&amp;SUBSTITUTE(F1107," ","")),"📲 Avisar al cliente"),"")</f>
        <v/>
      </c>
      <c r="L1107" s="8">
        <f>IF(C1107&lt;&gt;"","https://api.qrserver.com/v1/create-qr-code/?size=200x200&amp;data="&amp;ENCODEURL("https://wa.me/507"&amp;REGEXREPLACE(C1107,"[^0-9]","")&amp;"?text="&amp;ENCODEURL("Ya llegue. Codigo: "&amp;A1107&amp;". Ubicacion: "&amp;"https://www.google.com/maps/search/?api=1&amp;query="&amp;SUBSTITUTE(F1107," ",""))),"")</f>
        <v/>
      </c>
      <c r="M1107" s="8">
        <f>IF(B1107&lt;&gt;"",TODAY(),"")</f>
        <v/>
      </c>
      <c r="N1107" s="8">
        <f>IF(F1107&lt;&gt;"",IFERROR(IF(AND(REGEXMATCH(SUBSTITUTE(TRIM(F1107)," ",""),"^-?\d+(\.\d+)?,-?\d+(\.\d+)?$"),VALUE(REGEXEXTRACT(SUBSTITUTE(TRIM(F1107)," ",""),"^-?\d+(\.\d+)?"))&gt;=-90,VALUE(REGEXEXTRACT(SUBSTITUTE(TRIM(F1107)," ",""),"^-?\d+(\.\d+)?"))&lt;=90,VALUE(REGEXEXTRACT(SUBSTITUTE(TRIM(F1107)," ",""),"-?\d+(\.\d+)?$"))&gt;=-180,VALUE(REGEXEXTRACT(SUBSTITUTE(TRIM(F1107)," ",""),"-?\d+(\.\d+)?$"))&lt;=180),"OK","REVISAR"),"REVISAR"),"")</f>
        <v/>
      </c>
      <c r="O1107">
        <f>IF(A1107&lt;&gt;"","https://direcciones507.github.io/direcciones507/panel.html?codigo="&amp;A1107&amp;"&amp;nombre="&amp;ENCODEURL(B1107)&amp;"&amp;telefono="&amp;SUBSTITUTE(C1107,"-","")&amp;"&amp;referencia="&amp;ENCODEURL(E1107)&amp;"&amp;lat="&amp;IZQUIERDA(SUBSTITUTE(F1107," ",""),ENCONTRAR(",",SUBSTITUTE(F1107," ",""))-1)&amp;"&amp;lng="&amp;DERECHA(SUBSTITUTE(F1107," ",""),LARGO(SUBSTITUTE(F1107," ",""))-ENCONTRAR(",",SUBSTITUTE(F1107," ",""))),"")</f>
        <v/>
      </c>
    </row>
    <row r="1108" ht="15.75" customHeight="1" s="10">
      <c r="A1108" s="8">
        <f>CONCAT("AD507-",TEXT(ROW()-2,"0000"))</f>
        <v/>
      </c>
      <c r="C1108" s="8" t="n"/>
      <c r="F1108" s="8" t="n"/>
      <c r="G1108" s="8">
        <f>IF(F1108&lt;&gt;"",HYPERLINK("https://www.google.com/maps/search/?api=1&amp;query="&amp;SUBSTITUTE(F1108," ",""),"🗺 Google Maps"),"")</f>
        <v/>
      </c>
      <c r="H1108" s="8">
        <f>IF(F1108&lt;&gt;"",HYPERLINK("https://waze.com/ul?ll="&amp;SUBSTITUTE(F1108," ","")&amp;"&amp;navigate=yes","🚗 Waze"),"")</f>
        <v/>
      </c>
      <c r="I1108" s="8">
        <f>IF(F1108&lt;&gt;"",HYPERLINK("https://m.uber.com/ul/?action=setPickup&amp;pickup=my_location&amp;dropoff[latitude]="&amp;LEFT(SUBSTITUTE(F1108," ",""),FIND(",",SUBSTITUTE(F1108," ",""))-1)&amp;"&amp;dropoff[longitude]="&amp;MID(SUBSTITUTE(F1108," ",""),FIND(",",SUBSTITUTE(F1108," ",""))+1,99),"🚕 Uber"),"")</f>
        <v/>
      </c>
      <c r="J1108" s="8">
        <f>IF(F1108&lt;&gt;"","https://api.qrserver.com/v1/create-qr-code/?size=200x200&amp;data="&amp;ENCODEURL("https://www.google.com/maps/search/?api=1&amp;query="&amp;SUBSTITUTE(F1108," ","")),"")</f>
        <v/>
      </c>
      <c r="K1108" s="8">
        <f>IF(C1108&lt;&gt;"",HYPERLINK("https://wa.me/507"&amp;REGEXREPLACE(C1108,"[^0-9]","")&amp;"?text="&amp;ENCODEURL("Ya llegue. Codigo: "&amp;A1108&amp;". Ubicacion: "&amp;"https://www.google.com/maps/search/?api=1&amp;query="&amp;SUBSTITUTE(F1108," ","")),"📲 Avisar al cliente"),"")</f>
        <v/>
      </c>
      <c r="L1108" s="8">
        <f>IF(C1108&lt;&gt;"","https://api.qrserver.com/v1/create-qr-code/?size=200x200&amp;data="&amp;ENCODEURL("https://wa.me/507"&amp;REGEXREPLACE(C1108,"[^0-9]","")&amp;"?text="&amp;ENCODEURL("Ya llegue. Codigo: "&amp;A1108&amp;". Ubicacion: "&amp;"https://www.google.com/maps/search/?api=1&amp;query="&amp;SUBSTITUTE(F1108," ",""))),"")</f>
        <v/>
      </c>
      <c r="M1108" s="8">
        <f>IF(B1108&lt;&gt;"",TODAY(),"")</f>
        <v/>
      </c>
      <c r="N1108" s="8">
        <f>IF(F1108&lt;&gt;"",IFERROR(IF(AND(REGEXMATCH(SUBSTITUTE(TRIM(F1108)," ",""),"^-?\d+(\.\d+)?,-?\d+(\.\d+)?$"),VALUE(REGEXEXTRACT(SUBSTITUTE(TRIM(F1108)," ",""),"^-?\d+(\.\d+)?"))&gt;=-90,VALUE(REGEXEXTRACT(SUBSTITUTE(TRIM(F1108)," ",""),"^-?\d+(\.\d+)?"))&lt;=90,VALUE(REGEXEXTRACT(SUBSTITUTE(TRIM(F1108)," ",""),"-?\d+(\.\d+)?$"))&gt;=-180,VALUE(REGEXEXTRACT(SUBSTITUTE(TRIM(F1108)," ",""),"-?\d+(\.\d+)?$"))&lt;=180),"OK","REVISAR"),"REVISAR"),"")</f>
        <v/>
      </c>
      <c r="O1108">
        <f>IF(A1108&lt;&gt;"","https://direcciones507.github.io/direcciones507/panel.html?codigo="&amp;A1108&amp;"&amp;nombre="&amp;ENCODEURL(B1108)&amp;"&amp;telefono="&amp;SUBSTITUTE(C1108,"-","")&amp;"&amp;referencia="&amp;ENCODEURL(E1108)&amp;"&amp;lat="&amp;IZQUIERDA(SUBSTITUTE(F1108," ",""),ENCONTRAR(",",SUBSTITUTE(F1108," ",""))-1)&amp;"&amp;lng="&amp;DERECHA(SUBSTITUTE(F1108," ",""),LARGO(SUBSTITUTE(F1108," ",""))-ENCONTRAR(",",SUBSTITUTE(F1108," ",""))),"")</f>
        <v/>
      </c>
    </row>
    <row r="1109" ht="15.75" customHeight="1" s="10">
      <c r="A1109" s="8">
        <f>CONCAT("AD507-",TEXT(ROW()-2,"0000"))</f>
        <v/>
      </c>
      <c r="C1109" s="8" t="n"/>
      <c r="F1109" s="8" t="n"/>
      <c r="G1109" s="8">
        <f>IF(F1109&lt;&gt;"",HYPERLINK("https://www.google.com/maps/search/?api=1&amp;query="&amp;SUBSTITUTE(F1109," ",""),"🗺 Google Maps"),"")</f>
        <v/>
      </c>
      <c r="H1109" s="8">
        <f>IF(F1109&lt;&gt;"",HYPERLINK("https://waze.com/ul?ll="&amp;SUBSTITUTE(F1109," ","")&amp;"&amp;navigate=yes","🚗 Waze"),"")</f>
        <v/>
      </c>
      <c r="I1109" s="8">
        <f>IF(F1109&lt;&gt;"",HYPERLINK("https://m.uber.com/ul/?action=setPickup&amp;pickup=my_location&amp;dropoff[latitude]="&amp;LEFT(SUBSTITUTE(F1109," ",""),FIND(",",SUBSTITUTE(F1109," ",""))-1)&amp;"&amp;dropoff[longitude]="&amp;MID(SUBSTITUTE(F1109," ",""),FIND(",",SUBSTITUTE(F1109," ",""))+1,99),"🚕 Uber"),"")</f>
        <v/>
      </c>
      <c r="J1109" s="8">
        <f>IF(F1109&lt;&gt;"","https://api.qrserver.com/v1/create-qr-code/?size=200x200&amp;data="&amp;ENCODEURL("https://www.google.com/maps/search/?api=1&amp;query="&amp;SUBSTITUTE(F1109," ","")),"")</f>
        <v/>
      </c>
      <c r="K1109" s="8">
        <f>IF(C1109&lt;&gt;"",HYPERLINK("https://wa.me/507"&amp;REGEXREPLACE(C1109,"[^0-9]","")&amp;"?text="&amp;ENCODEURL("Ya llegue. Codigo: "&amp;A1109&amp;". Ubicacion: "&amp;"https://www.google.com/maps/search/?api=1&amp;query="&amp;SUBSTITUTE(F1109," ","")),"📲 Avisar al cliente"),"")</f>
        <v/>
      </c>
      <c r="L1109" s="8">
        <f>IF(C1109&lt;&gt;"","https://api.qrserver.com/v1/create-qr-code/?size=200x200&amp;data="&amp;ENCODEURL("https://wa.me/507"&amp;REGEXREPLACE(C1109,"[^0-9]","")&amp;"?text="&amp;ENCODEURL("Ya llegue. Codigo: "&amp;A1109&amp;". Ubicacion: "&amp;"https://www.google.com/maps/search/?api=1&amp;query="&amp;SUBSTITUTE(F1109," ",""))),"")</f>
        <v/>
      </c>
      <c r="M1109" s="8">
        <f>IF(B1109&lt;&gt;"",TODAY(),"")</f>
        <v/>
      </c>
      <c r="N1109" s="8">
        <f>IF(F1109&lt;&gt;"",IFERROR(IF(AND(REGEXMATCH(SUBSTITUTE(TRIM(F1109)," ",""),"^-?\d+(\.\d+)?,-?\d+(\.\d+)?$"),VALUE(REGEXEXTRACT(SUBSTITUTE(TRIM(F1109)," ",""),"^-?\d+(\.\d+)?"))&gt;=-90,VALUE(REGEXEXTRACT(SUBSTITUTE(TRIM(F1109)," ",""),"^-?\d+(\.\d+)?"))&lt;=90,VALUE(REGEXEXTRACT(SUBSTITUTE(TRIM(F1109)," ",""),"-?\d+(\.\d+)?$"))&gt;=-180,VALUE(REGEXEXTRACT(SUBSTITUTE(TRIM(F1109)," ",""),"-?\d+(\.\d+)?$"))&lt;=180),"OK","REVISAR"),"REVISAR"),"")</f>
        <v/>
      </c>
      <c r="O1109">
        <f>IF(A1109&lt;&gt;"","https://direcciones507.github.io/direcciones507/panel.html?codigo="&amp;A1109&amp;"&amp;nombre="&amp;ENCODEURL(B1109)&amp;"&amp;telefono="&amp;SUBSTITUTE(C1109,"-","")&amp;"&amp;referencia="&amp;ENCODEURL(E1109)&amp;"&amp;lat="&amp;IZQUIERDA(SUBSTITUTE(F1109," ",""),ENCONTRAR(",",SUBSTITUTE(F1109," ",""))-1)&amp;"&amp;lng="&amp;DERECHA(SUBSTITUTE(F1109," ",""),LARGO(SUBSTITUTE(F1109," ",""))-ENCONTRAR(",",SUBSTITUTE(F1109," ",""))),"")</f>
        <v/>
      </c>
    </row>
    <row r="1110" ht="15.75" customHeight="1" s="10">
      <c r="A1110" s="8">
        <f>CONCAT("AD507-",TEXT(ROW()-2,"0000"))</f>
        <v/>
      </c>
      <c r="C1110" s="8" t="n"/>
      <c r="F1110" s="8" t="n"/>
      <c r="G1110" s="8">
        <f>IF(F1110&lt;&gt;"",HYPERLINK("https://www.google.com/maps/search/?api=1&amp;query="&amp;SUBSTITUTE(F1110," ",""),"🗺 Google Maps"),"")</f>
        <v/>
      </c>
      <c r="H1110" s="8">
        <f>IF(F1110&lt;&gt;"",HYPERLINK("https://waze.com/ul?ll="&amp;SUBSTITUTE(F1110," ","")&amp;"&amp;navigate=yes","🚗 Waze"),"")</f>
        <v/>
      </c>
      <c r="I1110" s="8">
        <f>IF(F1110&lt;&gt;"",HYPERLINK("https://m.uber.com/ul/?action=setPickup&amp;pickup=my_location&amp;dropoff[latitude]="&amp;LEFT(SUBSTITUTE(F1110," ",""),FIND(",",SUBSTITUTE(F1110," ",""))-1)&amp;"&amp;dropoff[longitude]="&amp;MID(SUBSTITUTE(F1110," ",""),FIND(",",SUBSTITUTE(F1110," ",""))+1,99),"🚕 Uber"),"")</f>
        <v/>
      </c>
      <c r="J1110" s="8">
        <f>IF(F1110&lt;&gt;"","https://api.qrserver.com/v1/create-qr-code/?size=200x200&amp;data="&amp;ENCODEURL("https://www.google.com/maps/search/?api=1&amp;query="&amp;SUBSTITUTE(F1110," ","")),"")</f>
        <v/>
      </c>
      <c r="K1110" s="8">
        <f>IF(C1110&lt;&gt;"",HYPERLINK("https://wa.me/507"&amp;REGEXREPLACE(C1110,"[^0-9]","")&amp;"?text="&amp;ENCODEURL("Ya llegue. Codigo: "&amp;A1110&amp;". Ubicacion: "&amp;"https://www.google.com/maps/search/?api=1&amp;query="&amp;SUBSTITUTE(F1110," ","")),"📲 Avisar al cliente"),"")</f>
        <v/>
      </c>
      <c r="L1110" s="8">
        <f>IF(C1110&lt;&gt;"","https://api.qrserver.com/v1/create-qr-code/?size=200x200&amp;data="&amp;ENCODEURL("https://wa.me/507"&amp;REGEXREPLACE(C1110,"[^0-9]","")&amp;"?text="&amp;ENCODEURL("Ya llegue. Codigo: "&amp;A1110&amp;". Ubicacion: "&amp;"https://www.google.com/maps/search/?api=1&amp;query="&amp;SUBSTITUTE(F1110," ",""))),"")</f>
        <v/>
      </c>
      <c r="M1110" s="8">
        <f>IF(B1110&lt;&gt;"",TODAY(),"")</f>
        <v/>
      </c>
      <c r="N1110" s="8">
        <f>IF(F1110&lt;&gt;"",IFERROR(IF(AND(REGEXMATCH(SUBSTITUTE(TRIM(F1110)," ",""),"^-?\d+(\.\d+)?,-?\d+(\.\d+)?$"),VALUE(REGEXEXTRACT(SUBSTITUTE(TRIM(F1110)," ",""),"^-?\d+(\.\d+)?"))&gt;=-90,VALUE(REGEXEXTRACT(SUBSTITUTE(TRIM(F1110)," ",""),"^-?\d+(\.\d+)?"))&lt;=90,VALUE(REGEXEXTRACT(SUBSTITUTE(TRIM(F1110)," ",""),"-?\d+(\.\d+)?$"))&gt;=-180,VALUE(REGEXEXTRACT(SUBSTITUTE(TRIM(F1110)," ",""),"-?\d+(\.\d+)?$"))&lt;=180),"OK","REVISAR"),"REVISAR"),"")</f>
        <v/>
      </c>
      <c r="O1110">
        <f>IF(A1110&lt;&gt;"","https://direcciones507.github.io/direcciones507/panel.html?codigo="&amp;A1110&amp;"&amp;nombre="&amp;ENCODEURL(B1110)&amp;"&amp;telefono="&amp;SUBSTITUTE(C1110,"-","")&amp;"&amp;referencia="&amp;ENCODEURL(E1110)&amp;"&amp;lat="&amp;IZQUIERDA(SUBSTITUTE(F1110," ",""),ENCONTRAR(",",SUBSTITUTE(F1110," ",""))-1)&amp;"&amp;lng="&amp;DERECHA(SUBSTITUTE(F1110," ",""),LARGO(SUBSTITUTE(F1110," ",""))-ENCONTRAR(",",SUBSTITUTE(F1110," ",""))),"")</f>
        <v/>
      </c>
    </row>
    <row r="1111" ht="15.75" customHeight="1" s="10">
      <c r="A1111" s="8">
        <f>CONCAT("AD507-",TEXT(ROW()-2,"0000"))</f>
        <v/>
      </c>
      <c r="C1111" s="8" t="n"/>
      <c r="F1111" s="8" t="n"/>
      <c r="G1111" s="8">
        <f>IF(F1111&lt;&gt;"",HYPERLINK("https://www.google.com/maps/search/?api=1&amp;query="&amp;SUBSTITUTE(F1111," ",""),"🗺 Google Maps"),"")</f>
        <v/>
      </c>
      <c r="H1111" s="8">
        <f>IF(F1111&lt;&gt;"",HYPERLINK("https://waze.com/ul?ll="&amp;SUBSTITUTE(F1111," ","")&amp;"&amp;navigate=yes","🚗 Waze"),"")</f>
        <v/>
      </c>
      <c r="I1111" s="8">
        <f>IF(F1111&lt;&gt;"",HYPERLINK("https://m.uber.com/ul/?action=setPickup&amp;pickup=my_location&amp;dropoff[latitude]="&amp;LEFT(SUBSTITUTE(F1111," ",""),FIND(",",SUBSTITUTE(F1111," ",""))-1)&amp;"&amp;dropoff[longitude]="&amp;MID(SUBSTITUTE(F1111," ",""),FIND(",",SUBSTITUTE(F1111," ",""))+1,99),"🚕 Uber"),"")</f>
        <v/>
      </c>
      <c r="J1111" s="8">
        <f>IF(F1111&lt;&gt;"","https://api.qrserver.com/v1/create-qr-code/?size=200x200&amp;data="&amp;ENCODEURL("https://www.google.com/maps/search/?api=1&amp;query="&amp;SUBSTITUTE(F1111," ","")),"")</f>
        <v/>
      </c>
      <c r="K1111" s="8">
        <f>IF(C1111&lt;&gt;"",HYPERLINK("https://wa.me/507"&amp;REGEXREPLACE(C1111,"[^0-9]","")&amp;"?text="&amp;ENCODEURL("Ya llegue. Codigo: "&amp;A1111&amp;". Ubicacion: "&amp;"https://www.google.com/maps/search/?api=1&amp;query="&amp;SUBSTITUTE(F1111," ","")),"📲 Avisar al cliente"),"")</f>
        <v/>
      </c>
      <c r="L1111" s="8">
        <f>IF(C1111&lt;&gt;"","https://api.qrserver.com/v1/create-qr-code/?size=200x200&amp;data="&amp;ENCODEURL("https://wa.me/507"&amp;REGEXREPLACE(C1111,"[^0-9]","")&amp;"?text="&amp;ENCODEURL("Ya llegue. Codigo: "&amp;A1111&amp;". Ubicacion: "&amp;"https://www.google.com/maps/search/?api=1&amp;query="&amp;SUBSTITUTE(F1111," ",""))),"")</f>
        <v/>
      </c>
      <c r="M1111" s="8">
        <f>IF(B1111&lt;&gt;"",TODAY(),"")</f>
        <v/>
      </c>
      <c r="N1111" s="8">
        <f>IF(F1111&lt;&gt;"",IFERROR(IF(AND(REGEXMATCH(SUBSTITUTE(TRIM(F1111)," ",""),"^-?\d+(\.\d+)?,-?\d+(\.\d+)?$"),VALUE(REGEXEXTRACT(SUBSTITUTE(TRIM(F1111)," ",""),"^-?\d+(\.\d+)?"))&gt;=-90,VALUE(REGEXEXTRACT(SUBSTITUTE(TRIM(F1111)," ",""),"^-?\d+(\.\d+)?"))&lt;=90,VALUE(REGEXEXTRACT(SUBSTITUTE(TRIM(F1111)," ",""),"-?\d+(\.\d+)?$"))&gt;=-180,VALUE(REGEXEXTRACT(SUBSTITUTE(TRIM(F1111)," ",""),"-?\d+(\.\d+)?$"))&lt;=180),"OK","REVISAR"),"REVISAR"),"")</f>
        <v/>
      </c>
      <c r="O1111">
        <f>IF(A1111&lt;&gt;"","https://direcciones507.github.io/direcciones507/panel.html?codigo="&amp;A1111&amp;"&amp;nombre="&amp;ENCODEURL(B1111)&amp;"&amp;telefono="&amp;SUBSTITUTE(C1111,"-","")&amp;"&amp;referencia="&amp;ENCODEURL(E1111)&amp;"&amp;lat="&amp;IZQUIERDA(SUBSTITUTE(F1111," ",""),ENCONTRAR(",",SUBSTITUTE(F1111," ",""))-1)&amp;"&amp;lng="&amp;DERECHA(SUBSTITUTE(F1111," ",""),LARGO(SUBSTITUTE(F1111," ",""))-ENCONTRAR(",",SUBSTITUTE(F1111," ",""))),"")</f>
        <v/>
      </c>
    </row>
    <row r="1112" ht="15.75" customHeight="1" s="10">
      <c r="A1112" s="8">
        <f>CONCAT("AD507-",TEXT(ROW()-2,"0000"))</f>
        <v/>
      </c>
      <c r="C1112" s="8" t="n"/>
      <c r="F1112" s="8" t="n"/>
      <c r="G1112" s="8">
        <f>IF(F1112&lt;&gt;"",HYPERLINK("https://www.google.com/maps/search/?api=1&amp;query="&amp;SUBSTITUTE(F1112," ",""),"🗺 Google Maps"),"")</f>
        <v/>
      </c>
      <c r="H1112" s="8">
        <f>IF(F1112&lt;&gt;"",HYPERLINK("https://waze.com/ul?ll="&amp;SUBSTITUTE(F1112," ","")&amp;"&amp;navigate=yes","🚗 Waze"),"")</f>
        <v/>
      </c>
      <c r="I1112" s="8">
        <f>IF(F1112&lt;&gt;"",HYPERLINK("https://m.uber.com/ul/?action=setPickup&amp;pickup=my_location&amp;dropoff[latitude]="&amp;LEFT(SUBSTITUTE(F1112," ",""),FIND(",",SUBSTITUTE(F1112," ",""))-1)&amp;"&amp;dropoff[longitude]="&amp;MID(SUBSTITUTE(F1112," ",""),FIND(",",SUBSTITUTE(F1112," ",""))+1,99),"🚕 Uber"),"")</f>
        <v/>
      </c>
      <c r="J1112" s="8">
        <f>IF(F1112&lt;&gt;"","https://api.qrserver.com/v1/create-qr-code/?size=200x200&amp;data="&amp;ENCODEURL("https://www.google.com/maps/search/?api=1&amp;query="&amp;SUBSTITUTE(F1112," ","")),"")</f>
        <v/>
      </c>
      <c r="K1112" s="8">
        <f>IF(C1112&lt;&gt;"",HYPERLINK("https://wa.me/507"&amp;REGEXREPLACE(C1112,"[^0-9]","")&amp;"?text="&amp;ENCODEURL("Ya llegue. Codigo: "&amp;A1112&amp;". Ubicacion: "&amp;"https://www.google.com/maps/search/?api=1&amp;query="&amp;SUBSTITUTE(F1112," ","")),"📲 Avisar al cliente"),"")</f>
        <v/>
      </c>
      <c r="L1112" s="8">
        <f>IF(C1112&lt;&gt;"","https://api.qrserver.com/v1/create-qr-code/?size=200x200&amp;data="&amp;ENCODEURL("https://wa.me/507"&amp;REGEXREPLACE(C1112,"[^0-9]","")&amp;"?text="&amp;ENCODEURL("Ya llegue. Codigo: "&amp;A1112&amp;". Ubicacion: "&amp;"https://www.google.com/maps/search/?api=1&amp;query="&amp;SUBSTITUTE(F1112," ",""))),"")</f>
        <v/>
      </c>
      <c r="M1112" s="8">
        <f>IF(B1112&lt;&gt;"",TODAY(),"")</f>
        <v/>
      </c>
      <c r="N1112" s="8">
        <f>IF(F1112&lt;&gt;"",IFERROR(IF(AND(REGEXMATCH(SUBSTITUTE(TRIM(F1112)," ",""),"^-?\d+(\.\d+)?,-?\d+(\.\d+)?$"),VALUE(REGEXEXTRACT(SUBSTITUTE(TRIM(F1112)," ",""),"^-?\d+(\.\d+)?"))&gt;=-90,VALUE(REGEXEXTRACT(SUBSTITUTE(TRIM(F1112)," ",""),"^-?\d+(\.\d+)?"))&lt;=90,VALUE(REGEXEXTRACT(SUBSTITUTE(TRIM(F1112)," ",""),"-?\d+(\.\d+)?$"))&gt;=-180,VALUE(REGEXEXTRACT(SUBSTITUTE(TRIM(F1112)," ",""),"-?\d+(\.\d+)?$"))&lt;=180),"OK","REVISAR"),"REVISAR"),"")</f>
        <v/>
      </c>
      <c r="O1112">
        <f>IF(A1112&lt;&gt;"","https://direcciones507.github.io/direcciones507/panel.html?codigo="&amp;A1112&amp;"&amp;nombre="&amp;ENCODEURL(B1112)&amp;"&amp;telefono="&amp;SUBSTITUTE(C1112,"-","")&amp;"&amp;referencia="&amp;ENCODEURL(E1112)&amp;"&amp;lat="&amp;IZQUIERDA(SUBSTITUTE(F1112," ",""),ENCONTRAR(",",SUBSTITUTE(F1112," ",""))-1)&amp;"&amp;lng="&amp;DERECHA(SUBSTITUTE(F1112," ",""),LARGO(SUBSTITUTE(F1112," ",""))-ENCONTRAR(",",SUBSTITUTE(F1112," ",""))),"")</f>
        <v/>
      </c>
    </row>
    <row r="1113" ht="15.75" customHeight="1" s="10">
      <c r="A1113" s="8">
        <f>CONCAT("AD507-",TEXT(ROW()-2,"0000"))</f>
        <v/>
      </c>
      <c r="C1113" s="8" t="n"/>
      <c r="F1113" s="8" t="n"/>
      <c r="G1113" s="8">
        <f>IF(F1113&lt;&gt;"",HYPERLINK("https://www.google.com/maps/search/?api=1&amp;query="&amp;SUBSTITUTE(F1113," ",""),"🗺 Google Maps"),"")</f>
        <v/>
      </c>
      <c r="H1113" s="8">
        <f>IF(F1113&lt;&gt;"",HYPERLINK("https://waze.com/ul?ll="&amp;SUBSTITUTE(F1113," ","")&amp;"&amp;navigate=yes","🚗 Waze"),"")</f>
        <v/>
      </c>
      <c r="I1113" s="8">
        <f>IF(F1113&lt;&gt;"",HYPERLINK("https://m.uber.com/ul/?action=setPickup&amp;pickup=my_location&amp;dropoff[latitude]="&amp;LEFT(SUBSTITUTE(F1113," ",""),FIND(",",SUBSTITUTE(F1113," ",""))-1)&amp;"&amp;dropoff[longitude]="&amp;MID(SUBSTITUTE(F1113," ",""),FIND(",",SUBSTITUTE(F1113," ",""))+1,99),"🚕 Uber"),"")</f>
        <v/>
      </c>
      <c r="J1113" s="8">
        <f>IF(F1113&lt;&gt;"","https://api.qrserver.com/v1/create-qr-code/?size=200x200&amp;data="&amp;ENCODEURL("https://www.google.com/maps/search/?api=1&amp;query="&amp;SUBSTITUTE(F1113," ","")),"")</f>
        <v/>
      </c>
      <c r="K1113" s="8">
        <f>IF(C1113&lt;&gt;"",HYPERLINK("https://wa.me/507"&amp;REGEXREPLACE(C1113,"[^0-9]","")&amp;"?text="&amp;ENCODEURL("Ya llegue. Codigo: "&amp;A1113&amp;". Ubicacion: "&amp;"https://www.google.com/maps/search/?api=1&amp;query="&amp;SUBSTITUTE(F1113," ","")),"📲 Avisar al cliente"),"")</f>
        <v/>
      </c>
      <c r="L1113" s="8">
        <f>IF(C1113&lt;&gt;"","https://api.qrserver.com/v1/create-qr-code/?size=200x200&amp;data="&amp;ENCODEURL("https://wa.me/507"&amp;REGEXREPLACE(C1113,"[^0-9]","")&amp;"?text="&amp;ENCODEURL("Ya llegue. Codigo: "&amp;A1113&amp;". Ubicacion: "&amp;"https://www.google.com/maps/search/?api=1&amp;query="&amp;SUBSTITUTE(F1113," ",""))),"")</f>
        <v/>
      </c>
      <c r="M1113" s="8">
        <f>IF(B1113&lt;&gt;"",TODAY(),"")</f>
        <v/>
      </c>
      <c r="N1113" s="8">
        <f>IF(F1113&lt;&gt;"",IFERROR(IF(AND(REGEXMATCH(SUBSTITUTE(TRIM(F1113)," ",""),"^-?\d+(\.\d+)?,-?\d+(\.\d+)?$"),VALUE(REGEXEXTRACT(SUBSTITUTE(TRIM(F1113)," ",""),"^-?\d+(\.\d+)?"))&gt;=-90,VALUE(REGEXEXTRACT(SUBSTITUTE(TRIM(F1113)," ",""),"^-?\d+(\.\d+)?"))&lt;=90,VALUE(REGEXEXTRACT(SUBSTITUTE(TRIM(F1113)," ",""),"-?\d+(\.\d+)?$"))&gt;=-180,VALUE(REGEXEXTRACT(SUBSTITUTE(TRIM(F1113)," ",""),"-?\d+(\.\d+)?$"))&lt;=180),"OK","REVISAR"),"REVISAR"),"")</f>
        <v/>
      </c>
      <c r="O1113">
        <f>IF(A1113&lt;&gt;"","https://direcciones507.github.io/direcciones507/panel.html?codigo="&amp;A1113&amp;"&amp;nombre="&amp;ENCODEURL(B1113)&amp;"&amp;telefono="&amp;SUBSTITUTE(C1113,"-","")&amp;"&amp;referencia="&amp;ENCODEURL(E1113)&amp;"&amp;lat="&amp;IZQUIERDA(SUBSTITUTE(F1113," ",""),ENCONTRAR(",",SUBSTITUTE(F1113," ",""))-1)&amp;"&amp;lng="&amp;DERECHA(SUBSTITUTE(F1113," ",""),LARGO(SUBSTITUTE(F1113," ",""))-ENCONTRAR(",",SUBSTITUTE(F1113," ",""))),"")</f>
        <v/>
      </c>
    </row>
    <row r="1114" ht="15.75" customHeight="1" s="10">
      <c r="A1114" s="8">
        <f>CONCAT("AD507-",TEXT(ROW()-2,"0000"))</f>
        <v/>
      </c>
      <c r="C1114" s="8" t="n"/>
      <c r="F1114" s="8" t="n"/>
      <c r="G1114" s="8">
        <f>IF(F1114&lt;&gt;"",HYPERLINK("https://www.google.com/maps/search/?api=1&amp;query="&amp;SUBSTITUTE(F1114," ",""),"🗺 Google Maps"),"")</f>
        <v/>
      </c>
      <c r="H1114" s="8">
        <f>IF(F1114&lt;&gt;"",HYPERLINK("https://waze.com/ul?ll="&amp;SUBSTITUTE(F1114," ","")&amp;"&amp;navigate=yes","🚗 Waze"),"")</f>
        <v/>
      </c>
      <c r="I1114" s="8">
        <f>IF(F1114&lt;&gt;"",HYPERLINK("https://m.uber.com/ul/?action=setPickup&amp;pickup=my_location&amp;dropoff[latitude]="&amp;LEFT(SUBSTITUTE(F1114," ",""),FIND(",",SUBSTITUTE(F1114," ",""))-1)&amp;"&amp;dropoff[longitude]="&amp;MID(SUBSTITUTE(F1114," ",""),FIND(",",SUBSTITUTE(F1114," ",""))+1,99),"🚕 Uber"),"")</f>
        <v/>
      </c>
      <c r="J1114" s="8">
        <f>IF(F1114&lt;&gt;"","https://api.qrserver.com/v1/create-qr-code/?size=200x200&amp;data="&amp;ENCODEURL("https://www.google.com/maps/search/?api=1&amp;query="&amp;SUBSTITUTE(F1114," ","")),"")</f>
        <v/>
      </c>
      <c r="K1114" s="8">
        <f>IF(C1114&lt;&gt;"",HYPERLINK("https://wa.me/507"&amp;REGEXREPLACE(C1114,"[^0-9]","")&amp;"?text="&amp;ENCODEURL("Ya llegue. Codigo: "&amp;A1114&amp;". Ubicacion: "&amp;"https://www.google.com/maps/search/?api=1&amp;query="&amp;SUBSTITUTE(F1114," ","")),"📲 Avisar al cliente"),"")</f>
        <v/>
      </c>
      <c r="L1114" s="8">
        <f>IF(C1114&lt;&gt;"","https://api.qrserver.com/v1/create-qr-code/?size=200x200&amp;data="&amp;ENCODEURL("https://wa.me/507"&amp;REGEXREPLACE(C1114,"[^0-9]","")&amp;"?text="&amp;ENCODEURL("Ya llegue. Codigo: "&amp;A1114&amp;". Ubicacion: "&amp;"https://www.google.com/maps/search/?api=1&amp;query="&amp;SUBSTITUTE(F1114," ",""))),"")</f>
        <v/>
      </c>
      <c r="M1114" s="8">
        <f>IF(B1114&lt;&gt;"",TODAY(),"")</f>
        <v/>
      </c>
      <c r="N1114" s="8">
        <f>IF(F1114&lt;&gt;"",IFERROR(IF(AND(REGEXMATCH(SUBSTITUTE(TRIM(F1114)," ",""),"^-?\d+(\.\d+)?,-?\d+(\.\d+)?$"),VALUE(REGEXEXTRACT(SUBSTITUTE(TRIM(F1114)," ",""),"^-?\d+(\.\d+)?"))&gt;=-90,VALUE(REGEXEXTRACT(SUBSTITUTE(TRIM(F1114)," ",""),"^-?\d+(\.\d+)?"))&lt;=90,VALUE(REGEXEXTRACT(SUBSTITUTE(TRIM(F1114)," ",""),"-?\d+(\.\d+)?$"))&gt;=-180,VALUE(REGEXEXTRACT(SUBSTITUTE(TRIM(F1114)," ",""),"-?\d+(\.\d+)?$"))&lt;=180),"OK","REVISAR"),"REVISAR"),"")</f>
        <v/>
      </c>
      <c r="O1114">
        <f>IF(A1114&lt;&gt;"","https://direcciones507.github.io/direcciones507/panel.html?codigo="&amp;A1114&amp;"&amp;nombre="&amp;ENCODEURL(B1114)&amp;"&amp;telefono="&amp;SUBSTITUTE(C1114,"-","")&amp;"&amp;referencia="&amp;ENCODEURL(E1114)&amp;"&amp;lat="&amp;IZQUIERDA(SUBSTITUTE(F1114," ",""),ENCONTRAR(",",SUBSTITUTE(F1114," ",""))-1)&amp;"&amp;lng="&amp;DERECHA(SUBSTITUTE(F1114," ",""),LARGO(SUBSTITUTE(F1114," ",""))-ENCONTRAR(",",SUBSTITUTE(F1114," ",""))),"")</f>
        <v/>
      </c>
    </row>
    <row r="1115" ht="15.75" customHeight="1" s="10">
      <c r="A1115" s="8">
        <f>CONCAT("AD507-",TEXT(ROW()-2,"0000"))</f>
        <v/>
      </c>
      <c r="C1115" s="8" t="n"/>
      <c r="F1115" s="8" t="n"/>
      <c r="G1115" s="8">
        <f>IF(F1115&lt;&gt;"",HYPERLINK("https://www.google.com/maps/search/?api=1&amp;query="&amp;SUBSTITUTE(F1115," ",""),"🗺 Google Maps"),"")</f>
        <v/>
      </c>
      <c r="H1115" s="8">
        <f>IF(F1115&lt;&gt;"",HYPERLINK("https://waze.com/ul?ll="&amp;SUBSTITUTE(F1115," ","")&amp;"&amp;navigate=yes","🚗 Waze"),"")</f>
        <v/>
      </c>
      <c r="I1115" s="8">
        <f>IF(F1115&lt;&gt;"",HYPERLINK("https://m.uber.com/ul/?action=setPickup&amp;pickup=my_location&amp;dropoff[latitude]="&amp;LEFT(SUBSTITUTE(F1115," ",""),FIND(",",SUBSTITUTE(F1115," ",""))-1)&amp;"&amp;dropoff[longitude]="&amp;MID(SUBSTITUTE(F1115," ",""),FIND(",",SUBSTITUTE(F1115," ",""))+1,99),"🚕 Uber"),"")</f>
        <v/>
      </c>
      <c r="J1115" s="8">
        <f>IF(F1115&lt;&gt;"","https://api.qrserver.com/v1/create-qr-code/?size=200x200&amp;data="&amp;ENCODEURL("https://www.google.com/maps/search/?api=1&amp;query="&amp;SUBSTITUTE(F1115," ","")),"")</f>
        <v/>
      </c>
      <c r="K1115" s="8">
        <f>IF(C1115&lt;&gt;"",HYPERLINK("https://wa.me/507"&amp;REGEXREPLACE(C1115,"[^0-9]","")&amp;"?text="&amp;ENCODEURL("Ya llegue. Codigo: "&amp;A1115&amp;". Ubicacion: "&amp;"https://www.google.com/maps/search/?api=1&amp;query="&amp;SUBSTITUTE(F1115," ","")),"📲 Avisar al cliente"),"")</f>
        <v/>
      </c>
      <c r="L1115" s="8">
        <f>IF(C1115&lt;&gt;"","https://api.qrserver.com/v1/create-qr-code/?size=200x200&amp;data="&amp;ENCODEURL("https://wa.me/507"&amp;REGEXREPLACE(C1115,"[^0-9]","")&amp;"?text="&amp;ENCODEURL("Ya llegue. Codigo: "&amp;A1115&amp;". Ubicacion: "&amp;"https://www.google.com/maps/search/?api=1&amp;query="&amp;SUBSTITUTE(F1115," ",""))),"")</f>
        <v/>
      </c>
      <c r="M1115" s="8">
        <f>IF(B1115&lt;&gt;"",TODAY(),"")</f>
        <v/>
      </c>
      <c r="N1115" s="8">
        <f>IF(F1115&lt;&gt;"",IFERROR(IF(AND(REGEXMATCH(SUBSTITUTE(TRIM(F1115)," ",""),"^-?\d+(\.\d+)?,-?\d+(\.\d+)?$"),VALUE(REGEXEXTRACT(SUBSTITUTE(TRIM(F1115)," ",""),"^-?\d+(\.\d+)?"))&gt;=-90,VALUE(REGEXEXTRACT(SUBSTITUTE(TRIM(F1115)," ",""),"^-?\d+(\.\d+)?"))&lt;=90,VALUE(REGEXEXTRACT(SUBSTITUTE(TRIM(F1115)," ",""),"-?\d+(\.\d+)?$"))&gt;=-180,VALUE(REGEXEXTRACT(SUBSTITUTE(TRIM(F1115)," ",""),"-?\d+(\.\d+)?$"))&lt;=180),"OK","REVISAR"),"REVISAR"),"")</f>
        <v/>
      </c>
      <c r="O1115">
        <f>IF(A1115&lt;&gt;"","https://direcciones507.github.io/direcciones507/panel.html?codigo="&amp;A1115&amp;"&amp;nombre="&amp;ENCODEURL(B1115)&amp;"&amp;telefono="&amp;SUBSTITUTE(C1115,"-","")&amp;"&amp;referencia="&amp;ENCODEURL(E1115)&amp;"&amp;lat="&amp;IZQUIERDA(SUBSTITUTE(F1115," ",""),ENCONTRAR(",",SUBSTITUTE(F1115," ",""))-1)&amp;"&amp;lng="&amp;DERECHA(SUBSTITUTE(F1115," ",""),LARGO(SUBSTITUTE(F1115," ",""))-ENCONTRAR(",",SUBSTITUTE(F1115," ",""))),"")</f>
        <v/>
      </c>
    </row>
    <row r="1116" ht="15.75" customHeight="1" s="10">
      <c r="A1116" s="8">
        <f>CONCAT("AD507-",TEXT(ROW()-2,"0000"))</f>
        <v/>
      </c>
      <c r="C1116" s="8" t="n"/>
      <c r="F1116" s="8" t="n"/>
      <c r="G1116" s="8">
        <f>IF(F1116&lt;&gt;"",HYPERLINK("https://www.google.com/maps/search/?api=1&amp;query="&amp;SUBSTITUTE(F1116," ",""),"🗺 Google Maps"),"")</f>
        <v/>
      </c>
      <c r="H1116" s="8">
        <f>IF(F1116&lt;&gt;"",HYPERLINK("https://waze.com/ul?ll="&amp;SUBSTITUTE(F1116," ","")&amp;"&amp;navigate=yes","🚗 Waze"),"")</f>
        <v/>
      </c>
      <c r="I1116" s="8">
        <f>IF(F1116&lt;&gt;"",HYPERLINK("https://m.uber.com/ul/?action=setPickup&amp;pickup=my_location&amp;dropoff[latitude]="&amp;LEFT(SUBSTITUTE(F1116," ",""),FIND(",",SUBSTITUTE(F1116," ",""))-1)&amp;"&amp;dropoff[longitude]="&amp;MID(SUBSTITUTE(F1116," ",""),FIND(",",SUBSTITUTE(F1116," ",""))+1,99),"🚕 Uber"),"")</f>
        <v/>
      </c>
      <c r="J1116" s="8">
        <f>IF(F1116&lt;&gt;"","https://api.qrserver.com/v1/create-qr-code/?size=200x200&amp;data="&amp;ENCODEURL("https://www.google.com/maps/search/?api=1&amp;query="&amp;SUBSTITUTE(F1116," ","")),"")</f>
        <v/>
      </c>
      <c r="K1116" s="8">
        <f>IF(C1116&lt;&gt;"",HYPERLINK("https://wa.me/507"&amp;REGEXREPLACE(C1116,"[^0-9]","")&amp;"?text="&amp;ENCODEURL("Ya llegue. Codigo: "&amp;A1116&amp;". Ubicacion: "&amp;"https://www.google.com/maps/search/?api=1&amp;query="&amp;SUBSTITUTE(F1116," ","")),"📲 Avisar al cliente"),"")</f>
        <v/>
      </c>
      <c r="L1116" s="8">
        <f>IF(C1116&lt;&gt;"","https://api.qrserver.com/v1/create-qr-code/?size=200x200&amp;data="&amp;ENCODEURL("https://wa.me/507"&amp;REGEXREPLACE(C1116,"[^0-9]","")&amp;"?text="&amp;ENCODEURL("Ya llegue. Codigo: "&amp;A1116&amp;". Ubicacion: "&amp;"https://www.google.com/maps/search/?api=1&amp;query="&amp;SUBSTITUTE(F1116," ",""))),"")</f>
        <v/>
      </c>
      <c r="M1116" s="8">
        <f>IF(B1116&lt;&gt;"",TODAY(),"")</f>
        <v/>
      </c>
      <c r="N1116" s="8">
        <f>IF(F1116&lt;&gt;"",IFERROR(IF(AND(REGEXMATCH(SUBSTITUTE(TRIM(F1116)," ",""),"^-?\d+(\.\d+)?,-?\d+(\.\d+)?$"),VALUE(REGEXEXTRACT(SUBSTITUTE(TRIM(F1116)," ",""),"^-?\d+(\.\d+)?"))&gt;=-90,VALUE(REGEXEXTRACT(SUBSTITUTE(TRIM(F1116)," ",""),"^-?\d+(\.\d+)?"))&lt;=90,VALUE(REGEXEXTRACT(SUBSTITUTE(TRIM(F1116)," ",""),"-?\d+(\.\d+)?$"))&gt;=-180,VALUE(REGEXEXTRACT(SUBSTITUTE(TRIM(F1116)," ",""),"-?\d+(\.\d+)?$"))&lt;=180),"OK","REVISAR"),"REVISAR"),"")</f>
        <v/>
      </c>
      <c r="O1116">
        <f>IF(A1116&lt;&gt;"","https://direcciones507.github.io/direcciones507/panel.html?codigo="&amp;A1116&amp;"&amp;nombre="&amp;ENCODEURL(B1116)&amp;"&amp;telefono="&amp;SUBSTITUTE(C1116,"-","")&amp;"&amp;referencia="&amp;ENCODEURL(E1116)&amp;"&amp;lat="&amp;IZQUIERDA(SUBSTITUTE(F1116," ",""),ENCONTRAR(",",SUBSTITUTE(F1116," ",""))-1)&amp;"&amp;lng="&amp;DERECHA(SUBSTITUTE(F1116," ",""),LARGO(SUBSTITUTE(F1116," ",""))-ENCONTRAR(",",SUBSTITUTE(F1116," ",""))),"")</f>
        <v/>
      </c>
    </row>
    <row r="1117" ht="15.75" customHeight="1" s="10">
      <c r="A1117" s="8">
        <f>CONCAT("AD507-",TEXT(ROW()-2,"0000"))</f>
        <v/>
      </c>
      <c r="C1117" s="8" t="n"/>
      <c r="F1117" s="8" t="n"/>
      <c r="G1117" s="8">
        <f>IF(F1117&lt;&gt;"",HYPERLINK("https://www.google.com/maps/search/?api=1&amp;query="&amp;SUBSTITUTE(F1117," ",""),"🗺 Google Maps"),"")</f>
        <v/>
      </c>
      <c r="H1117" s="8">
        <f>IF(F1117&lt;&gt;"",HYPERLINK("https://waze.com/ul?ll="&amp;SUBSTITUTE(F1117," ","")&amp;"&amp;navigate=yes","🚗 Waze"),"")</f>
        <v/>
      </c>
      <c r="I1117" s="8">
        <f>IF(F1117&lt;&gt;"",HYPERLINK("https://m.uber.com/ul/?action=setPickup&amp;pickup=my_location&amp;dropoff[latitude]="&amp;LEFT(SUBSTITUTE(F1117," ",""),FIND(",",SUBSTITUTE(F1117," ",""))-1)&amp;"&amp;dropoff[longitude]="&amp;MID(SUBSTITUTE(F1117," ",""),FIND(",",SUBSTITUTE(F1117," ",""))+1,99),"🚕 Uber"),"")</f>
        <v/>
      </c>
      <c r="J1117" s="8">
        <f>IF(F1117&lt;&gt;"","https://api.qrserver.com/v1/create-qr-code/?size=200x200&amp;data="&amp;ENCODEURL("https://www.google.com/maps/search/?api=1&amp;query="&amp;SUBSTITUTE(F1117," ","")),"")</f>
        <v/>
      </c>
      <c r="K1117" s="8">
        <f>IF(C1117&lt;&gt;"",HYPERLINK("https://wa.me/507"&amp;REGEXREPLACE(C1117,"[^0-9]","")&amp;"?text="&amp;ENCODEURL("Ya llegue. Codigo: "&amp;A1117&amp;". Ubicacion: "&amp;"https://www.google.com/maps/search/?api=1&amp;query="&amp;SUBSTITUTE(F1117," ","")),"📲 Avisar al cliente"),"")</f>
        <v/>
      </c>
      <c r="L1117" s="8">
        <f>IF(C1117&lt;&gt;"","https://api.qrserver.com/v1/create-qr-code/?size=200x200&amp;data="&amp;ENCODEURL("https://wa.me/507"&amp;REGEXREPLACE(C1117,"[^0-9]","")&amp;"?text="&amp;ENCODEURL("Ya llegue. Codigo: "&amp;A1117&amp;". Ubicacion: "&amp;"https://www.google.com/maps/search/?api=1&amp;query="&amp;SUBSTITUTE(F1117," ",""))),"")</f>
        <v/>
      </c>
      <c r="M1117" s="8">
        <f>IF(B1117&lt;&gt;"",TODAY(),"")</f>
        <v/>
      </c>
      <c r="N1117" s="8">
        <f>IF(F1117&lt;&gt;"",IFERROR(IF(AND(REGEXMATCH(SUBSTITUTE(TRIM(F1117)," ",""),"^-?\d+(\.\d+)?,-?\d+(\.\d+)?$"),VALUE(REGEXEXTRACT(SUBSTITUTE(TRIM(F1117)," ",""),"^-?\d+(\.\d+)?"))&gt;=-90,VALUE(REGEXEXTRACT(SUBSTITUTE(TRIM(F1117)," ",""),"^-?\d+(\.\d+)?"))&lt;=90,VALUE(REGEXEXTRACT(SUBSTITUTE(TRIM(F1117)," ",""),"-?\d+(\.\d+)?$"))&gt;=-180,VALUE(REGEXEXTRACT(SUBSTITUTE(TRIM(F1117)," ",""),"-?\d+(\.\d+)?$"))&lt;=180),"OK","REVISAR"),"REVISAR"),"")</f>
        <v/>
      </c>
      <c r="O1117">
        <f>IF(A1117&lt;&gt;"","https://direcciones507.github.io/direcciones507/panel.html?codigo="&amp;A1117&amp;"&amp;nombre="&amp;ENCODEURL(B1117)&amp;"&amp;telefono="&amp;SUBSTITUTE(C1117,"-","")&amp;"&amp;referencia="&amp;ENCODEURL(E1117)&amp;"&amp;lat="&amp;IZQUIERDA(SUBSTITUTE(F1117," ",""),ENCONTRAR(",",SUBSTITUTE(F1117," ",""))-1)&amp;"&amp;lng="&amp;DERECHA(SUBSTITUTE(F1117," ",""),LARGO(SUBSTITUTE(F1117," ",""))-ENCONTRAR(",",SUBSTITUTE(F1117," ",""))),"")</f>
        <v/>
      </c>
    </row>
    <row r="1118" ht="15.75" customHeight="1" s="10">
      <c r="A1118" s="8">
        <f>CONCAT("AD507-",TEXT(ROW()-2,"0000"))</f>
        <v/>
      </c>
      <c r="C1118" s="8" t="n"/>
      <c r="F1118" s="8" t="n"/>
      <c r="G1118" s="8">
        <f>IF(F1118&lt;&gt;"",HYPERLINK("https://www.google.com/maps/search/?api=1&amp;query="&amp;SUBSTITUTE(F1118," ",""),"🗺 Google Maps"),"")</f>
        <v/>
      </c>
      <c r="H1118" s="8">
        <f>IF(F1118&lt;&gt;"",HYPERLINK("https://waze.com/ul?ll="&amp;SUBSTITUTE(F1118," ","")&amp;"&amp;navigate=yes","🚗 Waze"),"")</f>
        <v/>
      </c>
      <c r="I1118" s="8">
        <f>IF(F1118&lt;&gt;"",HYPERLINK("https://m.uber.com/ul/?action=setPickup&amp;pickup=my_location&amp;dropoff[latitude]="&amp;LEFT(SUBSTITUTE(F1118," ",""),FIND(",",SUBSTITUTE(F1118," ",""))-1)&amp;"&amp;dropoff[longitude]="&amp;MID(SUBSTITUTE(F1118," ",""),FIND(",",SUBSTITUTE(F1118," ",""))+1,99),"🚕 Uber"),"")</f>
        <v/>
      </c>
      <c r="J1118" s="8">
        <f>IF(F1118&lt;&gt;"","https://api.qrserver.com/v1/create-qr-code/?size=200x200&amp;data="&amp;ENCODEURL("https://www.google.com/maps/search/?api=1&amp;query="&amp;SUBSTITUTE(F1118," ","")),"")</f>
        <v/>
      </c>
      <c r="K1118" s="8">
        <f>IF(C1118&lt;&gt;"",HYPERLINK("https://wa.me/507"&amp;REGEXREPLACE(C1118,"[^0-9]","")&amp;"?text="&amp;ENCODEURL("Ya llegue. Codigo: "&amp;A1118&amp;". Ubicacion: "&amp;"https://www.google.com/maps/search/?api=1&amp;query="&amp;SUBSTITUTE(F1118," ","")),"📲 Avisar al cliente"),"")</f>
        <v/>
      </c>
      <c r="L1118" s="8">
        <f>IF(C1118&lt;&gt;"","https://api.qrserver.com/v1/create-qr-code/?size=200x200&amp;data="&amp;ENCODEURL("https://wa.me/507"&amp;REGEXREPLACE(C1118,"[^0-9]","")&amp;"?text="&amp;ENCODEURL("Ya llegue. Codigo: "&amp;A1118&amp;". Ubicacion: "&amp;"https://www.google.com/maps/search/?api=1&amp;query="&amp;SUBSTITUTE(F1118," ",""))),"")</f>
        <v/>
      </c>
      <c r="M1118" s="8">
        <f>IF(B1118&lt;&gt;"",TODAY(),"")</f>
        <v/>
      </c>
      <c r="N1118" s="8">
        <f>IF(F1118&lt;&gt;"",IFERROR(IF(AND(REGEXMATCH(SUBSTITUTE(TRIM(F1118)," ",""),"^-?\d+(\.\d+)?,-?\d+(\.\d+)?$"),VALUE(REGEXEXTRACT(SUBSTITUTE(TRIM(F1118)," ",""),"^-?\d+(\.\d+)?"))&gt;=-90,VALUE(REGEXEXTRACT(SUBSTITUTE(TRIM(F1118)," ",""),"^-?\d+(\.\d+)?"))&lt;=90,VALUE(REGEXEXTRACT(SUBSTITUTE(TRIM(F1118)," ",""),"-?\d+(\.\d+)?$"))&gt;=-180,VALUE(REGEXEXTRACT(SUBSTITUTE(TRIM(F1118)," ",""),"-?\d+(\.\d+)?$"))&lt;=180),"OK","REVISAR"),"REVISAR"),"")</f>
        <v/>
      </c>
      <c r="O1118">
        <f>IF(A1118&lt;&gt;"","https://direcciones507.github.io/direcciones507/panel.html?codigo="&amp;A1118&amp;"&amp;nombre="&amp;ENCODEURL(B1118)&amp;"&amp;telefono="&amp;SUBSTITUTE(C1118,"-","")&amp;"&amp;referencia="&amp;ENCODEURL(E1118)&amp;"&amp;lat="&amp;IZQUIERDA(SUBSTITUTE(F1118," ",""),ENCONTRAR(",",SUBSTITUTE(F1118," ",""))-1)&amp;"&amp;lng="&amp;DERECHA(SUBSTITUTE(F1118," ",""),LARGO(SUBSTITUTE(F1118," ",""))-ENCONTRAR(",",SUBSTITUTE(F1118," ",""))),"")</f>
        <v/>
      </c>
    </row>
    <row r="1119" ht="15.75" customHeight="1" s="10">
      <c r="A1119" s="8">
        <f>CONCAT("AD507-",TEXT(ROW()-2,"0000"))</f>
        <v/>
      </c>
      <c r="C1119" s="8" t="n"/>
      <c r="F1119" s="8" t="n"/>
      <c r="G1119" s="8">
        <f>IF(F1119&lt;&gt;"",HYPERLINK("https://www.google.com/maps/search/?api=1&amp;query="&amp;SUBSTITUTE(F1119," ",""),"🗺 Google Maps"),"")</f>
        <v/>
      </c>
      <c r="H1119" s="8">
        <f>IF(F1119&lt;&gt;"",HYPERLINK("https://waze.com/ul?ll="&amp;SUBSTITUTE(F1119," ","")&amp;"&amp;navigate=yes","🚗 Waze"),"")</f>
        <v/>
      </c>
      <c r="I1119" s="8">
        <f>IF(F1119&lt;&gt;"",HYPERLINK("https://m.uber.com/ul/?action=setPickup&amp;pickup=my_location&amp;dropoff[latitude]="&amp;LEFT(SUBSTITUTE(F1119," ",""),FIND(",",SUBSTITUTE(F1119," ",""))-1)&amp;"&amp;dropoff[longitude]="&amp;MID(SUBSTITUTE(F1119," ",""),FIND(",",SUBSTITUTE(F1119," ",""))+1,99),"🚕 Uber"),"")</f>
        <v/>
      </c>
      <c r="J1119" s="8">
        <f>IF(F1119&lt;&gt;"","https://api.qrserver.com/v1/create-qr-code/?size=200x200&amp;data="&amp;ENCODEURL("https://www.google.com/maps/search/?api=1&amp;query="&amp;SUBSTITUTE(F1119," ","")),"")</f>
        <v/>
      </c>
      <c r="K1119" s="8">
        <f>IF(C1119&lt;&gt;"",HYPERLINK("https://wa.me/507"&amp;REGEXREPLACE(C1119,"[^0-9]","")&amp;"?text="&amp;ENCODEURL("Ya llegue. Codigo: "&amp;A1119&amp;". Ubicacion: "&amp;"https://www.google.com/maps/search/?api=1&amp;query="&amp;SUBSTITUTE(F1119," ","")),"📲 Avisar al cliente"),"")</f>
        <v/>
      </c>
      <c r="L1119" s="8">
        <f>IF(C1119&lt;&gt;"","https://api.qrserver.com/v1/create-qr-code/?size=200x200&amp;data="&amp;ENCODEURL("https://wa.me/507"&amp;REGEXREPLACE(C1119,"[^0-9]","")&amp;"?text="&amp;ENCODEURL("Ya llegue. Codigo: "&amp;A1119&amp;". Ubicacion: "&amp;"https://www.google.com/maps/search/?api=1&amp;query="&amp;SUBSTITUTE(F1119," ",""))),"")</f>
        <v/>
      </c>
      <c r="M1119" s="8">
        <f>IF(B1119&lt;&gt;"",TODAY(),"")</f>
        <v/>
      </c>
      <c r="N1119" s="8">
        <f>IF(F1119&lt;&gt;"",IFERROR(IF(AND(REGEXMATCH(SUBSTITUTE(TRIM(F1119)," ",""),"^-?\d+(\.\d+)?,-?\d+(\.\d+)?$"),VALUE(REGEXEXTRACT(SUBSTITUTE(TRIM(F1119)," ",""),"^-?\d+(\.\d+)?"))&gt;=-90,VALUE(REGEXEXTRACT(SUBSTITUTE(TRIM(F1119)," ",""),"^-?\d+(\.\d+)?"))&lt;=90,VALUE(REGEXEXTRACT(SUBSTITUTE(TRIM(F1119)," ",""),"-?\d+(\.\d+)?$"))&gt;=-180,VALUE(REGEXEXTRACT(SUBSTITUTE(TRIM(F1119)," ",""),"-?\d+(\.\d+)?$"))&lt;=180),"OK","REVISAR"),"REVISAR"),"")</f>
        <v/>
      </c>
      <c r="O1119">
        <f>IF(A1119&lt;&gt;"","https://direcciones507.github.io/direcciones507/panel.html?codigo="&amp;A1119&amp;"&amp;nombre="&amp;ENCODEURL(B1119)&amp;"&amp;telefono="&amp;SUBSTITUTE(C1119,"-","")&amp;"&amp;referencia="&amp;ENCODEURL(E1119)&amp;"&amp;lat="&amp;IZQUIERDA(SUBSTITUTE(F1119," ",""),ENCONTRAR(",",SUBSTITUTE(F1119," ",""))-1)&amp;"&amp;lng="&amp;DERECHA(SUBSTITUTE(F1119," ",""),LARGO(SUBSTITUTE(F1119," ",""))-ENCONTRAR(",",SUBSTITUTE(F1119," ",""))),"")</f>
        <v/>
      </c>
    </row>
    <row r="1120" ht="15.75" customHeight="1" s="10">
      <c r="A1120" s="8">
        <f>CONCAT("AD507-",TEXT(ROW()-2,"0000"))</f>
        <v/>
      </c>
      <c r="C1120" s="8" t="n"/>
      <c r="F1120" s="8" t="n"/>
      <c r="G1120" s="8">
        <f>IF(F1120&lt;&gt;"",HYPERLINK("https://www.google.com/maps/search/?api=1&amp;query="&amp;SUBSTITUTE(F1120," ",""),"🗺 Google Maps"),"")</f>
        <v/>
      </c>
      <c r="H1120" s="8">
        <f>IF(F1120&lt;&gt;"",HYPERLINK("https://waze.com/ul?ll="&amp;SUBSTITUTE(F1120," ","")&amp;"&amp;navigate=yes","🚗 Waze"),"")</f>
        <v/>
      </c>
      <c r="I1120" s="8">
        <f>IF(F1120&lt;&gt;"",HYPERLINK("https://m.uber.com/ul/?action=setPickup&amp;pickup=my_location&amp;dropoff[latitude]="&amp;LEFT(SUBSTITUTE(F1120," ",""),FIND(",",SUBSTITUTE(F1120," ",""))-1)&amp;"&amp;dropoff[longitude]="&amp;MID(SUBSTITUTE(F1120," ",""),FIND(",",SUBSTITUTE(F1120," ",""))+1,99),"🚕 Uber"),"")</f>
        <v/>
      </c>
      <c r="J1120" s="8">
        <f>IF(F1120&lt;&gt;"","https://api.qrserver.com/v1/create-qr-code/?size=200x200&amp;data="&amp;ENCODEURL("https://www.google.com/maps/search/?api=1&amp;query="&amp;SUBSTITUTE(F1120," ","")),"")</f>
        <v/>
      </c>
      <c r="K1120" s="8">
        <f>IF(C1120&lt;&gt;"",HYPERLINK("https://wa.me/507"&amp;REGEXREPLACE(C1120,"[^0-9]","")&amp;"?text="&amp;ENCODEURL("Ya llegue. Codigo: "&amp;A1120&amp;". Ubicacion: "&amp;"https://www.google.com/maps/search/?api=1&amp;query="&amp;SUBSTITUTE(F1120," ","")),"📲 Avisar al cliente"),"")</f>
        <v/>
      </c>
      <c r="L1120" s="8">
        <f>IF(C1120&lt;&gt;"","https://api.qrserver.com/v1/create-qr-code/?size=200x200&amp;data="&amp;ENCODEURL("https://wa.me/507"&amp;REGEXREPLACE(C1120,"[^0-9]","")&amp;"?text="&amp;ENCODEURL("Ya llegue. Codigo: "&amp;A1120&amp;". Ubicacion: "&amp;"https://www.google.com/maps/search/?api=1&amp;query="&amp;SUBSTITUTE(F1120," ",""))),"")</f>
        <v/>
      </c>
      <c r="M1120" s="8">
        <f>IF(B1120&lt;&gt;"",TODAY(),"")</f>
        <v/>
      </c>
      <c r="N1120" s="8">
        <f>IF(F1120&lt;&gt;"",IFERROR(IF(AND(REGEXMATCH(SUBSTITUTE(TRIM(F1120)," ",""),"^-?\d+(\.\d+)?,-?\d+(\.\d+)?$"),VALUE(REGEXEXTRACT(SUBSTITUTE(TRIM(F1120)," ",""),"^-?\d+(\.\d+)?"))&gt;=-90,VALUE(REGEXEXTRACT(SUBSTITUTE(TRIM(F1120)," ",""),"^-?\d+(\.\d+)?"))&lt;=90,VALUE(REGEXEXTRACT(SUBSTITUTE(TRIM(F1120)," ",""),"-?\d+(\.\d+)?$"))&gt;=-180,VALUE(REGEXEXTRACT(SUBSTITUTE(TRIM(F1120)," ",""),"-?\d+(\.\d+)?$"))&lt;=180),"OK","REVISAR"),"REVISAR"),"")</f>
        <v/>
      </c>
      <c r="O1120">
        <f>IF(A1120&lt;&gt;"","https://direcciones507.github.io/direcciones507/panel.html?codigo="&amp;A1120&amp;"&amp;nombre="&amp;ENCODEURL(B1120)&amp;"&amp;telefono="&amp;SUBSTITUTE(C1120,"-","")&amp;"&amp;referencia="&amp;ENCODEURL(E1120)&amp;"&amp;lat="&amp;IZQUIERDA(SUBSTITUTE(F1120," ",""),ENCONTRAR(",",SUBSTITUTE(F1120," ",""))-1)&amp;"&amp;lng="&amp;DERECHA(SUBSTITUTE(F1120," ",""),LARGO(SUBSTITUTE(F1120," ",""))-ENCONTRAR(",",SUBSTITUTE(F1120," ",""))),"")</f>
        <v/>
      </c>
    </row>
    <row r="1121" ht="15.75" customHeight="1" s="10">
      <c r="A1121" s="8">
        <f>CONCAT("AD507-",TEXT(ROW()-2,"0000"))</f>
        <v/>
      </c>
      <c r="C1121" s="8" t="n"/>
      <c r="F1121" s="8" t="n"/>
      <c r="G1121" s="8">
        <f>IF(F1121&lt;&gt;"",HYPERLINK("https://www.google.com/maps/search/?api=1&amp;query="&amp;SUBSTITUTE(F1121," ",""),"🗺 Google Maps"),"")</f>
        <v/>
      </c>
      <c r="H1121" s="8">
        <f>IF(F1121&lt;&gt;"",HYPERLINK("https://waze.com/ul?ll="&amp;SUBSTITUTE(F1121," ","")&amp;"&amp;navigate=yes","🚗 Waze"),"")</f>
        <v/>
      </c>
      <c r="I1121" s="8">
        <f>IF(F1121&lt;&gt;"",HYPERLINK("https://m.uber.com/ul/?action=setPickup&amp;pickup=my_location&amp;dropoff[latitude]="&amp;LEFT(SUBSTITUTE(F1121," ",""),FIND(",",SUBSTITUTE(F1121," ",""))-1)&amp;"&amp;dropoff[longitude]="&amp;MID(SUBSTITUTE(F1121," ",""),FIND(",",SUBSTITUTE(F1121," ",""))+1,99),"🚕 Uber"),"")</f>
        <v/>
      </c>
      <c r="J1121" s="8">
        <f>IF(F1121&lt;&gt;"","https://api.qrserver.com/v1/create-qr-code/?size=200x200&amp;data="&amp;ENCODEURL("https://www.google.com/maps/search/?api=1&amp;query="&amp;SUBSTITUTE(F1121," ","")),"")</f>
        <v/>
      </c>
      <c r="K1121" s="8">
        <f>IF(C1121&lt;&gt;"",HYPERLINK("https://wa.me/507"&amp;REGEXREPLACE(C1121,"[^0-9]","")&amp;"?text="&amp;ENCODEURL("Ya llegue. Codigo: "&amp;A1121&amp;". Ubicacion: "&amp;"https://www.google.com/maps/search/?api=1&amp;query="&amp;SUBSTITUTE(F1121," ","")),"📲 Avisar al cliente"),"")</f>
        <v/>
      </c>
      <c r="L1121" s="8">
        <f>IF(C1121&lt;&gt;"","https://api.qrserver.com/v1/create-qr-code/?size=200x200&amp;data="&amp;ENCODEURL("https://wa.me/507"&amp;REGEXREPLACE(C1121,"[^0-9]","")&amp;"?text="&amp;ENCODEURL("Ya llegue. Codigo: "&amp;A1121&amp;". Ubicacion: "&amp;"https://www.google.com/maps/search/?api=1&amp;query="&amp;SUBSTITUTE(F1121," ",""))),"")</f>
        <v/>
      </c>
      <c r="M1121" s="8">
        <f>IF(B1121&lt;&gt;"",TODAY(),"")</f>
        <v/>
      </c>
      <c r="N1121" s="8">
        <f>IF(F1121&lt;&gt;"",IFERROR(IF(AND(REGEXMATCH(SUBSTITUTE(TRIM(F1121)," ",""),"^-?\d+(\.\d+)?,-?\d+(\.\d+)?$"),VALUE(REGEXEXTRACT(SUBSTITUTE(TRIM(F1121)," ",""),"^-?\d+(\.\d+)?"))&gt;=-90,VALUE(REGEXEXTRACT(SUBSTITUTE(TRIM(F1121)," ",""),"^-?\d+(\.\d+)?"))&lt;=90,VALUE(REGEXEXTRACT(SUBSTITUTE(TRIM(F1121)," ",""),"-?\d+(\.\d+)?$"))&gt;=-180,VALUE(REGEXEXTRACT(SUBSTITUTE(TRIM(F1121)," ",""),"-?\d+(\.\d+)?$"))&lt;=180),"OK","REVISAR"),"REVISAR"),"")</f>
        <v/>
      </c>
      <c r="O1121">
        <f>IF(A1121&lt;&gt;"","https://direcciones507.github.io/direcciones507/panel.html?codigo="&amp;A1121&amp;"&amp;nombre="&amp;ENCODEURL(B1121)&amp;"&amp;telefono="&amp;SUBSTITUTE(C1121,"-","")&amp;"&amp;referencia="&amp;ENCODEURL(E1121)&amp;"&amp;lat="&amp;IZQUIERDA(SUBSTITUTE(F1121," ",""),ENCONTRAR(",",SUBSTITUTE(F1121," ",""))-1)&amp;"&amp;lng="&amp;DERECHA(SUBSTITUTE(F1121," ",""),LARGO(SUBSTITUTE(F1121," ",""))-ENCONTRAR(",",SUBSTITUTE(F1121," ",""))),"")</f>
        <v/>
      </c>
    </row>
    <row r="1122" ht="15.75" customHeight="1" s="10">
      <c r="A1122" s="8">
        <f>CONCAT("AD507-",TEXT(ROW()-2,"0000"))</f>
        <v/>
      </c>
      <c r="C1122" s="8" t="n"/>
      <c r="F1122" s="8" t="n"/>
      <c r="G1122" s="8">
        <f>IF(F1122&lt;&gt;"",HYPERLINK("https://www.google.com/maps/search/?api=1&amp;query="&amp;SUBSTITUTE(F1122," ",""),"🗺 Google Maps"),"")</f>
        <v/>
      </c>
      <c r="H1122" s="8">
        <f>IF(F1122&lt;&gt;"",HYPERLINK("https://waze.com/ul?ll="&amp;SUBSTITUTE(F1122," ","")&amp;"&amp;navigate=yes","🚗 Waze"),"")</f>
        <v/>
      </c>
      <c r="I1122" s="8">
        <f>IF(F1122&lt;&gt;"",HYPERLINK("https://m.uber.com/ul/?action=setPickup&amp;pickup=my_location&amp;dropoff[latitude]="&amp;LEFT(SUBSTITUTE(F1122," ",""),FIND(",",SUBSTITUTE(F1122," ",""))-1)&amp;"&amp;dropoff[longitude]="&amp;MID(SUBSTITUTE(F1122," ",""),FIND(",",SUBSTITUTE(F1122," ",""))+1,99),"🚕 Uber"),"")</f>
        <v/>
      </c>
      <c r="J1122" s="8">
        <f>IF(F1122&lt;&gt;"","https://api.qrserver.com/v1/create-qr-code/?size=200x200&amp;data="&amp;ENCODEURL("https://www.google.com/maps/search/?api=1&amp;query="&amp;SUBSTITUTE(F1122," ","")),"")</f>
        <v/>
      </c>
      <c r="K1122" s="8">
        <f>IF(C1122&lt;&gt;"",HYPERLINK("https://wa.me/507"&amp;REGEXREPLACE(C1122,"[^0-9]","")&amp;"?text="&amp;ENCODEURL("Ya llegue. Codigo: "&amp;A1122&amp;". Ubicacion: "&amp;"https://www.google.com/maps/search/?api=1&amp;query="&amp;SUBSTITUTE(F1122," ","")),"📲 Avisar al cliente"),"")</f>
        <v/>
      </c>
      <c r="L1122" s="8">
        <f>IF(C1122&lt;&gt;"","https://api.qrserver.com/v1/create-qr-code/?size=200x200&amp;data="&amp;ENCODEURL("https://wa.me/507"&amp;REGEXREPLACE(C1122,"[^0-9]","")&amp;"?text="&amp;ENCODEURL("Ya llegue. Codigo: "&amp;A1122&amp;". Ubicacion: "&amp;"https://www.google.com/maps/search/?api=1&amp;query="&amp;SUBSTITUTE(F1122," ",""))),"")</f>
        <v/>
      </c>
      <c r="M1122" s="8">
        <f>IF(B1122&lt;&gt;"",TODAY(),"")</f>
        <v/>
      </c>
      <c r="N1122" s="8">
        <f>IF(F1122&lt;&gt;"",IFERROR(IF(AND(REGEXMATCH(SUBSTITUTE(TRIM(F1122)," ",""),"^-?\d+(\.\d+)?,-?\d+(\.\d+)?$"),VALUE(REGEXEXTRACT(SUBSTITUTE(TRIM(F1122)," ",""),"^-?\d+(\.\d+)?"))&gt;=-90,VALUE(REGEXEXTRACT(SUBSTITUTE(TRIM(F1122)," ",""),"^-?\d+(\.\d+)?"))&lt;=90,VALUE(REGEXEXTRACT(SUBSTITUTE(TRIM(F1122)," ",""),"-?\d+(\.\d+)?$"))&gt;=-180,VALUE(REGEXEXTRACT(SUBSTITUTE(TRIM(F1122)," ",""),"-?\d+(\.\d+)?$"))&lt;=180),"OK","REVISAR"),"REVISAR"),"")</f>
        <v/>
      </c>
      <c r="O1122">
        <f>IF(A1122&lt;&gt;"","https://direcciones507.github.io/direcciones507/panel.html?codigo="&amp;A1122&amp;"&amp;nombre="&amp;ENCODEURL(B1122)&amp;"&amp;telefono="&amp;SUBSTITUTE(C1122,"-","")&amp;"&amp;referencia="&amp;ENCODEURL(E1122)&amp;"&amp;lat="&amp;IZQUIERDA(SUBSTITUTE(F1122," ",""),ENCONTRAR(",",SUBSTITUTE(F1122," ",""))-1)&amp;"&amp;lng="&amp;DERECHA(SUBSTITUTE(F1122," ",""),LARGO(SUBSTITUTE(F1122," ",""))-ENCONTRAR(",",SUBSTITUTE(F1122," ",""))),"")</f>
        <v/>
      </c>
    </row>
    <row r="1123" ht="15.75" customHeight="1" s="10">
      <c r="A1123" s="8">
        <f>CONCAT("AD507-",TEXT(ROW()-2,"0000"))</f>
        <v/>
      </c>
      <c r="C1123" s="8" t="n"/>
      <c r="F1123" s="8" t="n"/>
      <c r="G1123" s="8">
        <f>IF(F1123&lt;&gt;"",HYPERLINK("https://www.google.com/maps/search/?api=1&amp;query="&amp;SUBSTITUTE(F1123," ",""),"🗺 Google Maps"),"")</f>
        <v/>
      </c>
      <c r="H1123" s="8">
        <f>IF(F1123&lt;&gt;"",HYPERLINK("https://waze.com/ul?ll="&amp;SUBSTITUTE(F1123," ","")&amp;"&amp;navigate=yes","🚗 Waze"),"")</f>
        <v/>
      </c>
      <c r="I1123" s="8">
        <f>IF(F1123&lt;&gt;"",HYPERLINK("https://m.uber.com/ul/?action=setPickup&amp;pickup=my_location&amp;dropoff[latitude]="&amp;LEFT(SUBSTITUTE(F1123," ",""),FIND(",",SUBSTITUTE(F1123," ",""))-1)&amp;"&amp;dropoff[longitude]="&amp;MID(SUBSTITUTE(F1123," ",""),FIND(",",SUBSTITUTE(F1123," ",""))+1,99),"🚕 Uber"),"")</f>
        <v/>
      </c>
      <c r="J1123" s="8">
        <f>IF(F1123&lt;&gt;"","https://api.qrserver.com/v1/create-qr-code/?size=200x200&amp;data="&amp;ENCODEURL("https://www.google.com/maps/search/?api=1&amp;query="&amp;SUBSTITUTE(F1123," ","")),"")</f>
        <v/>
      </c>
      <c r="K1123" s="8">
        <f>IF(C1123&lt;&gt;"",HYPERLINK("https://wa.me/507"&amp;REGEXREPLACE(C1123,"[^0-9]","")&amp;"?text="&amp;ENCODEURL("Ya llegue. Codigo: "&amp;A1123&amp;". Ubicacion: "&amp;"https://www.google.com/maps/search/?api=1&amp;query="&amp;SUBSTITUTE(F1123," ","")),"📲 Avisar al cliente"),"")</f>
        <v/>
      </c>
      <c r="L1123" s="8">
        <f>IF(C1123&lt;&gt;"","https://api.qrserver.com/v1/create-qr-code/?size=200x200&amp;data="&amp;ENCODEURL("https://wa.me/507"&amp;REGEXREPLACE(C1123,"[^0-9]","")&amp;"?text="&amp;ENCODEURL("Ya llegue. Codigo: "&amp;A1123&amp;". Ubicacion: "&amp;"https://www.google.com/maps/search/?api=1&amp;query="&amp;SUBSTITUTE(F1123," ",""))),"")</f>
        <v/>
      </c>
      <c r="M1123" s="8">
        <f>IF(B1123&lt;&gt;"",TODAY(),"")</f>
        <v/>
      </c>
      <c r="N1123" s="8">
        <f>IF(F1123&lt;&gt;"",IFERROR(IF(AND(REGEXMATCH(SUBSTITUTE(TRIM(F1123)," ",""),"^-?\d+(\.\d+)?,-?\d+(\.\d+)?$"),VALUE(REGEXEXTRACT(SUBSTITUTE(TRIM(F1123)," ",""),"^-?\d+(\.\d+)?"))&gt;=-90,VALUE(REGEXEXTRACT(SUBSTITUTE(TRIM(F1123)," ",""),"^-?\d+(\.\d+)?"))&lt;=90,VALUE(REGEXEXTRACT(SUBSTITUTE(TRIM(F1123)," ",""),"-?\d+(\.\d+)?$"))&gt;=-180,VALUE(REGEXEXTRACT(SUBSTITUTE(TRIM(F1123)," ",""),"-?\d+(\.\d+)?$"))&lt;=180),"OK","REVISAR"),"REVISAR"),"")</f>
        <v/>
      </c>
      <c r="O1123">
        <f>IF(A1123&lt;&gt;"","https://direcciones507.github.io/direcciones507/panel.html?codigo="&amp;A1123&amp;"&amp;nombre="&amp;ENCODEURL(B1123)&amp;"&amp;telefono="&amp;SUBSTITUTE(C1123,"-","")&amp;"&amp;referencia="&amp;ENCODEURL(E1123)&amp;"&amp;lat="&amp;IZQUIERDA(SUBSTITUTE(F1123," ",""),ENCONTRAR(",",SUBSTITUTE(F1123," ",""))-1)&amp;"&amp;lng="&amp;DERECHA(SUBSTITUTE(F1123," ",""),LARGO(SUBSTITUTE(F1123," ",""))-ENCONTRAR(",",SUBSTITUTE(F1123," ",""))),"")</f>
        <v/>
      </c>
    </row>
    <row r="1124" ht="15.75" customHeight="1" s="10">
      <c r="A1124" s="8">
        <f>CONCAT("AD507-",TEXT(ROW()-2,"0000"))</f>
        <v/>
      </c>
      <c r="C1124" s="8" t="n"/>
      <c r="F1124" s="8" t="n"/>
      <c r="G1124" s="8">
        <f>IF(F1124&lt;&gt;"",HYPERLINK("https://www.google.com/maps/search/?api=1&amp;query="&amp;SUBSTITUTE(F1124," ",""),"🗺 Google Maps"),"")</f>
        <v/>
      </c>
      <c r="H1124" s="8">
        <f>IF(F1124&lt;&gt;"",HYPERLINK("https://waze.com/ul?ll="&amp;SUBSTITUTE(F1124," ","")&amp;"&amp;navigate=yes","🚗 Waze"),"")</f>
        <v/>
      </c>
      <c r="I1124" s="8">
        <f>IF(F1124&lt;&gt;"",HYPERLINK("https://m.uber.com/ul/?action=setPickup&amp;pickup=my_location&amp;dropoff[latitude]="&amp;LEFT(SUBSTITUTE(F1124," ",""),FIND(",",SUBSTITUTE(F1124," ",""))-1)&amp;"&amp;dropoff[longitude]="&amp;MID(SUBSTITUTE(F1124," ",""),FIND(",",SUBSTITUTE(F1124," ",""))+1,99),"🚕 Uber"),"")</f>
        <v/>
      </c>
      <c r="J1124" s="8">
        <f>IF(F1124&lt;&gt;"","https://api.qrserver.com/v1/create-qr-code/?size=200x200&amp;data="&amp;ENCODEURL("https://www.google.com/maps/search/?api=1&amp;query="&amp;SUBSTITUTE(F1124," ","")),"")</f>
        <v/>
      </c>
      <c r="K1124" s="8">
        <f>IF(C1124&lt;&gt;"",HYPERLINK("https://wa.me/507"&amp;REGEXREPLACE(C1124,"[^0-9]","")&amp;"?text="&amp;ENCODEURL("Ya llegue. Codigo: "&amp;A1124&amp;". Ubicacion: "&amp;"https://www.google.com/maps/search/?api=1&amp;query="&amp;SUBSTITUTE(F1124," ","")),"📲 Avisar al cliente"),"")</f>
        <v/>
      </c>
      <c r="L1124" s="8">
        <f>IF(C1124&lt;&gt;"","https://api.qrserver.com/v1/create-qr-code/?size=200x200&amp;data="&amp;ENCODEURL("https://wa.me/507"&amp;REGEXREPLACE(C1124,"[^0-9]","")&amp;"?text="&amp;ENCODEURL("Ya llegue. Codigo: "&amp;A1124&amp;". Ubicacion: "&amp;"https://www.google.com/maps/search/?api=1&amp;query="&amp;SUBSTITUTE(F1124," ",""))),"")</f>
        <v/>
      </c>
      <c r="M1124" s="8">
        <f>IF(B1124&lt;&gt;"",TODAY(),"")</f>
        <v/>
      </c>
      <c r="N1124" s="8">
        <f>IF(F1124&lt;&gt;"",IFERROR(IF(AND(REGEXMATCH(SUBSTITUTE(TRIM(F1124)," ",""),"^-?\d+(\.\d+)?,-?\d+(\.\d+)?$"),VALUE(REGEXEXTRACT(SUBSTITUTE(TRIM(F1124)," ",""),"^-?\d+(\.\d+)?"))&gt;=-90,VALUE(REGEXEXTRACT(SUBSTITUTE(TRIM(F1124)," ",""),"^-?\d+(\.\d+)?"))&lt;=90,VALUE(REGEXEXTRACT(SUBSTITUTE(TRIM(F1124)," ",""),"-?\d+(\.\d+)?$"))&gt;=-180,VALUE(REGEXEXTRACT(SUBSTITUTE(TRIM(F1124)," ",""),"-?\d+(\.\d+)?$"))&lt;=180),"OK","REVISAR"),"REVISAR"),"")</f>
        <v/>
      </c>
      <c r="O1124">
        <f>IF(A1124&lt;&gt;"","https://direcciones507.github.io/direcciones507/panel.html?codigo="&amp;A1124&amp;"&amp;nombre="&amp;ENCODEURL(B1124)&amp;"&amp;telefono="&amp;SUBSTITUTE(C1124,"-","")&amp;"&amp;referencia="&amp;ENCODEURL(E1124)&amp;"&amp;lat="&amp;IZQUIERDA(SUBSTITUTE(F1124," ",""),ENCONTRAR(",",SUBSTITUTE(F1124," ",""))-1)&amp;"&amp;lng="&amp;DERECHA(SUBSTITUTE(F1124," ",""),LARGO(SUBSTITUTE(F1124," ",""))-ENCONTRAR(",",SUBSTITUTE(F1124," ",""))),"")</f>
        <v/>
      </c>
    </row>
    <row r="1125" ht="15.75" customHeight="1" s="10">
      <c r="A1125" s="8">
        <f>CONCAT("AD507-",TEXT(ROW()-2,"0000"))</f>
        <v/>
      </c>
      <c r="C1125" s="8" t="n"/>
      <c r="F1125" s="8" t="n"/>
      <c r="G1125" s="8">
        <f>IF(F1125&lt;&gt;"",HYPERLINK("https://www.google.com/maps/search/?api=1&amp;query="&amp;SUBSTITUTE(F1125," ",""),"🗺 Google Maps"),"")</f>
        <v/>
      </c>
      <c r="H1125" s="8">
        <f>IF(F1125&lt;&gt;"",HYPERLINK("https://waze.com/ul?ll="&amp;SUBSTITUTE(F1125," ","")&amp;"&amp;navigate=yes","🚗 Waze"),"")</f>
        <v/>
      </c>
      <c r="I1125" s="8">
        <f>IF(F1125&lt;&gt;"",HYPERLINK("https://m.uber.com/ul/?action=setPickup&amp;pickup=my_location&amp;dropoff[latitude]="&amp;LEFT(SUBSTITUTE(F1125," ",""),FIND(",",SUBSTITUTE(F1125," ",""))-1)&amp;"&amp;dropoff[longitude]="&amp;MID(SUBSTITUTE(F1125," ",""),FIND(",",SUBSTITUTE(F1125," ",""))+1,99),"🚕 Uber"),"")</f>
        <v/>
      </c>
      <c r="J1125" s="8">
        <f>IF(F1125&lt;&gt;"","https://api.qrserver.com/v1/create-qr-code/?size=200x200&amp;data="&amp;ENCODEURL("https://www.google.com/maps/search/?api=1&amp;query="&amp;SUBSTITUTE(F1125," ","")),"")</f>
        <v/>
      </c>
      <c r="K1125" s="8">
        <f>IF(C1125&lt;&gt;"",HYPERLINK("https://wa.me/507"&amp;REGEXREPLACE(C1125,"[^0-9]","")&amp;"?text="&amp;ENCODEURL("Ya llegue. Codigo: "&amp;A1125&amp;". Ubicacion: "&amp;"https://www.google.com/maps/search/?api=1&amp;query="&amp;SUBSTITUTE(F1125," ","")),"📲 Avisar al cliente"),"")</f>
        <v/>
      </c>
      <c r="L1125" s="8">
        <f>IF(C1125&lt;&gt;"","https://api.qrserver.com/v1/create-qr-code/?size=200x200&amp;data="&amp;ENCODEURL("https://wa.me/507"&amp;REGEXREPLACE(C1125,"[^0-9]","")&amp;"?text="&amp;ENCODEURL("Ya llegue. Codigo: "&amp;A1125&amp;". Ubicacion: "&amp;"https://www.google.com/maps/search/?api=1&amp;query="&amp;SUBSTITUTE(F1125," ",""))),"")</f>
        <v/>
      </c>
      <c r="M1125" s="8">
        <f>IF(B1125&lt;&gt;"",TODAY(),"")</f>
        <v/>
      </c>
      <c r="N1125" s="8">
        <f>IF(F1125&lt;&gt;"",IFERROR(IF(AND(REGEXMATCH(SUBSTITUTE(TRIM(F1125)," ",""),"^-?\d+(\.\d+)?,-?\d+(\.\d+)?$"),VALUE(REGEXEXTRACT(SUBSTITUTE(TRIM(F1125)," ",""),"^-?\d+(\.\d+)?"))&gt;=-90,VALUE(REGEXEXTRACT(SUBSTITUTE(TRIM(F1125)," ",""),"^-?\d+(\.\d+)?"))&lt;=90,VALUE(REGEXEXTRACT(SUBSTITUTE(TRIM(F1125)," ",""),"-?\d+(\.\d+)?$"))&gt;=-180,VALUE(REGEXEXTRACT(SUBSTITUTE(TRIM(F1125)," ",""),"-?\d+(\.\d+)?$"))&lt;=180),"OK","REVISAR"),"REVISAR"),"")</f>
        <v/>
      </c>
      <c r="O1125">
        <f>IF(A1125&lt;&gt;"","https://direcciones507.github.io/direcciones507/panel.html?codigo="&amp;A1125&amp;"&amp;nombre="&amp;ENCODEURL(B1125)&amp;"&amp;telefono="&amp;SUBSTITUTE(C1125,"-","")&amp;"&amp;referencia="&amp;ENCODEURL(E1125)&amp;"&amp;lat="&amp;IZQUIERDA(SUBSTITUTE(F1125," ",""),ENCONTRAR(",",SUBSTITUTE(F1125," ",""))-1)&amp;"&amp;lng="&amp;DERECHA(SUBSTITUTE(F1125," ",""),LARGO(SUBSTITUTE(F1125," ",""))-ENCONTRAR(",",SUBSTITUTE(F1125," ",""))),"")</f>
        <v/>
      </c>
    </row>
    <row r="1126" ht="15.75" customHeight="1" s="10">
      <c r="A1126" s="8">
        <f>CONCAT("AD507-",TEXT(ROW()-2,"0000"))</f>
        <v/>
      </c>
      <c r="C1126" s="8" t="n"/>
      <c r="F1126" s="8" t="n"/>
      <c r="G1126" s="8">
        <f>IF(F1126&lt;&gt;"",HYPERLINK("https://www.google.com/maps/search/?api=1&amp;query="&amp;SUBSTITUTE(F1126," ",""),"🗺 Google Maps"),"")</f>
        <v/>
      </c>
      <c r="H1126" s="8">
        <f>IF(F1126&lt;&gt;"",HYPERLINK("https://waze.com/ul?ll="&amp;SUBSTITUTE(F1126," ","")&amp;"&amp;navigate=yes","🚗 Waze"),"")</f>
        <v/>
      </c>
      <c r="I1126" s="8">
        <f>IF(F1126&lt;&gt;"",HYPERLINK("https://m.uber.com/ul/?action=setPickup&amp;pickup=my_location&amp;dropoff[latitude]="&amp;LEFT(SUBSTITUTE(F1126," ",""),FIND(",",SUBSTITUTE(F1126," ",""))-1)&amp;"&amp;dropoff[longitude]="&amp;MID(SUBSTITUTE(F1126," ",""),FIND(",",SUBSTITUTE(F1126," ",""))+1,99),"🚕 Uber"),"")</f>
        <v/>
      </c>
      <c r="J1126" s="8">
        <f>IF(F1126&lt;&gt;"","https://api.qrserver.com/v1/create-qr-code/?size=200x200&amp;data="&amp;ENCODEURL("https://www.google.com/maps/search/?api=1&amp;query="&amp;SUBSTITUTE(F1126," ","")),"")</f>
        <v/>
      </c>
      <c r="K1126" s="8">
        <f>IF(C1126&lt;&gt;"",HYPERLINK("https://wa.me/507"&amp;REGEXREPLACE(C1126,"[^0-9]","")&amp;"?text="&amp;ENCODEURL("Ya llegue. Codigo: "&amp;A1126&amp;". Ubicacion: "&amp;"https://www.google.com/maps/search/?api=1&amp;query="&amp;SUBSTITUTE(F1126," ","")),"📲 Avisar al cliente"),"")</f>
        <v/>
      </c>
      <c r="L1126" s="8">
        <f>IF(C1126&lt;&gt;"","https://api.qrserver.com/v1/create-qr-code/?size=200x200&amp;data="&amp;ENCODEURL("https://wa.me/507"&amp;REGEXREPLACE(C1126,"[^0-9]","")&amp;"?text="&amp;ENCODEURL("Ya llegue. Codigo: "&amp;A1126&amp;". Ubicacion: "&amp;"https://www.google.com/maps/search/?api=1&amp;query="&amp;SUBSTITUTE(F1126," ",""))),"")</f>
        <v/>
      </c>
      <c r="M1126" s="8">
        <f>IF(B1126&lt;&gt;"",TODAY(),"")</f>
        <v/>
      </c>
      <c r="N1126" s="8">
        <f>IF(F1126&lt;&gt;"",IFERROR(IF(AND(REGEXMATCH(SUBSTITUTE(TRIM(F1126)," ",""),"^-?\d+(\.\d+)?,-?\d+(\.\d+)?$"),VALUE(REGEXEXTRACT(SUBSTITUTE(TRIM(F1126)," ",""),"^-?\d+(\.\d+)?"))&gt;=-90,VALUE(REGEXEXTRACT(SUBSTITUTE(TRIM(F1126)," ",""),"^-?\d+(\.\d+)?"))&lt;=90,VALUE(REGEXEXTRACT(SUBSTITUTE(TRIM(F1126)," ",""),"-?\d+(\.\d+)?$"))&gt;=-180,VALUE(REGEXEXTRACT(SUBSTITUTE(TRIM(F1126)," ",""),"-?\d+(\.\d+)?$"))&lt;=180),"OK","REVISAR"),"REVISAR"),"")</f>
        <v/>
      </c>
      <c r="O1126">
        <f>IF(A1126&lt;&gt;"","https://direcciones507.github.io/direcciones507/panel.html?codigo="&amp;A1126&amp;"&amp;nombre="&amp;ENCODEURL(B1126)&amp;"&amp;telefono="&amp;SUBSTITUTE(C1126,"-","")&amp;"&amp;referencia="&amp;ENCODEURL(E1126)&amp;"&amp;lat="&amp;IZQUIERDA(SUBSTITUTE(F1126," ",""),ENCONTRAR(",",SUBSTITUTE(F1126," ",""))-1)&amp;"&amp;lng="&amp;DERECHA(SUBSTITUTE(F1126," ",""),LARGO(SUBSTITUTE(F1126," ",""))-ENCONTRAR(",",SUBSTITUTE(F1126," ",""))),"")</f>
        <v/>
      </c>
    </row>
    <row r="1127" ht="15.75" customHeight="1" s="10">
      <c r="A1127" s="8">
        <f>CONCAT("AD507-",TEXT(ROW()-2,"0000"))</f>
        <v/>
      </c>
      <c r="C1127" s="8" t="n"/>
      <c r="F1127" s="8" t="n"/>
      <c r="G1127" s="8">
        <f>IF(F1127&lt;&gt;"",HYPERLINK("https://www.google.com/maps/search/?api=1&amp;query="&amp;SUBSTITUTE(F1127," ",""),"🗺 Google Maps"),"")</f>
        <v/>
      </c>
      <c r="H1127" s="8">
        <f>IF(F1127&lt;&gt;"",HYPERLINK("https://waze.com/ul?ll="&amp;SUBSTITUTE(F1127," ","")&amp;"&amp;navigate=yes","🚗 Waze"),"")</f>
        <v/>
      </c>
      <c r="I1127" s="8">
        <f>IF(F1127&lt;&gt;"",HYPERLINK("https://m.uber.com/ul/?action=setPickup&amp;pickup=my_location&amp;dropoff[latitude]="&amp;LEFT(SUBSTITUTE(F1127," ",""),FIND(",",SUBSTITUTE(F1127," ",""))-1)&amp;"&amp;dropoff[longitude]="&amp;MID(SUBSTITUTE(F1127," ",""),FIND(",",SUBSTITUTE(F1127," ",""))+1,99),"🚕 Uber"),"")</f>
        <v/>
      </c>
      <c r="J1127" s="8">
        <f>IF(F1127&lt;&gt;"","https://api.qrserver.com/v1/create-qr-code/?size=200x200&amp;data="&amp;ENCODEURL("https://www.google.com/maps/search/?api=1&amp;query="&amp;SUBSTITUTE(F1127," ","")),"")</f>
        <v/>
      </c>
      <c r="K1127" s="8">
        <f>IF(C1127&lt;&gt;"",HYPERLINK("https://wa.me/507"&amp;REGEXREPLACE(C1127,"[^0-9]","")&amp;"?text="&amp;ENCODEURL("Ya llegue. Codigo: "&amp;A1127&amp;". Ubicacion: "&amp;"https://www.google.com/maps/search/?api=1&amp;query="&amp;SUBSTITUTE(F1127," ","")),"📲 Avisar al cliente"),"")</f>
        <v/>
      </c>
      <c r="L1127" s="8">
        <f>IF(C1127&lt;&gt;"","https://api.qrserver.com/v1/create-qr-code/?size=200x200&amp;data="&amp;ENCODEURL("https://wa.me/507"&amp;REGEXREPLACE(C1127,"[^0-9]","")&amp;"?text="&amp;ENCODEURL("Ya llegue. Codigo: "&amp;A1127&amp;". Ubicacion: "&amp;"https://www.google.com/maps/search/?api=1&amp;query="&amp;SUBSTITUTE(F1127," ",""))),"")</f>
        <v/>
      </c>
      <c r="M1127" s="8">
        <f>IF(B1127&lt;&gt;"",TODAY(),"")</f>
        <v/>
      </c>
      <c r="N1127" s="8">
        <f>IF(F1127&lt;&gt;"",IFERROR(IF(AND(REGEXMATCH(SUBSTITUTE(TRIM(F1127)," ",""),"^-?\d+(\.\d+)?,-?\d+(\.\d+)?$"),VALUE(REGEXEXTRACT(SUBSTITUTE(TRIM(F1127)," ",""),"^-?\d+(\.\d+)?"))&gt;=-90,VALUE(REGEXEXTRACT(SUBSTITUTE(TRIM(F1127)," ",""),"^-?\d+(\.\d+)?"))&lt;=90,VALUE(REGEXEXTRACT(SUBSTITUTE(TRIM(F1127)," ",""),"-?\d+(\.\d+)?$"))&gt;=-180,VALUE(REGEXEXTRACT(SUBSTITUTE(TRIM(F1127)," ",""),"-?\d+(\.\d+)?$"))&lt;=180),"OK","REVISAR"),"REVISAR"),"")</f>
        <v/>
      </c>
      <c r="O1127">
        <f>IF(A1127&lt;&gt;"","https://direcciones507.github.io/direcciones507/panel.html?codigo="&amp;A1127&amp;"&amp;nombre="&amp;ENCODEURL(B1127)&amp;"&amp;telefono="&amp;SUBSTITUTE(C1127,"-","")&amp;"&amp;referencia="&amp;ENCODEURL(E1127)&amp;"&amp;lat="&amp;IZQUIERDA(SUBSTITUTE(F1127," ",""),ENCONTRAR(",",SUBSTITUTE(F1127," ",""))-1)&amp;"&amp;lng="&amp;DERECHA(SUBSTITUTE(F1127," ",""),LARGO(SUBSTITUTE(F1127," ",""))-ENCONTRAR(",",SUBSTITUTE(F1127," ",""))),"")</f>
        <v/>
      </c>
    </row>
    <row r="1128" ht="15.75" customHeight="1" s="10">
      <c r="A1128" s="8">
        <f>CONCAT("AD507-",TEXT(ROW()-2,"0000"))</f>
        <v/>
      </c>
      <c r="C1128" s="8" t="n"/>
      <c r="F1128" s="8" t="n"/>
      <c r="G1128" s="8">
        <f>IF(F1128&lt;&gt;"",HYPERLINK("https://www.google.com/maps/search/?api=1&amp;query="&amp;SUBSTITUTE(F1128," ",""),"🗺 Google Maps"),"")</f>
        <v/>
      </c>
      <c r="H1128" s="8">
        <f>IF(F1128&lt;&gt;"",HYPERLINK("https://waze.com/ul?ll="&amp;SUBSTITUTE(F1128," ","")&amp;"&amp;navigate=yes","🚗 Waze"),"")</f>
        <v/>
      </c>
      <c r="I1128" s="8">
        <f>IF(F1128&lt;&gt;"",HYPERLINK("https://m.uber.com/ul/?action=setPickup&amp;pickup=my_location&amp;dropoff[latitude]="&amp;LEFT(SUBSTITUTE(F1128," ",""),FIND(",",SUBSTITUTE(F1128," ",""))-1)&amp;"&amp;dropoff[longitude]="&amp;MID(SUBSTITUTE(F1128," ",""),FIND(",",SUBSTITUTE(F1128," ",""))+1,99),"🚕 Uber"),"")</f>
        <v/>
      </c>
      <c r="J1128" s="8">
        <f>IF(F1128&lt;&gt;"","https://api.qrserver.com/v1/create-qr-code/?size=200x200&amp;data="&amp;ENCODEURL("https://www.google.com/maps/search/?api=1&amp;query="&amp;SUBSTITUTE(F1128," ","")),"")</f>
        <v/>
      </c>
      <c r="K1128" s="8">
        <f>IF(C1128&lt;&gt;"",HYPERLINK("https://wa.me/507"&amp;REGEXREPLACE(C1128,"[^0-9]","")&amp;"?text="&amp;ENCODEURL("Ya llegue. Codigo: "&amp;A1128&amp;". Ubicacion: "&amp;"https://www.google.com/maps/search/?api=1&amp;query="&amp;SUBSTITUTE(F1128," ","")),"📲 Avisar al cliente"),"")</f>
        <v/>
      </c>
      <c r="L1128" s="8">
        <f>IF(C1128&lt;&gt;"","https://api.qrserver.com/v1/create-qr-code/?size=200x200&amp;data="&amp;ENCODEURL("https://wa.me/507"&amp;REGEXREPLACE(C1128,"[^0-9]","")&amp;"?text="&amp;ENCODEURL("Ya llegue. Codigo: "&amp;A1128&amp;". Ubicacion: "&amp;"https://www.google.com/maps/search/?api=1&amp;query="&amp;SUBSTITUTE(F1128," ",""))),"")</f>
        <v/>
      </c>
      <c r="M1128" s="8">
        <f>IF(B1128&lt;&gt;"",TODAY(),"")</f>
        <v/>
      </c>
      <c r="N1128" s="8">
        <f>IF(F1128&lt;&gt;"",IFERROR(IF(AND(REGEXMATCH(SUBSTITUTE(TRIM(F1128)," ",""),"^-?\d+(\.\d+)?,-?\d+(\.\d+)?$"),VALUE(REGEXEXTRACT(SUBSTITUTE(TRIM(F1128)," ",""),"^-?\d+(\.\d+)?"))&gt;=-90,VALUE(REGEXEXTRACT(SUBSTITUTE(TRIM(F1128)," ",""),"^-?\d+(\.\d+)?"))&lt;=90,VALUE(REGEXEXTRACT(SUBSTITUTE(TRIM(F1128)," ",""),"-?\d+(\.\d+)?$"))&gt;=-180,VALUE(REGEXEXTRACT(SUBSTITUTE(TRIM(F1128)," ",""),"-?\d+(\.\d+)?$"))&lt;=180),"OK","REVISAR"),"REVISAR"),"")</f>
        <v/>
      </c>
      <c r="O1128">
        <f>IF(A1128&lt;&gt;"","https://direcciones507.github.io/direcciones507/panel.html?codigo="&amp;A1128&amp;"&amp;nombre="&amp;ENCODEURL(B1128)&amp;"&amp;telefono="&amp;SUBSTITUTE(C1128,"-","")&amp;"&amp;referencia="&amp;ENCODEURL(E1128)&amp;"&amp;lat="&amp;IZQUIERDA(SUBSTITUTE(F1128," ",""),ENCONTRAR(",",SUBSTITUTE(F1128," ",""))-1)&amp;"&amp;lng="&amp;DERECHA(SUBSTITUTE(F1128," ",""),LARGO(SUBSTITUTE(F1128," ",""))-ENCONTRAR(",",SUBSTITUTE(F1128," ",""))),"")</f>
        <v/>
      </c>
    </row>
    <row r="1129" ht="15.75" customHeight="1" s="10">
      <c r="A1129" s="8">
        <f>CONCAT("AD507-",TEXT(ROW()-2,"0000"))</f>
        <v/>
      </c>
      <c r="C1129" s="8" t="n"/>
      <c r="F1129" s="8" t="n"/>
      <c r="G1129" s="8">
        <f>IF(F1129&lt;&gt;"",HYPERLINK("https://www.google.com/maps/search/?api=1&amp;query="&amp;SUBSTITUTE(F1129," ",""),"🗺 Google Maps"),"")</f>
        <v/>
      </c>
      <c r="H1129" s="8">
        <f>IF(F1129&lt;&gt;"",HYPERLINK("https://waze.com/ul?ll="&amp;SUBSTITUTE(F1129," ","")&amp;"&amp;navigate=yes","🚗 Waze"),"")</f>
        <v/>
      </c>
      <c r="I1129" s="8">
        <f>IF(F1129&lt;&gt;"",HYPERLINK("https://m.uber.com/ul/?action=setPickup&amp;pickup=my_location&amp;dropoff[latitude]="&amp;LEFT(SUBSTITUTE(F1129," ",""),FIND(",",SUBSTITUTE(F1129," ",""))-1)&amp;"&amp;dropoff[longitude]="&amp;MID(SUBSTITUTE(F1129," ",""),FIND(",",SUBSTITUTE(F1129," ",""))+1,99),"🚕 Uber"),"")</f>
        <v/>
      </c>
      <c r="J1129" s="8">
        <f>IF(F1129&lt;&gt;"","https://api.qrserver.com/v1/create-qr-code/?size=200x200&amp;data="&amp;ENCODEURL("https://www.google.com/maps/search/?api=1&amp;query="&amp;SUBSTITUTE(F1129," ","")),"")</f>
        <v/>
      </c>
      <c r="K1129" s="8">
        <f>IF(C1129&lt;&gt;"",HYPERLINK("https://wa.me/507"&amp;REGEXREPLACE(C1129,"[^0-9]","")&amp;"?text="&amp;ENCODEURL("Ya llegue. Codigo: "&amp;A1129&amp;". Ubicacion: "&amp;"https://www.google.com/maps/search/?api=1&amp;query="&amp;SUBSTITUTE(F1129," ","")),"📲 Avisar al cliente"),"")</f>
        <v/>
      </c>
      <c r="L1129" s="8">
        <f>IF(C1129&lt;&gt;"","https://api.qrserver.com/v1/create-qr-code/?size=200x200&amp;data="&amp;ENCODEURL("https://wa.me/507"&amp;REGEXREPLACE(C1129,"[^0-9]","")&amp;"?text="&amp;ENCODEURL("Ya llegue. Codigo: "&amp;A1129&amp;". Ubicacion: "&amp;"https://www.google.com/maps/search/?api=1&amp;query="&amp;SUBSTITUTE(F1129," ",""))),"")</f>
        <v/>
      </c>
      <c r="M1129" s="8">
        <f>IF(B1129&lt;&gt;"",TODAY(),"")</f>
        <v/>
      </c>
      <c r="N1129" s="8">
        <f>IF(F1129&lt;&gt;"",IFERROR(IF(AND(REGEXMATCH(SUBSTITUTE(TRIM(F1129)," ",""),"^-?\d+(\.\d+)?,-?\d+(\.\d+)?$"),VALUE(REGEXEXTRACT(SUBSTITUTE(TRIM(F1129)," ",""),"^-?\d+(\.\d+)?"))&gt;=-90,VALUE(REGEXEXTRACT(SUBSTITUTE(TRIM(F1129)," ",""),"^-?\d+(\.\d+)?"))&lt;=90,VALUE(REGEXEXTRACT(SUBSTITUTE(TRIM(F1129)," ",""),"-?\d+(\.\d+)?$"))&gt;=-180,VALUE(REGEXEXTRACT(SUBSTITUTE(TRIM(F1129)," ",""),"-?\d+(\.\d+)?$"))&lt;=180),"OK","REVISAR"),"REVISAR"),"")</f>
        <v/>
      </c>
      <c r="O1129">
        <f>IF(A1129&lt;&gt;"","https://direcciones507.github.io/direcciones507/panel.html?codigo="&amp;A1129&amp;"&amp;nombre="&amp;ENCODEURL(B1129)&amp;"&amp;telefono="&amp;SUBSTITUTE(C1129,"-","")&amp;"&amp;referencia="&amp;ENCODEURL(E1129)&amp;"&amp;lat="&amp;IZQUIERDA(SUBSTITUTE(F1129," ",""),ENCONTRAR(",",SUBSTITUTE(F1129," ",""))-1)&amp;"&amp;lng="&amp;DERECHA(SUBSTITUTE(F1129," ",""),LARGO(SUBSTITUTE(F1129," ",""))-ENCONTRAR(",",SUBSTITUTE(F1129," ",""))),"")</f>
        <v/>
      </c>
    </row>
    <row r="1130" ht="15.75" customHeight="1" s="10">
      <c r="A1130" s="8">
        <f>CONCAT("AD507-",TEXT(ROW()-2,"0000"))</f>
        <v/>
      </c>
      <c r="C1130" s="8" t="n"/>
      <c r="F1130" s="8" t="n"/>
      <c r="G1130" s="8">
        <f>IF(F1130&lt;&gt;"",HYPERLINK("https://www.google.com/maps/search/?api=1&amp;query="&amp;SUBSTITUTE(F1130," ",""),"🗺 Google Maps"),"")</f>
        <v/>
      </c>
      <c r="H1130" s="8">
        <f>IF(F1130&lt;&gt;"",HYPERLINK("https://waze.com/ul?ll="&amp;SUBSTITUTE(F1130," ","")&amp;"&amp;navigate=yes","🚗 Waze"),"")</f>
        <v/>
      </c>
      <c r="I1130" s="8">
        <f>IF(F1130&lt;&gt;"",HYPERLINK("https://m.uber.com/ul/?action=setPickup&amp;pickup=my_location&amp;dropoff[latitude]="&amp;LEFT(SUBSTITUTE(F1130," ",""),FIND(",",SUBSTITUTE(F1130," ",""))-1)&amp;"&amp;dropoff[longitude]="&amp;MID(SUBSTITUTE(F1130," ",""),FIND(",",SUBSTITUTE(F1130," ",""))+1,99),"🚕 Uber"),"")</f>
        <v/>
      </c>
      <c r="J1130" s="8">
        <f>IF(F1130&lt;&gt;"","https://api.qrserver.com/v1/create-qr-code/?size=200x200&amp;data="&amp;ENCODEURL("https://www.google.com/maps/search/?api=1&amp;query="&amp;SUBSTITUTE(F1130," ","")),"")</f>
        <v/>
      </c>
      <c r="K1130" s="8">
        <f>IF(C1130&lt;&gt;"",HYPERLINK("https://wa.me/507"&amp;REGEXREPLACE(C1130,"[^0-9]","")&amp;"?text="&amp;ENCODEURL("Ya llegue. Codigo: "&amp;A1130&amp;". Ubicacion: "&amp;"https://www.google.com/maps/search/?api=1&amp;query="&amp;SUBSTITUTE(F1130," ","")),"📲 Avisar al cliente"),"")</f>
        <v/>
      </c>
      <c r="L1130" s="8">
        <f>IF(C1130&lt;&gt;"","https://api.qrserver.com/v1/create-qr-code/?size=200x200&amp;data="&amp;ENCODEURL("https://wa.me/507"&amp;REGEXREPLACE(C1130,"[^0-9]","")&amp;"?text="&amp;ENCODEURL("Ya llegue. Codigo: "&amp;A1130&amp;". Ubicacion: "&amp;"https://www.google.com/maps/search/?api=1&amp;query="&amp;SUBSTITUTE(F1130," ",""))),"")</f>
        <v/>
      </c>
      <c r="M1130" s="8">
        <f>IF(B1130&lt;&gt;"",TODAY(),"")</f>
        <v/>
      </c>
      <c r="N1130" s="8">
        <f>IF(F1130&lt;&gt;"",IFERROR(IF(AND(REGEXMATCH(SUBSTITUTE(TRIM(F1130)," ",""),"^-?\d+(\.\d+)?,-?\d+(\.\d+)?$"),VALUE(REGEXEXTRACT(SUBSTITUTE(TRIM(F1130)," ",""),"^-?\d+(\.\d+)?"))&gt;=-90,VALUE(REGEXEXTRACT(SUBSTITUTE(TRIM(F1130)," ",""),"^-?\d+(\.\d+)?"))&lt;=90,VALUE(REGEXEXTRACT(SUBSTITUTE(TRIM(F1130)," ",""),"-?\d+(\.\d+)?$"))&gt;=-180,VALUE(REGEXEXTRACT(SUBSTITUTE(TRIM(F1130)," ",""),"-?\d+(\.\d+)?$"))&lt;=180),"OK","REVISAR"),"REVISAR"),"")</f>
        <v/>
      </c>
      <c r="O1130">
        <f>IF(A1130&lt;&gt;"","https://direcciones507.github.io/direcciones507/panel.html?codigo="&amp;A1130&amp;"&amp;nombre="&amp;ENCODEURL(B1130)&amp;"&amp;telefono="&amp;SUBSTITUTE(C1130,"-","")&amp;"&amp;referencia="&amp;ENCODEURL(E1130)&amp;"&amp;lat="&amp;IZQUIERDA(SUBSTITUTE(F1130," ",""),ENCONTRAR(",",SUBSTITUTE(F1130," ",""))-1)&amp;"&amp;lng="&amp;DERECHA(SUBSTITUTE(F1130," ",""),LARGO(SUBSTITUTE(F1130," ",""))-ENCONTRAR(",",SUBSTITUTE(F1130," ",""))),"")</f>
        <v/>
      </c>
    </row>
    <row r="1131" ht="15.75" customHeight="1" s="10">
      <c r="A1131" s="8">
        <f>CONCAT("AD507-",TEXT(ROW()-2,"0000"))</f>
        <v/>
      </c>
      <c r="C1131" s="8" t="n"/>
      <c r="F1131" s="8" t="n"/>
      <c r="G1131" s="8">
        <f>IF(F1131&lt;&gt;"",HYPERLINK("https://www.google.com/maps/search/?api=1&amp;query="&amp;SUBSTITUTE(F1131," ",""),"🗺 Google Maps"),"")</f>
        <v/>
      </c>
      <c r="H1131" s="8">
        <f>IF(F1131&lt;&gt;"",HYPERLINK("https://waze.com/ul?ll="&amp;SUBSTITUTE(F1131," ","")&amp;"&amp;navigate=yes","🚗 Waze"),"")</f>
        <v/>
      </c>
      <c r="I1131" s="8">
        <f>IF(F1131&lt;&gt;"",HYPERLINK("https://m.uber.com/ul/?action=setPickup&amp;pickup=my_location&amp;dropoff[latitude]="&amp;LEFT(SUBSTITUTE(F1131," ",""),FIND(",",SUBSTITUTE(F1131," ",""))-1)&amp;"&amp;dropoff[longitude]="&amp;MID(SUBSTITUTE(F1131," ",""),FIND(",",SUBSTITUTE(F1131," ",""))+1,99),"🚕 Uber"),"")</f>
        <v/>
      </c>
      <c r="J1131" s="8">
        <f>IF(F1131&lt;&gt;"","https://api.qrserver.com/v1/create-qr-code/?size=200x200&amp;data="&amp;ENCODEURL("https://www.google.com/maps/search/?api=1&amp;query="&amp;SUBSTITUTE(F1131," ","")),"")</f>
        <v/>
      </c>
      <c r="K1131" s="8">
        <f>IF(C1131&lt;&gt;"",HYPERLINK("https://wa.me/507"&amp;REGEXREPLACE(C1131,"[^0-9]","")&amp;"?text="&amp;ENCODEURL("Ya llegue. Codigo: "&amp;A1131&amp;". Ubicacion: "&amp;"https://www.google.com/maps/search/?api=1&amp;query="&amp;SUBSTITUTE(F1131," ","")),"📲 Avisar al cliente"),"")</f>
        <v/>
      </c>
      <c r="L1131" s="8">
        <f>IF(C1131&lt;&gt;"","https://api.qrserver.com/v1/create-qr-code/?size=200x200&amp;data="&amp;ENCODEURL("https://wa.me/507"&amp;REGEXREPLACE(C1131,"[^0-9]","")&amp;"?text="&amp;ENCODEURL("Ya llegue. Codigo: "&amp;A1131&amp;". Ubicacion: "&amp;"https://www.google.com/maps/search/?api=1&amp;query="&amp;SUBSTITUTE(F1131," ",""))),"")</f>
        <v/>
      </c>
      <c r="M1131" s="8">
        <f>IF(B1131&lt;&gt;"",TODAY(),"")</f>
        <v/>
      </c>
      <c r="N1131" s="8">
        <f>IF(F1131&lt;&gt;"",IFERROR(IF(AND(REGEXMATCH(SUBSTITUTE(TRIM(F1131)," ",""),"^-?\d+(\.\d+)?,-?\d+(\.\d+)?$"),VALUE(REGEXEXTRACT(SUBSTITUTE(TRIM(F1131)," ",""),"^-?\d+(\.\d+)?"))&gt;=-90,VALUE(REGEXEXTRACT(SUBSTITUTE(TRIM(F1131)," ",""),"^-?\d+(\.\d+)?"))&lt;=90,VALUE(REGEXEXTRACT(SUBSTITUTE(TRIM(F1131)," ",""),"-?\d+(\.\d+)?$"))&gt;=-180,VALUE(REGEXEXTRACT(SUBSTITUTE(TRIM(F1131)," ",""),"-?\d+(\.\d+)?$"))&lt;=180),"OK","REVISAR"),"REVISAR"),"")</f>
        <v/>
      </c>
      <c r="O1131">
        <f>IF(A1131&lt;&gt;"","https://direcciones507.github.io/direcciones507/panel.html?codigo="&amp;A1131&amp;"&amp;nombre="&amp;ENCODEURL(B1131)&amp;"&amp;telefono="&amp;SUBSTITUTE(C1131,"-","")&amp;"&amp;referencia="&amp;ENCODEURL(E1131)&amp;"&amp;lat="&amp;IZQUIERDA(SUBSTITUTE(F1131," ",""),ENCONTRAR(",",SUBSTITUTE(F1131," ",""))-1)&amp;"&amp;lng="&amp;DERECHA(SUBSTITUTE(F1131," ",""),LARGO(SUBSTITUTE(F1131," ",""))-ENCONTRAR(",",SUBSTITUTE(F1131," ",""))),"")</f>
        <v/>
      </c>
    </row>
    <row r="1132" ht="15.75" customHeight="1" s="10">
      <c r="A1132" s="8">
        <f>CONCAT("AD507-",TEXT(ROW()-2,"0000"))</f>
        <v/>
      </c>
      <c r="C1132" s="8" t="n"/>
      <c r="F1132" s="8" t="n"/>
      <c r="G1132" s="8">
        <f>IF(F1132&lt;&gt;"",HYPERLINK("https://www.google.com/maps/search/?api=1&amp;query="&amp;SUBSTITUTE(F1132," ",""),"🗺 Google Maps"),"")</f>
        <v/>
      </c>
      <c r="H1132" s="8">
        <f>IF(F1132&lt;&gt;"",HYPERLINK("https://waze.com/ul?ll="&amp;SUBSTITUTE(F1132," ","")&amp;"&amp;navigate=yes","🚗 Waze"),"")</f>
        <v/>
      </c>
      <c r="I1132" s="8">
        <f>IF(F1132&lt;&gt;"",HYPERLINK("https://m.uber.com/ul/?action=setPickup&amp;pickup=my_location&amp;dropoff[latitude]="&amp;LEFT(SUBSTITUTE(F1132," ",""),FIND(",",SUBSTITUTE(F1132," ",""))-1)&amp;"&amp;dropoff[longitude]="&amp;MID(SUBSTITUTE(F1132," ",""),FIND(",",SUBSTITUTE(F1132," ",""))+1,99),"🚕 Uber"),"")</f>
        <v/>
      </c>
      <c r="J1132" s="8">
        <f>IF(F1132&lt;&gt;"","https://api.qrserver.com/v1/create-qr-code/?size=200x200&amp;data="&amp;ENCODEURL("https://www.google.com/maps/search/?api=1&amp;query="&amp;SUBSTITUTE(F1132," ","")),"")</f>
        <v/>
      </c>
      <c r="K1132" s="8">
        <f>IF(C1132&lt;&gt;"",HYPERLINK("https://wa.me/507"&amp;REGEXREPLACE(C1132,"[^0-9]","")&amp;"?text="&amp;ENCODEURL("Ya llegue. Codigo: "&amp;A1132&amp;". Ubicacion: "&amp;"https://www.google.com/maps/search/?api=1&amp;query="&amp;SUBSTITUTE(F1132," ","")),"📲 Avisar al cliente"),"")</f>
        <v/>
      </c>
      <c r="L1132" s="8">
        <f>IF(C1132&lt;&gt;"","https://api.qrserver.com/v1/create-qr-code/?size=200x200&amp;data="&amp;ENCODEURL("https://wa.me/507"&amp;REGEXREPLACE(C1132,"[^0-9]","")&amp;"?text="&amp;ENCODEURL("Ya llegue. Codigo: "&amp;A1132&amp;". Ubicacion: "&amp;"https://www.google.com/maps/search/?api=1&amp;query="&amp;SUBSTITUTE(F1132," ",""))),"")</f>
        <v/>
      </c>
      <c r="M1132" s="8">
        <f>IF(B1132&lt;&gt;"",TODAY(),"")</f>
        <v/>
      </c>
      <c r="N1132" s="8">
        <f>IF(F1132&lt;&gt;"",IFERROR(IF(AND(REGEXMATCH(SUBSTITUTE(TRIM(F1132)," ",""),"^-?\d+(\.\d+)?,-?\d+(\.\d+)?$"),VALUE(REGEXEXTRACT(SUBSTITUTE(TRIM(F1132)," ",""),"^-?\d+(\.\d+)?"))&gt;=-90,VALUE(REGEXEXTRACT(SUBSTITUTE(TRIM(F1132)," ",""),"^-?\d+(\.\d+)?"))&lt;=90,VALUE(REGEXEXTRACT(SUBSTITUTE(TRIM(F1132)," ",""),"-?\d+(\.\d+)?$"))&gt;=-180,VALUE(REGEXEXTRACT(SUBSTITUTE(TRIM(F1132)," ",""),"-?\d+(\.\d+)?$"))&lt;=180),"OK","REVISAR"),"REVISAR"),"")</f>
        <v/>
      </c>
      <c r="O1132">
        <f>IF(A1132&lt;&gt;"","https://direcciones507.github.io/direcciones507/panel.html?codigo="&amp;A1132&amp;"&amp;nombre="&amp;ENCODEURL(B1132)&amp;"&amp;telefono="&amp;SUBSTITUTE(C1132,"-","")&amp;"&amp;referencia="&amp;ENCODEURL(E1132)&amp;"&amp;lat="&amp;IZQUIERDA(SUBSTITUTE(F1132," ",""),ENCONTRAR(",",SUBSTITUTE(F1132," ",""))-1)&amp;"&amp;lng="&amp;DERECHA(SUBSTITUTE(F1132," ",""),LARGO(SUBSTITUTE(F1132," ",""))-ENCONTRAR(",",SUBSTITUTE(F1132," ",""))),"")</f>
        <v/>
      </c>
    </row>
    <row r="1133" ht="15.75" customHeight="1" s="10">
      <c r="A1133" s="8">
        <f>CONCAT("AD507-",TEXT(ROW()-2,"0000"))</f>
        <v/>
      </c>
      <c r="C1133" s="8" t="n"/>
      <c r="F1133" s="8" t="n"/>
      <c r="G1133" s="8">
        <f>IF(F1133&lt;&gt;"",HYPERLINK("https://www.google.com/maps/search/?api=1&amp;query="&amp;SUBSTITUTE(F1133," ",""),"🗺 Google Maps"),"")</f>
        <v/>
      </c>
      <c r="H1133" s="8">
        <f>IF(F1133&lt;&gt;"",HYPERLINK("https://waze.com/ul?ll="&amp;SUBSTITUTE(F1133," ","")&amp;"&amp;navigate=yes","🚗 Waze"),"")</f>
        <v/>
      </c>
      <c r="I1133" s="8">
        <f>IF(F1133&lt;&gt;"",HYPERLINK("https://m.uber.com/ul/?action=setPickup&amp;pickup=my_location&amp;dropoff[latitude]="&amp;LEFT(SUBSTITUTE(F1133," ",""),FIND(",",SUBSTITUTE(F1133," ",""))-1)&amp;"&amp;dropoff[longitude]="&amp;MID(SUBSTITUTE(F1133," ",""),FIND(",",SUBSTITUTE(F1133," ",""))+1,99),"🚕 Uber"),"")</f>
        <v/>
      </c>
      <c r="J1133" s="8">
        <f>IF(F1133&lt;&gt;"","https://api.qrserver.com/v1/create-qr-code/?size=200x200&amp;data="&amp;ENCODEURL("https://www.google.com/maps/search/?api=1&amp;query="&amp;SUBSTITUTE(F1133," ","")),"")</f>
        <v/>
      </c>
      <c r="K1133" s="8">
        <f>IF(C1133&lt;&gt;"",HYPERLINK("https://wa.me/507"&amp;REGEXREPLACE(C1133,"[^0-9]","")&amp;"?text="&amp;ENCODEURL("Ya llegue. Codigo: "&amp;A1133&amp;". Ubicacion: "&amp;"https://www.google.com/maps/search/?api=1&amp;query="&amp;SUBSTITUTE(F1133," ","")),"📲 Avisar al cliente"),"")</f>
        <v/>
      </c>
      <c r="L1133" s="8">
        <f>IF(C1133&lt;&gt;"","https://api.qrserver.com/v1/create-qr-code/?size=200x200&amp;data="&amp;ENCODEURL("https://wa.me/507"&amp;REGEXREPLACE(C1133,"[^0-9]","")&amp;"?text="&amp;ENCODEURL("Ya llegue. Codigo: "&amp;A1133&amp;". Ubicacion: "&amp;"https://www.google.com/maps/search/?api=1&amp;query="&amp;SUBSTITUTE(F1133," ",""))),"")</f>
        <v/>
      </c>
      <c r="M1133" s="8">
        <f>IF(B1133&lt;&gt;"",TODAY(),"")</f>
        <v/>
      </c>
      <c r="N1133" s="8">
        <f>IF(F1133&lt;&gt;"",IFERROR(IF(AND(REGEXMATCH(SUBSTITUTE(TRIM(F1133)," ",""),"^-?\d+(\.\d+)?,-?\d+(\.\d+)?$"),VALUE(REGEXEXTRACT(SUBSTITUTE(TRIM(F1133)," ",""),"^-?\d+(\.\d+)?"))&gt;=-90,VALUE(REGEXEXTRACT(SUBSTITUTE(TRIM(F1133)," ",""),"^-?\d+(\.\d+)?"))&lt;=90,VALUE(REGEXEXTRACT(SUBSTITUTE(TRIM(F1133)," ",""),"-?\d+(\.\d+)?$"))&gt;=-180,VALUE(REGEXEXTRACT(SUBSTITUTE(TRIM(F1133)," ",""),"-?\d+(\.\d+)?$"))&lt;=180),"OK","REVISAR"),"REVISAR"),"")</f>
        <v/>
      </c>
      <c r="O1133">
        <f>IF(A1133&lt;&gt;"","https://direcciones507.github.io/direcciones507/panel.html?codigo="&amp;A1133&amp;"&amp;nombre="&amp;ENCODEURL(B1133)&amp;"&amp;telefono="&amp;SUBSTITUTE(C1133,"-","")&amp;"&amp;referencia="&amp;ENCODEURL(E1133)&amp;"&amp;lat="&amp;IZQUIERDA(SUBSTITUTE(F1133," ",""),ENCONTRAR(",",SUBSTITUTE(F1133," ",""))-1)&amp;"&amp;lng="&amp;DERECHA(SUBSTITUTE(F1133," ",""),LARGO(SUBSTITUTE(F1133," ",""))-ENCONTRAR(",",SUBSTITUTE(F1133," ",""))),"")</f>
        <v/>
      </c>
    </row>
    <row r="1134" ht="15.75" customHeight="1" s="10">
      <c r="A1134" s="8">
        <f>CONCAT("AD507-",TEXT(ROW()-2,"0000"))</f>
        <v/>
      </c>
      <c r="C1134" s="8" t="n"/>
      <c r="F1134" s="8" t="n"/>
      <c r="G1134" s="8">
        <f>IF(F1134&lt;&gt;"",HYPERLINK("https://www.google.com/maps/search/?api=1&amp;query="&amp;SUBSTITUTE(F1134," ",""),"🗺 Google Maps"),"")</f>
        <v/>
      </c>
      <c r="H1134" s="8">
        <f>IF(F1134&lt;&gt;"",HYPERLINK("https://waze.com/ul?ll="&amp;SUBSTITUTE(F1134," ","")&amp;"&amp;navigate=yes","🚗 Waze"),"")</f>
        <v/>
      </c>
      <c r="I1134" s="8">
        <f>IF(F1134&lt;&gt;"",HYPERLINK("https://m.uber.com/ul/?action=setPickup&amp;pickup=my_location&amp;dropoff[latitude]="&amp;LEFT(SUBSTITUTE(F1134," ",""),FIND(",",SUBSTITUTE(F1134," ",""))-1)&amp;"&amp;dropoff[longitude]="&amp;MID(SUBSTITUTE(F1134," ",""),FIND(",",SUBSTITUTE(F1134," ",""))+1,99),"🚕 Uber"),"")</f>
        <v/>
      </c>
      <c r="J1134" s="8">
        <f>IF(F1134&lt;&gt;"","https://api.qrserver.com/v1/create-qr-code/?size=200x200&amp;data="&amp;ENCODEURL("https://www.google.com/maps/search/?api=1&amp;query="&amp;SUBSTITUTE(F1134," ","")),"")</f>
        <v/>
      </c>
      <c r="K1134" s="8">
        <f>IF(C1134&lt;&gt;"",HYPERLINK("https://wa.me/507"&amp;REGEXREPLACE(C1134,"[^0-9]","")&amp;"?text="&amp;ENCODEURL("Ya llegue. Codigo: "&amp;A1134&amp;". Ubicacion: "&amp;"https://www.google.com/maps/search/?api=1&amp;query="&amp;SUBSTITUTE(F1134," ","")),"📲 Avisar al cliente"),"")</f>
        <v/>
      </c>
      <c r="L1134" s="8">
        <f>IF(C1134&lt;&gt;"","https://api.qrserver.com/v1/create-qr-code/?size=200x200&amp;data="&amp;ENCODEURL("https://wa.me/507"&amp;REGEXREPLACE(C1134,"[^0-9]","")&amp;"?text="&amp;ENCODEURL("Ya llegue. Codigo: "&amp;A1134&amp;". Ubicacion: "&amp;"https://www.google.com/maps/search/?api=1&amp;query="&amp;SUBSTITUTE(F1134," ",""))),"")</f>
        <v/>
      </c>
      <c r="M1134" s="8">
        <f>IF(B1134&lt;&gt;"",TODAY(),"")</f>
        <v/>
      </c>
      <c r="N1134" s="8">
        <f>IF(F1134&lt;&gt;"",IFERROR(IF(AND(REGEXMATCH(SUBSTITUTE(TRIM(F1134)," ",""),"^-?\d+(\.\d+)?,-?\d+(\.\d+)?$"),VALUE(REGEXEXTRACT(SUBSTITUTE(TRIM(F1134)," ",""),"^-?\d+(\.\d+)?"))&gt;=-90,VALUE(REGEXEXTRACT(SUBSTITUTE(TRIM(F1134)," ",""),"^-?\d+(\.\d+)?"))&lt;=90,VALUE(REGEXEXTRACT(SUBSTITUTE(TRIM(F1134)," ",""),"-?\d+(\.\d+)?$"))&gt;=-180,VALUE(REGEXEXTRACT(SUBSTITUTE(TRIM(F1134)," ",""),"-?\d+(\.\d+)?$"))&lt;=180),"OK","REVISAR"),"REVISAR"),"")</f>
        <v/>
      </c>
      <c r="O1134">
        <f>IF(A1134&lt;&gt;"","https://direcciones507.github.io/direcciones507/panel.html?codigo="&amp;A1134&amp;"&amp;nombre="&amp;ENCODEURL(B1134)&amp;"&amp;telefono="&amp;SUBSTITUTE(C1134,"-","")&amp;"&amp;referencia="&amp;ENCODEURL(E1134)&amp;"&amp;lat="&amp;IZQUIERDA(SUBSTITUTE(F1134," ",""),ENCONTRAR(",",SUBSTITUTE(F1134," ",""))-1)&amp;"&amp;lng="&amp;DERECHA(SUBSTITUTE(F1134," ",""),LARGO(SUBSTITUTE(F1134," ",""))-ENCONTRAR(",",SUBSTITUTE(F1134," ",""))),"")</f>
        <v/>
      </c>
    </row>
    <row r="1135" ht="15.75" customHeight="1" s="10">
      <c r="A1135" s="8">
        <f>CONCAT("AD507-",TEXT(ROW()-2,"0000"))</f>
        <v/>
      </c>
      <c r="C1135" s="8" t="n"/>
      <c r="F1135" s="8" t="n"/>
      <c r="G1135" s="8">
        <f>IF(F1135&lt;&gt;"",HYPERLINK("https://www.google.com/maps/search/?api=1&amp;query="&amp;SUBSTITUTE(F1135," ",""),"🗺 Google Maps"),"")</f>
        <v/>
      </c>
      <c r="H1135" s="8">
        <f>IF(F1135&lt;&gt;"",HYPERLINK("https://waze.com/ul?ll="&amp;SUBSTITUTE(F1135," ","")&amp;"&amp;navigate=yes","🚗 Waze"),"")</f>
        <v/>
      </c>
      <c r="I1135" s="8">
        <f>IF(F1135&lt;&gt;"",HYPERLINK("https://m.uber.com/ul/?action=setPickup&amp;pickup=my_location&amp;dropoff[latitude]="&amp;LEFT(SUBSTITUTE(F1135," ",""),FIND(",",SUBSTITUTE(F1135," ",""))-1)&amp;"&amp;dropoff[longitude]="&amp;MID(SUBSTITUTE(F1135," ",""),FIND(",",SUBSTITUTE(F1135," ",""))+1,99),"🚕 Uber"),"")</f>
        <v/>
      </c>
      <c r="J1135" s="8">
        <f>IF(F1135&lt;&gt;"","https://api.qrserver.com/v1/create-qr-code/?size=200x200&amp;data="&amp;ENCODEURL("https://www.google.com/maps/search/?api=1&amp;query="&amp;SUBSTITUTE(F1135," ","")),"")</f>
        <v/>
      </c>
      <c r="K1135" s="8">
        <f>IF(C1135&lt;&gt;"",HYPERLINK("https://wa.me/507"&amp;REGEXREPLACE(C1135,"[^0-9]","")&amp;"?text="&amp;ENCODEURL("Ya llegue. Codigo: "&amp;A1135&amp;". Ubicacion: "&amp;"https://www.google.com/maps/search/?api=1&amp;query="&amp;SUBSTITUTE(F1135," ","")),"📲 Avisar al cliente"),"")</f>
        <v/>
      </c>
      <c r="L1135" s="8">
        <f>IF(C1135&lt;&gt;"","https://api.qrserver.com/v1/create-qr-code/?size=200x200&amp;data="&amp;ENCODEURL("https://wa.me/507"&amp;REGEXREPLACE(C1135,"[^0-9]","")&amp;"?text="&amp;ENCODEURL("Ya llegue. Codigo: "&amp;A1135&amp;". Ubicacion: "&amp;"https://www.google.com/maps/search/?api=1&amp;query="&amp;SUBSTITUTE(F1135," ",""))),"")</f>
        <v/>
      </c>
      <c r="M1135" s="8">
        <f>IF(B1135&lt;&gt;"",TODAY(),"")</f>
        <v/>
      </c>
      <c r="N1135" s="8">
        <f>IF(F1135&lt;&gt;"",IFERROR(IF(AND(REGEXMATCH(SUBSTITUTE(TRIM(F1135)," ",""),"^-?\d+(\.\d+)?,-?\d+(\.\d+)?$"),VALUE(REGEXEXTRACT(SUBSTITUTE(TRIM(F1135)," ",""),"^-?\d+(\.\d+)?"))&gt;=-90,VALUE(REGEXEXTRACT(SUBSTITUTE(TRIM(F1135)," ",""),"^-?\d+(\.\d+)?"))&lt;=90,VALUE(REGEXEXTRACT(SUBSTITUTE(TRIM(F1135)," ",""),"-?\d+(\.\d+)?$"))&gt;=-180,VALUE(REGEXEXTRACT(SUBSTITUTE(TRIM(F1135)," ",""),"-?\d+(\.\d+)?$"))&lt;=180),"OK","REVISAR"),"REVISAR"),"")</f>
        <v/>
      </c>
      <c r="O1135">
        <f>IF(A1135&lt;&gt;"","https://direcciones507.github.io/direcciones507/panel.html?codigo="&amp;A1135&amp;"&amp;nombre="&amp;ENCODEURL(B1135)&amp;"&amp;telefono="&amp;SUBSTITUTE(C1135,"-","")&amp;"&amp;referencia="&amp;ENCODEURL(E1135)&amp;"&amp;lat="&amp;IZQUIERDA(SUBSTITUTE(F1135," ",""),ENCONTRAR(",",SUBSTITUTE(F1135," ",""))-1)&amp;"&amp;lng="&amp;DERECHA(SUBSTITUTE(F1135," ",""),LARGO(SUBSTITUTE(F1135," ",""))-ENCONTRAR(",",SUBSTITUTE(F1135," ",""))),"")</f>
        <v/>
      </c>
    </row>
    <row r="1136" ht="15.75" customHeight="1" s="10">
      <c r="A1136" s="8">
        <f>CONCAT("AD507-",TEXT(ROW()-2,"0000"))</f>
        <v/>
      </c>
      <c r="C1136" s="8" t="n"/>
      <c r="F1136" s="8" t="n"/>
      <c r="G1136" s="8">
        <f>IF(F1136&lt;&gt;"",HYPERLINK("https://www.google.com/maps/search/?api=1&amp;query="&amp;SUBSTITUTE(F1136," ",""),"🗺 Google Maps"),"")</f>
        <v/>
      </c>
      <c r="H1136" s="8">
        <f>IF(F1136&lt;&gt;"",HYPERLINK("https://waze.com/ul?ll="&amp;SUBSTITUTE(F1136," ","")&amp;"&amp;navigate=yes","🚗 Waze"),"")</f>
        <v/>
      </c>
      <c r="I1136" s="8">
        <f>IF(F1136&lt;&gt;"",HYPERLINK("https://m.uber.com/ul/?action=setPickup&amp;pickup=my_location&amp;dropoff[latitude]="&amp;LEFT(SUBSTITUTE(F1136," ",""),FIND(",",SUBSTITUTE(F1136," ",""))-1)&amp;"&amp;dropoff[longitude]="&amp;MID(SUBSTITUTE(F1136," ",""),FIND(",",SUBSTITUTE(F1136," ",""))+1,99),"🚕 Uber"),"")</f>
        <v/>
      </c>
      <c r="J1136" s="8">
        <f>IF(F1136&lt;&gt;"","https://api.qrserver.com/v1/create-qr-code/?size=200x200&amp;data="&amp;ENCODEURL("https://www.google.com/maps/search/?api=1&amp;query="&amp;SUBSTITUTE(F1136," ","")),"")</f>
        <v/>
      </c>
      <c r="K1136" s="8">
        <f>IF(C1136&lt;&gt;"",HYPERLINK("https://wa.me/507"&amp;REGEXREPLACE(C1136,"[^0-9]","")&amp;"?text="&amp;ENCODEURL("Ya llegue. Codigo: "&amp;A1136&amp;". Ubicacion: "&amp;"https://www.google.com/maps/search/?api=1&amp;query="&amp;SUBSTITUTE(F1136," ","")),"📲 Avisar al cliente"),"")</f>
        <v/>
      </c>
      <c r="L1136" s="8">
        <f>IF(C1136&lt;&gt;"","https://api.qrserver.com/v1/create-qr-code/?size=200x200&amp;data="&amp;ENCODEURL("https://wa.me/507"&amp;REGEXREPLACE(C1136,"[^0-9]","")&amp;"?text="&amp;ENCODEURL("Ya llegue. Codigo: "&amp;A1136&amp;". Ubicacion: "&amp;"https://www.google.com/maps/search/?api=1&amp;query="&amp;SUBSTITUTE(F1136," ",""))),"")</f>
        <v/>
      </c>
      <c r="M1136" s="8">
        <f>IF(B1136&lt;&gt;"",TODAY(),"")</f>
        <v/>
      </c>
      <c r="N1136" s="8">
        <f>IF(F1136&lt;&gt;"",IFERROR(IF(AND(REGEXMATCH(SUBSTITUTE(TRIM(F1136)," ",""),"^-?\d+(\.\d+)?,-?\d+(\.\d+)?$"),VALUE(REGEXEXTRACT(SUBSTITUTE(TRIM(F1136)," ",""),"^-?\d+(\.\d+)?"))&gt;=-90,VALUE(REGEXEXTRACT(SUBSTITUTE(TRIM(F1136)," ",""),"^-?\d+(\.\d+)?"))&lt;=90,VALUE(REGEXEXTRACT(SUBSTITUTE(TRIM(F1136)," ",""),"-?\d+(\.\d+)?$"))&gt;=-180,VALUE(REGEXEXTRACT(SUBSTITUTE(TRIM(F1136)," ",""),"-?\d+(\.\d+)?$"))&lt;=180),"OK","REVISAR"),"REVISAR"),"")</f>
        <v/>
      </c>
      <c r="O1136">
        <f>IF(A1136&lt;&gt;"","https://direcciones507.github.io/direcciones507/panel.html?codigo="&amp;A1136&amp;"&amp;nombre="&amp;ENCODEURL(B1136)&amp;"&amp;telefono="&amp;SUBSTITUTE(C1136,"-","")&amp;"&amp;referencia="&amp;ENCODEURL(E1136)&amp;"&amp;lat="&amp;IZQUIERDA(SUBSTITUTE(F1136," ",""),ENCONTRAR(",",SUBSTITUTE(F1136," ",""))-1)&amp;"&amp;lng="&amp;DERECHA(SUBSTITUTE(F1136," ",""),LARGO(SUBSTITUTE(F1136," ",""))-ENCONTRAR(",",SUBSTITUTE(F1136," ",""))),"")</f>
        <v/>
      </c>
    </row>
    <row r="1137" ht="15.75" customHeight="1" s="10">
      <c r="A1137" s="8">
        <f>CONCAT("AD507-",TEXT(ROW()-2,"0000"))</f>
        <v/>
      </c>
      <c r="C1137" s="8" t="n"/>
      <c r="F1137" s="8" t="n"/>
      <c r="G1137" s="8">
        <f>IF(F1137&lt;&gt;"",HYPERLINK("https://www.google.com/maps/search/?api=1&amp;query="&amp;SUBSTITUTE(F1137," ",""),"🗺 Google Maps"),"")</f>
        <v/>
      </c>
      <c r="H1137" s="8">
        <f>IF(F1137&lt;&gt;"",HYPERLINK("https://waze.com/ul?ll="&amp;SUBSTITUTE(F1137," ","")&amp;"&amp;navigate=yes","🚗 Waze"),"")</f>
        <v/>
      </c>
      <c r="I1137" s="8">
        <f>IF(F1137&lt;&gt;"",HYPERLINK("https://m.uber.com/ul/?action=setPickup&amp;pickup=my_location&amp;dropoff[latitude]="&amp;LEFT(SUBSTITUTE(F1137," ",""),FIND(",",SUBSTITUTE(F1137," ",""))-1)&amp;"&amp;dropoff[longitude]="&amp;MID(SUBSTITUTE(F1137," ",""),FIND(",",SUBSTITUTE(F1137," ",""))+1,99),"🚕 Uber"),"")</f>
        <v/>
      </c>
      <c r="J1137" s="8">
        <f>IF(F1137&lt;&gt;"","https://api.qrserver.com/v1/create-qr-code/?size=200x200&amp;data="&amp;ENCODEURL("https://www.google.com/maps/search/?api=1&amp;query="&amp;SUBSTITUTE(F1137," ","")),"")</f>
        <v/>
      </c>
      <c r="K1137" s="8">
        <f>IF(C1137&lt;&gt;"",HYPERLINK("https://wa.me/507"&amp;REGEXREPLACE(C1137,"[^0-9]","")&amp;"?text="&amp;ENCODEURL("Ya llegue. Codigo: "&amp;A1137&amp;". Ubicacion: "&amp;"https://www.google.com/maps/search/?api=1&amp;query="&amp;SUBSTITUTE(F1137," ","")),"📲 Avisar al cliente"),"")</f>
        <v/>
      </c>
      <c r="L1137" s="8">
        <f>IF(C1137&lt;&gt;"","https://api.qrserver.com/v1/create-qr-code/?size=200x200&amp;data="&amp;ENCODEURL("https://wa.me/507"&amp;REGEXREPLACE(C1137,"[^0-9]","")&amp;"?text="&amp;ENCODEURL("Ya llegue. Codigo: "&amp;A1137&amp;". Ubicacion: "&amp;"https://www.google.com/maps/search/?api=1&amp;query="&amp;SUBSTITUTE(F1137," ",""))),"")</f>
        <v/>
      </c>
      <c r="M1137" s="8">
        <f>IF(B1137&lt;&gt;"",TODAY(),"")</f>
        <v/>
      </c>
      <c r="N1137" s="8">
        <f>IF(F1137&lt;&gt;"",IFERROR(IF(AND(REGEXMATCH(SUBSTITUTE(TRIM(F1137)," ",""),"^-?\d+(\.\d+)?,-?\d+(\.\d+)?$"),VALUE(REGEXEXTRACT(SUBSTITUTE(TRIM(F1137)," ",""),"^-?\d+(\.\d+)?"))&gt;=-90,VALUE(REGEXEXTRACT(SUBSTITUTE(TRIM(F1137)," ",""),"^-?\d+(\.\d+)?"))&lt;=90,VALUE(REGEXEXTRACT(SUBSTITUTE(TRIM(F1137)," ",""),"-?\d+(\.\d+)?$"))&gt;=-180,VALUE(REGEXEXTRACT(SUBSTITUTE(TRIM(F1137)," ",""),"-?\d+(\.\d+)?$"))&lt;=180),"OK","REVISAR"),"REVISAR"),"")</f>
        <v/>
      </c>
      <c r="O1137">
        <f>IF(A1137&lt;&gt;"","https://direcciones507.github.io/direcciones507/panel.html?codigo="&amp;A1137&amp;"&amp;nombre="&amp;ENCODEURL(B1137)&amp;"&amp;telefono="&amp;SUBSTITUTE(C1137,"-","")&amp;"&amp;referencia="&amp;ENCODEURL(E1137)&amp;"&amp;lat="&amp;IZQUIERDA(SUBSTITUTE(F1137," ",""),ENCONTRAR(",",SUBSTITUTE(F1137," ",""))-1)&amp;"&amp;lng="&amp;DERECHA(SUBSTITUTE(F1137," ",""),LARGO(SUBSTITUTE(F1137," ",""))-ENCONTRAR(",",SUBSTITUTE(F1137," ",""))),"")</f>
        <v/>
      </c>
    </row>
    <row r="1138" ht="15.75" customHeight="1" s="10">
      <c r="A1138" s="8">
        <f>CONCAT("AD507-",TEXT(ROW()-2,"0000"))</f>
        <v/>
      </c>
      <c r="C1138" s="8" t="n"/>
      <c r="F1138" s="8" t="n"/>
      <c r="G1138" s="8">
        <f>IF(F1138&lt;&gt;"",HYPERLINK("https://www.google.com/maps/search/?api=1&amp;query="&amp;SUBSTITUTE(F1138," ",""),"🗺 Google Maps"),"")</f>
        <v/>
      </c>
      <c r="H1138" s="8">
        <f>IF(F1138&lt;&gt;"",HYPERLINK("https://waze.com/ul?ll="&amp;SUBSTITUTE(F1138," ","")&amp;"&amp;navigate=yes","🚗 Waze"),"")</f>
        <v/>
      </c>
      <c r="I1138" s="8">
        <f>IF(F1138&lt;&gt;"",HYPERLINK("https://m.uber.com/ul/?action=setPickup&amp;pickup=my_location&amp;dropoff[latitude]="&amp;LEFT(SUBSTITUTE(F1138," ",""),FIND(",",SUBSTITUTE(F1138," ",""))-1)&amp;"&amp;dropoff[longitude]="&amp;MID(SUBSTITUTE(F1138," ",""),FIND(",",SUBSTITUTE(F1138," ",""))+1,99),"🚕 Uber"),"")</f>
        <v/>
      </c>
      <c r="J1138" s="8">
        <f>IF(F1138&lt;&gt;"","https://api.qrserver.com/v1/create-qr-code/?size=200x200&amp;data="&amp;ENCODEURL("https://www.google.com/maps/search/?api=1&amp;query="&amp;SUBSTITUTE(F1138," ","")),"")</f>
        <v/>
      </c>
      <c r="K1138" s="8">
        <f>IF(C1138&lt;&gt;"",HYPERLINK("https://wa.me/507"&amp;REGEXREPLACE(C1138,"[^0-9]","")&amp;"?text="&amp;ENCODEURL("Ya llegue. Codigo: "&amp;A1138&amp;". Ubicacion: "&amp;"https://www.google.com/maps/search/?api=1&amp;query="&amp;SUBSTITUTE(F1138," ","")),"📲 Avisar al cliente"),"")</f>
        <v/>
      </c>
      <c r="L1138" s="8">
        <f>IF(C1138&lt;&gt;"","https://api.qrserver.com/v1/create-qr-code/?size=200x200&amp;data="&amp;ENCODEURL("https://wa.me/507"&amp;REGEXREPLACE(C1138,"[^0-9]","")&amp;"?text="&amp;ENCODEURL("Ya llegue. Codigo: "&amp;A1138&amp;". Ubicacion: "&amp;"https://www.google.com/maps/search/?api=1&amp;query="&amp;SUBSTITUTE(F1138," ",""))),"")</f>
        <v/>
      </c>
      <c r="M1138" s="8">
        <f>IF(B1138&lt;&gt;"",TODAY(),"")</f>
        <v/>
      </c>
      <c r="N1138" s="8">
        <f>IF(F1138&lt;&gt;"",IFERROR(IF(AND(REGEXMATCH(SUBSTITUTE(TRIM(F1138)," ",""),"^-?\d+(\.\d+)?,-?\d+(\.\d+)?$"),VALUE(REGEXEXTRACT(SUBSTITUTE(TRIM(F1138)," ",""),"^-?\d+(\.\d+)?"))&gt;=-90,VALUE(REGEXEXTRACT(SUBSTITUTE(TRIM(F1138)," ",""),"^-?\d+(\.\d+)?"))&lt;=90,VALUE(REGEXEXTRACT(SUBSTITUTE(TRIM(F1138)," ",""),"-?\d+(\.\d+)?$"))&gt;=-180,VALUE(REGEXEXTRACT(SUBSTITUTE(TRIM(F1138)," ",""),"-?\d+(\.\d+)?$"))&lt;=180),"OK","REVISAR"),"REVISAR"),"")</f>
        <v/>
      </c>
      <c r="O1138">
        <f>IF(A1138&lt;&gt;"","https://direcciones507.github.io/direcciones507/panel.html?codigo="&amp;A1138&amp;"&amp;nombre="&amp;ENCODEURL(B1138)&amp;"&amp;telefono="&amp;SUBSTITUTE(C1138,"-","")&amp;"&amp;referencia="&amp;ENCODEURL(E1138)&amp;"&amp;lat="&amp;IZQUIERDA(SUBSTITUTE(F1138," ",""),ENCONTRAR(",",SUBSTITUTE(F1138," ",""))-1)&amp;"&amp;lng="&amp;DERECHA(SUBSTITUTE(F1138," ",""),LARGO(SUBSTITUTE(F1138," ",""))-ENCONTRAR(",",SUBSTITUTE(F1138," ",""))),"")</f>
        <v/>
      </c>
    </row>
    <row r="1139" ht="15.75" customHeight="1" s="10">
      <c r="A1139" s="8">
        <f>CONCAT("AD507-",TEXT(ROW()-2,"0000"))</f>
        <v/>
      </c>
      <c r="C1139" s="8" t="n"/>
      <c r="F1139" s="8" t="n"/>
      <c r="G1139" s="8">
        <f>IF(F1139&lt;&gt;"",HYPERLINK("https://www.google.com/maps/search/?api=1&amp;query="&amp;SUBSTITUTE(F1139," ",""),"🗺 Google Maps"),"")</f>
        <v/>
      </c>
      <c r="H1139" s="8">
        <f>IF(F1139&lt;&gt;"",HYPERLINK("https://waze.com/ul?ll="&amp;SUBSTITUTE(F1139," ","")&amp;"&amp;navigate=yes","🚗 Waze"),"")</f>
        <v/>
      </c>
      <c r="I1139" s="8">
        <f>IF(F1139&lt;&gt;"",HYPERLINK("https://m.uber.com/ul/?action=setPickup&amp;pickup=my_location&amp;dropoff[latitude]="&amp;LEFT(SUBSTITUTE(F1139," ",""),FIND(",",SUBSTITUTE(F1139," ",""))-1)&amp;"&amp;dropoff[longitude]="&amp;MID(SUBSTITUTE(F1139," ",""),FIND(",",SUBSTITUTE(F1139," ",""))+1,99),"🚕 Uber"),"")</f>
        <v/>
      </c>
      <c r="J1139" s="8">
        <f>IF(F1139&lt;&gt;"","https://api.qrserver.com/v1/create-qr-code/?size=200x200&amp;data="&amp;ENCODEURL("https://www.google.com/maps/search/?api=1&amp;query="&amp;SUBSTITUTE(F1139," ","")),"")</f>
        <v/>
      </c>
      <c r="K1139" s="8">
        <f>IF(C1139&lt;&gt;"",HYPERLINK("https://wa.me/507"&amp;REGEXREPLACE(C1139,"[^0-9]","")&amp;"?text="&amp;ENCODEURL("Ya llegue. Codigo: "&amp;A1139&amp;". Ubicacion: "&amp;"https://www.google.com/maps/search/?api=1&amp;query="&amp;SUBSTITUTE(F1139," ","")),"📲 Avisar al cliente"),"")</f>
        <v/>
      </c>
      <c r="L1139" s="8">
        <f>IF(C1139&lt;&gt;"","https://api.qrserver.com/v1/create-qr-code/?size=200x200&amp;data="&amp;ENCODEURL("https://wa.me/507"&amp;REGEXREPLACE(C1139,"[^0-9]","")&amp;"?text="&amp;ENCODEURL("Ya llegue. Codigo: "&amp;A1139&amp;". Ubicacion: "&amp;"https://www.google.com/maps/search/?api=1&amp;query="&amp;SUBSTITUTE(F1139," ",""))),"")</f>
        <v/>
      </c>
      <c r="M1139" s="8">
        <f>IF(B1139&lt;&gt;"",TODAY(),"")</f>
        <v/>
      </c>
      <c r="N1139" s="8">
        <f>IF(F1139&lt;&gt;"",IFERROR(IF(AND(REGEXMATCH(SUBSTITUTE(TRIM(F1139)," ",""),"^-?\d+(\.\d+)?,-?\d+(\.\d+)?$"),VALUE(REGEXEXTRACT(SUBSTITUTE(TRIM(F1139)," ",""),"^-?\d+(\.\d+)?"))&gt;=-90,VALUE(REGEXEXTRACT(SUBSTITUTE(TRIM(F1139)," ",""),"^-?\d+(\.\d+)?"))&lt;=90,VALUE(REGEXEXTRACT(SUBSTITUTE(TRIM(F1139)," ",""),"-?\d+(\.\d+)?$"))&gt;=-180,VALUE(REGEXEXTRACT(SUBSTITUTE(TRIM(F1139)," ",""),"-?\d+(\.\d+)?$"))&lt;=180),"OK","REVISAR"),"REVISAR"),"")</f>
        <v/>
      </c>
      <c r="O1139">
        <f>IF(A1139&lt;&gt;"","https://direcciones507.github.io/direcciones507/panel.html?codigo="&amp;A1139&amp;"&amp;nombre="&amp;ENCODEURL(B1139)&amp;"&amp;telefono="&amp;SUBSTITUTE(C1139,"-","")&amp;"&amp;referencia="&amp;ENCODEURL(E1139)&amp;"&amp;lat="&amp;IZQUIERDA(SUBSTITUTE(F1139," ",""),ENCONTRAR(",",SUBSTITUTE(F1139," ",""))-1)&amp;"&amp;lng="&amp;DERECHA(SUBSTITUTE(F1139," ",""),LARGO(SUBSTITUTE(F1139," ",""))-ENCONTRAR(",",SUBSTITUTE(F1139," ",""))),"")</f>
        <v/>
      </c>
    </row>
    <row r="1140" ht="15.75" customHeight="1" s="10">
      <c r="A1140" s="8">
        <f>CONCAT("AD507-",TEXT(ROW()-2,"0000"))</f>
        <v/>
      </c>
      <c r="C1140" s="8" t="n"/>
      <c r="F1140" s="8" t="n"/>
      <c r="G1140" s="8">
        <f>IF(F1140&lt;&gt;"",HYPERLINK("https://www.google.com/maps/search/?api=1&amp;query="&amp;SUBSTITUTE(F1140," ",""),"🗺 Google Maps"),"")</f>
        <v/>
      </c>
      <c r="H1140" s="8">
        <f>IF(F1140&lt;&gt;"",HYPERLINK("https://waze.com/ul?ll="&amp;SUBSTITUTE(F1140," ","")&amp;"&amp;navigate=yes","🚗 Waze"),"")</f>
        <v/>
      </c>
      <c r="I1140" s="8">
        <f>IF(F1140&lt;&gt;"",HYPERLINK("https://m.uber.com/ul/?action=setPickup&amp;pickup=my_location&amp;dropoff[latitude]="&amp;LEFT(SUBSTITUTE(F1140," ",""),FIND(",",SUBSTITUTE(F1140," ",""))-1)&amp;"&amp;dropoff[longitude]="&amp;MID(SUBSTITUTE(F1140," ",""),FIND(",",SUBSTITUTE(F1140," ",""))+1,99),"🚕 Uber"),"")</f>
        <v/>
      </c>
      <c r="J1140" s="8">
        <f>IF(F1140&lt;&gt;"","https://api.qrserver.com/v1/create-qr-code/?size=200x200&amp;data="&amp;ENCODEURL("https://www.google.com/maps/search/?api=1&amp;query="&amp;SUBSTITUTE(F1140," ","")),"")</f>
        <v/>
      </c>
      <c r="K1140" s="8">
        <f>IF(C1140&lt;&gt;"",HYPERLINK("https://wa.me/507"&amp;REGEXREPLACE(C1140,"[^0-9]","")&amp;"?text="&amp;ENCODEURL("Ya llegue. Codigo: "&amp;A1140&amp;". Ubicacion: "&amp;"https://www.google.com/maps/search/?api=1&amp;query="&amp;SUBSTITUTE(F1140," ","")),"📲 Avisar al cliente"),"")</f>
        <v/>
      </c>
      <c r="L1140" s="8">
        <f>IF(C1140&lt;&gt;"","https://api.qrserver.com/v1/create-qr-code/?size=200x200&amp;data="&amp;ENCODEURL("https://wa.me/507"&amp;REGEXREPLACE(C1140,"[^0-9]","")&amp;"?text="&amp;ENCODEURL("Ya llegue. Codigo: "&amp;A1140&amp;". Ubicacion: "&amp;"https://www.google.com/maps/search/?api=1&amp;query="&amp;SUBSTITUTE(F1140," ",""))),"")</f>
        <v/>
      </c>
      <c r="M1140" s="8">
        <f>IF(B1140&lt;&gt;"",TODAY(),"")</f>
        <v/>
      </c>
      <c r="N1140" s="8">
        <f>IF(F1140&lt;&gt;"",IFERROR(IF(AND(REGEXMATCH(SUBSTITUTE(TRIM(F1140)," ",""),"^-?\d+(\.\d+)?,-?\d+(\.\d+)?$"),VALUE(REGEXEXTRACT(SUBSTITUTE(TRIM(F1140)," ",""),"^-?\d+(\.\d+)?"))&gt;=-90,VALUE(REGEXEXTRACT(SUBSTITUTE(TRIM(F1140)," ",""),"^-?\d+(\.\d+)?"))&lt;=90,VALUE(REGEXEXTRACT(SUBSTITUTE(TRIM(F1140)," ",""),"-?\d+(\.\d+)?$"))&gt;=-180,VALUE(REGEXEXTRACT(SUBSTITUTE(TRIM(F1140)," ",""),"-?\d+(\.\d+)?$"))&lt;=180),"OK","REVISAR"),"REVISAR"),"")</f>
        <v/>
      </c>
      <c r="O1140">
        <f>IF(A1140&lt;&gt;"","https://direcciones507.github.io/direcciones507/panel.html?codigo="&amp;A1140&amp;"&amp;nombre="&amp;ENCODEURL(B1140)&amp;"&amp;telefono="&amp;SUBSTITUTE(C1140,"-","")&amp;"&amp;referencia="&amp;ENCODEURL(E1140)&amp;"&amp;lat="&amp;IZQUIERDA(SUBSTITUTE(F1140," ",""),ENCONTRAR(",",SUBSTITUTE(F1140," ",""))-1)&amp;"&amp;lng="&amp;DERECHA(SUBSTITUTE(F1140," ",""),LARGO(SUBSTITUTE(F1140," ",""))-ENCONTRAR(",",SUBSTITUTE(F1140," ",""))),"")</f>
        <v/>
      </c>
    </row>
    <row r="1141" ht="15.75" customHeight="1" s="10">
      <c r="A1141" s="8">
        <f>CONCAT("AD507-",TEXT(ROW()-2,"0000"))</f>
        <v/>
      </c>
      <c r="C1141" s="8" t="n"/>
      <c r="F1141" s="8" t="n"/>
      <c r="G1141" s="8">
        <f>IF(F1141&lt;&gt;"",HYPERLINK("https://www.google.com/maps/search/?api=1&amp;query="&amp;SUBSTITUTE(F1141," ",""),"🗺 Google Maps"),"")</f>
        <v/>
      </c>
      <c r="H1141" s="8">
        <f>IF(F1141&lt;&gt;"",HYPERLINK("https://waze.com/ul?ll="&amp;SUBSTITUTE(F1141," ","")&amp;"&amp;navigate=yes","🚗 Waze"),"")</f>
        <v/>
      </c>
      <c r="I1141" s="8">
        <f>IF(F1141&lt;&gt;"",HYPERLINK("https://m.uber.com/ul/?action=setPickup&amp;pickup=my_location&amp;dropoff[latitude]="&amp;LEFT(SUBSTITUTE(F1141," ",""),FIND(",",SUBSTITUTE(F1141," ",""))-1)&amp;"&amp;dropoff[longitude]="&amp;MID(SUBSTITUTE(F1141," ",""),FIND(",",SUBSTITUTE(F1141," ",""))+1,99),"🚕 Uber"),"")</f>
        <v/>
      </c>
      <c r="J1141" s="8">
        <f>IF(F1141&lt;&gt;"","https://api.qrserver.com/v1/create-qr-code/?size=200x200&amp;data="&amp;ENCODEURL("https://www.google.com/maps/search/?api=1&amp;query="&amp;SUBSTITUTE(F1141," ","")),"")</f>
        <v/>
      </c>
      <c r="K1141" s="8">
        <f>IF(C1141&lt;&gt;"",HYPERLINK("https://wa.me/507"&amp;REGEXREPLACE(C1141,"[^0-9]","")&amp;"?text="&amp;ENCODEURL("Ya llegue. Codigo: "&amp;A1141&amp;". Ubicacion: "&amp;"https://www.google.com/maps/search/?api=1&amp;query="&amp;SUBSTITUTE(F1141," ","")),"📲 Avisar al cliente"),"")</f>
        <v/>
      </c>
      <c r="L1141" s="8">
        <f>IF(C1141&lt;&gt;"","https://api.qrserver.com/v1/create-qr-code/?size=200x200&amp;data="&amp;ENCODEURL("https://wa.me/507"&amp;REGEXREPLACE(C1141,"[^0-9]","")&amp;"?text="&amp;ENCODEURL("Ya llegue. Codigo: "&amp;A1141&amp;". Ubicacion: "&amp;"https://www.google.com/maps/search/?api=1&amp;query="&amp;SUBSTITUTE(F1141," ",""))),"")</f>
        <v/>
      </c>
      <c r="M1141" s="8">
        <f>IF(B1141&lt;&gt;"",TODAY(),"")</f>
        <v/>
      </c>
      <c r="N1141" s="8">
        <f>IF(F1141&lt;&gt;"",IFERROR(IF(AND(REGEXMATCH(SUBSTITUTE(TRIM(F1141)," ",""),"^-?\d+(\.\d+)?,-?\d+(\.\d+)?$"),VALUE(REGEXEXTRACT(SUBSTITUTE(TRIM(F1141)," ",""),"^-?\d+(\.\d+)?"))&gt;=-90,VALUE(REGEXEXTRACT(SUBSTITUTE(TRIM(F1141)," ",""),"^-?\d+(\.\d+)?"))&lt;=90,VALUE(REGEXEXTRACT(SUBSTITUTE(TRIM(F1141)," ",""),"-?\d+(\.\d+)?$"))&gt;=-180,VALUE(REGEXEXTRACT(SUBSTITUTE(TRIM(F1141)," ",""),"-?\d+(\.\d+)?$"))&lt;=180),"OK","REVISAR"),"REVISAR"),"")</f>
        <v/>
      </c>
      <c r="O1141">
        <f>IF(A1141&lt;&gt;"","https://direcciones507.github.io/direcciones507/panel.html?codigo="&amp;A1141&amp;"&amp;nombre="&amp;ENCODEURL(B1141)&amp;"&amp;telefono="&amp;SUBSTITUTE(C1141,"-","")&amp;"&amp;referencia="&amp;ENCODEURL(E1141)&amp;"&amp;lat="&amp;IZQUIERDA(SUBSTITUTE(F1141," ",""),ENCONTRAR(",",SUBSTITUTE(F1141," ",""))-1)&amp;"&amp;lng="&amp;DERECHA(SUBSTITUTE(F1141," ",""),LARGO(SUBSTITUTE(F1141," ",""))-ENCONTRAR(",",SUBSTITUTE(F1141," ",""))),"")</f>
        <v/>
      </c>
    </row>
    <row r="1142" ht="15.75" customHeight="1" s="10">
      <c r="A1142" s="8">
        <f>CONCAT("AD507-",TEXT(ROW()-2,"0000"))</f>
        <v/>
      </c>
      <c r="C1142" s="8" t="n"/>
      <c r="F1142" s="8" t="n"/>
      <c r="G1142" s="8">
        <f>IF(F1142&lt;&gt;"",HYPERLINK("https://www.google.com/maps/search/?api=1&amp;query="&amp;SUBSTITUTE(F1142," ",""),"🗺 Google Maps"),"")</f>
        <v/>
      </c>
      <c r="H1142" s="8">
        <f>IF(F1142&lt;&gt;"",HYPERLINK("https://waze.com/ul?ll="&amp;SUBSTITUTE(F1142," ","")&amp;"&amp;navigate=yes","🚗 Waze"),"")</f>
        <v/>
      </c>
      <c r="I1142" s="8">
        <f>IF(F1142&lt;&gt;"",HYPERLINK("https://m.uber.com/ul/?action=setPickup&amp;pickup=my_location&amp;dropoff[latitude]="&amp;LEFT(SUBSTITUTE(F1142," ",""),FIND(",",SUBSTITUTE(F1142," ",""))-1)&amp;"&amp;dropoff[longitude]="&amp;MID(SUBSTITUTE(F1142," ",""),FIND(",",SUBSTITUTE(F1142," ",""))+1,99),"🚕 Uber"),"")</f>
        <v/>
      </c>
      <c r="J1142" s="8">
        <f>IF(F1142&lt;&gt;"","https://api.qrserver.com/v1/create-qr-code/?size=200x200&amp;data="&amp;ENCODEURL("https://www.google.com/maps/search/?api=1&amp;query="&amp;SUBSTITUTE(F1142," ","")),"")</f>
        <v/>
      </c>
      <c r="K1142" s="8">
        <f>IF(C1142&lt;&gt;"",HYPERLINK("https://wa.me/507"&amp;REGEXREPLACE(C1142,"[^0-9]","")&amp;"?text="&amp;ENCODEURL("Ya llegue. Codigo: "&amp;A1142&amp;". Ubicacion: "&amp;"https://www.google.com/maps/search/?api=1&amp;query="&amp;SUBSTITUTE(F1142," ","")),"📲 Avisar al cliente"),"")</f>
        <v/>
      </c>
      <c r="L1142" s="8">
        <f>IF(C1142&lt;&gt;"","https://api.qrserver.com/v1/create-qr-code/?size=200x200&amp;data="&amp;ENCODEURL("https://wa.me/507"&amp;REGEXREPLACE(C1142,"[^0-9]","")&amp;"?text="&amp;ENCODEURL("Ya llegue. Codigo: "&amp;A1142&amp;". Ubicacion: "&amp;"https://www.google.com/maps/search/?api=1&amp;query="&amp;SUBSTITUTE(F1142," ",""))),"")</f>
        <v/>
      </c>
      <c r="M1142" s="8">
        <f>IF(B1142&lt;&gt;"",TODAY(),"")</f>
        <v/>
      </c>
      <c r="N1142" s="8">
        <f>IF(F1142&lt;&gt;"",IFERROR(IF(AND(REGEXMATCH(SUBSTITUTE(TRIM(F1142)," ",""),"^-?\d+(\.\d+)?,-?\d+(\.\d+)?$"),VALUE(REGEXEXTRACT(SUBSTITUTE(TRIM(F1142)," ",""),"^-?\d+(\.\d+)?"))&gt;=-90,VALUE(REGEXEXTRACT(SUBSTITUTE(TRIM(F1142)," ",""),"^-?\d+(\.\d+)?"))&lt;=90,VALUE(REGEXEXTRACT(SUBSTITUTE(TRIM(F1142)," ",""),"-?\d+(\.\d+)?$"))&gt;=-180,VALUE(REGEXEXTRACT(SUBSTITUTE(TRIM(F1142)," ",""),"-?\d+(\.\d+)?$"))&lt;=180),"OK","REVISAR"),"REVISAR"),"")</f>
        <v/>
      </c>
      <c r="O1142">
        <f>IF(A1142&lt;&gt;"","https://direcciones507.github.io/direcciones507/panel.html?codigo="&amp;A1142&amp;"&amp;nombre="&amp;ENCODEURL(B1142)&amp;"&amp;telefono="&amp;SUBSTITUTE(C1142,"-","")&amp;"&amp;referencia="&amp;ENCODEURL(E1142)&amp;"&amp;lat="&amp;IZQUIERDA(SUBSTITUTE(F1142," ",""),ENCONTRAR(",",SUBSTITUTE(F1142," ",""))-1)&amp;"&amp;lng="&amp;DERECHA(SUBSTITUTE(F1142," ",""),LARGO(SUBSTITUTE(F1142," ",""))-ENCONTRAR(",",SUBSTITUTE(F1142," ",""))),"")</f>
        <v/>
      </c>
    </row>
    <row r="1143" ht="15.75" customHeight="1" s="10">
      <c r="A1143" s="8">
        <f>CONCAT("AD507-",TEXT(ROW()-2,"0000"))</f>
        <v/>
      </c>
      <c r="C1143" s="8" t="n"/>
      <c r="F1143" s="8" t="n"/>
      <c r="G1143" s="8">
        <f>IF(F1143&lt;&gt;"",HYPERLINK("https://www.google.com/maps/search/?api=1&amp;query="&amp;SUBSTITUTE(F1143," ",""),"🗺 Google Maps"),"")</f>
        <v/>
      </c>
      <c r="H1143" s="8">
        <f>IF(F1143&lt;&gt;"",HYPERLINK("https://waze.com/ul?ll="&amp;SUBSTITUTE(F1143," ","")&amp;"&amp;navigate=yes","🚗 Waze"),"")</f>
        <v/>
      </c>
      <c r="I1143" s="8">
        <f>IF(F1143&lt;&gt;"",HYPERLINK("https://m.uber.com/ul/?action=setPickup&amp;pickup=my_location&amp;dropoff[latitude]="&amp;LEFT(SUBSTITUTE(F1143," ",""),FIND(",",SUBSTITUTE(F1143," ",""))-1)&amp;"&amp;dropoff[longitude]="&amp;MID(SUBSTITUTE(F1143," ",""),FIND(",",SUBSTITUTE(F1143," ",""))+1,99),"🚕 Uber"),"")</f>
        <v/>
      </c>
      <c r="J1143" s="8">
        <f>IF(F1143&lt;&gt;"","https://api.qrserver.com/v1/create-qr-code/?size=200x200&amp;data="&amp;ENCODEURL("https://www.google.com/maps/search/?api=1&amp;query="&amp;SUBSTITUTE(F1143," ","")),"")</f>
        <v/>
      </c>
      <c r="K1143" s="8">
        <f>IF(C1143&lt;&gt;"",HYPERLINK("https://wa.me/507"&amp;REGEXREPLACE(C1143,"[^0-9]","")&amp;"?text="&amp;ENCODEURL("Ya llegue. Codigo: "&amp;A1143&amp;". Ubicacion: "&amp;"https://www.google.com/maps/search/?api=1&amp;query="&amp;SUBSTITUTE(F1143," ","")),"📲 Avisar al cliente"),"")</f>
        <v/>
      </c>
      <c r="L1143" s="8">
        <f>IF(C1143&lt;&gt;"","https://api.qrserver.com/v1/create-qr-code/?size=200x200&amp;data="&amp;ENCODEURL("https://wa.me/507"&amp;REGEXREPLACE(C1143,"[^0-9]","")&amp;"?text="&amp;ENCODEURL("Ya llegue. Codigo: "&amp;A1143&amp;". Ubicacion: "&amp;"https://www.google.com/maps/search/?api=1&amp;query="&amp;SUBSTITUTE(F1143," ",""))),"")</f>
        <v/>
      </c>
      <c r="M1143" s="8">
        <f>IF(B1143&lt;&gt;"",TODAY(),"")</f>
        <v/>
      </c>
      <c r="N1143" s="8">
        <f>IF(F1143&lt;&gt;"",IFERROR(IF(AND(REGEXMATCH(SUBSTITUTE(TRIM(F1143)," ",""),"^-?\d+(\.\d+)?,-?\d+(\.\d+)?$"),VALUE(REGEXEXTRACT(SUBSTITUTE(TRIM(F1143)," ",""),"^-?\d+(\.\d+)?"))&gt;=-90,VALUE(REGEXEXTRACT(SUBSTITUTE(TRIM(F1143)," ",""),"^-?\d+(\.\d+)?"))&lt;=90,VALUE(REGEXEXTRACT(SUBSTITUTE(TRIM(F1143)," ",""),"-?\d+(\.\d+)?$"))&gt;=-180,VALUE(REGEXEXTRACT(SUBSTITUTE(TRIM(F1143)," ",""),"-?\d+(\.\d+)?$"))&lt;=180),"OK","REVISAR"),"REVISAR"),"")</f>
        <v/>
      </c>
      <c r="O1143">
        <f>IF(A1143&lt;&gt;"","https://direcciones507.github.io/direcciones507/panel.html?codigo="&amp;A1143&amp;"&amp;nombre="&amp;ENCODEURL(B1143)&amp;"&amp;telefono="&amp;SUBSTITUTE(C1143,"-","")&amp;"&amp;referencia="&amp;ENCODEURL(E1143)&amp;"&amp;lat="&amp;IZQUIERDA(SUBSTITUTE(F1143," ",""),ENCONTRAR(",",SUBSTITUTE(F1143," ",""))-1)&amp;"&amp;lng="&amp;DERECHA(SUBSTITUTE(F1143," ",""),LARGO(SUBSTITUTE(F1143," ",""))-ENCONTRAR(",",SUBSTITUTE(F1143," ",""))),"")</f>
        <v/>
      </c>
    </row>
    <row r="1144" ht="15.75" customHeight="1" s="10">
      <c r="A1144" s="8">
        <f>CONCAT("AD507-",TEXT(ROW()-2,"0000"))</f>
        <v/>
      </c>
      <c r="C1144" s="8" t="n"/>
      <c r="F1144" s="8" t="n"/>
      <c r="G1144" s="8">
        <f>IF(F1144&lt;&gt;"",HYPERLINK("https://www.google.com/maps/search/?api=1&amp;query="&amp;SUBSTITUTE(F1144," ",""),"🗺 Google Maps"),"")</f>
        <v/>
      </c>
      <c r="H1144" s="8">
        <f>IF(F1144&lt;&gt;"",HYPERLINK("https://waze.com/ul?ll="&amp;SUBSTITUTE(F1144," ","")&amp;"&amp;navigate=yes","🚗 Waze"),"")</f>
        <v/>
      </c>
      <c r="I1144" s="8">
        <f>IF(F1144&lt;&gt;"",HYPERLINK("https://m.uber.com/ul/?action=setPickup&amp;pickup=my_location&amp;dropoff[latitude]="&amp;LEFT(SUBSTITUTE(F1144," ",""),FIND(",",SUBSTITUTE(F1144," ",""))-1)&amp;"&amp;dropoff[longitude]="&amp;MID(SUBSTITUTE(F1144," ",""),FIND(",",SUBSTITUTE(F1144," ",""))+1,99),"🚕 Uber"),"")</f>
        <v/>
      </c>
      <c r="J1144" s="8">
        <f>IF(F1144&lt;&gt;"","https://api.qrserver.com/v1/create-qr-code/?size=200x200&amp;data="&amp;ENCODEURL("https://www.google.com/maps/search/?api=1&amp;query="&amp;SUBSTITUTE(F1144," ","")),"")</f>
        <v/>
      </c>
      <c r="K1144" s="8">
        <f>IF(C1144&lt;&gt;"",HYPERLINK("https://wa.me/507"&amp;REGEXREPLACE(C1144,"[^0-9]","")&amp;"?text="&amp;ENCODEURL("Ya llegue. Codigo: "&amp;A1144&amp;". Ubicacion: "&amp;"https://www.google.com/maps/search/?api=1&amp;query="&amp;SUBSTITUTE(F1144," ","")),"📲 Avisar al cliente"),"")</f>
        <v/>
      </c>
      <c r="L1144" s="8">
        <f>IF(C1144&lt;&gt;"","https://api.qrserver.com/v1/create-qr-code/?size=200x200&amp;data="&amp;ENCODEURL("https://wa.me/507"&amp;REGEXREPLACE(C1144,"[^0-9]","")&amp;"?text="&amp;ENCODEURL("Ya llegue. Codigo: "&amp;A1144&amp;". Ubicacion: "&amp;"https://www.google.com/maps/search/?api=1&amp;query="&amp;SUBSTITUTE(F1144," ",""))),"")</f>
        <v/>
      </c>
      <c r="M1144" s="8">
        <f>IF(B1144&lt;&gt;"",TODAY(),"")</f>
        <v/>
      </c>
      <c r="N1144" s="8">
        <f>IF(F1144&lt;&gt;"",IFERROR(IF(AND(REGEXMATCH(SUBSTITUTE(TRIM(F1144)," ",""),"^-?\d+(\.\d+)?,-?\d+(\.\d+)?$"),VALUE(REGEXEXTRACT(SUBSTITUTE(TRIM(F1144)," ",""),"^-?\d+(\.\d+)?"))&gt;=-90,VALUE(REGEXEXTRACT(SUBSTITUTE(TRIM(F1144)," ",""),"^-?\d+(\.\d+)?"))&lt;=90,VALUE(REGEXEXTRACT(SUBSTITUTE(TRIM(F1144)," ",""),"-?\d+(\.\d+)?$"))&gt;=-180,VALUE(REGEXEXTRACT(SUBSTITUTE(TRIM(F1144)," ",""),"-?\d+(\.\d+)?$"))&lt;=180),"OK","REVISAR"),"REVISAR"),"")</f>
        <v/>
      </c>
      <c r="O1144">
        <f>IF(A1144&lt;&gt;"","https://direcciones507.github.io/direcciones507/panel.html?codigo="&amp;A1144&amp;"&amp;nombre="&amp;ENCODEURL(B1144)&amp;"&amp;telefono="&amp;SUBSTITUTE(C1144,"-","")&amp;"&amp;referencia="&amp;ENCODEURL(E1144)&amp;"&amp;lat="&amp;IZQUIERDA(SUBSTITUTE(F1144," ",""),ENCONTRAR(",",SUBSTITUTE(F1144," ",""))-1)&amp;"&amp;lng="&amp;DERECHA(SUBSTITUTE(F1144," ",""),LARGO(SUBSTITUTE(F1144," ",""))-ENCONTRAR(",",SUBSTITUTE(F1144," ",""))),"")</f>
        <v/>
      </c>
    </row>
    <row r="1145" ht="15.75" customHeight="1" s="10">
      <c r="A1145" s="8">
        <f>CONCAT("AD507-",TEXT(ROW()-2,"0000"))</f>
        <v/>
      </c>
      <c r="C1145" s="8" t="n"/>
      <c r="F1145" s="8" t="n"/>
      <c r="G1145" s="8">
        <f>IF(F1145&lt;&gt;"",HYPERLINK("https://www.google.com/maps/search/?api=1&amp;query="&amp;SUBSTITUTE(F1145," ",""),"🗺 Google Maps"),"")</f>
        <v/>
      </c>
      <c r="H1145" s="8">
        <f>IF(F1145&lt;&gt;"",HYPERLINK("https://waze.com/ul?ll="&amp;SUBSTITUTE(F1145," ","")&amp;"&amp;navigate=yes","🚗 Waze"),"")</f>
        <v/>
      </c>
      <c r="I1145" s="8">
        <f>IF(F1145&lt;&gt;"",HYPERLINK("https://m.uber.com/ul/?action=setPickup&amp;pickup=my_location&amp;dropoff[latitude]="&amp;LEFT(SUBSTITUTE(F1145," ",""),FIND(",",SUBSTITUTE(F1145," ",""))-1)&amp;"&amp;dropoff[longitude]="&amp;MID(SUBSTITUTE(F1145," ",""),FIND(",",SUBSTITUTE(F1145," ",""))+1,99),"🚕 Uber"),"")</f>
        <v/>
      </c>
      <c r="J1145" s="8">
        <f>IF(F1145&lt;&gt;"","https://api.qrserver.com/v1/create-qr-code/?size=200x200&amp;data="&amp;ENCODEURL("https://www.google.com/maps/search/?api=1&amp;query="&amp;SUBSTITUTE(F1145," ","")),"")</f>
        <v/>
      </c>
      <c r="K1145" s="8">
        <f>IF(C1145&lt;&gt;"",HYPERLINK("https://wa.me/507"&amp;REGEXREPLACE(C1145,"[^0-9]","")&amp;"?text="&amp;ENCODEURL("Ya llegue. Codigo: "&amp;A1145&amp;". Ubicacion: "&amp;"https://www.google.com/maps/search/?api=1&amp;query="&amp;SUBSTITUTE(F1145," ","")),"📲 Avisar al cliente"),"")</f>
        <v/>
      </c>
      <c r="L1145" s="8">
        <f>IF(C1145&lt;&gt;"","https://api.qrserver.com/v1/create-qr-code/?size=200x200&amp;data="&amp;ENCODEURL("https://wa.me/507"&amp;REGEXREPLACE(C1145,"[^0-9]","")&amp;"?text="&amp;ENCODEURL("Ya llegue. Codigo: "&amp;A1145&amp;". Ubicacion: "&amp;"https://www.google.com/maps/search/?api=1&amp;query="&amp;SUBSTITUTE(F1145," ",""))),"")</f>
        <v/>
      </c>
      <c r="M1145" s="8">
        <f>IF(B1145&lt;&gt;"",TODAY(),"")</f>
        <v/>
      </c>
      <c r="N1145" s="8">
        <f>IF(F1145&lt;&gt;"",IFERROR(IF(AND(REGEXMATCH(SUBSTITUTE(TRIM(F1145)," ",""),"^-?\d+(\.\d+)?,-?\d+(\.\d+)?$"),VALUE(REGEXEXTRACT(SUBSTITUTE(TRIM(F1145)," ",""),"^-?\d+(\.\d+)?"))&gt;=-90,VALUE(REGEXEXTRACT(SUBSTITUTE(TRIM(F1145)," ",""),"^-?\d+(\.\d+)?"))&lt;=90,VALUE(REGEXEXTRACT(SUBSTITUTE(TRIM(F1145)," ",""),"-?\d+(\.\d+)?$"))&gt;=-180,VALUE(REGEXEXTRACT(SUBSTITUTE(TRIM(F1145)," ",""),"-?\d+(\.\d+)?$"))&lt;=180),"OK","REVISAR"),"REVISAR"),"")</f>
        <v/>
      </c>
      <c r="O1145">
        <f>IF(A1145&lt;&gt;"","https://direcciones507.github.io/direcciones507/panel.html?codigo="&amp;A1145&amp;"&amp;nombre="&amp;ENCODEURL(B1145)&amp;"&amp;telefono="&amp;SUBSTITUTE(C1145,"-","")&amp;"&amp;referencia="&amp;ENCODEURL(E1145)&amp;"&amp;lat="&amp;IZQUIERDA(SUBSTITUTE(F1145," ",""),ENCONTRAR(",",SUBSTITUTE(F1145," ",""))-1)&amp;"&amp;lng="&amp;DERECHA(SUBSTITUTE(F1145," ",""),LARGO(SUBSTITUTE(F1145," ",""))-ENCONTRAR(",",SUBSTITUTE(F1145," ",""))),"")</f>
        <v/>
      </c>
    </row>
    <row r="1146" ht="15.75" customHeight="1" s="10">
      <c r="A1146" s="8">
        <f>CONCAT("AD507-",TEXT(ROW()-2,"0000"))</f>
        <v/>
      </c>
      <c r="C1146" s="8" t="n"/>
      <c r="F1146" s="8" t="n"/>
      <c r="G1146" s="8">
        <f>IF(F1146&lt;&gt;"",HYPERLINK("https://www.google.com/maps/search/?api=1&amp;query="&amp;SUBSTITUTE(F1146," ",""),"🗺 Google Maps"),"")</f>
        <v/>
      </c>
      <c r="H1146" s="8">
        <f>IF(F1146&lt;&gt;"",HYPERLINK("https://waze.com/ul?ll="&amp;SUBSTITUTE(F1146," ","")&amp;"&amp;navigate=yes","🚗 Waze"),"")</f>
        <v/>
      </c>
      <c r="I1146" s="8">
        <f>IF(F1146&lt;&gt;"",HYPERLINK("https://m.uber.com/ul/?action=setPickup&amp;pickup=my_location&amp;dropoff[latitude]="&amp;LEFT(SUBSTITUTE(F1146," ",""),FIND(",",SUBSTITUTE(F1146," ",""))-1)&amp;"&amp;dropoff[longitude]="&amp;MID(SUBSTITUTE(F1146," ",""),FIND(",",SUBSTITUTE(F1146," ",""))+1,99),"🚕 Uber"),"")</f>
        <v/>
      </c>
      <c r="J1146" s="8">
        <f>IF(F1146&lt;&gt;"","https://api.qrserver.com/v1/create-qr-code/?size=200x200&amp;data="&amp;ENCODEURL("https://www.google.com/maps/search/?api=1&amp;query="&amp;SUBSTITUTE(F1146," ","")),"")</f>
        <v/>
      </c>
      <c r="K1146" s="8">
        <f>IF(C1146&lt;&gt;"",HYPERLINK("https://wa.me/507"&amp;REGEXREPLACE(C1146,"[^0-9]","")&amp;"?text="&amp;ENCODEURL("Ya llegue. Codigo: "&amp;A1146&amp;". Ubicacion: "&amp;"https://www.google.com/maps/search/?api=1&amp;query="&amp;SUBSTITUTE(F1146," ","")),"📲 Avisar al cliente"),"")</f>
        <v/>
      </c>
      <c r="L1146" s="8">
        <f>IF(C1146&lt;&gt;"","https://api.qrserver.com/v1/create-qr-code/?size=200x200&amp;data="&amp;ENCODEURL("https://wa.me/507"&amp;REGEXREPLACE(C1146,"[^0-9]","")&amp;"?text="&amp;ENCODEURL("Ya llegue. Codigo: "&amp;A1146&amp;". Ubicacion: "&amp;"https://www.google.com/maps/search/?api=1&amp;query="&amp;SUBSTITUTE(F1146," ",""))),"")</f>
        <v/>
      </c>
      <c r="M1146" s="8">
        <f>IF(B1146&lt;&gt;"",TODAY(),"")</f>
        <v/>
      </c>
      <c r="N1146" s="8">
        <f>IF(F1146&lt;&gt;"",IFERROR(IF(AND(REGEXMATCH(SUBSTITUTE(TRIM(F1146)," ",""),"^-?\d+(\.\d+)?,-?\d+(\.\d+)?$"),VALUE(REGEXEXTRACT(SUBSTITUTE(TRIM(F1146)," ",""),"^-?\d+(\.\d+)?"))&gt;=-90,VALUE(REGEXEXTRACT(SUBSTITUTE(TRIM(F1146)," ",""),"^-?\d+(\.\d+)?"))&lt;=90,VALUE(REGEXEXTRACT(SUBSTITUTE(TRIM(F1146)," ",""),"-?\d+(\.\d+)?$"))&gt;=-180,VALUE(REGEXEXTRACT(SUBSTITUTE(TRIM(F1146)," ",""),"-?\d+(\.\d+)?$"))&lt;=180),"OK","REVISAR"),"REVISAR"),"")</f>
        <v/>
      </c>
      <c r="O1146">
        <f>IF(A1146&lt;&gt;"","https://direcciones507.github.io/direcciones507/panel.html?codigo="&amp;A1146&amp;"&amp;nombre="&amp;ENCODEURL(B1146)&amp;"&amp;telefono="&amp;SUBSTITUTE(C1146,"-","")&amp;"&amp;referencia="&amp;ENCODEURL(E1146)&amp;"&amp;lat="&amp;IZQUIERDA(SUBSTITUTE(F1146," ",""),ENCONTRAR(",",SUBSTITUTE(F1146," ",""))-1)&amp;"&amp;lng="&amp;DERECHA(SUBSTITUTE(F1146," ",""),LARGO(SUBSTITUTE(F1146," ",""))-ENCONTRAR(",",SUBSTITUTE(F1146," ",""))),"")</f>
        <v/>
      </c>
    </row>
    <row r="1147" ht="15.75" customHeight="1" s="10">
      <c r="A1147" s="8">
        <f>CONCAT("AD507-",TEXT(ROW()-2,"0000"))</f>
        <v/>
      </c>
      <c r="C1147" s="8" t="n"/>
      <c r="F1147" s="8" t="n"/>
      <c r="G1147" s="8">
        <f>IF(F1147&lt;&gt;"",HYPERLINK("https://www.google.com/maps/search/?api=1&amp;query="&amp;SUBSTITUTE(F1147," ",""),"🗺 Google Maps"),"")</f>
        <v/>
      </c>
      <c r="H1147" s="8">
        <f>IF(F1147&lt;&gt;"",HYPERLINK("https://waze.com/ul?ll="&amp;SUBSTITUTE(F1147," ","")&amp;"&amp;navigate=yes","🚗 Waze"),"")</f>
        <v/>
      </c>
      <c r="I1147" s="8">
        <f>IF(F1147&lt;&gt;"",HYPERLINK("https://m.uber.com/ul/?action=setPickup&amp;pickup=my_location&amp;dropoff[latitude]="&amp;LEFT(SUBSTITUTE(F1147," ",""),FIND(",",SUBSTITUTE(F1147," ",""))-1)&amp;"&amp;dropoff[longitude]="&amp;MID(SUBSTITUTE(F1147," ",""),FIND(",",SUBSTITUTE(F1147," ",""))+1,99),"🚕 Uber"),"")</f>
        <v/>
      </c>
      <c r="J1147" s="8">
        <f>IF(F1147&lt;&gt;"","https://api.qrserver.com/v1/create-qr-code/?size=200x200&amp;data="&amp;ENCODEURL("https://www.google.com/maps/search/?api=1&amp;query="&amp;SUBSTITUTE(F1147," ","")),"")</f>
        <v/>
      </c>
      <c r="K1147" s="8">
        <f>IF(C1147&lt;&gt;"",HYPERLINK("https://wa.me/507"&amp;REGEXREPLACE(C1147,"[^0-9]","")&amp;"?text="&amp;ENCODEURL("Ya llegue. Codigo: "&amp;A1147&amp;". Ubicacion: "&amp;"https://www.google.com/maps/search/?api=1&amp;query="&amp;SUBSTITUTE(F1147," ","")),"📲 Avisar al cliente"),"")</f>
        <v/>
      </c>
      <c r="L1147" s="8">
        <f>IF(C1147&lt;&gt;"","https://api.qrserver.com/v1/create-qr-code/?size=200x200&amp;data="&amp;ENCODEURL("https://wa.me/507"&amp;REGEXREPLACE(C1147,"[^0-9]","")&amp;"?text="&amp;ENCODEURL("Ya llegue. Codigo: "&amp;A1147&amp;". Ubicacion: "&amp;"https://www.google.com/maps/search/?api=1&amp;query="&amp;SUBSTITUTE(F1147," ",""))),"")</f>
        <v/>
      </c>
      <c r="M1147" s="8">
        <f>IF(B1147&lt;&gt;"",TODAY(),"")</f>
        <v/>
      </c>
      <c r="N1147" s="8">
        <f>IF(F1147&lt;&gt;"",IFERROR(IF(AND(REGEXMATCH(SUBSTITUTE(TRIM(F1147)," ",""),"^-?\d+(\.\d+)?,-?\d+(\.\d+)?$"),VALUE(REGEXEXTRACT(SUBSTITUTE(TRIM(F1147)," ",""),"^-?\d+(\.\d+)?"))&gt;=-90,VALUE(REGEXEXTRACT(SUBSTITUTE(TRIM(F1147)," ",""),"^-?\d+(\.\d+)?"))&lt;=90,VALUE(REGEXEXTRACT(SUBSTITUTE(TRIM(F1147)," ",""),"-?\d+(\.\d+)?$"))&gt;=-180,VALUE(REGEXEXTRACT(SUBSTITUTE(TRIM(F1147)," ",""),"-?\d+(\.\d+)?$"))&lt;=180),"OK","REVISAR"),"REVISAR"),"")</f>
        <v/>
      </c>
      <c r="O1147">
        <f>IF(A1147&lt;&gt;"","https://direcciones507.github.io/direcciones507/panel.html?codigo="&amp;A1147&amp;"&amp;nombre="&amp;ENCODEURL(B1147)&amp;"&amp;telefono="&amp;SUBSTITUTE(C1147,"-","")&amp;"&amp;referencia="&amp;ENCODEURL(E1147)&amp;"&amp;lat="&amp;IZQUIERDA(SUBSTITUTE(F1147," ",""),ENCONTRAR(",",SUBSTITUTE(F1147," ",""))-1)&amp;"&amp;lng="&amp;DERECHA(SUBSTITUTE(F1147," ",""),LARGO(SUBSTITUTE(F1147," ",""))-ENCONTRAR(",",SUBSTITUTE(F1147," ",""))),"")</f>
        <v/>
      </c>
    </row>
    <row r="1148" ht="15.75" customHeight="1" s="10">
      <c r="A1148" s="8">
        <f>CONCAT("AD507-",TEXT(ROW()-2,"0000"))</f>
        <v/>
      </c>
      <c r="C1148" s="8" t="n"/>
      <c r="F1148" s="8" t="n"/>
      <c r="G1148" s="8">
        <f>IF(F1148&lt;&gt;"",HYPERLINK("https://www.google.com/maps/search/?api=1&amp;query="&amp;SUBSTITUTE(F1148," ",""),"🗺 Google Maps"),"")</f>
        <v/>
      </c>
      <c r="H1148" s="8">
        <f>IF(F1148&lt;&gt;"",HYPERLINK("https://waze.com/ul?ll="&amp;SUBSTITUTE(F1148," ","")&amp;"&amp;navigate=yes","🚗 Waze"),"")</f>
        <v/>
      </c>
      <c r="I1148" s="8">
        <f>IF(F1148&lt;&gt;"",HYPERLINK("https://m.uber.com/ul/?action=setPickup&amp;pickup=my_location&amp;dropoff[latitude]="&amp;LEFT(SUBSTITUTE(F1148," ",""),FIND(",",SUBSTITUTE(F1148," ",""))-1)&amp;"&amp;dropoff[longitude]="&amp;MID(SUBSTITUTE(F1148," ",""),FIND(",",SUBSTITUTE(F1148," ",""))+1,99),"🚕 Uber"),"")</f>
        <v/>
      </c>
      <c r="J1148" s="8">
        <f>IF(F1148&lt;&gt;"","https://api.qrserver.com/v1/create-qr-code/?size=200x200&amp;data="&amp;ENCODEURL("https://www.google.com/maps/search/?api=1&amp;query="&amp;SUBSTITUTE(F1148," ","")),"")</f>
        <v/>
      </c>
      <c r="K1148" s="8">
        <f>IF(C1148&lt;&gt;"",HYPERLINK("https://wa.me/507"&amp;REGEXREPLACE(C1148,"[^0-9]","")&amp;"?text="&amp;ENCODEURL("Ya llegue. Codigo: "&amp;A1148&amp;". Ubicacion: "&amp;"https://www.google.com/maps/search/?api=1&amp;query="&amp;SUBSTITUTE(F1148," ","")),"📲 Avisar al cliente"),"")</f>
        <v/>
      </c>
      <c r="L1148" s="8">
        <f>IF(C1148&lt;&gt;"","https://api.qrserver.com/v1/create-qr-code/?size=200x200&amp;data="&amp;ENCODEURL("https://wa.me/507"&amp;REGEXREPLACE(C1148,"[^0-9]","")&amp;"?text="&amp;ENCODEURL("Ya llegue. Codigo: "&amp;A1148&amp;". Ubicacion: "&amp;"https://www.google.com/maps/search/?api=1&amp;query="&amp;SUBSTITUTE(F1148," ",""))),"")</f>
        <v/>
      </c>
      <c r="M1148" s="8">
        <f>IF(B1148&lt;&gt;"",TODAY(),"")</f>
        <v/>
      </c>
      <c r="N1148" s="8">
        <f>IF(F1148&lt;&gt;"",IFERROR(IF(AND(REGEXMATCH(SUBSTITUTE(TRIM(F1148)," ",""),"^-?\d+(\.\d+)?,-?\d+(\.\d+)?$"),VALUE(REGEXEXTRACT(SUBSTITUTE(TRIM(F1148)," ",""),"^-?\d+(\.\d+)?"))&gt;=-90,VALUE(REGEXEXTRACT(SUBSTITUTE(TRIM(F1148)," ",""),"^-?\d+(\.\d+)?"))&lt;=90,VALUE(REGEXEXTRACT(SUBSTITUTE(TRIM(F1148)," ",""),"-?\d+(\.\d+)?$"))&gt;=-180,VALUE(REGEXEXTRACT(SUBSTITUTE(TRIM(F1148)," ",""),"-?\d+(\.\d+)?$"))&lt;=180),"OK","REVISAR"),"REVISAR"),"")</f>
        <v/>
      </c>
      <c r="O1148">
        <f>IF(A1148&lt;&gt;"","https://direcciones507.github.io/direcciones507/panel.html?codigo="&amp;A1148&amp;"&amp;nombre="&amp;ENCODEURL(B1148)&amp;"&amp;telefono="&amp;SUBSTITUTE(C1148,"-","")&amp;"&amp;referencia="&amp;ENCODEURL(E1148)&amp;"&amp;lat="&amp;IZQUIERDA(SUBSTITUTE(F1148," ",""),ENCONTRAR(",",SUBSTITUTE(F1148," ",""))-1)&amp;"&amp;lng="&amp;DERECHA(SUBSTITUTE(F1148," ",""),LARGO(SUBSTITUTE(F1148," ",""))-ENCONTRAR(",",SUBSTITUTE(F1148," ",""))),"")</f>
        <v/>
      </c>
    </row>
    <row r="1149" ht="15.75" customHeight="1" s="10">
      <c r="A1149" s="8">
        <f>CONCAT("AD507-",TEXT(ROW()-2,"0000"))</f>
        <v/>
      </c>
      <c r="C1149" s="8" t="n"/>
      <c r="F1149" s="8" t="n"/>
      <c r="G1149" s="8">
        <f>IF(F1149&lt;&gt;"",HYPERLINK("https://www.google.com/maps/search/?api=1&amp;query="&amp;SUBSTITUTE(F1149," ",""),"🗺 Google Maps"),"")</f>
        <v/>
      </c>
      <c r="H1149" s="8">
        <f>IF(F1149&lt;&gt;"",HYPERLINK("https://waze.com/ul?ll="&amp;SUBSTITUTE(F1149," ","")&amp;"&amp;navigate=yes","🚗 Waze"),"")</f>
        <v/>
      </c>
      <c r="I1149" s="8">
        <f>IF(F1149&lt;&gt;"",HYPERLINK("https://m.uber.com/ul/?action=setPickup&amp;pickup=my_location&amp;dropoff[latitude]="&amp;LEFT(SUBSTITUTE(F1149," ",""),FIND(",",SUBSTITUTE(F1149," ",""))-1)&amp;"&amp;dropoff[longitude]="&amp;MID(SUBSTITUTE(F1149," ",""),FIND(",",SUBSTITUTE(F1149," ",""))+1,99),"🚕 Uber"),"")</f>
        <v/>
      </c>
      <c r="J1149" s="8">
        <f>IF(F1149&lt;&gt;"","https://api.qrserver.com/v1/create-qr-code/?size=200x200&amp;data="&amp;ENCODEURL("https://www.google.com/maps/search/?api=1&amp;query="&amp;SUBSTITUTE(F1149," ","")),"")</f>
        <v/>
      </c>
      <c r="K1149" s="8">
        <f>IF(C1149&lt;&gt;"",HYPERLINK("https://wa.me/507"&amp;REGEXREPLACE(C1149,"[^0-9]","")&amp;"?text="&amp;ENCODEURL("Ya llegue. Codigo: "&amp;A1149&amp;". Ubicacion: "&amp;"https://www.google.com/maps/search/?api=1&amp;query="&amp;SUBSTITUTE(F1149," ","")),"📲 Avisar al cliente"),"")</f>
        <v/>
      </c>
      <c r="L1149" s="8">
        <f>IF(C1149&lt;&gt;"","https://api.qrserver.com/v1/create-qr-code/?size=200x200&amp;data="&amp;ENCODEURL("https://wa.me/507"&amp;REGEXREPLACE(C1149,"[^0-9]","")&amp;"?text="&amp;ENCODEURL("Ya llegue. Codigo: "&amp;A1149&amp;". Ubicacion: "&amp;"https://www.google.com/maps/search/?api=1&amp;query="&amp;SUBSTITUTE(F1149," ",""))),"")</f>
        <v/>
      </c>
      <c r="M1149" s="8">
        <f>IF(B1149&lt;&gt;"",TODAY(),"")</f>
        <v/>
      </c>
      <c r="N1149" s="8">
        <f>IF(F1149&lt;&gt;"",IFERROR(IF(AND(REGEXMATCH(SUBSTITUTE(TRIM(F1149)," ",""),"^-?\d+(\.\d+)?,-?\d+(\.\d+)?$"),VALUE(REGEXEXTRACT(SUBSTITUTE(TRIM(F1149)," ",""),"^-?\d+(\.\d+)?"))&gt;=-90,VALUE(REGEXEXTRACT(SUBSTITUTE(TRIM(F1149)," ",""),"^-?\d+(\.\d+)?"))&lt;=90,VALUE(REGEXEXTRACT(SUBSTITUTE(TRIM(F1149)," ",""),"-?\d+(\.\d+)?$"))&gt;=-180,VALUE(REGEXEXTRACT(SUBSTITUTE(TRIM(F1149)," ",""),"-?\d+(\.\d+)?$"))&lt;=180),"OK","REVISAR"),"REVISAR"),"")</f>
        <v/>
      </c>
      <c r="O1149">
        <f>IF(A1149&lt;&gt;"","https://direcciones507.github.io/direcciones507/panel.html?codigo="&amp;A1149&amp;"&amp;nombre="&amp;ENCODEURL(B1149)&amp;"&amp;telefono="&amp;SUBSTITUTE(C1149,"-","")&amp;"&amp;referencia="&amp;ENCODEURL(E1149)&amp;"&amp;lat="&amp;IZQUIERDA(SUBSTITUTE(F1149," ",""),ENCONTRAR(",",SUBSTITUTE(F1149," ",""))-1)&amp;"&amp;lng="&amp;DERECHA(SUBSTITUTE(F1149," ",""),LARGO(SUBSTITUTE(F1149," ",""))-ENCONTRAR(",",SUBSTITUTE(F1149," ",""))),"")</f>
        <v/>
      </c>
    </row>
    <row r="1150" ht="15.75" customHeight="1" s="10">
      <c r="A1150" s="8">
        <f>CONCAT("AD507-",TEXT(ROW()-2,"0000"))</f>
        <v/>
      </c>
      <c r="C1150" s="8" t="n"/>
      <c r="F1150" s="8" t="n"/>
      <c r="G1150" s="8">
        <f>IF(F1150&lt;&gt;"",HYPERLINK("https://www.google.com/maps/search/?api=1&amp;query="&amp;SUBSTITUTE(F1150," ",""),"🗺 Google Maps"),"")</f>
        <v/>
      </c>
      <c r="H1150" s="8">
        <f>IF(F1150&lt;&gt;"",HYPERLINK("https://waze.com/ul?ll="&amp;SUBSTITUTE(F1150," ","")&amp;"&amp;navigate=yes","🚗 Waze"),"")</f>
        <v/>
      </c>
      <c r="I1150" s="8">
        <f>IF(F1150&lt;&gt;"",HYPERLINK("https://m.uber.com/ul/?action=setPickup&amp;pickup=my_location&amp;dropoff[latitude]="&amp;LEFT(SUBSTITUTE(F1150," ",""),FIND(",",SUBSTITUTE(F1150," ",""))-1)&amp;"&amp;dropoff[longitude]="&amp;MID(SUBSTITUTE(F1150," ",""),FIND(",",SUBSTITUTE(F1150," ",""))+1,99),"🚕 Uber"),"")</f>
        <v/>
      </c>
      <c r="J1150" s="8">
        <f>IF(F1150&lt;&gt;"","https://api.qrserver.com/v1/create-qr-code/?size=200x200&amp;data="&amp;ENCODEURL("https://www.google.com/maps/search/?api=1&amp;query="&amp;SUBSTITUTE(F1150," ","")),"")</f>
        <v/>
      </c>
      <c r="K1150" s="8">
        <f>IF(C1150&lt;&gt;"",HYPERLINK("https://wa.me/507"&amp;REGEXREPLACE(C1150,"[^0-9]","")&amp;"?text="&amp;ENCODEURL("Ya llegue. Codigo: "&amp;A1150&amp;". Ubicacion: "&amp;"https://www.google.com/maps/search/?api=1&amp;query="&amp;SUBSTITUTE(F1150," ","")),"📲 Avisar al cliente"),"")</f>
        <v/>
      </c>
      <c r="L1150" s="8">
        <f>IF(C1150&lt;&gt;"","https://api.qrserver.com/v1/create-qr-code/?size=200x200&amp;data="&amp;ENCODEURL("https://wa.me/507"&amp;REGEXREPLACE(C1150,"[^0-9]","")&amp;"?text="&amp;ENCODEURL("Ya llegue. Codigo: "&amp;A1150&amp;". Ubicacion: "&amp;"https://www.google.com/maps/search/?api=1&amp;query="&amp;SUBSTITUTE(F1150," ",""))),"")</f>
        <v/>
      </c>
      <c r="M1150" s="8">
        <f>IF(B1150&lt;&gt;"",TODAY(),"")</f>
        <v/>
      </c>
      <c r="N1150" s="8">
        <f>IF(F1150&lt;&gt;"",IFERROR(IF(AND(REGEXMATCH(SUBSTITUTE(TRIM(F1150)," ",""),"^-?\d+(\.\d+)?,-?\d+(\.\d+)?$"),VALUE(REGEXEXTRACT(SUBSTITUTE(TRIM(F1150)," ",""),"^-?\d+(\.\d+)?"))&gt;=-90,VALUE(REGEXEXTRACT(SUBSTITUTE(TRIM(F1150)," ",""),"^-?\d+(\.\d+)?"))&lt;=90,VALUE(REGEXEXTRACT(SUBSTITUTE(TRIM(F1150)," ",""),"-?\d+(\.\d+)?$"))&gt;=-180,VALUE(REGEXEXTRACT(SUBSTITUTE(TRIM(F1150)," ",""),"-?\d+(\.\d+)?$"))&lt;=180),"OK","REVISAR"),"REVISAR"),"")</f>
        <v/>
      </c>
      <c r="O1150">
        <f>IF(A1150&lt;&gt;"","https://direcciones507.github.io/direcciones507/panel.html?codigo="&amp;A1150&amp;"&amp;nombre="&amp;ENCODEURL(B1150)&amp;"&amp;telefono="&amp;SUBSTITUTE(C1150,"-","")&amp;"&amp;referencia="&amp;ENCODEURL(E1150)&amp;"&amp;lat="&amp;IZQUIERDA(SUBSTITUTE(F1150," ",""),ENCONTRAR(",",SUBSTITUTE(F1150," ",""))-1)&amp;"&amp;lng="&amp;DERECHA(SUBSTITUTE(F1150," ",""),LARGO(SUBSTITUTE(F1150," ",""))-ENCONTRAR(",",SUBSTITUTE(F1150," ",""))),"")</f>
        <v/>
      </c>
    </row>
    <row r="1151" ht="15.75" customHeight="1" s="10">
      <c r="A1151" s="8">
        <f>CONCAT("AD507-",TEXT(ROW()-2,"0000"))</f>
        <v/>
      </c>
      <c r="C1151" s="8" t="n"/>
      <c r="F1151" s="8" t="n"/>
      <c r="G1151" s="8">
        <f>IF(F1151&lt;&gt;"",HYPERLINK("https://www.google.com/maps/search/?api=1&amp;query="&amp;SUBSTITUTE(F1151," ",""),"🗺 Google Maps"),"")</f>
        <v/>
      </c>
      <c r="H1151" s="8">
        <f>IF(F1151&lt;&gt;"",HYPERLINK("https://waze.com/ul?ll="&amp;SUBSTITUTE(F1151," ","")&amp;"&amp;navigate=yes","🚗 Waze"),"")</f>
        <v/>
      </c>
      <c r="I1151" s="8">
        <f>IF(F1151&lt;&gt;"",HYPERLINK("https://m.uber.com/ul/?action=setPickup&amp;pickup=my_location&amp;dropoff[latitude]="&amp;LEFT(SUBSTITUTE(F1151," ",""),FIND(",",SUBSTITUTE(F1151," ",""))-1)&amp;"&amp;dropoff[longitude]="&amp;MID(SUBSTITUTE(F1151," ",""),FIND(",",SUBSTITUTE(F1151," ",""))+1,99),"🚕 Uber"),"")</f>
        <v/>
      </c>
      <c r="J1151" s="8">
        <f>IF(F1151&lt;&gt;"","https://api.qrserver.com/v1/create-qr-code/?size=200x200&amp;data="&amp;ENCODEURL("https://www.google.com/maps/search/?api=1&amp;query="&amp;SUBSTITUTE(F1151," ","")),"")</f>
        <v/>
      </c>
      <c r="K1151" s="8">
        <f>IF(C1151&lt;&gt;"",HYPERLINK("https://wa.me/507"&amp;REGEXREPLACE(C1151,"[^0-9]","")&amp;"?text="&amp;ENCODEURL("Ya llegue. Codigo: "&amp;A1151&amp;". Ubicacion: "&amp;"https://www.google.com/maps/search/?api=1&amp;query="&amp;SUBSTITUTE(F1151," ","")),"📲 Avisar al cliente"),"")</f>
        <v/>
      </c>
      <c r="L1151" s="8">
        <f>IF(C1151&lt;&gt;"","https://api.qrserver.com/v1/create-qr-code/?size=200x200&amp;data="&amp;ENCODEURL("https://wa.me/507"&amp;REGEXREPLACE(C1151,"[^0-9]","")&amp;"?text="&amp;ENCODEURL("Ya llegue. Codigo: "&amp;A1151&amp;". Ubicacion: "&amp;"https://www.google.com/maps/search/?api=1&amp;query="&amp;SUBSTITUTE(F1151," ",""))),"")</f>
        <v/>
      </c>
      <c r="M1151" s="8">
        <f>IF(B1151&lt;&gt;"",TODAY(),"")</f>
        <v/>
      </c>
      <c r="N1151" s="8">
        <f>IF(F1151&lt;&gt;"",IFERROR(IF(AND(REGEXMATCH(SUBSTITUTE(TRIM(F1151)," ",""),"^-?\d+(\.\d+)?,-?\d+(\.\d+)?$"),VALUE(REGEXEXTRACT(SUBSTITUTE(TRIM(F1151)," ",""),"^-?\d+(\.\d+)?"))&gt;=-90,VALUE(REGEXEXTRACT(SUBSTITUTE(TRIM(F1151)," ",""),"^-?\d+(\.\d+)?"))&lt;=90,VALUE(REGEXEXTRACT(SUBSTITUTE(TRIM(F1151)," ",""),"-?\d+(\.\d+)?$"))&gt;=-180,VALUE(REGEXEXTRACT(SUBSTITUTE(TRIM(F1151)," ",""),"-?\d+(\.\d+)?$"))&lt;=180),"OK","REVISAR"),"REVISAR"),"")</f>
        <v/>
      </c>
      <c r="O1151">
        <f>IF(A1151&lt;&gt;"","https://direcciones507.github.io/direcciones507/panel.html?codigo="&amp;A1151&amp;"&amp;nombre="&amp;ENCODEURL(B1151)&amp;"&amp;telefono="&amp;SUBSTITUTE(C1151,"-","")&amp;"&amp;referencia="&amp;ENCODEURL(E1151)&amp;"&amp;lat="&amp;IZQUIERDA(SUBSTITUTE(F1151," ",""),ENCONTRAR(",",SUBSTITUTE(F1151," ",""))-1)&amp;"&amp;lng="&amp;DERECHA(SUBSTITUTE(F1151," ",""),LARGO(SUBSTITUTE(F1151," ",""))-ENCONTRAR(",",SUBSTITUTE(F1151," ",""))),"")</f>
        <v/>
      </c>
    </row>
    <row r="1152" ht="15.75" customHeight="1" s="10">
      <c r="A1152" s="8">
        <f>CONCAT("AD507-",TEXT(ROW()-2,"0000"))</f>
        <v/>
      </c>
      <c r="C1152" s="8" t="n"/>
      <c r="F1152" s="8" t="n"/>
      <c r="G1152" s="8">
        <f>IF(F1152&lt;&gt;"",HYPERLINK("https://www.google.com/maps/search/?api=1&amp;query="&amp;SUBSTITUTE(F1152," ",""),"🗺 Google Maps"),"")</f>
        <v/>
      </c>
      <c r="H1152" s="8">
        <f>IF(F1152&lt;&gt;"",HYPERLINK("https://waze.com/ul?ll="&amp;SUBSTITUTE(F1152," ","")&amp;"&amp;navigate=yes","🚗 Waze"),"")</f>
        <v/>
      </c>
      <c r="I1152" s="8">
        <f>IF(F1152&lt;&gt;"",HYPERLINK("https://m.uber.com/ul/?action=setPickup&amp;pickup=my_location&amp;dropoff[latitude]="&amp;LEFT(SUBSTITUTE(F1152," ",""),FIND(",",SUBSTITUTE(F1152," ",""))-1)&amp;"&amp;dropoff[longitude]="&amp;MID(SUBSTITUTE(F1152," ",""),FIND(",",SUBSTITUTE(F1152," ",""))+1,99),"🚕 Uber"),"")</f>
        <v/>
      </c>
      <c r="J1152" s="8">
        <f>IF(F1152&lt;&gt;"","https://api.qrserver.com/v1/create-qr-code/?size=200x200&amp;data="&amp;ENCODEURL("https://www.google.com/maps/search/?api=1&amp;query="&amp;SUBSTITUTE(F1152," ","")),"")</f>
        <v/>
      </c>
      <c r="K1152" s="8">
        <f>IF(C1152&lt;&gt;"",HYPERLINK("https://wa.me/507"&amp;REGEXREPLACE(C1152,"[^0-9]","")&amp;"?text="&amp;ENCODEURL("Ya llegue. Codigo: "&amp;A1152&amp;". Ubicacion: "&amp;"https://www.google.com/maps/search/?api=1&amp;query="&amp;SUBSTITUTE(F1152," ","")),"📲 Avisar al cliente"),"")</f>
        <v/>
      </c>
      <c r="L1152" s="8">
        <f>IF(C1152&lt;&gt;"","https://api.qrserver.com/v1/create-qr-code/?size=200x200&amp;data="&amp;ENCODEURL("https://wa.me/507"&amp;REGEXREPLACE(C1152,"[^0-9]","")&amp;"?text="&amp;ENCODEURL("Ya llegue. Codigo: "&amp;A1152&amp;". Ubicacion: "&amp;"https://www.google.com/maps/search/?api=1&amp;query="&amp;SUBSTITUTE(F1152," ",""))),"")</f>
        <v/>
      </c>
      <c r="M1152" s="8">
        <f>IF(B1152&lt;&gt;"",TODAY(),"")</f>
        <v/>
      </c>
      <c r="N1152" s="8">
        <f>IF(F1152&lt;&gt;"",IFERROR(IF(AND(REGEXMATCH(SUBSTITUTE(TRIM(F1152)," ",""),"^-?\d+(\.\d+)?,-?\d+(\.\d+)?$"),VALUE(REGEXEXTRACT(SUBSTITUTE(TRIM(F1152)," ",""),"^-?\d+(\.\d+)?"))&gt;=-90,VALUE(REGEXEXTRACT(SUBSTITUTE(TRIM(F1152)," ",""),"^-?\d+(\.\d+)?"))&lt;=90,VALUE(REGEXEXTRACT(SUBSTITUTE(TRIM(F1152)," ",""),"-?\d+(\.\d+)?$"))&gt;=-180,VALUE(REGEXEXTRACT(SUBSTITUTE(TRIM(F1152)," ",""),"-?\d+(\.\d+)?$"))&lt;=180),"OK","REVISAR"),"REVISAR"),"")</f>
        <v/>
      </c>
      <c r="O1152">
        <f>IF(A1152&lt;&gt;"","https://direcciones507.github.io/direcciones507/panel.html?codigo="&amp;A1152&amp;"&amp;nombre="&amp;ENCODEURL(B1152)&amp;"&amp;telefono="&amp;SUBSTITUTE(C1152,"-","")&amp;"&amp;referencia="&amp;ENCODEURL(E1152)&amp;"&amp;lat="&amp;IZQUIERDA(SUBSTITUTE(F1152," ",""),ENCONTRAR(",",SUBSTITUTE(F1152," ",""))-1)&amp;"&amp;lng="&amp;DERECHA(SUBSTITUTE(F1152," ",""),LARGO(SUBSTITUTE(F1152," ",""))-ENCONTRAR(",",SUBSTITUTE(F1152," ",""))),"")</f>
        <v/>
      </c>
    </row>
    <row r="1153" ht="15.75" customHeight="1" s="10">
      <c r="A1153" s="8">
        <f>CONCAT("AD507-",TEXT(ROW()-2,"0000"))</f>
        <v/>
      </c>
      <c r="C1153" s="8" t="n"/>
      <c r="F1153" s="8" t="n"/>
      <c r="G1153" s="8">
        <f>IF(F1153&lt;&gt;"",HYPERLINK("https://www.google.com/maps/search/?api=1&amp;query="&amp;SUBSTITUTE(F1153," ",""),"🗺 Google Maps"),"")</f>
        <v/>
      </c>
      <c r="H1153" s="8">
        <f>IF(F1153&lt;&gt;"",HYPERLINK("https://waze.com/ul?ll="&amp;SUBSTITUTE(F1153," ","")&amp;"&amp;navigate=yes","🚗 Waze"),"")</f>
        <v/>
      </c>
      <c r="I1153" s="8">
        <f>IF(F1153&lt;&gt;"",HYPERLINK("https://m.uber.com/ul/?action=setPickup&amp;pickup=my_location&amp;dropoff[latitude]="&amp;LEFT(SUBSTITUTE(F1153," ",""),FIND(",",SUBSTITUTE(F1153," ",""))-1)&amp;"&amp;dropoff[longitude]="&amp;MID(SUBSTITUTE(F1153," ",""),FIND(",",SUBSTITUTE(F1153," ",""))+1,99),"🚕 Uber"),"")</f>
        <v/>
      </c>
      <c r="J1153" s="8">
        <f>IF(F1153&lt;&gt;"","https://api.qrserver.com/v1/create-qr-code/?size=200x200&amp;data="&amp;ENCODEURL("https://www.google.com/maps/search/?api=1&amp;query="&amp;SUBSTITUTE(F1153," ","")),"")</f>
        <v/>
      </c>
      <c r="K1153" s="8">
        <f>IF(C1153&lt;&gt;"",HYPERLINK("https://wa.me/507"&amp;REGEXREPLACE(C1153,"[^0-9]","")&amp;"?text="&amp;ENCODEURL("Ya llegue. Codigo: "&amp;A1153&amp;". Ubicacion: "&amp;"https://www.google.com/maps/search/?api=1&amp;query="&amp;SUBSTITUTE(F1153," ","")),"📲 Avisar al cliente"),"")</f>
        <v/>
      </c>
      <c r="L1153" s="8">
        <f>IF(C1153&lt;&gt;"","https://api.qrserver.com/v1/create-qr-code/?size=200x200&amp;data="&amp;ENCODEURL("https://wa.me/507"&amp;REGEXREPLACE(C1153,"[^0-9]","")&amp;"?text="&amp;ENCODEURL("Ya llegue. Codigo: "&amp;A1153&amp;". Ubicacion: "&amp;"https://www.google.com/maps/search/?api=1&amp;query="&amp;SUBSTITUTE(F1153," ",""))),"")</f>
        <v/>
      </c>
      <c r="M1153" s="8">
        <f>IF(B1153&lt;&gt;"",TODAY(),"")</f>
        <v/>
      </c>
      <c r="N1153" s="8">
        <f>IF(F1153&lt;&gt;"",IFERROR(IF(AND(REGEXMATCH(SUBSTITUTE(TRIM(F1153)," ",""),"^-?\d+(\.\d+)?,-?\d+(\.\d+)?$"),VALUE(REGEXEXTRACT(SUBSTITUTE(TRIM(F1153)," ",""),"^-?\d+(\.\d+)?"))&gt;=-90,VALUE(REGEXEXTRACT(SUBSTITUTE(TRIM(F1153)," ",""),"^-?\d+(\.\d+)?"))&lt;=90,VALUE(REGEXEXTRACT(SUBSTITUTE(TRIM(F1153)," ",""),"-?\d+(\.\d+)?$"))&gt;=-180,VALUE(REGEXEXTRACT(SUBSTITUTE(TRIM(F1153)," ",""),"-?\d+(\.\d+)?$"))&lt;=180),"OK","REVISAR"),"REVISAR"),"")</f>
        <v/>
      </c>
      <c r="O1153">
        <f>IF(A1153&lt;&gt;"","https://direcciones507.github.io/direcciones507/panel.html?codigo="&amp;A1153&amp;"&amp;nombre="&amp;ENCODEURL(B1153)&amp;"&amp;telefono="&amp;SUBSTITUTE(C1153,"-","")&amp;"&amp;referencia="&amp;ENCODEURL(E1153)&amp;"&amp;lat="&amp;IZQUIERDA(SUBSTITUTE(F1153," ",""),ENCONTRAR(",",SUBSTITUTE(F1153," ",""))-1)&amp;"&amp;lng="&amp;DERECHA(SUBSTITUTE(F1153," ",""),LARGO(SUBSTITUTE(F1153," ",""))-ENCONTRAR(",",SUBSTITUTE(F1153," ",""))),"")</f>
        <v/>
      </c>
    </row>
    <row r="1154" ht="15.75" customHeight="1" s="10">
      <c r="A1154" s="8">
        <f>CONCAT("AD507-",TEXT(ROW()-2,"0000"))</f>
        <v/>
      </c>
      <c r="C1154" s="8" t="n"/>
      <c r="F1154" s="8" t="n"/>
      <c r="G1154" s="8">
        <f>IF(F1154&lt;&gt;"",HYPERLINK("https://www.google.com/maps/search/?api=1&amp;query="&amp;SUBSTITUTE(F1154," ",""),"🗺 Google Maps"),"")</f>
        <v/>
      </c>
      <c r="H1154" s="8">
        <f>IF(F1154&lt;&gt;"",HYPERLINK("https://waze.com/ul?ll="&amp;SUBSTITUTE(F1154," ","")&amp;"&amp;navigate=yes","🚗 Waze"),"")</f>
        <v/>
      </c>
      <c r="I1154" s="8">
        <f>IF(F1154&lt;&gt;"",HYPERLINK("https://m.uber.com/ul/?action=setPickup&amp;pickup=my_location&amp;dropoff[latitude]="&amp;LEFT(SUBSTITUTE(F1154," ",""),FIND(",",SUBSTITUTE(F1154," ",""))-1)&amp;"&amp;dropoff[longitude]="&amp;MID(SUBSTITUTE(F1154," ",""),FIND(",",SUBSTITUTE(F1154," ",""))+1,99),"🚕 Uber"),"")</f>
        <v/>
      </c>
      <c r="J1154" s="8">
        <f>IF(F1154&lt;&gt;"","https://api.qrserver.com/v1/create-qr-code/?size=200x200&amp;data="&amp;ENCODEURL("https://www.google.com/maps/search/?api=1&amp;query="&amp;SUBSTITUTE(F1154," ","")),"")</f>
        <v/>
      </c>
      <c r="K1154" s="8">
        <f>IF(C1154&lt;&gt;"",HYPERLINK("https://wa.me/507"&amp;REGEXREPLACE(C1154,"[^0-9]","")&amp;"?text="&amp;ENCODEURL("Ya llegue. Codigo: "&amp;A1154&amp;". Ubicacion: "&amp;"https://www.google.com/maps/search/?api=1&amp;query="&amp;SUBSTITUTE(F1154," ","")),"📲 Avisar al cliente"),"")</f>
        <v/>
      </c>
      <c r="L1154" s="8">
        <f>IF(C1154&lt;&gt;"","https://api.qrserver.com/v1/create-qr-code/?size=200x200&amp;data="&amp;ENCODEURL("https://wa.me/507"&amp;REGEXREPLACE(C1154,"[^0-9]","")&amp;"?text="&amp;ENCODEURL("Ya llegue. Codigo: "&amp;A1154&amp;". Ubicacion: "&amp;"https://www.google.com/maps/search/?api=1&amp;query="&amp;SUBSTITUTE(F1154," ",""))),"")</f>
        <v/>
      </c>
      <c r="M1154" s="8">
        <f>IF(B1154&lt;&gt;"",TODAY(),"")</f>
        <v/>
      </c>
      <c r="N1154" s="8">
        <f>IF(F1154&lt;&gt;"",IFERROR(IF(AND(REGEXMATCH(SUBSTITUTE(TRIM(F1154)," ",""),"^-?\d+(\.\d+)?,-?\d+(\.\d+)?$"),VALUE(REGEXEXTRACT(SUBSTITUTE(TRIM(F1154)," ",""),"^-?\d+(\.\d+)?"))&gt;=-90,VALUE(REGEXEXTRACT(SUBSTITUTE(TRIM(F1154)," ",""),"^-?\d+(\.\d+)?"))&lt;=90,VALUE(REGEXEXTRACT(SUBSTITUTE(TRIM(F1154)," ",""),"-?\d+(\.\d+)?$"))&gt;=-180,VALUE(REGEXEXTRACT(SUBSTITUTE(TRIM(F1154)," ",""),"-?\d+(\.\d+)?$"))&lt;=180),"OK","REVISAR"),"REVISAR"),"")</f>
        <v/>
      </c>
      <c r="O1154">
        <f>IF(A1154&lt;&gt;"","https://direcciones507.github.io/direcciones507/panel.html?codigo="&amp;A1154&amp;"&amp;nombre="&amp;ENCODEURL(B1154)&amp;"&amp;telefono="&amp;SUBSTITUTE(C1154,"-","")&amp;"&amp;referencia="&amp;ENCODEURL(E1154)&amp;"&amp;lat="&amp;IZQUIERDA(SUBSTITUTE(F1154," ",""),ENCONTRAR(",",SUBSTITUTE(F1154," ",""))-1)&amp;"&amp;lng="&amp;DERECHA(SUBSTITUTE(F1154," ",""),LARGO(SUBSTITUTE(F1154," ",""))-ENCONTRAR(",",SUBSTITUTE(F1154," ",""))),"")</f>
        <v/>
      </c>
    </row>
    <row r="1155" ht="15.75" customHeight="1" s="10">
      <c r="A1155" s="8">
        <f>CONCAT("AD507-",TEXT(ROW()-2,"0000"))</f>
        <v/>
      </c>
      <c r="C1155" s="8" t="n"/>
      <c r="F1155" s="8" t="n"/>
      <c r="G1155" s="8">
        <f>IF(F1155&lt;&gt;"",HYPERLINK("https://www.google.com/maps/search/?api=1&amp;query="&amp;SUBSTITUTE(F1155," ",""),"🗺 Google Maps"),"")</f>
        <v/>
      </c>
      <c r="H1155" s="8">
        <f>IF(F1155&lt;&gt;"",HYPERLINK("https://waze.com/ul?ll="&amp;SUBSTITUTE(F1155," ","")&amp;"&amp;navigate=yes","🚗 Waze"),"")</f>
        <v/>
      </c>
      <c r="I1155" s="8">
        <f>IF(F1155&lt;&gt;"",HYPERLINK("https://m.uber.com/ul/?action=setPickup&amp;pickup=my_location&amp;dropoff[latitude]="&amp;LEFT(SUBSTITUTE(F1155," ",""),FIND(",",SUBSTITUTE(F1155," ",""))-1)&amp;"&amp;dropoff[longitude]="&amp;MID(SUBSTITUTE(F1155," ",""),FIND(",",SUBSTITUTE(F1155," ",""))+1,99),"🚕 Uber"),"")</f>
        <v/>
      </c>
      <c r="J1155" s="8">
        <f>IF(F1155&lt;&gt;"","https://api.qrserver.com/v1/create-qr-code/?size=200x200&amp;data="&amp;ENCODEURL("https://www.google.com/maps/search/?api=1&amp;query="&amp;SUBSTITUTE(F1155," ","")),"")</f>
        <v/>
      </c>
      <c r="K1155" s="8">
        <f>IF(C1155&lt;&gt;"",HYPERLINK("https://wa.me/507"&amp;REGEXREPLACE(C1155,"[^0-9]","")&amp;"?text="&amp;ENCODEURL("Ya llegue. Codigo: "&amp;A1155&amp;". Ubicacion: "&amp;"https://www.google.com/maps/search/?api=1&amp;query="&amp;SUBSTITUTE(F1155," ","")),"📲 Avisar al cliente"),"")</f>
        <v/>
      </c>
      <c r="L1155" s="8">
        <f>IF(C1155&lt;&gt;"","https://api.qrserver.com/v1/create-qr-code/?size=200x200&amp;data="&amp;ENCODEURL("https://wa.me/507"&amp;REGEXREPLACE(C1155,"[^0-9]","")&amp;"?text="&amp;ENCODEURL("Ya llegue. Codigo: "&amp;A1155&amp;". Ubicacion: "&amp;"https://www.google.com/maps/search/?api=1&amp;query="&amp;SUBSTITUTE(F1155," ",""))),"")</f>
        <v/>
      </c>
      <c r="M1155" s="8">
        <f>IF(B1155&lt;&gt;"",TODAY(),"")</f>
        <v/>
      </c>
      <c r="N1155" s="8">
        <f>IF(F1155&lt;&gt;"",IFERROR(IF(AND(REGEXMATCH(SUBSTITUTE(TRIM(F1155)," ",""),"^-?\d+(\.\d+)?,-?\d+(\.\d+)?$"),VALUE(REGEXEXTRACT(SUBSTITUTE(TRIM(F1155)," ",""),"^-?\d+(\.\d+)?"))&gt;=-90,VALUE(REGEXEXTRACT(SUBSTITUTE(TRIM(F1155)," ",""),"^-?\d+(\.\d+)?"))&lt;=90,VALUE(REGEXEXTRACT(SUBSTITUTE(TRIM(F1155)," ",""),"-?\d+(\.\d+)?$"))&gt;=-180,VALUE(REGEXEXTRACT(SUBSTITUTE(TRIM(F1155)," ",""),"-?\d+(\.\d+)?$"))&lt;=180),"OK","REVISAR"),"REVISAR"),"")</f>
        <v/>
      </c>
      <c r="O1155">
        <f>IF(A1155&lt;&gt;"","https://direcciones507.github.io/direcciones507/panel.html?codigo="&amp;A1155&amp;"&amp;nombre="&amp;ENCODEURL(B1155)&amp;"&amp;telefono="&amp;SUBSTITUTE(C1155,"-","")&amp;"&amp;referencia="&amp;ENCODEURL(E1155)&amp;"&amp;lat="&amp;IZQUIERDA(SUBSTITUTE(F1155," ",""),ENCONTRAR(",",SUBSTITUTE(F1155," ",""))-1)&amp;"&amp;lng="&amp;DERECHA(SUBSTITUTE(F1155," ",""),LARGO(SUBSTITUTE(F1155," ",""))-ENCONTRAR(",",SUBSTITUTE(F1155," ",""))),"")</f>
        <v/>
      </c>
    </row>
    <row r="1156" ht="15.75" customHeight="1" s="10">
      <c r="A1156" s="8">
        <f>CONCAT("AD507-",TEXT(ROW()-2,"0000"))</f>
        <v/>
      </c>
      <c r="C1156" s="8" t="n"/>
      <c r="F1156" s="8" t="n"/>
      <c r="G1156" s="8">
        <f>IF(F1156&lt;&gt;"",HYPERLINK("https://www.google.com/maps/search/?api=1&amp;query="&amp;SUBSTITUTE(F1156," ",""),"🗺 Google Maps"),"")</f>
        <v/>
      </c>
      <c r="H1156" s="8">
        <f>IF(F1156&lt;&gt;"",HYPERLINK("https://waze.com/ul?ll="&amp;SUBSTITUTE(F1156," ","")&amp;"&amp;navigate=yes","🚗 Waze"),"")</f>
        <v/>
      </c>
      <c r="I1156" s="8">
        <f>IF(F1156&lt;&gt;"",HYPERLINK("https://m.uber.com/ul/?action=setPickup&amp;pickup=my_location&amp;dropoff[latitude]="&amp;LEFT(SUBSTITUTE(F1156," ",""),FIND(",",SUBSTITUTE(F1156," ",""))-1)&amp;"&amp;dropoff[longitude]="&amp;MID(SUBSTITUTE(F1156," ",""),FIND(",",SUBSTITUTE(F1156," ",""))+1,99),"🚕 Uber"),"")</f>
        <v/>
      </c>
      <c r="J1156" s="8">
        <f>IF(F1156&lt;&gt;"","https://api.qrserver.com/v1/create-qr-code/?size=200x200&amp;data="&amp;ENCODEURL("https://www.google.com/maps/search/?api=1&amp;query="&amp;SUBSTITUTE(F1156," ","")),"")</f>
        <v/>
      </c>
      <c r="K1156" s="8">
        <f>IF(C1156&lt;&gt;"",HYPERLINK("https://wa.me/507"&amp;REGEXREPLACE(C1156,"[^0-9]","")&amp;"?text="&amp;ENCODEURL("Ya llegue. Codigo: "&amp;A1156&amp;". Ubicacion: "&amp;"https://www.google.com/maps/search/?api=1&amp;query="&amp;SUBSTITUTE(F1156," ","")),"📲 Avisar al cliente"),"")</f>
        <v/>
      </c>
      <c r="L1156" s="8">
        <f>IF(C1156&lt;&gt;"","https://api.qrserver.com/v1/create-qr-code/?size=200x200&amp;data="&amp;ENCODEURL("https://wa.me/507"&amp;REGEXREPLACE(C1156,"[^0-9]","")&amp;"?text="&amp;ENCODEURL("Ya llegue. Codigo: "&amp;A1156&amp;". Ubicacion: "&amp;"https://www.google.com/maps/search/?api=1&amp;query="&amp;SUBSTITUTE(F1156," ",""))),"")</f>
        <v/>
      </c>
      <c r="M1156" s="8">
        <f>IF(B1156&lt;&gt;"",TODAY(),"")</f>
        <v/>
      </c>
      <c r="N1156" s="8">
        <f>IF(F1156&lt;&gt;"",IFERROR(IF(AND(REGEXMATCH(SUBSTITUTE(TRIM(F1156)," ",""),"^-?\d+(\.\d+)?,-?\d+(\.\d+)?$"),VALUE(REGEXEXTRACT(SUBSTITUTE(TRIM(F1156)," ",""),"^-?\d+(\.\d+)?"))&gt;=-90,VALUE(REGEXEXTRACT(SUBSTITUTE(TRIM(F1156)," ",""),"^-?\d+(\.\d+)?"))&lt;=90,VALUE(REGEXEXTRACT(SUBSTITUTE(TRIM(F1156)," ",""),"-?\d+(\.\d+)?$"))&gt;=-180,VALUE(REGEXEXTRACT(SUBSTITUTE(TRIM(F1156)," ",""),"-?\d+(\.\d+)?$"))&lt;=180),"OK","REVISAR"),"REVISAR"),"")</f>
        <v/>
      </c>
      <c r="O1156">
        <f>IF(A1156&lt;&gt;"","https://direcciones507.github.io/direcciones507/panel.html?codigo="&amp;A1156&amp;"&amp;nombre="&amp;ENCODEURL(B1156)&amp;"&amp;telefono="&amp;SUBSTITUTE(C1156,"-","")&amp;"&amp;referencia="&amp;ENCODEURL(E1156)&amp;"&amp;lat="&amp;IZQUIERDA(SUBSTITUTE(F1156," ",""),ENCONTRAR(",",SUBSTITUTE(F1156," ",""))-1)&amp;"&amp;lng="&amp;DERECHA(SUBSTITUTE(F1156," ",""),LARGO(SUBSTITUTE(F1156," ",""))-ENCONTRAR(",",SUBSTITUTE(F1156," ",""))),"")</f>
        <v/>
      </c>
    </row>
    <row r="1157" ht="15.75" customHeight="1" s="10">
      <c r="A1157" s="8">
        <f>CONCAT("AD507-",TEXT(ROW()-2,"0000"))</f>
        <v/>
      </c>
      <c r="C1157" s="8" t="n"/>
      <c r="F1157" s="8" t="n"/>
      <c r="G1157" s="8">
        <f>IF(F1157&lt;&gt;"",HYPERLINK("https://www.google.com/maps/search/?api=1&amp;query="&amp;SUBSTITUTE(F1157," ",""),"🗺 Google Maps"),"")</f>
        <v/>
      </c>
      <c r="H1157" s="8">
        <f>IF(F1157&lt;&gt;"",HYPERLINK("https://waze.com/ul?ll="&amp;SUBSTITUTE(F1157," ","")&amp;"&amp;navigate=yes","🚗 Waze"),"")</f>
        <v/>
      </c>
      <c r="I1157" s="8">
        <f>IF(F1157&lt;&gt;"",HYPERLINK("https://m.uber.com/ul/?action=setPickup&amp;pickup=my_location&amp;dropoff[latitude]="&amp;LEFT(SUBSTITUTE(F1157," ",""),FIND(",",SUBSTITUTE(F1157," ",""))-1)&amp;"&amp;dropoff[longitude]="&amp;MID(SUBSTITUTE(F1157," ",""),FIND(",",SUBSTITUTE(F1157," ",""))+1,99),"🚕 Uber"),"")</f>
        <v/>
      </c>
      <c r="J1157" s="8">
        <f>IF(F1157&lt;&gt;"","https://api.qrserver.com/v1/create-qr-code/?size=200x200&amp;data="&amp;ENCODEURL("https://www.google.com/maps/search/?api=1&amp;query="&amp;SUBSTITUTE(F1157," ","")),"")</f>
        <v/>
      </c>
      <c r="K1157" s="8">
        <f>IF(C1157&lt;&gt;"",HYPERLINK("https://wa.me/507"&amp;REGEXREPLACE(C1157,"[^0-9]","")&amp;"?text="&amp;ENCODEURL("Ya llegue. Codigo: "&amp;A1157&amp;". Ubicacion: "&amp;"https://www.google.com/maps/search/?api=1&amp;query="&amp;SUBSTITUTE(F1157," ","")),"📲 Avisar al cliente"),"")</f>
        <v/>
      </c>
      <c r="L1157" s="8">
        <f>IF(C1157&lt;&gt;"","https://api.qrserver.com/v1/create-qr-code/?size=200x200&amp;data="&amp;ENCODEURL("https://wa.me/507"&amp;REGEXREPLACE(C1157,"[^0-9]","")&amp;"?text="&amp;ENCODEURL("Ya llegue. Codigo: "&amp;A1157&amp;". Ubicacion: "&amp;"https://www.google.com/maps/search/?api=1&amp;query="&amp;SUBSTITUTE(F1157," ",""))),"")</f>
        <v/>
      </c>
      <c r="M1157" s="8">
        <f>IF(B1157&lt;&gt;"",TODAY(),"")</f>
        <v/>
      </c>
      <c r="N1157" s="8">
        <f>IF(F1157&lt;&gt;"",IFERROR(IF(AND(REGEXMATCH(SUBSTITUTE(TRIM(F1157)," ",""),"^-?\d+(\.\d+)?,-?\d+(\.\d+)?$"),VALUE(REGEXEXTRACT(SUBSTITUTE(TRIM(F1157)," ",""),"^-?\d+(\.\d+)?"))&gt;=-90,VALUE(REGEXEXTRACT(SUBSTITUTE(TRIM(F1157)," ",""),"^-?\d+(\.\d+)?"))&lt;=90,VALUE(REGEXEXTRACT(SUBSTITUTE(TRIM(F1157)," ",""),"-?\d+(\.\d+)?$"))&gt;=-180,VALUE(REGEXEXTRACT(SUBSTITUTE(TRIM(F1157)," ",""),"-?\d+(\.\d+)?$"))&lt;=180),"OK","REVISAR"),"REVISAR"),"")</f>
        <v/>
      </c>
      <c r="O1157">
        <f>IF(A1157&lt;&gt;"","https://direcciones507.github.io/direcciones507/panel.html?codigo="&amp;A1157&amp;"&amp;nombre="&amp;ENCODEURL(B1157)&amp;"&amp;telefono="&amp;SUBSTITUTE(C1157,"-","")&amp;"&amp;referencia="&amp;ENCODEURL(E1157)&amp;"&amp;lat="&amp;IZQUIERDA(SUBSTITUTE(F1157," ",""),ENCONTRAR(",",SUBSTITUTE(F1157," ",""))-1)&amp;"&amp;lng="&amp;DERECHA(SUBSTITUTE(F1157," ",""),LARGO(SUBSTITUTE(F1157," ",""))-ENCONTRAR(",",SUBSTITUTE(F1157," ",""))),"")</f>
        <v/>
      </c>
    </row>
    <row r="1158" ht="15.75" customHeight="1" s="10">
      <c r="A1158" s="8">
        <f>CONCAT("AD507-",TEXT(ROW()-2,"0000"))</f>
        <v/>
      </c>
      <c r="C1158" s="8" t="n"/>
      <c r="F1158" s="8" t="n"/>
      <c r="G1158" s="8">
        <f>IF(F1158&lt;&gt;"",HYPERLINK("https://www.google.com/maps/search/?api=1&amp;query="&amp;SUBSTITUTE(F1158," ",""),"🗺 Google Maps"),"")</f>
        <v/>
      </c>
      <c r="H1158" s="8">
        <f>IF(F1158&lt;&gt;"",HYPERLINK("https://waze.com/ul?ll="&amp;SUBSTITUTE(F1158," ","")&amp;"&amp;navigate=yes","🚗 Waze"),"")</f>
        <v/>
      </c>
      <c r="I1158" s="8">
        <f>IF(F1158&lt;&gt;"",HYPERLINK("https://m.uber.com/ul/?action=setPickup&amp;pickup=my_location&amp;dropoff[latitude]="&amp;LEFT(SUBSTITUTE(F1158," ",""),FIND(",",SUBSTITUTE(F1158," ",""))-1)&amp;"&amp;dropoff[longitude]="&amp;MID(SUBSTITUTE(F1158," ",""),FIND(",",SUBSTITUTE(F1158," ",""))+1,99),"🚕 Uber"),"")</f>
        <v/>
      </c>
      <c r="J1158" s="8">
        <f>IF(F1158&lt;&gt;"","https://api.qrserver.com/v1/create-qr-code/?size=200x200&amp;data="&amp;ENCODEURL("https://www.google.com/maps/search/?api=1&amp;query="&amp;SUBSTITUTE(F1158," ","")),"")</f>
        <v/>
      </c>
      <c r="K1158" s="8">
        <f>IF(C1158&lt;&gt;"",HYPERLINK("https://wa.me/507"&amp;REGEXREPLACE(C1158,"[^0-9]","")&amp;"?text="&amp;ENCODEURL("Ya llegue. Codigo: "&amp;A1158&amp;". Ubicacion: "&amp;"https://www.google.com/maps/search/?api=1&amp;query="&amp;SUBSTITUTE(F1158," ","")),"📲 Avisar al cliente"),"")</f>
        <v/>
      </c>
      <c r="L1158" s="8">
        <f>IF(C1158&lt;&gt;"","https://api.qrserver.com/v1/create-qr-code/?size=200x200&amp;data="&amp;ENCODEURL("https://wa.me/507"&amp;REGEXREPLACE(C1158,"[^0-9]","")&amp;"?text="&amp;ENCODEURL("Ya llegue. Codigo: "&amp;A1158&amp;". Ubicacion: "&amp;"https://www.google.com/maps/search/?api=1&amp;query="&amp;SUBSTITUTE(F1158," ",""))),"")</f>
        <v/>
      </c>
      <c r="M1158" s="8">
        <f>IF(B1158&lt;&gt;"",TODAY(),"")</f>
        <v/>
      </c>
      <c r="N1158" s="8">
        <f>IF(F1158&lt;&gt;"",IFERROR(IF(AND(REGEXMATCH(SUBSTITUTE(TRIM(F1158)," ",""),"^-?\d+(\.\d+)?,-?\d+(\.\d+)?$"),VALUE(REGEXEXTRACT(SUBSTITUTE(TRIM(F1158)," ",""),"^-?\d+(\.\d+)?"))&gt;=-90,VALUE(REGEXEXTRACT(SUBSTITUTE(TRIM(F1158)," ",""),"^-?\d+(\.\d+)?"))&lt;=90,VALUE(REGEXEXTRACT(SUBSTITUTE(TRIM(F1158)," ",""),"-?\d+(\.\d+)?$"))&gt;=-180,VALUE(REGEXEXTRACT(SUBSTITUTE(TRIM(F1158)," ",""),"-?\d+(\.\d+)?$"))&lt;=180),"OK","REVISAR"),"REVISAR"),"")</f>
        <v/>
      </c>
      <c r="O1158">
        <f>IF(A1158&lt;&gt;"","https://direcciones507.github.io/direcciones507/panel.html?codigo="&amp;A1158&amp;"&amp;nombre="&amp;ENCODEURL(B1158)&amp;"&amp;telefono="&amp;SUBSTITUTE(C1158,"-","")&amp;"&amp;referencia="&amp;ENCODEURL(E1158)&amp;"&amp;lat="&amp;IZQUIERDA(SUBSTITUTE(F1158," ",""),ENCONTRAR(",",SUBSTITUTE(F1158," ",""))-1)&amp;"&amp;lng="&amp;DERECHA(SUBSTITUTE(F1158," ",""),LARGO(SUBSTITUTE(F1158," ",""))-ENCONTRAR(",",SUBSTITUTE(F1158," ",""))),"")</f>
        <v/>
      </c>
    </row>
    <row r="1159" ht="15.75" customHeight="1" s="10">
      <c r="A1159" s="8">
        <f>CONCAT("AD507-",TEXT(ROW()-2,"0000"))</f>
        <v/>
      </c>
      <c r="C1159" s="8" t="n"/>
      <c r="F1159" s="8" t="n"/>
      <c r="G1159" s="8">
        <f>IF(F1159&lt;&gt;"",HYPERLINK("https://www.google.com/maps/search/?api=1&amp;query="&amp;SUBSTITUTE(F1159," ",""),"🗺 Google Maps"),"")</f>
        <v/>
      </c>
      <c r="H1159" s="8">
        <f>IF(F1159&lt;&gt;"",HYPERLINK("https://waze.com/ul?ll="&amp;SUBSTITUTE(F1159," ","")&amp;"&amp;navigate=yes","🚗 Waze"),"")</f>
        <v/>
      </c>
      <c r="I1159" s="8">
        <f>IF(F1159&lt;&gt;"",HYPERLINK("https://m.uber.com/ul/?action=setPickup&amp;pickup=my_location&amp;dropoff[latitude]="&amp;LEFT(SUBSTITUTE(F1159," ",""),FIND(",",SUBSTITUTE(F1159," ",""))-1)&amp;"&amp;dropoff[longitude]="&amp;MID(SUBSTITUTE(F1159," ",""),FIND(",",SUBSTITUTE(F1159," ",""))+1,99),"🚕 Uber"),"")</f>
        <v/>
      </c>
      <c r="J1159" s="8">
        <f>IF(F1159&lt;&gt;"","https://api.qrserver.com/v1/create-qr-code/?size=200x200&amp;data="&amp;ENCODEURL("https://www.google.com/maps/search/?api=1&amp;query="&amp;SUBSTITUTE(F1159," ","")),"")</f>
        <v/>
      </c>
      <c r="K1159" s="8">
        <f>IF(C1159&lt;&gt;"",HYPERLINK("https://wa.me/507"&amp;REGEXREPLACE(C1159,"[^0-9]","")&amp;"?text="&amp;ENCODEURL("Ya llegue. Codigo: "&amp;A1159&amp;". Ubicacion: "&amp;"https://www.google.com/maps/search/?api=1&amp;query="&amp;SUBSTITUTE(F1159," ","")),"📲 Avisar al cliente"),"")</f>
        <v/>
      </c>
      <c r="L1159" s="8">
        <f>IF(C1159&lt;&gt;"","https://api.qrserver.com/v1/create-qr-code/?size=200x200&amp;data="&amp;ENCODEURL("https://wa.me/507"&amp;REGEXREPLACE(C1159,"[^0-9]","")&amp;"?text="&amp;ENCODEURL("Ya llegue. Codigo: "&amp;A1159&amp;". Ubicacion: "&amp;"https://www.google.com/maps/search/?api=1&amp;query="&amp;SUBSTITUTE(F1159," ",""))),"")</f>
        <v/>
      </c>
      <c r="M1159" s="8">
        <f>IF(B1159&lt;&gt;"",TODAY(),"")</f>
        <v/>
      </c>
      <c r="N1159" s="8">
        <f>IF(F1159&lt;&gt;"",IFERROR(IF(AND(REGEXMATCH(SUBSTITUTE(TRIM(F1159)," ",""),"^-?\d+(\.\d+)?,-?\d+(\.\d+)?$"),VALUE(REGEXEXTRACT(SUBSTITUTE(TRIM(F1159)," ",""),"^-?\d+(\.\d+)?"))&gt;=-90,VALUE(REGEXEXTRACT(SUBSTITUTE(TRIM(F1159)," ",""),"^-?\d+(\.\d+)?"))&lt;=90,VALUE(REGEXEXTRACT(SUBSTITUTE(TRIM(F1159)," ",""),"-?\d+(\.\d+)?$"))&gt;=-180,VALUE(REGEXEXTRACT(SUBSTITUTE(TRIM(F1159)," ",""),"-?\d+(\.\d+)?$"))&lt;=180),"OK","REVISAR"),"REVISAR"),"")</f>
        <v/>
      </c>
      <c r="O1159">
        <f>IF(A1159&lt;&gt;"","https://direcciones507.github.io/direcciones507/panel.html?codigo="&amp;A1159&amp;"&amp;nombre="&amp;ENCODEURL(B1159)&amp;"&amp;telefono="&amp;SUBSTITUTE(C1159,"-","")&amp;"&amp;referencia="&amp;ENCODEURL(E1159)&amp;"&amp;lat="&amp;IZQUIERDA(SUBSTITUTE(F1159," ",""),ENCONTRAR(",",SUBSTITUTE(F1159," ",""))-1)&amp;"&amp;lng="&amp;DERECHA(SUBSTITUTE(F1159," ",""),LARGO(SUBSTITUTE(F1159," ",""))-ENCONTRAR(",",SUBSTITUTE(F1159," ",""))),"")</f>
        <v/>
      </c>
    </row>
    <row r="1160" ht="15.75" customHeight="1" s="10">
      <c r="A1160" s="8">
        <f>CONCAT("AD507-",TEXT(ROW()-2,"0000"))</f>
        <v/>
      </c>
      <c r="C1160" s="8" t="n"/>
      <c r="F1160" s="8" t="n"/>
      <c r="G1160" s="8">
        <f>IF(F1160&lt;&gt;"",HYPERLINK("https://www.google.com/maps/search/?api=1&amp;query="&amp;SUBSTITUTE(F1160," ",""),"🗺 Google Maps"),"")</f>
        <v/>
      </c>
      <c r="H1160" s="8">
        <f>IF(F1160&lt;&gt;"",HYPERLINK("https://waze.com/ul?ll="&amp;SUBSTITUTE(F1160," ","")&amp;"&amp;navigate=yes","🚗 Waze"),"")</f>
        <v/>
      </c>
      <c r="I1160" s="8">
        <f>IF(F1160&lt;&gt;"",HYPERLINK("https://m.uber.com/ul/?action=setPickup&amp;pickup=my_location&amp;dropoff[latitude]="&amp;LEFT(SUBSTITUTE(F1160," ",""),FIND(",",SUBSTITUTE(F1160," ",""))-1)&amp;"&amp;dropoff[longitude]="&amp;MID(SUBSTITUTE(F1160," ",""),FIND(",",SUBSTITUTE(F1160," ",""))+1,99),"🚕 Uber"),"")</f>
        <v/>
      </c>
      <c r="J1160" s="8">
        <f>IF(F1160&lt;&gt;"","https://api.qrserver.com/v1/create-qr-code/?size=200x200&amp;data="&amp;ENCODEURL("https://www.google.com/maps/search/?api=1&amp;query="&amp;SUBSTITUTE(F1160," ","")),"")</f>
        <v/>
      </c>
      <c r="K1160" s="8">
        <f>IF(C1160&lt;&gt;"",HYPERLINK("https://wa.me/507"&amp;REGEXREPLACE(C1160,"[^0-9]","")&amp;"?text="&amp;ENCODEURL("Ya llegue. Codigo: "&amp;A1160&amp;". Ubicacion: "&amp;"https://www.google.com/maps/search/?api=1&amp;query="&amp;SUBSTITUTE(F1160," ","")),"📲 Avisar al cliente"),"")</f>
        <v/>
      </c>
      <c r="L1160" s="8">
        <f>IF(C1160&lt;&gt;"","https://api.qrserver.com/v1/create-qr-code/?size=200x200&amp;data="&amp;ENCODEURL("https://wa.me/507"&amp;REGEXREPLACE(C1160,"[^0-9]","")&amp;"?text="&amp;ENCODEURL("Ya llegue. Codigo: "&amp;A1160&amp;". Ubicacion: "&amp;"https://www.google.com/maps/search/?api=1&amp;query="&amp;SUBSTITUTE(F1160," ",""))),"")</f>
        <v/>
      </c>
      <c r="M1160" s="8">
        <f>IF(B1160&lt;&gt;"",TODAY(),"")</f>
        <v/>
      </c>
      <c r="N1160" s="8">
        <f>IF(F1160&lt;&gt;"",IFERROR(IF(AND(REGEXMATCH(SUBSTITUTE(TRIM(F1160)," ",""),"^-?\d+(\.\d+)?,-?\d+(\.\d+)?$"),VALUE(REGEXEXTRACT(SUBSTITUTE(TRIM(F1160)," ",""),"^-?\d+(\.\d+)?"))&gt;=-90,VALUE(REGEXEXTRACT(SUBSTITUTE(TRIM(F1160)," ",""),"^-?\d+(\.\d+)?"))&lt;=90,VALUE(REGEXEXTRACT(SUBSTITUTE(TRIM(F1160)," ",""),"-?\d+(\.\d+)?$"))&gt;=-180,VALUE(REGEXEXTRACT(SUBSTITUTE(TRIM(F1160)," ",""),"-?\d+(\.\d+)?$"))&lt;=180),"OK","REVISAR"),"REVISAR"),"")</f>
        <v/>
      </c>
      <c r="O1160">
        <f>IF(A1160&lt;&gt;"","https://direcciones507.github.io/direcciones507/panel.html?codigo="&amp;A1160&amp;"&amp;nombre="&amp;ENCODEURL(B1160)&amp;"&amp;telefono="&amp;SUBSTITUTE(C1160,"-","")&amp;"&amp;referencia="&amp;ENCODEURL(E1160)&amp;"&amp;lat="&amp;IZQUIERDA(SUBSTITUTE(F1160," ",""),ENCONTRAR(",",SUBSTITUTE(F1160," ",""))-1)&amp;"&amp;lng="&amp;DERECHA(SUBSTITUTE(F1160," ",""),LARGO(SUBSTITUTE(F1160," ",""))-ENCONTRAR(",",SUBSTITUTE(F1160," ",""))),"")</f>
        <v/>
      </c>
    </row>
    <row r="1161" ht="15.75" customHeight="1" s="10">
      <c r="A1161" s="8">
        <f>CONCAT("AD507-",TEXT(ROW()-2,"0000"))</f>
        <v/>
      </c>
      <c r="C1161" s="8" t="n"/>
      <c r="F1161" s="8" t="n"/>
      <c r="G1161" s="8">
        <f>IF(F1161&lt;&gt;"",HYPERLINK("https://www.google.com/maps/search/?api=1&amp;query="&amp;SUBSTITUTE(F1161," ",""),"🗺 Google Maps"),"")</f>
        <v/>
      </c>
      <c r="H1161" s="8">
        <f>IF(F1161&lt;&gt;"",HYPERLINK("https://waze.com/ul?ll="&amp;SUBSTITUTE(F1161," ","")&amp;"&amp;navigate=yes","🚗 Waze"),"")</f>
        <v/>
      </c>
      <c r="I1161" s="8">
        <f>IF(F1161&lt;&gt;"",HYPERLINK("https://m.uber.com/ul/?action=setPickup&amp;pickup=my_location&amp;dropoff[latitude]="&amp;LEFT(SUBSTITUTE(F1161," ",""),FIND(",",SUBSTITUTE(F1161," ",""))-1)&amp;"&amp;dropoff[longitude]="&amp;MID(SUBSTITUTE(F1161," ",""),FIND(",",SUBSTITUTE(F1161," ",""))+1,99),"🚕 Uber"),"")</f>
        <v/>
      </c>
      <c r="J1161" s="8">
        <f>IF(F1161&lt;&gt;"","https://api.qrserver.com/v1/create-qr-code/?size=200x200&amp;data="&amp;ENCODEURL("https://www.google.com/maps/search/?api=1&amp;query="&amp;SUBSTITUTE(F1161," ","")),"")</f>
        <v/>
      </c>
      <c r="K1161" s="8">
        <f>IF(C1161&lt;&gt;"",HYPERLINK("https://wa.me/507"&amp;REGEXREPLACE(C1161,"[^0-9]","")&amp;"?text="&amp;ENCODEURL("Ya llegue. Codigo: "&amp;A1161&amp;". Ubicacion: "&amp;"https://www.google.com/maps/search/?api=1&amp;query="&amp;SUBSTITUTE(F1161," ","")),"📲 Avisar al cliente"),"")</f>
        <v/>
      </c>
      <c r="L1161" s="8">
        <f>IF(C1161&lt;&gt;"","https://api.qrserver.com/v1/create-qr-code/?size=200x200&amp;data="&amp;ENCODEURL("https://wa.me/507"&amp;REGEXREPLACE(C1161,"[^0-9]","")&amp;"?text="&amp;ENCODEURL("Ya llegue. Codigo: "&amp;A1161&amp;". Ubicacion: "&amp;"https://www.google.com/maps/search/?api=1&amp;query="&amp;SUBSTITUTE(F1161," ",""))),"")</f>
        <v/>
      </c>
      <c r="M1161" s="8">
        <f>IF(B1161&lt;&gt;"",TODAY(),"")</f>
        <v/>
      </c>
      <c r="N1161" s="8">
        <f>IF(F1161&lt;&gt;"",IFERROR(IF(AND(REGEXMATCH(SUBSTITUTE(TRIM(F1161)," ",""),"^-?\d+(\.\d+)?,-?\d+(\.\d+)?$"),VALUE(REGEXEXTRACT(SUBSTITUTE(TRIM(F1161)," ",""),"^-?\d+(\.\d+)?"))&gt;=-90,VALUE(REGEXEXTRACT(SUBSTITUTE(TRIM(F1161)," ",""),"^-?\d+(\.\d+)?"))&lt;=90,VALUE(REGEXEXTRACT(SUBSTITUTE(TRIM(F1161)," ",""),"-?\d+(\.\d+)?$"))&gt;=-180,VALUE(REGEXEXTRACT(SUBSTITUTE(TRIM(F1161)," ",""),"-?\d+(\.\d+)?$"))&lt;=180),"OK","REVISAR"),"REVISAR"),"")</f>
        <v/>
      </c>
      <c r="O1161">
        <f>IF(A1161&lt;&gt;"","https://direcciones507.github.io/direcciones507/panel.html?codigo="&amp;A1161&amp;"&amp;nombre="&amp;ENCODEURL(B1161)&amp;"&amp;telefono="&amp;SUBSTITUTE(C1161,"-","")&amp;"&amp;referencia="&amp;ENCODEURL(E1161)&amp;"&amp;lat="&amp;IZQUIERDA(SUBSTITUTE(F1161," ",""),ENCONTRAR(",",SUBSTITUTE(F1161," ",""))-1)&amp;"&amp;lng="&amp;DERECHA(SUBSTITUTE(F1161," ",""),LARGO(SUBSTITUTE(F1161," ",""))-ENCONTRAR(",",SUBSTITUTE(F1161," ",""))),"")</f>
        <v/>
      </c>
    </row>
    <row r="1162" ht="15.75" customHeight="1" s="10">
      <c r="A1162" s="8">
        <f>CONCAT("AD507-",TEXT(ROW()-2,"0000"))</f>
        <v/>
      </c>
      <c r="C1162" s="8" t="n"/>
      <c r="F1162" s="8" t="n"/>
      <c r="G1162" s="8">
        <f>IF(F1162&lt;&gt;"",HYPERLINK("https://www.google.com/maps/search/?api=1&amp;query="&amp;SUBSTITUTE(F1162," ",""),"🗺 Google Maps"),"")</f>
        <v/>
      </c>
      <c r="H1162" s="8">
        <f>IF(F1162&lt;&gt;"",HYPERLINK("https://waze.com/ul?ll="&amp;SUBSTITUTE(F1162," ","")&amp;"&amp;navigate=yes","🚗 Waze"),"")</f>
        <v/>
      </c>
      <c r="I1162" s="8">
        <f>IF(F1162&lt;&gt;"",HYPERLINK("https://m.uber.com/ul/?action=setPickup&amp;pickup=my_location&amp;dropoff[latitude]="&amp;LEFT(SUBSTITUTE(F1162," ",""),FIND(",",SUBSTITUTE(F1162," ",""))-1)&amp;"&amp;dropoff[longitude]="&amp;MID(SUBSTITUTE(F1162," ",""),FIND(",",SUBSTITUTE(F1162," ",""))+1,99),"🚕 Uber"),"")</f>
        <v/>
      </c>
      <c r="J1162" s="8">
        <f>IF(F1162&lt;&gt;"","https://api.qrserver.com/v1/create-qr-code/?size=200x200&amp;data="&amp;ENCODEURL("https://www.google.com/maps/search/?api=1&amp;query="&amp;SUBSTITUTE(F1162," ","")),"")</f>
        <v/>
      </c>
      <c r="K1162" s="8">
        <f>IF(C1162&lt;&gt;"",HYPERLINK("https://wa.me/507"&amp;REGEXREPLACE(C1162,"[^0-9]","")&amp;"?text="&amp;ENCODEURL("Ya llegue. Codigo: "&amp;A1162&amp;". Ubicacion: "&amp;"https://www.google.com/maps/search/?api=1&amp;query="&amp;SUBSTITUTE(F1162," ","")),"📲 Avisar al cliente"),"")</f>
        <v/>
      </c>
      <c r="L1162" s="8">
        <f>IF(C1162&lt;&gt;"","https://api.qrserver.com/v1/create-qr-code/?size=200x200&amp;data="&amp;ENCODEURL("https://wa.me/507"&amp;REGEXREPLACE(C1162,"[^0-9]","")&amp;"?text="&amp;ENCODEURL("Ya llegue. Codigo: "&amp;A1162&amp;". Ubicacion: "&amp;"https://www.google.com/maps/search/?api=1&amp;query="&amp;SUBSTITUTE(F1162," ",""))),"")</f>
        <v/>
      </c>
      <c r="M1162" s="8">
        <f>IF(B1162&lt;&gt;"",TODAY(),"")</f>
        <v/>
      </c>
      <c r="N1162" s="8">
        <f>IF(F1162&lt;&gt;"",IFERROR(IF(AND(REGEXMATCH(SUBSTITUTE(TRIM(F1162)," ",""),"^-?\d+(\.\d+)?,-?\d+(\.\d+)?$"),VALUE(REGEXEXTRACT(SUBSTITUTE(TRIM(F1162)," ",""),"^-?\d+(\.\d+)?"))&gt;=-90,VALUE(REGEXEXTRACT(SUBSTITUTE(TRIM(F1162)," ",""),"^-?\d+(\.\d+)?"))&lt;=90,VALUE(REGEXEXTRACT(SUBSTITUTE(TRIM(F1162)," ",""),"-?\d+(\.\d+)?$"))&gt;=-180,VALUE(REGEXEXTRACT(SUBSTITUTE(TRIM(F1162)," ",""),"-?\d+(\.\d+)?$"))&lt;=180),"OK","REVISAR"),"REVISAR"),"")</f>
        <v/>
      </c>
      <c r="O1162">
        <f>IF(A1162&lt;&gt;"","https://direcciones507.github.io/direcciones507/panel.html?codigo="&amp;A1162&amp;"&amp;nombre="&amp;ENCODEURL(B1162)&amp;"&amp;telefono="&amp;SUBSTITUTE(C1162,"-","")&amp;"&amp;referencia="&amp;ENCODEURL(E1162)&amp;"&amp;lat="&amp;IZQUIERDA(SUBSTITUTE(F1162," ",""),ENCONTRAR(",",SUBSTITUTE(F1162," ",""))-1)&amp;"&amp;lng="&amp;DERECHA(SUBSTITUTE(F1162," ",""),LARGO(SUBSTITUTE(F1162," ",""))-ENCONTRAR(",",SUBSTITUTE(F1162," ",""))),"")</f>
        <v/>
      </c>
    </row>
    <row r="1163" ht="15.75" customHeight="1" s="10">
      <c r="A1163" s="8">
        <f>CONCAT("AD507-",TEXT(ROW()-2,"0000"))</f>
        <v/>
      </c>
      <c r="C1163" s="8" t="n"/>
      <c r="F1163" s="8" t="n"/>
      <c r="G1163" s="8">
        <f>IF(F1163&lt;&gt;"",HYPERLINK("https://www.google.com/maps/search/?api=1&amp;query="&amp;SUBSTITUTE(F1163," ",""),"🗺 Google Maps"),"")</f>
        <v/>
      </c>
      <c r="H1163" s="8">
        <f>IF(F1163&lt;&gt;"",HYPERLINK("https://waze.com/ul?ll="&amp;SUBSTITUTE(F1163," ","")&amp;"&amp;navigate=yes","🚗 Waze"),"")</f>
        <v/>
      </c>
      <c r="I1163" s="8">
        <f>IF(F1163&lt;&gt;"",HYPERLINK("https://m.uber.com/ul/?action=setPickup&amp;pickup=my_location&amp;dropoff[latitude]="&amp;LEFT(SUBSTITUTE(F1163," ",""),FIND(",",SUBSTITUTE(F1163," ",""))-1)&amp;"&amp;dropoff[longitude]="&amp;MID(SUBSTITUTE(F1163," ",""),FIND(",",SUBSTITUTE(F1163," ",""))+1,99),"🚕 Uber"),"")</f>
        <v/>
      </c>
      <c r="J1163" s="8">
        <f>IF(F1163&lt;&gt;"","https://api.qrserver.com/v1/create-qr-code/?size=200x200&amp;data="&amp;ENCODEURL("https://www.google.com/maps/search/?api=1&amp;query="&amp;SUBSTITUTE(F1163," ","")),"")</f>
        <v/>
      </c>
      <c r="K1163" s="8">
        <f>IF(C1163&lt;&gt;"",HYPERLINK("https://wa.me/507"&amp;REGEXREPLACE(C1163,"[^0-9]","")&amp;"?text="&amp;ENCODEURL("Ya llegue. Codigo: "&amp;A1163&amp;". Ubicacion: "&amp;"https://www.google.com/maps/search/?api=1&amp;query="&amp;SUBSTITUTE(F1163," ","")),"📲 Avisar al cliente"),"")</f>
        <v/>
      </c>
      <c r="L1163" s="8">
        <f>IF(C1163&lt;&gt;"","https://api.qrserver.com/v1/create-qr-code/?size=200x200&amp;data="&amp;ENCODEURL("https://wa.me/507"&amp;REGEXREPLACE(C1163,"[^0-9]","")&amp;"?text="&amp;ENCODEURL("Ya llegue. Codigo: "&amp;A1163&amp;". Ubicacion: "&amp;"https://www.google.com/maps/search/?api=1&amp;query="&amp;SUBSTITUTE(F1163," ",""))),"")</f>
        <v/>
      </c>
      <c r="M1163" s="8">
        <f>IF(B1163&lt;&gt;"",TODAY(),"")</f>
        <v/>
      </c>
      <c r="N1163" s="8">
        <f>IF(F1163&lt;&gt;"",IFERROR(IF(AND(REGEXMATCH(SUBSTITUTE(TRIM(F1163)," ",""),"^-?\d+(\.\d+)?,-?\d+(\.\d+)?$"),VALUE(REGEXEXTRACT(SUBSTITUTE(TRIM(F1163)," ",""),"^-?\d+(\.\d+)?"))&gt;=-90,VALUE(REGEXEXTRACT(SUBSTITUTE(TRIM(F1163)," ",""),"^-?\d+(\.\d+)?"))&lt;=90,VALUE(REGEXEXTRACT(SUBSTITUTE(TRIM(F1163)," ",""),"-?\d+(\.\d+)?$"))&gt;=-180,VALUE(REGEXEXTRACT(SUBSTITUTE(TRIM(F1163)," ",""),"-?\d+(\.\d+)?$"))&lt;=180),"OK","REVISAR"),"REVISAR"),"")</f>
        <v/>
      </c>
      <c r="O1163">
        <f>IF(A1163&lt;&gt;"","https://direcciones507.github.io/direcciones507/panel.html?codigo="&amp;A1163&amp;"&amp;nombre="&amp;ENCODEURL(B1163)&amp;"&amp;telefono="&amp;SUBSTITUTE(C1163,"-","")&amp;"&amp;referencia="&amp;ENCODEURL(E1163)&amp;"&amp;lat="&amp;IZQUIERDA(SUBSTITUTE(F1163," ",""),ENCONTRAR(",",SUBSTITUTE(F1163," ",""))-1)&amp;"&amp;lng="&amp;DERECHA(SUBSTITUTE(F1163," ",""),LARGO(SUBSTITUTE(F1163," ",""))-ENCONTRAR(",",SUBSTITUTE(F1163," ",""))),"")</f>
        <v/>
      </c>
    </row>
    <row r="1164" ht="15.75" customHeight="1" s="10">
      <c r="A1164" s="8">
        <f>CONCAT("AD507-",TEXT(ROW()-2,"0000"))</f>
        <v/>
      </c>
      <c r="C1164" s="8" t="n"/>
      <c r="F1164" s="8" t="n"/>
      <c r="G1164" s="8">
        <f>IF(F1164&lt;&gt;"",HYPERLINK("https://www.google.com/maps/search/?api=1&amp;query="&amp;SUBSTITUTE(F1164," ",""),"🗺 Google Maps"),"")</f>
        <v/>
      </c>
      <c r="H1164" s="8">
        <f>IF(F1164&lt;&gt;"",HYPERLINK("https://waze.com/ul?ll="&amp;SUBSTITUTE(F1164," ","")&amp;"&amp;navigate=yes","🚗 Waze"),"")</f>
        <v/>
      </c>
      <c r="I1164" s="8">
        <f>IF(F1164&lt;&gt;"",HYPERLINK("https://m.uber.com/ul/?action=setPickup&amp;pickup=my_location&amp;dropoff[latitude]="&amp;LEFT(SUBSTITUTE(F1164," ",""),FIND(",",SUBSTITUTE(F1164," ",""))-1)&amp;"&amp;dropoff[longitude]="&amp;MID(SUBSTITUTE(F1164," ",""),FIND(",",SUBSTITUTE(F1164," ",""))+1,99),"🚕 Uber"),"")</f>
        <v/>
      </c>
      <c r="J1164" s="8">
        <f>IF(F1164&lt;&gt;"","https://api.qrserver.com/v1/create-qr-code/?size=200x200&amp;data="&amp;ENCODEURL("https://www.google.com/maps/search/?api=1&amp;query="&amp;SUBSTITUTE(F1164," ","")),"")</f>
        <v/>
      </c>
      <c r="K1164" s="8">
        <f>IF(C1164&lt;&gt;"",HYPERLINK("https://wa.me/507"&amp;REGEXREPLACE(C1164,"[^0-9]","")&amp;"?text="&amp;ENCODEURL("Ya llegue. Codigo: "&amp;A1164&amp;". Ubicacion: "&amp;"https://www.google.com/maps/search/?api=1&amp;query="&amp;SUBSTITUTE(F1164," ","")),"📲 Avisar al cliente"),"")</f>
        <v/>
      </c>
      <c r="L1164" s="8">
        <f>IF(C1164&lt;&gt;"","https://api.qrserver.com/v1/create-qr-code/?size=200x200&amp;data="&amp;ENCODEURL("https://wa.me/507"&amp;REGEXREPLACE(C1164,"[^0-9]","")&amp;"?text="&amp;ENCODEURL("Ya llegue. Codigo: "&amp;A1164&amp;". Ubicacion: "&amp;"https://www.google.com/maps/search/?api=1&amp;query="&amp;SUBSTITUTE(F1164," ",""))),"")</f>
        <v/>
      </c>
      <c r="M1164" s="8">
        <f>IF(B1164&lt;&gt;"",TODAY(),"")</f>
        <v/>
      </c>
      <c r="N1164" s="8">
        <f>IF(F1164&lt;&gt;"",IFERROR(IF(AND(REGEXMATCH(SUBSTITUTE(TRIM(F1164)," ",""),"^-?\d+(\.\d+)?,-?\d+(\.\d+)?$"),VALUE(REGEXEXTRACT(SUBSTITUTE(TRIM(F1164)," ",""),"^-?\d+(\.\d+)?"))&gt;=-90,VALUE(REGEXEXTRACT(SUBSTITUTE(TRIM(F1164)," ",""),"^-?\d+(\.\d+)?"))&lt;=90,VALUE(REGEXEXTRACT(SUBSTITUTE(TRIM(F1164)," ",""),"-?\d+(\.\d+)?$"))&gt;=-180,VALUE(REGEXEXTRACT(SUBSTITUTE(TRIM(F1164)," ",""),"-?\d+(\.\d+)?$"))&lt;=180),"OK","REVISAR"),"REVISAR"),"")</f>
        <v/>
      </c>
      <c r="O1164">
        <f>IF(A1164&lt;&gt;"","https://direcciones507.github.io/direcciones507/panel.html?codigo="&amp;A1164&amp;"&amp;nombre="&amp;ENCODEURL(B1164)&amp;"&amp;telefono="&amp;SUBSTITUTE(C1164,"-","")&amp;"&amp;referencia="&amp;ENCODEURL(E1164)&amp;"&amp;lat="&amp;IZQUIERDA(SUBSTITUTE(F1164," ",""),ENCONTRAR(",",SUBSTITUTE(F1164," ",""))-1)&amp;"&amp;lng="&amp;DERECHA(SUBSTITUTE(F1164," ",""),LARGO(SUBSTITUTE(F1164," ",""))-ENCONTRAR(",",SUBSTITUTE(F1164," ",""))),"")</f>
        <v/>
      </c>
    </row>
    <row r="1165" ht="15.75" customHeight="1" s="10">
      <c r="A1165" s="8">
        <f>CONCAT("AD507-",TEXT(ROW()-2,"0000"))</f>
        <v/>
      </c>
      <c r="C1165" s="8" t="n"/>
      <c r="F1165" s="8" t="n"/>
      <c r="G1165" s="8">
        <f>IF(F1165&lt;&gt;"",HYPERLINK("https://www.google.com/maps/search/?api=1&amp;query="&amp;SUBSTITUTE(F1165," ",""),"🗺 Google Maps"),"")</f>
        <v/>
      </c>
      <c r="H1165" s="8">
        <f>IF(F1165&lt;&gt;"",HYPERLINK("https://waze.com/ul?ll="&amp;SUBSTITUTE(F1165," ","")&amp;"&amp;navigate=yes","🚗 Waze"),"")</f>
        <v/>
      </c>
      <c r="I1165" s="8">
        <f>IF(F1165&lt;&gt;"",HYPERLINK("https://m.uber.com/ul/?action=setPickup&amp;pickup=my_location&amp;dropoff[latitude]="&amp;LEFT(SUBSTITUTE(F1165," ",""),FIND(",",SUBSTITUTE(F1165," ",""))-1)&amp;"&amp;dropoff[longitude]="&amp;MID(SUBSTITUTE(F1165," ",""),FIND(",",SUBSTITUTE(F1165," ",""))+1,99),"🚕 Uber"),"")</f>
        <v/>
      </c>
      <c r="J1165" s="8">
        <f>IF(F1165&lt;&gt;"","https://api.qrserver.com/v1/create-qr-code/?size=200x200&amp;data="&amp;ENCODEURL("https://www.google.com/maps/search/?api=1&amp;query="&amp;SUBSTITUTE(F1165," ","")),"")</f>
        <v/>
      </c>
      <c r="K1165" s="8">
        <f>IF(C1165&lt;&gt;"",HYPERLINK("https://wa.me/507"&amp;REGEXREPLACE(C1165,"[^0-9]","")&amp;"?text="&amp;ENCODEURL("Ya llegue. Codigo: "&amp;A1165&amp;". Ubicacion: "&amp;"https://www.google.com/maps/search/?api=1&amp;query="&amp;SUBSTITUTE(F1165," ","")),"📲 Avisar al cliente"),"")</f>
        <v/>
      </c>
      <c r="L1165" s="8">
        <f>IF(C1165&lt;&gt;"","https://api.qrserver.com/v1/create-qr-code/?size=200x200&amp;data="&amp;ENCODEURL("https://wa.me/507"&amp;REGEXREPLACE(C1165,"[^0-9]","")&amp;"?text="&amp;ENCODEURL("Ya llegue. Codigo: "&amp;A1165&amp;". Ubicacion: "&amp;"https://www.google.com/maps/search/?api=1&amp;query="&amp;SUBSTITUTE(F1165," ",""))),"")</f>
        <v/>
      </c>
      <c r="M1165" s="8">
        <f>IF(B1165&lt;&gt;"",TODAY(),"")</f>
        <v/>
      </c>
      <c r="N1165" s="8">
        <f>IF(F1165&lt;&gt;"",IFERROR(IF(AND(REGEXMATCH(SUBSTITUTE(TRIM(F1165)," ",""),"^-?\d+(\.\d+)?,-?\d+(\.\d+)?$"),VALUE(REGEXEXTRACT(SUBSTITUTE(TRIM(F1165)," ",""),"^-?\d+(\.\d+)?"))&gt;=-90,VALUE(REGEXEXTRACT(SUBSTITUTE(TRIM(F1165)," ",""),"^-?\d+(\.\d+)?"))&lt;=90,VALUE(REGEXEXTRACT(SUBSTITUTE(TRIM(F1165)," ",""),"-?\d+(\.\d+)?$"))&gt;=-180,VALUE(REGEXEXTRACT(SUBSTITUTE(TRIM(F1165)," ",""),"-?\d+(\.\d+)?$"))&lt;=180),"OK","REVISAR"),"REVISAR"),"")</f>
        <v/>
      </c>
      <c r="O1165">
        <f>IF(A1165&lt;&gt;"","https://direcciones507.github.io/direcciones507/panel.html?codigo="&amp;A1165&amp;"&amp;nombre="&amp;ENCODEURL(B1165)&amp;"&amp;telefono="&amp;SUBSTITUTE(C1165,"-","")&amp;"&amp;referencia="&amp;ENCODEURL(E1165)&amp;"&amp;lat="&amp;IZQUIERDA(SUBSTITUTE(F1165," ",""),ENCONTRAR(",",SUBSTITUTE(F1165," ",""))-1)&amp;"&amp;lng="&amp;DERECHA(SUBSTITUTE(F1165," ",""),LARGO(SUBSTITUTE(F1165," ",""))-ENCONTRAR(",",SUBSTITUTE(F1165," ",""))),"")</f>
        <v/>
      </c>
    </row>
    <row r="1166" ht="15.75" customHeight="1" s="10">
      <c r="A1166" s="8">
        <f>CONCAT("AD507-",TEXT(ROW()-2,"0000"))</f>
        <v/>
      </c>
      <c r="C1166" s="8" t="n"/>
      <c r="F1166" s="8" t="n"/>
      <c r="G1166" s="8">
        <f>IF(F1166&lt;&gt;"",HYPERLINK("https://www.google.com/maps/search/?api=1&amp;query="&amp;SUBSTITUTE(F1166," ",""),"🗺 Google Maps"),"")</f>
        <v/>
      </c>
      <c r="H1166" s="8">
        <f>IF(F1166&lt;&gt;"",HYPERLINK("https://waze.com/ul?ll="&amp;SUBSTITUTE(F1166," ","")&amp;"&amp;navigate=yes","🚗 Waze"),"")</f>
        <v/>
      </c>
      <c r="I1166" s="8">
        <f>IF(F1166&lt;&gt;"",HYPERLINK("https://m.uber.com/ul/?action=setPickup&amp;pickup=my_location&amp;dropoff[latitude]="&amp;LEFT(SUBSTITUTE(F1166," ",""),FIND(",",SUBSTITUTE(F1166," ",""))-1)&amp;"&amp;dropoff[longitude]="&amp;MID(SUBSTITUTE(F1166," ",""),FIND(",",SUBSTITUTE(F1166," ",""))+1,99),"🚕 Uber"),"")</f>
        <v/>
      </c>
      <c r="J1166" s="8">
        <f>IF(F1166&lt;&gt;"","https://api.qrserver.com/v1/create-qr-code/?size=200x200&amp;data="&amp;ENCODEURL("https://www.google.com/maps/search/?api=1&amp;query="&amp;SUBSTITUTE(F1166," ","")),"")</f>
        <v/>
      </c>
      <c r="K1166" s="8">
        <f>IF(C1166&lt;&gt;"",HYPERLINK("https://wa.me/507"&amp;REGEXREPLACE(C1166,"[^0-9]","")&amp;"?text="&amp;ENCODEURL("Ya llegue. Codigo: "&amp;A1166&amp;". Ubicacion: "&amp;"https://www.google.com/maps/search/?api=1&amp;query="&amp;SUBSTITUTE(F1166," ","")),"📲 Avisar al cliente"),"")</f>
        <v/>
      </c>
      <c r="L1166" s="8">
        <f>IF(C1166&lt;&gt;"","https://api.qrserver.com/v1/create-qr-code/?size=200x200&amp;data="&amp;ENCODEURL("https://wa.me/507"&amp;REGEXREPLACE(C1166,"[^0-9]","")&amp;"?text="&amp;ENCODEURL("Ya llegue. Codigo: "&amp;A1166&amp;". Ubicacion: "&amp;"https://www.google.com/maps/search/?api=1&amp;query="&amp;SUBSTITUTE(F1166," ",""))),"")</f>
        <v/>
      </c>
      <c r="M1166" s="8">
        <f>IF(B1166&lt;&gt;"",TODAY(),"")</f>
        <v/>
      </c>
      <c r="N1166" s="8">
        <f>IF(F1166&lt;&gt;"",IFERROR(IF(AND(REGEXMATCH(SUBSTITUTE(TRIM(F1166)," ",""),"^-?\d+(\.\d+)?,-?\d+(\.\d+)?$"),VALUE(REGEXEXTRACT(SUBSTITUTE(TRIM(F1166)," ",""),"^-?\d+(\.\d+)?"))&gt;=-90,VALUE(REGEXEXTRACT(SUBSTITUTE(TRIM(F1166)," ",""),"^-?\d+(\.\d+)?"))&lt;=90,VALUE(REGEXEXTRACT(SUBSTITUTE(TRIM(F1166)," ",""),"-?\d+(\.\d+)?$"))&gt;=-180,VALUE(REGEXEXTRACT(SUBSTITUTE(TRIM(F1166)," ",""),"-?\d+(\.\d+)?$"))&lt;=180),"OK","REVISAR"),"REVISAR"),"")</f>
        <v/>
      </c>
      <c r="O1166">
        <f>IF(A1166&lt;&gt;"","https://direcciones507.github.io/direcciones507/panel.html?codigo="&amp;A1166&amp;"&amp;nombre="&amp;ENCODEURL(B1166)&amp;"&amp;telefono="&amp;SUBSTITUTE(C1166,"-","")&amp;"&amp;referencia="&amp;ENCODEURL(E1166)&amp;"&amp;lat="&amp;IZQUIERDA(SUBSTITUTE(F1166," ",""),ENCONTRAR(",",SUBSTITUTE(F1166," ",""))-1)&amp;"&amp;lng="&amp;DERECHA(SUBSTITUTE(F1166," ",""),LARGO(SUBSTITUTE(F1166," ",""))-ENCONTRAR(",",SUBSTITUTE(F1166," ",""))),"")</f>
        <v/>
      </c>
    </row>
    <row r="1167" ht="15.75" customHeight="1" s="10">
      <c r="A1167" s="8">
        <f>CONCAT("AD507-",TEXT(ROW()-2,"0000"))</f>
        <v/>
      </c>
      <c r="C1167" s="8" t="n"/>
      <c r="F1167" s="8" t="n"/>
      <c r="G1167" s="8">
        <f>IF(F1167&lt;&gt;"",HYPERLINK("https://www.google.com/maps/search/?api=1&amp;query="&amp;SUBSTITUTE(F1167," ",""),"🗺 Google Maps"),"")</f>
        <v/>
      </c>
      <c r="H1167" s="8">
        <f>IF(F1167&lt;&gt;"",HYPERLINK("https://waze.com/ul?ll="&amp;SUBSTITUTE(F1167," ","")&amp;"&amp;navigate=yes","🚗 Waze"),"")</f>
        <v/>
      </c>
      <c r="I1167" s="8">
        <f>IF(F1167&lt;&gt;"",HYPERLINK("https://m.uber.com/ul/?action=setPickup&amp;pickup=my_location&amp;dropoff[latitude]="&amp;LEFT(SUBSTITUTE(F1167," ",""),FIND(",",SUBSTITUTE(F1167," ",""))-1)&amp;"&amp;dropoff[longitude]="&amp;MID(SUBSTITUTE(F1167," ",""),FIND(",",SUBSTITUTE(F1167," ",""))+1,99),"🚕 Uber"),"")</f>
        <v/>
      </c>
      <c r="J1167" s="8">
        <f>IF(F1167&lt;&gt;"","https://api.qrserver.com/v1/create-qr-code/?size=200x200&amp;data="&amp;ENCODEURL("https://www.google.com/maps/search/?api=1&amp;query="&amp;SUBSTITUTE(F1167," ","")),"")</f>
        <v/>
      </c>
      <c r="K1167" s="8">
        <f>IF(C1167&lt;&gt;"",HYPERLINK("https://wa.me/507"&amp;REGEXREPLACE(C1167,"[^0-9]","")&amp;"?text="&amp;ENCODEURL("Ya llegue. Codigo: "&amp;A1167&amp;". Ubicacion: "&amp;"https://www.google.com/maps/search/?api=1&amp;query="&amp;SUBSTITUTE(F1167," ","")),"📲 Avisar al cliente"),"")</f>
        <v/>
      </c>
      <c r="L1167" s="8">
        <f>IF(C1167&lt;&gt;"","https://api.qrserver.com/v1/create-qr-code/?size=200x200&amp;data="&amp;ENCODEURL("https://wa.me/507"&amp;REGEXREPLACE(C1167,"[^0-9]","")&amp;"?text="&amp;ENCODEURL("Ya llegue. Codigo: "&amp;A1167&amp;". Ubicacion: "&amp;"https://www.google.com/maps/search/?api=1&amp;query="&amp;SUBSTITUTE(F1167," ",""))),"")</f>
        <v/>
      </c>
      <c r="M1167" s="8">
        <f>IF(B1167&lt;&gt;"",TODAY(),"")</f>
        <v/>
      </c>
      <c r="N1167" s="8">
        <f>IF(F1167&lt;&gt;"",IFERROR(IF(AND(REGEXMATCH(SUBSTITUTE(TRIM(F1167)," ",""),"^-?\d+(\.\d+)?,-?\d+(\.\d+)?$"),VALUE(REGEXEXTRACT(SUBSTITUTE(TRIM(F1167)," ",""),"^-?\d+(\.\d+)?"))&gt;=-90,VALUE(REGEXEXTRACT(SUBSTITUTE(TRIM(F1167)," ",""),"^-?\d+(\.\d+)?"))&lt;=90,VALUE(REGEXEXTRACT(SUBSTITUTE(TRIM(F1167)," ",""),"-?\d+(\.\d+)?$"))&gt;=-180,VALUE(REGEXEXTRACT(SUBSTITUTE(TRIM(F1167)," ",""),"-?\d+(\.\d+)?$"))&lt;=180),"OK","REVISAR"),"REVISAR"),"")</f>
        <v/>
      </c>
      <c r="O1167">
        <f>IF(A1167&lt;&gt;"","https://direcciones507.github.io/direcciones507/panel.html?codigo="&amp;A1167&amp;"&amp;nombre="&amp;ENCODEURL(B1167)&amp;"&amp;telefono="&amp;SUBSTITUTE(C1167,"-","")&amp;"&amp;referencia="&amp;ENCODEURL(E1167)&amp;"&amp;lat="&amp;IZQUIERDA(SUBSTITUTE(F1167," ",""),ENCONTRAR(",",SUBSTITUTE(F1167," ",""))-1)&amp;"&amp;lng="&amp;DERECHA(SUBSTITUTE(F1167," ",""),LARGO(SUBSTITUTE(F1167," ",""))-ENCONTRAR(",",SUBSTITUTE(F1167," ",""))),"")</f>
        <v/>
      </c>
    </row>
    <row r="1168" ht="15.75" customHeight="1" s="10">
      <c r="A1168" s="8">
        <f>CONCAT("AD507-",TEXT(ROW()-2,"0000"))</f>
        <v/>
      </c>
      <c r="C1168" s="8" t="n"/>
      <c r="F1168" s="8" t="n"/>
      <c r="G1168" s="8">
        <f>IF(F1168&lt;&gt;"",HYPERLINK("https://www.google.com/maps/search/?api=1&amp;query="&amp;SUBSTITUTE(F1168," ",""),"🗺 Google Maps"),"")</f>
        <v/>
      </c>
      <c r="H1168" s="8">
        <f>IF(F1168&lt;&gt;"",HYPERLINK("https://waze.com/ul?ll="&amp;SUBSTITUTE(F1168," ","")&amp;"&amp;navigate=yes","🚗 Waze"),"")</f>
        <v/>
      </c>
      <c r="I1168" s="8">
        <f>IF(F1168&lt;&gt;"",HYPERLINK("https://m.uber.com/ul/?action=setPickup&amp;pickup=my_location&amp;dropoff[latitude]="&amp;LEFT(SUBSTITUTE(F1168," ",""),FIND(",",SUBSTITUTE(F1168," ",""))-1)&amp;"&amp;dropoff[longitude]="&amp;MID(SUBSTITUTE(F1168," ",""),FIND(",",SUBSTITUTE(F1168," ",""))+1,99),"🚕 Uber"),"")</f>
        <v/>
      </c>
      <c r="J1168" s="8">
        <f>IF(F1168&lt;&gt;"","https://api.qrserver.com/v1/create-qr-code/?size=200x200&amp;data="&amp;ENCODEURL("https://www.google.com/maps/search/?api=1&amp;query="&amp;SUBSTITUTE(F1168," ","")),"")</f>
        <v/>
      </c>
      <c r="K1168" s="8">
        <f>IF(C1168&lt;&gt;"",HYPERLINK("https://wa.me/507"&amp;REGEXREPLACE(C1168,"[^0-9]","")&amp;"?text="&amp;ENCODEURL("Ya llegue. Codigo: "&amp;A1168&amp;". Ubicacion: "&amp;"https://www.google.com/maps/search/?api=1&amp;query="&amp;SUBSTITUTE(F1168," ","")),"📲 Avisar al cliente"),"")</f>
        <v/>
      </c>
      <c r="L1168" s="8">
        <f>IF(C1168&lt;&gt;"","https://api.qrserver.com/v1/create-qr-code/?size=200x200&amp;data="&amp;ENCODEURL("https://wa.me/507"&amp;REGEXREPLACE(C1168,"[^0-9]","")&amp;"?text="&amp;ENCODEURL("Ya llegue. Codigo: "&amp;A1168&amp;". Ubicacion: "&amp;"https://www.google.com/maps/search/?api=1&amp;query="&amp;SUBSTITUTE(F1168," ",""))),"")</f>
        <v/>
      </c>
      <c r="M1168" s="8">
        <f>IF(B1168&lt;&gt;"",TODAY(),"")</f>
        <v/>
      </c>
      <c r="N1168" s="8">
        <f>IF(F1168&lt;&gt;"",IFERROR(IF(AND(REGEXMATCH(SUBSTITUTE(TRIM(F1168)," ",""),"^-?\d+(\.\d+)?,-?\d+(\.\d+)?$"),VALUE(REGEXEXTRACT(SUBSTITUTE(TRIM(F1168)," ",""),"^-?\d+(\.\d+)?"))&gt;=-90,VALUE(REGEXEXTRACT(SUBSTITUTE(TRIM(F1168)," ",""),"^-?\d+(\.\d+)?"))&lt;=90,VALUE(REGEXEXTRACT(SUBSTITUTE(TRIM(F1168)," ",""),"-?\d+(\.\d+)?$"))&gt;=-180,VALUE(REGEXEXTRACT(SUBSTITUTE(TRIM(F1168)," ",""),"-?\d+(\.\d+)?$"))&lt;=180),"OK","REVISAR"),"REVISAR"),"")</f>
        <v/>
      </c>
      <c r="O1168">
        <f>IF(A1168&lt;&gt;"","https://direcciones507.github.io/direcciones507/panel.html?codigo="&amp;A1168&amp;"&amp;nombre="&amp;ENCODEURL(B1168)&amp;"&amp;telefono="&amp;SUBSTITUTE(C1168,"-","")&amp;"&amp;referencia="&amp;ENCODEURL(E1168)&amp;"&amp;lat="&amp;IZQUIERDA(SUBSTITUTE(F1168," ",""),ENCONTRAR(",",SUBSTITUTE(F1168," ",""))-1)&amp;"&amp;lng="&amp;DERECHA(SUBSTITUTE(F1168," ",""),LARGO(SUBSTITUTE(F1168," ",""))-ENCONTRAR(",",SUBSTITUTE(F1168," ",""))),"")</f>
        <v/>
      </c>
    </row>
    <row r="1169" ht="15.75" customHeight="1" s="10">
      <c r="A1169" s="8">
        <f>CONCAT("AD507-",TEXT(ROW()-2,"0000"))</f>
        <v/>
      </c>
      <c r="C1169" s="8" t="n"/>
      <c r="F1169" s="8" t="n"/>
      <c r="G1169" s="8">
        <f>IF(F1169&lt;&gt;"",HYPERLINK("https://www.google.com/maps/search/?api=1&amp;query="&amp;SUBSTITUTE(F1169," ",""),"🗺 Google Maps"),"")</f>
        <v/>
      </c>
      <c r="H1169" s="8">
        <f>IF(F1169&lt;&gt;"",HYPERLINK("https://waze.com/ul?ll="&amp;SUBSTITUTE(F1169," ","")&amp;"&amp;navigate=yes","🚗 Waze"),"")</f>
        <v/>
      </c>
      <c r="I1169" s="8">
        <f>IF(F1169&lt;&gt;"",HYPERLINK("https://m.uber.com/ul/?action=setPickup&amp;pickup=my_location&amp;dropoff[latitude]="&amp;LEFT(SUBSTITUTE(F1169," ",""),FIND(",",SUBSTITUTE(F1169," ",""))-1)&amp;"&amp;dropoff[longitude]="&amp;MID(SUBSTITUTE(F1169," ",""),FIND(",",SUBSTITUTE(F1169," ",""))+1,99),"🚕 Uber"),"")</f>
        <v/>
      </c>
      <c r="J1169" s="8">
        <f>IF(F1169&lt;&gt;"","https://api.qrserver.com/v1/create-qr-code/?size=200x200&amp;data="&amp;ENCODEURL("https://www.google.com/maps/search/?api=1&amp;query="&amp;SUBSTITUTE(F1169," ","")),"")</f>
        <v/>
      </c>
      <c r="K1169" s="8">
        <f>IF(C1169&lt;&gt;"",HYPERLINK("https://wa.me/507"&amp;REGEXREPLACE(C1169,"[^0-9]","")&amp;"?text="&amp;ENCODEURL("Ya llegue. Codigo: "&amp;A1169&amp;". Ubicacion: "&amp;"https://www.google.com/maps/search/?api=1&amp;query="&amp;SUBSTITUTE(F1169," ","")),"📲 Avisar al cliente"),"")</f>
        <v/>
      </c>
      <c r="L1169" s="8">
        <f>IF(C1169&lt;&gt;"","https://api.qrserver.com/v1/create-qr-code/?size=200x200&amp;data="&amp;ENCODEURL("https://wa.me/507"&amp;REGEXREPLACE(C1169,"[^0-9]","")&amp;"?text="&amp;ENCODEURL("Ya llegue. Codigo: "&amp;A1169&amp;". Ubicacion: "&amp;"https://www.google.com/maps/search/?api=1&amp;query="&amp;SUBSTITUTE(F1169," ",""))),"")</f>
        <v/>
      </c>
      <c r="M1169" s="8">
        <f>IF(B1169&lt;&gt;"",TODAY(),"")</f>
        <v/>
      </c>
      <c r="N1169" s="8">
        <f>IF(F1169&lt;&gt;"",IFERROR(IF(AND(REGEXMATCH(SUBSTITUTE(TRIM(F1169)," ",""),"^-?\d+(\.\d+)?,-?\d+(\.\d+)?$"),VALUE(REGEXEXTRACT(SUBSTITUTE(TRIM(F1169)," ",""),"^-?\d+(\.\d+)?"))&gt;=-90,VALUE(REGEXEXTRACT(SUBSTITUTE(TRIM(F1169)," ",""),"^-?\d+(\.\d+)?"))&lt;=90,VALUE(REGEXEXTRACT(SUBSTITUTE(TRIM(F1169)," ",""),"-?\d+(\.\d+)?$"))&gt;=-180,VALUE(REGEXEXTRACT(SUBSTITUTE(TRIM(F1169)," ",""),"-?\d+(\.\d+)?$"))&lt;=180),"OK","REVISAR"),"REVISAR"),"")</f>
        <v/>
      </c>
      <c r="O1169">
        <f>IF(A1169&lt;&gt;"","https://direcciones507.github.io/direcciones507/panel.html?codigo="&amp;A1169&amp;"&amp;nombre="&amp;ENCODEURL(B1169)&amp;"&amp;telefono="&amp;SUBSTITUTE(C1169,"-","")&amp;"&amp;referencia="&amp;ENCODEURL(E1169)&amp;"&amp;lat="&amp;IZQUIERDA(SUBSTITUTE(F1169," ",""),ENCONTRAR(",",SUBSTITUTE(F1169," ",""))-1)&amp;"&amp;lng="&amp;DERECHA(SUBSTITUTE(F1169," ",""),LARGO(SUBSTITUTE(F1169," ",""))-ENCONTRAR(",",SUBSTITUTE(F1169," ",""))),"")</f>
        <v/>
      </c>
    </row>
    <row r="1170" ht="15.75" customHeight="1" s="10">
      <c r="A1170" s="8">
        <f>CONCAT("AD507-",TEXT(ROW()-2,"0000"))</f>
        <v/>
      </c>
      <c r="C1170" s="8" t="n"/>
      <c r="F1170" s="8" t="n"/>
      <c r="G1170" s="8">
        <f>IF(F1170&lt;&gt;"",HYPERLINK("https://www.google.com/maps/search/?api=1&amp;query="&amp;SUBSTITUTE(F1170," ",""),"🗺 Google Maps"),"")</f>
        <v/>
      </c>
      <c r="H1170" s="8">
        <f>IF(F1170&lt;&gt;"",HYPERLINK("https://waze.com/ul?ll="&amp;SUBSTITUTE(F1170," ","")&amp;"&amp;navigate=yes","🚗 Waze"),"")</f>
        <v/>
      </c>
      <c r="I1170" s="8">
        <f>IF(F1170&lt;&gt;"",HYPERLINK("https://m.uber.com/ul/?action=setPickup&amp;pickup=my_location&amp;dropoff[latitude]="&amp;LEFT(SUBSTITUTE(F1170," ",""),FIND(",",SUBSTITUTE(F1170," ",""))-1)&amp;"&amp;dropoff[longitude]="&amp;MID(SUBSTITUTE(F1170," ",""),FIND(",",SUBSTITUTE(F1170," ",""))+1,99),"🚕 Uber"),"")</f>
        <v/>
      </c>
      <c r="J1170" s="8">
        <f>IF(F1170&lt;&gt;"","https://api.qrserver.com/v1/create-qr-code/?size=200x200&amp;data="&amp;ENCODEURL("https://www.google.com/maps/search/?api=1&amp;query="&amp;SUBSTITUTE(F1170," ","")),"")</f>
        <v/>
      </c>
      <c r="K1170" s="8">
        <f>IF(C1170&lt;&gt;"",HYPERLINK("https://wa.me/507"&amp;REGEXREPLACE(C1170,"[^0-9]","")&amp;"?text="&amp;ENCODEURL("Ya llegue. Codigo: "&amp;A1170&amp;". Ubicacion: "&amp;"https://www.google.com/maps/search/?api=1&amp;query="&amp;SUBSTITUTE(F1170," ","")),"📲 Avisar al cliente"),"")</f>
        <v/>
      </c>
      <c r="L1170" s="8">
        <f>IF(C1170&lt;&gt;"","https://api.qrserver.com/v1/create-qr-code/?size=200x200&amp;data="&amp;ENCODEURL("https://wa.me/507"&amp;REGEXREPLACE(C1170,"[^0-9]","")&amp;"?text="&amp;ENCODEURL("Ya llegue. Codigo: "&amp;A1170&amp;". Ubicacion: "&amp;"https://www.google.com/maps/search/?api=1&amp;query="&amp;SUBSTITUTE(F1170," ",""))),"")</f>
        <v/>
      </c>
      <c r="M1170" s="8">
        <f>IF(B1170&lt;&gt;"",TODAY(),"")</f>
        <v/>
      </c>
      <c r="N1170" s="8">
        <f>IF(F1170&lt;&gt;"",IFERROR(IF(AND(REGEXMATCH(SUBSTITUTE(TRIM(F1170)," ",""),"^-?\d+(\.\d+)?,-?\d+(\.\d+)?$"),VALUE(REGEXEXTRACT(SUBSTITUTE(TRIM(F1170)," ",""),"^-?\d+(\.\d+)?"))&gt;=-90,VALUE(REGEXEXTRACT(SUBSTITUTE(TRIM(F1170)," ",""),"^-?\d+(\.\d+)?"))&lt;=90,VALUE(REGEXEXTRACT(SUBSTITUTE(TRIM(F1170)," ",""),"-?\d+(\.\d+)?$"))&gt;=-180,VALUE(REGEXEXTRACT(SUBSTITUTE(TRIM(F1170)," ",""),"-?\d+(\.\d+)?$"))&lt;=180),"OK","REVISAR"),"REVISAR"),"")</f>
        <v/>
      </c>
      <c r="O1170">
        <f>IF(A1170&lt;&gt;"","https://direcciones507.github.io/direcciones507/panel.html?codigo="&amp;A1170&amp;"&amp;nombre="&amp;ENCODEURL(B1170)&amp;"&amp;telefono="&amp;SUBSTITUTE(C1170,"-","")&amp;"&amp;referencia="&amp;ENCODEURL(E1170)&amp;"&amp;lat="&amp;IZQUIERDA(SUBSTITUTE(F1170," ",""),ENCONTRAR(",",SUBSTITUTE(F1170," ",""))-1)&amp;"&amp;lng="&amp;DERECHA(SUBSTITUTE(F1170," ",""),LARGO(SUBSTITUTE(F1170," ",""))-ENCONTRAR(",",SUBSTITUTE(F1170," ",""))),"")</f>
        <v/>
      </c>
    </row>
    <row r="1171" ht="15.75" customHeight="1" s="10">
      <c r="A1171" s="8">
        <f>CONCAT("AD507-",TEXT(ROW()-2,"0000"))</f>
        <v/>
      </c>
      <c r="C1171" s="8" t="n"/>
      <c r="F1171" s="8" t="n"/>
      <c r="G1171" s="8">
        <f>IF(F1171&lt;&gt;"",HYPERLINK("https://www.google.com/maps/search/?api=1&amp;query="&amp;SUBSTITUTE(F1171," ",""),"🗺 Google Maps"),"")</f>
        <v/>
      </c>
      <c r="H1171" s="8">
        <f>IF(F1171&lt;&gt;"",HYPERLINK("https://waze.com/ul?ll="&amp;SUBSTITUTE(F1171," ","")&amp;"&amp;navigate=yes","🚗 Waze"),"")</f>
        <v/>
      </c>
      <c r="I1171" s="8">
        <f>IF(F1171&lt;&gt;"",HYPERLINK("https://m.uber.com/ul/?action=setPickup&amp;pickup=my_location&amp;dropoff[latitude]="&amp;LEFT(SUBSTITUTE(F1171," ",""),FIND(",",SUBSTITUTE(F1171," ",""))-1)&amp;"&amp;dropoff[longitude]="&amp;MID(SUBSTITUTE(F1171," ",""),FIND(",",SUBSTITUTE(F1171," ",""))+1,99),"🚕 Uber"),"")</f>
        <v/>
      </c>
      <c r="J1171" s="8">
        <f>IF(F1171&lt;&gt;"","https://api.qrserver.com/v1/create-qr-code/?size=200x200&amp;data="&amp;ENCODEURL("https://www.google.com/maps/search/?api=1&amp;query="&amp;SUBSTITUTE(F1171," ","")),"")</f>
        <v/>
      </c>
      <c r="K1171" s="8">
        <f>IF(C1171&lt;&gt;"",HYPERLINK("https://wa.me/507"&amp;REGEXREPLACE(C1171,"[^0-9]","")&amp;"?text="&amp;ENCODEURL("Ya llegue. Codigo: "&amp;A1171&amp;". Ubicacion: "&amp;"https://www.google.com/maps/search/?api=1&amp;query="&amp;SUBSTITUTE(F1171," ","")),"📲 Avisar al cliente"),"")</f>
        <v/>
      </c>
      <c r="L1171" s="8">
        <f>IF(C1171&lt;&gt;"","https://api.qrserver.com/v1/create-qr-code/?size=200x200&amp;data="&amp;ENCODEURL("https://wa.me/507"&amp;REGEXREPLACE(C1171,"[^0-9]","")&amp;"?text="&amp;ENCODEURL("Ya llegue. Codigo: "&amp;A1171&amp;". Ubicacion: "&amp;"https://www.google.com/maps/search/?api=1&amp;query="&amp;SUBSTITUTE(F1171," ",""))),"")</f>
        <v/>
      </c>
      <c r="M1171" s="8">
        <f>IF(B1171&lt;&gt;"",TODAY(),"")</f>
        <v/>
      </c>
      <c r="N1171" s="8">
        <f>IF(F1171&lt;&gt;"",IFERROR(IF(AND(REGEXMATCH(SUBSTITUTE(TRIM(F1171)," ",""),"^-?\d+(\.\d+)?,-?\d+(\.\d+)?$"),VALUE(REGEXEXTRACT(SUBSTITUTE(TRIM(F1171)," ",""),"^-?\d+(\.\d+)?"))&gt;=-90,VALUE(REGEXEXTRACT(SUBSTITUTE(TRIM(F1171)," ",""),"^-?\d+(\.\d+)?"))&lt;=90,VALUE(REGEXEXTRACT(SUBSTITUTE(TRIM(F1171)," ",""),"-?\d+(\.\d+)?$"))&gt;=-180,VALUE(REGEXEXTRACT(SUBSTITUTE(TRIM(F1171)," ",""),"-?\d+(\.\d+)?$"))&lt;=180),"OK","REVISAR"),"REVISAR"),"")</f>
        <v/>
      </c>
      <c r="O1171">
        <f>IF(A1171&lt;&gt;"","https://direcciones507.github.io/direcciones507/panel.html?codigo="&amp;A1171&amp;"&amp;nombre="&amp;ENCODEURL(B1171)&amp;"&amp;telefono="&amp;SUBSTITUTE(C1171,"-","")&amp;"&amp;referencia="&amp;ENCODEURL(E1171)&amp;"&amp;lat="&amp;IZQUIERDA(SUBSTITUTE(F1171," ",""),ENCONTRAR(",",SUBSTITUTE(F1171," ",""))-1)&amp;"&amp;lng="&amp;DERECHA(SUBSTITUTE(F1171," ",""),LARGO(SUBSTITUTE(F1171," ",""))-ENCONTRAR(",",SUBSTITUTE(F1171," ",""))),"")</f>
        <v/>
      </c>
    </row>
    <row r="1172" ht="15.75" customHeight="1" s="10">
      <c r="A1172" s="8">
        <f>CONCAT("AD507-",TEXT(ROW()-2,"0000"))</f>
        <v/>
      </c>
      <c r="C1172" s="8" t="n"/>
      <c r="F1172" s="8" t="n"/>
      <c r="G1172" s="8">
        <f>IF(F1172&lt;&gt;"",HYPERLINK("https://www.google.com/maps/search/?api=1&amp;query="&amp;SUBSTITUTE(F1172," ",""),"🗺 Google Maps"),"")</f>
        <v/>
      </c>
      <c r="H1172" s="8">
        <f>IF(F1172&lt;&gt;"",HYPERLINK("https://waze.com/ul?ll="&amp;SUBSTITUTE(F1172," ","")&amp;"&amp;navigate=yes","🚗 Waze"),"")</f>
        <v/>
      </c>
      <c r="I1172" s="8">
        <f>IF(F1172&lt;&gt;"",HYPERLINK("https://m.uber.com/ul/?action=setPickup&amp;pickup=my_location&amp;dropoff[latitude]="&amp;LEFT(SUBSTITUTE(F1172," ",""),FIND(",",SUBSTITUTE(F1172," ",""))-1)&amp;"&amp;dropoff[longitude]="&amp;MID(SUBSTITUTE(F1172," ",""),FIND(",",SUBSTITUTE(F1172," ",""))+1,99),"🚕 Uber"),"")</f>
        <v/>
      </c>
      <c r="J1172" s="8">
        <f>IF(F1172&lt;&gt;"","https://api.qrserver.com/v1/create-qr-code/?size=200x200&amp;data="&amp;ENCODEURL("https://www.google.com/maps/search/?api=1&amp;query="&amp;SUBSTITUTE(F1172," ","")),"")</f>
        <v/>
      </c>
      <c r="K1172" s="8">
        <f>IF(C1172&lt;&gt;"",HYPERLINK("https://wa.me/507"&amp;REGEXREPLACE(C1172,"[^0-9]","")&amp;"?text="&amp;ENCODEURL("Ya llegue. Codigo: "&amp;A1172&amp;". Ubicacion: "&amp;"https://www.google.com/maps/search/?api=1&amp;query="&amp;SUBSTITUTE(F1172," ","")),"📲 Avisar al cliente"),"")</f>
        <v/>
      </c>
      <c r="L1172" s="8">
        <f>IF(C1172&lt;&gt;"","https://api.qrserver.com/v1/create-qr-code/?size=200x200&amp;data="&amp;ENCODEURL("https://wa.me/507"&amp;REGEXREPLACE(C1172,"[^0-9]","")&amp;"?text="&amp;ENCODEURL("Ya llegue. Codigo: "&amp;A1172&amp;". Ubicacion: "&amp;"https://www.google.com/maps/search/?api=1&amp;query="&amp;SUBSTITUTE(F1172," ",""))),"")</f>
        <v/>
      </c>
      <c r="M1172" s="8">
        <f>IF(B1172&lt;&gt;"",TODAY(),"")</f>
        <v/>
      </c>
      <c r="N1172" s="8">
        <f>IF(F1172&lt;&gt;"",IFERROR(IF(AND(REGEXMATCH(SUBSTITUTE(TRIM(F1172)," ",""),"^-?\d+(\.\d+)?,-?\d+(\.\d+)?$"),VALUE(REGEXEXTRACT(SUBSTITUTE(TRIM(F1172)," ",""),"^-?\d+(\.\d+)?"))&gt;=-90,VALUE(REGEXEXTRACT(SUBSTITUTE(TRIM(F1172)," ",""),"^-?\d+(\.\d+)?"))&lt;=90,VALUE(REGEXEXTRACT(SUBSTITUTE(TRIM(F1172)," ",""),"-?\d+(\.\d+)?$"))&gt;=-180,VALUE(REGEXEXTRACT(SUBSTITUTE(TRIM(F1172)," ",""),"-?\d+(\.\d+)?$"))&lt;=180),"OK","REVISAR"),"REVISAR"),"")</f>
        <v/>
      </c>
      <c r="O1172">
        <f>IF(A1172&lt;&gt;"","https://direcciones507.github.io/direcciones507/panel.html?codigo="&amp;A1172&amp;"&amp;nombre="&amp;ENCODEURL(B1172)&amp;"&amp;telefono="&amp;SUBSTITUTE(C1172,"-","")&amp;"&amp;referencia="&amp;ENCODEURL(E1172)&amp;"&amp;lat="&amp;IZQUIERDA(SUBSTITUTE(F1172," ",""),ENCONTRAR(",",SUBSTITUTE(F1172," ",""))-1)&amp;"&amp;lng="&amp;DERECHA(SUBSTITUTE(F1172," ",""),LARGO(SUBSTITUTE(F1172," ",""))-ENCONTRAR(",",SUBSTITUTE(F1172," ",""))),"")</f>
        <v/>
      </c>
    </row>
    <row r="1173" ht="15.75" customHeight="1" s="10">
      <c r="A1173" s="8">
        <f>CONCAT("AD507-",TEXT(ROW()-2,"0000"))</f>
        <v/>
      </c>
      <c r="C1173" s="8" t="n"/>
      <c r="F1173" s="8" t="n"/>
      <c r="G1173" s="8">
        <f>IF(F1173&lt;&gt;"",HYPERLINK("https://www.google.com/maps/search/?api=1&amp;query="&amp;SUBSTITUTE(F1173," ",""),"🗺 Google Maps"),"")</f>
        <v/>
      </c>
      <c r="H1173" s="8">
        <f>IF(F1173&lt;&gt;"",HYPERLINK("https://waze.com/ul?ll="&amp;SUBSTITUTE(F1173," ","")&amp;"&amp;navigate=yes","🚗 Waze"),"")</f>
        <v/>
      </c>
      <c r="I1173" s="8">
        <f>IF(F1173&lt;&gt;"",HYPERLINK("https://m.uber.com/ul/?action=setPickup&amp;pickup=my_location&amp;dropoff[latitude]="&amp;LEFT(SUBSTITUTE(F1173," ",""),FIND(",",SUBSTITUTE(F1173," ",""))-1)&amp;"&amp;dropoff[longitude]="&amp;MID(SUBSTITUTE(F1173," ",""),FIND(",",SUBSTITUTE(F1173," ",""))+1,99),"🚕 Uber"),"")</f>
        <v/>
      </c>
      <c r="J1173" s="8">
        <f>IF(F1173&lt;&gt;"","https://api.qrserver.com/v1/create-qr-code/?size=200x200&amp;data="&amp;ENCODEURL("https://www.google.com/maps/search/?api=1&amp;query="&amp;SUBSTITUTE(F1173," ","")),"")</f>
        <v/>
      </c>
      <c r="K1173" s="8">
        <f>IF(C1173&lt;&gt;"",HYPERLINK("https://wa.me/507"&amp;REGEXREPLACE(C1173,"[^0-9]","")&amp;"?text="&amp;ENCODEURL("Ya llegue. Codigo: "&amp;A1173&amp;". Ubicacion: "&amp;"https://www.google.com/maps/search/?api=1&amp;query="&amp;SUBSTITUTE(F1173," ","")),"📲 Avisar al cliente"),"")</f>
        <v/>
      </c>
      <c r="L1173" s="8">
        <f>IF(C1173&lt;&gt;"","https://api.qrserver.com/v1/create-qr-code/?size=200x200&amp;data="&amp;ENCODEURL("https://wa.me/507"&amp;REGEXREPLACE(C1173,"[^0-9]","")&amp;"?text="&amp;ENCODEURL("Ya llegue. Codigo: "&amp;A1173&amp;". Ubicacion: "&amp;"https://www.google.com/maps/search/?api=1&amp;query="&amp;SUBSTITUTE(F1173," ",""))),"")</f>
        <v/>
      </c>
      <c r="M1173" s="8">
        <f>IF(B1173&lt;&gt;"",TODAY(),"")</f>
        <v/>
      </c>
      <c r="N1173" s="8">
        <f>IF(F1173&lt;&gt;"",IFERROR(IF(AND(REGEXMATCH(SUBSTITUTE(TRIM(F1173)," ",""),"^-?\d+(\.\d+)?,-?\d+(\.\d+)?$"),VALUE(REGEXEXTRACT(SUBSTITUTE(TRIM(F1173)," ",""),"^-?\d+(\.\d+)?"))&gt;=-90,VALUE(REGEXEXTRACT(SUBSTITUTE(TRIM(F1173)," ",""),"^-?\d+(\.\d+)?"))&lt;=90,VALUE(REGEXEXTRACT(SUBSTITUTE(TRIM(F1173)," ",""),"-?\d+(\.\d+)?$"))&gt;=-180,VALUE(REGEXEXTRACT(SUBSTITUTE(TRIM(F1173)," ",""),"-?\d+(\.\d+)?$"))&lt;=180),"OK","REVISAR"),"REVISAR"),"")</f>
        <v/>
      </c>
      <c r="O1173">
        <f>IF(A1173&lt;&gt;"","https://direcciones507.github.io/direcciones507/panel.html?codigo="&amp;A1173&amp;"&amp;nombre="&amp;ENCODEURL(B1173)&amp;"&amp;telefono="&amp;SUBSTITUTE(C1173,"-","")&amp;"&amp;referencia="&amp;ENCODEURL(E1173)&amp;"&amp;lat="&amp;IZQUIERDA(SUBSTITUTE(F1173," ",""),ENCONTRAR(",",SUBSTITUTE(F1173," ",""))-1)&amp;"&amp;lng="&amp;DERECHA(SUBSTITUTE(F1173," ",""),LARGO(SUBSTITUTE(F1173," ",""))-ENCONTRAR(",",SUBSTITUTE(F1173," ",""))),"")</f>
        <v/>
      </c>
    </row>
    <row r="1174" ht="15.75" customHeight="1" s="10">
      <c r="A1174" s="8">
        <f>CONCAT("AD507-",TEXT(ROW()-2,"0000"))</f>
        <v/>
      </c>
      <c r="C1174" s="8" t="n"/>
      <c r="F1174" s="8" t="n"/>
      <c r="G1174" s="8">
        <f>IF(F1174&lt;&gt;"",HYPERLINK("https://www.google.com/maps/search/?api=1&amp;query="&amp;SUBSTITUTE(F1174," ",""),"🗺 Google Maps"),"")</f>
        <v/>
      </c>
      <c r="H1174" s="8">
        <f>IF(F1174&lt;&gt;"",HYPERLINK("https://waze.com/ul?ll="&amp;SUBSTITUTE(F1174," ","")&amp;"&amp;navigate=yes","🚗 Waze"),"")</f>
        <v/>
      </c>
      <c r="I1174" s="8">
        <f>IF(F1174&lt;&gt;"",HYPERLINK("https://m.uber.com/ul/?action=setPickup&amp;pickup=my_location&amp;dropoff[latitude]="&amp;LEFT(SUBSTITUTE(F1174," ",""),FIND(",",SUBSTITUTE(F1174," ",""))-1)&amp;"&amp;dropoff[longitude]="&amp;MID(SUBSTITUTE(F1174," ",""),FIND(",",SUBSTITUTE(F1174," ",""))+1,99),"🚕 Uber"),"")</f>
        <v/>
      </c>
      <c r="J1174" s="8">
        <f>IF(F1174&lt;&gt;"","https://api.qrserver.com/v1/create-qr-code/?size=200x200&amp;data="&amp;ENCODEURL("https://www.google.com/maps/search/?api=1&amp;query="&amp;SUBSTITUTE(F1174," ","")),"")</f>
        <v/>
      </c>
      <c r="K1174" s="8">
        <f>IF(C1174&lt;&gt;"",HYPERLINK("https://wa.me/507"&amp;REGEXREPLACE(C1174,"[^0-9]","")&amp;"?text="&amp;ENCODEURL("Ya llegue. Codigo: "&amp;A1174&amp;". Ubicacion: "&amp;"https://www.google.com/maps/search/?api=1&amp;query="&amp;SUBSTITUTE(F1174," ","")),"📲 Avisar al cliente"),"")</f>
        <v/>
      </c>
      <c r="L1174" s="8">
        <f>IF(C1174&lt;&gt;"","https://api.qrserver.com/v1/create-qr-code/?size=200x200&amp;data="&amp;ENCODEURL("https://wa.me/507"&amp;REGEXREPLACE(C1174,"[^0-9]","")&amp;"?text="&amp;ENCODEURL("Ya llegue. Codigo: "&amp;A1174&amp;". Ubicacion: "&amp;"https://www.google.com/maps/search/?api=1&amp;query="&amp;SUBSTITUTE(F1174," ",""))),"")</f>
        <v/>
      </c>
      <c r="M1174" s="8">
        <f>IF(B1174&lt;&gt;"",TODAY(),"")</f>
        <v/>
      </c>
      <c r="N1174" s="8">
        <f>IF(F1174&lt;&gt;"",IFERROR(IF(AND(REGEXMATCH(SUBSTITUTE(TRIM(F1174)," ",""),"^-?\d+(\.\d+)?,-?\d+(\.\d+)?$"),VALUE(REGEXEXTRACT(SUBSTITUTE(TRIM(F1174)," ",""),"^-?\d+(\.\d+)?"))&gt;=-90,VALUE(REGEXEXTRACT(SUBSTITUTE(TRIM(F1174)," ",""),"^-?\d+(\.\d+)?"))&lt;=90,VALUE(REGEXEXTRACT(SUBSTITUTE(TRIM(F1174)," ",""),"-?\d+(\.\d+)?$"))&gt;=-180,VALUE(REGEXEXTRACT(SUBSTITUTE(TRIM(F1174)," ",""),"-?\d+(\.\d+)?$"))&lt;=180),"OK","REVISAR"),"REVISAR"),"")</f>
        <v/>
      </c>
      <c r="O1174">
        <f>IF(A1174&lt;&gt;"","https://direcciones507.github.io/direcciones507/panel.html?codigo="&amp;A1174&amp;"&amp;nombre="&amp;ENCODEURL(B1174)&amp;"&amp;telefono="&amp;SUBSTITUTE(C1174,"-","")&amp;"&amp;referencia="&amp;ENCODEURL(E1174)&amp;"&amp;lat="&amp;IZQUIERDA(SUBSTITUTE(F1174," ",""),ENCONTRAR(",",SUBSTITUTE(F1174," ",""))-1)&amp;"&amp;lng="&amp;DERECHA(SUBSTITUTE(F1174," ",""),LARGO(SUBSTITUTE(F1174," ",""))-ENCONTRAR(",",SUBSTITUTE(F1174," ",""))),"")</f>
        <v/>
      </c>
    </row>
    <row r="1175" ht="15.75" customHeight="1" s="10">
      <c r="A1175" s="8">
        <f>CONCAT("AD507-",TEXT(ROW()-2,"0000"))</f>
        <v/>
      </c>
      <c r="C1175" s="8" t="n"/>
      <c r="F1175" s="8" t="n"/>
      <c r="G1175" s="8">
        <f>IF(F1175&lt;&gt;"",HYPERLINK("https://www.google.com/maps/search/?api=1&amp;query="&amp;SUBSTITUTE(F1175," ",""),"🗺 Google Maps"),"")</f>
        <v/>
      </c>
      <c r="H1175" s="8">
        <f>IF(F1175&lt;&gt;"",HYPERLINK("https://waze.com/ul?ll="&amp;SUBSTITUTE(F1175," ","")&amp;"&amp;navigate=yes","🚗 Waze"),"")</f>
        <v/>
      </c>
      <c r="I1175" s="8">
        <f>IF(F1175&lt;&gt;"",HYPERLINK("https://m.uber.com/ul/?action=setPickup&amp;pickup=my_location&amp;dropoff[latitude]="&amp;LEFT(SUBSTITUTE(F1175," ",""),FIND(",",SUBSTITUTE(F1175," ",""))-1)&amp;"&amp;dropoff[longitude]="&amp;MID(SUBSTITUTE(F1175," ",""),FIND(",",SUBSTITUTE(F1175," ",""))+1,99),"🚕 Uber"),"")</f>
        <v/>
      </c>
      <c r="J1175" s="8">
        <f>IF(F1175&lt;&gt;"","https://api.qrserver.com/v1/create-qr-code/?size=200x200&amp;data="&amp;ENCODEURL("https://www.google.com/maps/search/?api=1&amp;query="&amp;SUBSTITUTE(F1175," ","")),"")</f>
        <v/>
      </c>
      <c r="K1175" s="8">
        <f>IF(C1175&lt;&gt;"",HYPERLINK("https://wa.me/507"&amp;REGEXREPLACE(C1175,"[^0-9]","")&amp;"?text="&amp;ENCODEURL("Ya llegue. Codigo: "&amp;A1175&amp;". Ubicacion: "&amp;"https://www.google.com/maps/search/?api=1&amp;query="&amp;SUBSTITUTE(F1175," ","")),"📲 Avisar al cliente"),"")</f>
        <v/>
      </c>
      <c r="L1175" s="8">
        <f>IF(C1175&lt;&gt;"","https://api.qrserver.com/v1/create-qr-code/?size=200x200&amp;data="&amp;ENCODEURL("https://wa.me/507"&amp;REGEXREPLACE(C1175,"[^0-9]","")&amp;"?text="&amp;ENCODEURL("Ya llegue. Codigo: "&amp;A1175&amp;". Ubicacion: "&amp;"https://www.google.com/maps/search/?api=1&amp;query="&amp;SUBSTITUTE(F1175," ",""))),"")</f>
        <v/>
      </c>
      <c r="M1175" s="8">
        <f>IF(B1175&lt;&gt;"",TODAY(),"")</f>
        <v/>
      </c>
      <c r="N1175" s="8">
        <f>IF(F1175&lt;&gt;"",IFERROR(IF(AND(REGEXMATCH(SUBSTITUTE(TRIM(F1175)," ",""),"^-?\d+(\.\d+)?,-?\d+(\.\d+)?$"),VALUE(REGEXEXTRACT(SUBSTITUTE(TRIM(F1175)," ",""),"^-?\d+(\.\d+)?"))&gt;=-90,VALUE(REGEXEXTRACT(SUBSTITUTE(TRIM(F1175)," ",""),"^-?\d+(\.\d+)?"))&lt;=90,VALUE(REGEXEXTRACT(SUBSTITUTE(TRIM(F1175)," ",""),"-?\d+(\.\d+)?$"))&gt;=-180,VALUE(REGEXEXTRACT(SUBSTITUTE(TRIM(F1175)," ",""),"-?\d+(\.\d+)?$"))&lt;=180),"OK","REVISAR"),"REVISAR"),"")</f>
        <v/>
      </c>
      <c r="O1175">
        <f>IF(A1175&lt;&gt;"","https://direcciones507.github.io/direcciones507/panel.html?codigo="&amp;A1175&amp;"&amp;nombre="&amp;ENCODEURL(B1175)&amp;"&amp;telefono="&amp;SUBSTITUTE(C1175,"-","")&amp;"&amp;referencia="&amp;ENCODEURL(E1175)&amp;"&amp;lat="&amp;IZQUIERDA(SUBSTITUTE(F1175," ",""),ENCONTRAR(",",SUBSTITUTE(F1175," ",""))-1)&amp;"&amp;lng="&amp;DERECHA(SUBSTITUTE(F1175," ",""),LARGO(SUBSTITUTE(F1175," ",""))-ENCONTRAR(",",SUBSTITUTE(F1175," ",""))),"")</f>
        <v/>
      </c>
    </row>
    <row r="1176" ht="15.75" customHeight="1" s="10">
      <c r="A1176" s="8">
        <f>CONCAT("AD507-",TEXT(ROW()-2,"0000"))</f>
        <v/>
      </c>
      <c r="C1176" s="8" t="n"/>
      <c r="F1176" s="8" t="n"/>
      <c r="G1176" s="8">
        <f>IF(F1176&lt;&gt;"",HYPERLINK("https://www.google.com/maps/search/?api=1&amp;query="&amp;SUBSTITUTE(F1176," ",""),"🗺 Google Maps"),"")</f>
        <v/>
      </c>
      <c r="H1176" s="8">
        <f>IF(F1176&lt;&gt;"",HYPERLINK("https://waze.com/ul?ll="&amp;SUBSTITUTE(F1176," ","")&amp;"&amp;navigate=yes","🚗 Waze"),"")</f>
        <v/>
      </c>
      <c r="I1176" s="8">
        <f>IF(F1176&lt;&gt;"",HYPERLINK("https://m.uber.com/ul/?action=setPickup&amp;pickup=my_location&amp;dropoff[latitude]="&amp;LEFT(SUBSTITUTE(F1176," ",""),FIND(",",SUBSTITUTE(F1176," ",""))-1)&amp;"&amp;dropoff[longitude]="&amp;MID(SUBSTITUTE(F1176," ",""),FIND(",",SUBSTITUTE(F1176," ",""))+1,99),"🚕 Uber"),"")</f>
        <v/>
      </c>
      <c r="J1176" s="8">
        <f>IF(F1176&lt;&gt;"","https://api.qrserver.com/v1/create-qr-code/?size=200x200&amp;data="&amp;ENCODEURL("https://www.google.com/maps/search/?api=1&amp;query="&amp;SUBSTITUTE(F1176," ","")),"")</f>
        <v/>
      </c>
      <c r="K1176" s="8">
        <f>IF(C1176&lt;&gt;"",HYPERLINK("https://wa.me/507"&amp;REGEXREPLACE(C1176,"[^0-9]","")&amp;"?text="&amp;ENCODEURL("Ya llegue. Codigo: "&amp;A1176&amp;". Ubicacion: "&amp;"https://www.google.com/maps/search/?api=1&amp;query="&amp;SUBSTITUTE(F1176," ","")),"📲 Avisar al cliente"),"")</f>
        <v/>
      </c>
      <c r="L1176" s="8">
        <f>IF(C1176&lt;&gt;"","https://api.qrserver.com/v1/create-qr-code/?size=200x200&amp;data="&amp;ENCODEURL("https://wa.me/507"&amp;REGEXREPLACE(C1176,"[^0-9]","")&amp;"?text="&amp;ENCODEURL("Ya llegue. Codigo: "&amp;A1176&amp;". Ubicacion: "&amp;"https://www.google.com/maps/search/?api=1&amp;query="&amp;SUBSTITUTE(F1176," ",""))),"")</f>
        <v/>
      </c>
      <c r="M1176" s="8">
        <f>IF(B1176&lt;&gt;"",TODAY(),"")</f>
        <v/>
      </c>
      <c r="N1176" s="8">
        <f>IF(F1176&lt;&gt;"",IFERROR(IF(AND(REGEXMATCH(SUBSTITUTE(TRIM(F1176)," ",""),"^-?\d+(\.\d+)?,-?\d+(\.\d+)?$"),VALUE(REGEXEXTRACT(SUBSTITUTE(TRIM(F1176)," ",""),"^-?\d+(\.\d+)?"))&gt;=-90,VALUE(REGEXEXTRACT(SUBSTITUTE(TRIM(F1176)," ",""),"^-?\d+(\.\d+)?"))&lt;=90,VALUE(REGEXEXTRACT(SUBSTITUTE(TRIM(F1176)," ",""),"-?\d+(\.\d+)?$"))&gt;=-180,VALUE(REGEXEXTRACT(SUBSTITUTE(TRIM(F1176)," ",""),"-?\d+(\.\d+)?$"))&lt;=180),"OK","REVISAR"),"REVISAR"),"")</f>
        <v/>
      </c>
      <c r="O1176">
        <f>IF(A1176&lt;&gt;"","https://direcciones507.github.io/direcciones507/panel.html?codigo="&amp;A1176&amp;"&amp;nombre="&amp;ENCODEURL(B1176)&amp;"&amp;telefono="&amp;SUBSTITUTE(C1176,"-","")&amp;"&amp;referencia="&amp;ENCODEURL(E1176)&amp;"&amp;lat="&amp;IZQUIERDA(SUBSTITUTE(F1176," ",""),ENCONTRAR(",",SUBSTITUTE(F1176," ",""))-1)&amp;"&amp;lng="&amp;DERECHA(SUBSTITUTE(F1176," ",""),LARGO(SUBSTITUTE(F1176," ",""))-ENCONTRAR(",",SUBSTITUTE(F1176," ",""))),"")</f>
        <v/>
      </c>
    </row>
    <row r="1177" ht="15.75" customHeight="1" s="10">
      <c r="A1177" s="8">
        <f>CONCAT("AD507-",TEXT(ROW()-2,"0000"))</f>
        <v/>
      </c>
      <c r="C1177" s="8" t="n"/>
      <c r="F1177" s="8" t="n"/>
      <c r="G1177" s="8">
        <f>IF(F1177&lt;&gt;"",HYPERLINK("https://www.google.com/maps/search/?api=1&amp;query="&amp;SUBSTITUTE(F1177," ",""),"🗺 Google Maps"),"")</f>
        <v/>
      </c>
      <c r="H1177" s="8">
        <f>IF(F1177&lt;&gt;"",HYPERLINK("https://waze.com/ul?ll="&amp;SUBSTITUTE(F1177," ","")&amp;"&amp;navigate=yes","🚗 Waze"),"")</f>
        <v/>
      </c>
      <c r="I1177" s="8">
        <f>IF(F1177&lt;&gt;"",HYPERLINK("https://m.uber.com/ul/?action=setPickup&amp;pickup=my_location&amp;dropoff[latitude]="&amp;LEFT(SUBSTITUTE(F1177," ",""),FIND(",",SUBSTITUTE(F1177," ",""))-1)&amp;"&amp;dropoff[longitude]="&amp;MID(SUBSTITUTE(F1177," ",""),FIND(",",SUBSTITUTE(F1177," ",""))+1,99),"🚕 Uber"),"")</f>
        <v/>
      </c>
      <c r="J1177" s="8">
        <f>IF(F1177&lt;&gt;"","https://api.qrserver.com/v1/create-qr-code/?size=200x200&amp;data="&amp;ENCODEURL("https://www.google.com/maps/search/?api=1&amp;query="&amp;SUBSTITUTE(F1177," ","")),"")</f>
        <v/>
      </c>
      <c r="K1177" s="8">
        <f>IF(C1177&lt;&gt;"",HYPERLINK("https://wa.me/507"&amp;REGEXREPLACE(C1177,"[^0-9]","")&amp;"?text="&amp;ENCODEURL("Ya llegue. Codigo: "&amp;A1177&amp;". Ubicacion: "&amp;"https://www.google.com/maps/search/?api=1&amp;query="&amp;SUBSTITUTE(F1177," ","")),"📲 Avisar al cliente"),"")</f>
        <v/>
      </c>
      <c r="L1177" s="8">
        <f>IF(C1177&lt;&gt;"","https://api.qrserver.com/v1/create-qr-code/?size=200x200&amp;data="&amp;ENCODEURL("https://wa.me/507"&amp;REGEXREPLACE(C1177,"[^0-9]","")&amp;"?text="&amp;ENCODEURL("Ya llegue. Codigo: "&amp;A1177&amp;". Ubicacion: "&amp;"https://www.google.com/maps/search/?api=1&amp;query="&amp;SUBSTITUTE(F1177," ",""))),"")</f>
        <v/>
      </c>
      <c r="M1177" s="8">
        <f>IF(B1177&lt;&gt;"",TODAY(),"")</f>
        <v/>
      </c>
      <c r="N1177" s="8">
        <f>IF(F1177&lt;&gt;"",IFERROR(IF(AND(REGEXMATCH(SUBSTITUTE(TRIM(F1177)," ",""),"^-?\d+(\.\d+)?,-?\d+(\.\d+)?$"),VALUE(REGEXEXTRACT(SUBSTITUTE(TRIM(F1177)," ",""),"^-?\d+(\.\d+)?"))&gt;=-90,VALUE(REGEXEXTRACT(SUBSTITUTE(TRIM(F1177)," ",""),"^-?\d+(\.\d+)?"))&lt;=90,VALUE(REGEXEXTRACT(SUBSTITUTE(TRIM(F1177)," ",""),"-?\d+(\.\d+)?$"))&gt;=-180,VALUE(REGEXEXTRACT(SUBSTITUTE(TRIM(F1177)," ",""),"-?\d+(\.\d+)?$"))&lt;=180),"OK","REVISAR"),"REVISAR"),"")</f>
        <v/>
      </c>
      <c r="O1177">
        <f>IF(A1177&lt;&gt;"","https://direcciones507.github.io/direcciones507/panel.html?codigo="&amp;A1177&amp;"&amp;nombre="&amp;ENCODEURL(B1177)&amp;"&amp;telefono="&amp;SUBSTITUTE(C1177,"-","")&amp;"&amp;referencia="&amp;ENCODEURL(E1177)&amp;"&amp;lat="&amp;IZQUIERDA(SUBSTITUTE(F1177," ",""),ENCONTRAR(",",SUBSTITUTE(F1177," ",""))-1)&amp;"&amp;lng="&amp;DERECHA(SUBSTITUTE(F1177," ",""),LARGO(SUBSTITUTE(F1177," ",""))-ENCONTRAR(",",SUBSTITUTE(F1177," ",""))),"")</f>
        <v/>
      </c>
    </row>
    <row r="1178" ht="15.75" customHeight="1" s="10">
      <c r="A1178" s="8">
        <f>CONCAT("AD507-",TEXT(ROW()-2,"0000"))</f>
        <v/>
      </c>
      <c r="C1178" s="8" t="n"/>
      <c r="F1178" s="8" t="n"/>
      <c r="G1178" s="8">
        <f>IF(F1178&lt;&gt;"",HYPERLINK("https://www.google.com/maps/search/?api=1&amp;query="&amp;SUBSTITUTE(F1178," ",""),"🗺 Google Maps"),"")</f>
        <v/>
      </c>
      <c r="H1178" s="8">
        <f>IF(F1178&lt;&gt;"",HYPERLINK("https://waze.com/ul?ll="&amp;SUBSTITUTE(F1178," ","")&amp;"&amp;navigate=yes","🚗 Waze"),"")</f>
        <v/>
      </c>
      <c r="I1178" s="8">
        <f>IF(F1178&lt;&gt;"",HYPERLINK("https://m.uber.com/ul/?action=setPickup&amp;pickup=my_location&amp;dropoff[latitude]="&amp;LEFT(SUBSTITUTE(F1178," ",""),FIND(",",SUBSTITUTE(F1178," ",""))-1)&amp;"&amp;dropoff[longitude]="&amp;MID(SUBSTITUTE(F1178," ",""),FIND(",",SUBSTITUTE(F1178," ",""))+1,99),"🚕 Uber"),"")</f>
        <v/>
      </c>
      <c r="J1178" s="8">
        <f>IF(F1178&lt;&gt;"","https://api.qrserver.com/v1/create-qr-code/?size=200x200&amp;data="&amp;ENCODEURL("https://www.google.com/maps/search/?api=1&amp;query="&amp;SUBSTITUTE(F1178," ","")),"")</f>
        <v/>
      </c>
      <c r="K1178" s="8">
        <f>IF(C1178&lt;&gt;"",HYPERLINK("https://wa.me/507"&amp;REGEXREPLACE(C1178,"[^0-9]","")&amp;"?text="&amp;ENCODEURL("Ya llegue. Codigo: "&amp;A1178&amp;". Ubicacion: "&amp;"https://www.google.com/maps/search/?api=1&amp;query="&amp;SUBSTITUTE(F1178," ","")),"📲 Avisar al cliente"),"")</f>
        <v/>
      </c>
      <c r="L1178" s="8">
        <f>IF(C1178&lt;&gt;"","https://api.qrserver.com/v1/create-qr-code/?size=200x200&amp;data="&amp;ENCODEURL("https://wa.me/507"&amp;REGEXREPLACE(C1178,"[^0-9]","")&amp;"?text="&amp;ENCODEURL("Ya llegue. Codigo: "&amp;A1178&amp;". Ubicacion: "&amp;"https://www.google.com/maps/search/?api=1&amp;query="&amp;SUBSTITUTE(F1178," ",""))),"")</f>
        <v/>
      </c>
      <c r="M1178" s="8">
        <f>IF(B1178&lt;&gt;"",TODAY(),"")</f>
        <v/>
      </c>
      <c r="N1178" s="8">
        <f>IF(F1178&lt;&gt;"",IFERROR(IF(AND(REGEXMATCH(SUBSTITUTE(TRIM(F1178)," ",""),"^-?\d+(\.\d+)?,-?\d+(\.\d+)?$"),VALUE(REGEXEXTRACT(SUBSTITUTE(TRIM(F1178)," ",""),"^-?\d+(\.\d+)?"))&gt;=-90,VALUE(REGEXEXTRACT(SUBSTITUTE(TRIM(F1178)," ",""),"^-?\d+(\.\d+)?"))&lt;=90,VALUE(REGEXEXTRACT(SUBSTITUTE(TRIM(F1178)," ",""),"-?\d+(\.\d+)?$"))&gt;=-180,VALUE(REGEXEXTRACT(SUBSTITUTE(TRIM(F1178)," ",""),"-?\d+(\.\d+)?$"))&lt;=180),"OK","REVISAR"),"REVISAR"),"")</f>
        <v/>
      </c>
      <c r="O1178">
        <f>IF(A1178&lt;&gt;"","https://direcciones507.github.io/direcciones507/panel.html?codigo="&amp;A1178&amp;"&amp;nombre="&amp;ENCODEURL(B1178)&amp;"&amp;telefono="&amp;SUBSTITUTE(C1178,"-","")&amp;"&amp;referencia="&amp;ENCODEURL(E1178)&amp;"&amp;lat="&amp;IZQUIERDA(SUBSTITUTE(F1178," ",""),ENCONTRAR(",",SUBSTITUTE(F1178," ",""))-1)&amp;"&amp;lng="&amp;DERECHA(SUBSTITUTE(F1178," ",""),LARGO(SUBSTITUTE(F1178," ",""))-ENCONTRAR(",",SUBSTITUTE(F1178," ",""))),"")</f>
        <v/>
      </c>
    </row>
    <row r="1179" ht="15.75" customHeight="1" s="10">
      <c r="A1179" s="8">
        <f>CONCAT("AD507-",TEXT(ROW()-2,"0000"))</f>
        <v/>
      </c>
      <c r="C1179" s="8" t="n"/>
      <c r="F1179" s="8" t="n"/>
      <c r="G1179" s="8">
        <f>IF(F1179&lt;&gt;"",HYPERLINK("https://www.google.com/maps/search/?api=1&amp;query="&amp;SUBSTITUTE(F1179," ",""),"🗺 Google Maps"),"")</f>
        <v/>
      </c>
      <c r="H1179" s="8">
        <f>IF(F1179&lt;&gt;"",HYPERLINK("https://waze.com/ul?ll="&amp;SUBSTITUTE(F1179," ","")&amp;"&amp;navigate=yes","🚗 Waze"),"")</f>
        <v/>
      </c>
      <c r="I1179" s="8">
        <f>IF(F1179&lt;&gt;"",HYPERLINK("https://m.uber.com/ul/?action=setPickup&amp;pickup=my_location&amp;dropoff[latitude]="&amp;LEFT(SUBSTITUTE(F1179," ",""),FIND(",",SUBSTITUTE(F1179," ",""))-1)&amp;"&amp;dropoff[longitude]="&amp;MID(SUBSTITUTE(F1179," ",""),FIND(",",SUBSTITUTE(F1179," ",""))+1,99),"🚕 Uber"),"")</f>
        <v/>
      </c>
      <c r="J1179" s="8">
        <f>IF(F1179&lt;&gt;"","https://api.qrserver.com/v1/create-qr-code/?size=200x200&amp;data="&amp;ENCODEURL("https://www.google.com/maps/search/?api=1&amp;query="&amp;SUBSTITUTE(F1179," ","")),"")</f>
        <v/>
      </c>
      <c r="K1179" s="8">
        <f>IF(C1179&lt;&gt;"",HYPERLINK("https://wa.me/507"&amp;REGEXREPLACE(C1179,"[^0-9]","")&amp;"?text="&amp;ENCODEURL("Ya llegue. Codigo: "&amp;A1179&amp;". Ubicacion: "&amp;"https://www.google.com/maps/search/?api=1&amp;query="&amp;SUBSTITUTE(F1179," ","")),"📲 Avisar al cliente"),"")</f>
        <v/>
      </c>
      <c r="L1179" s="8">
        <f>IF(C1179&lt;&gt;"","https://api.qrserver.com/v1/create-qr-code/?size=200x200&amp;data="&amp;ENCODEURL("https://wa.me/507"&amp;REGEXREPLACE(C1179,"[^0-9]","")&amp;"?text="&amp;ENCODEURL("Ya llegue. Codigo: "&amp;A1179&amp;". Ubicacion: "&amp;"https://www.google.com/maps/search/?api=1&amp;query="&amp;SUBSTITUTE(F1179," ",""))),"")</f>
        <v/>
      </c>
      <c r="M1179" s="8">
        <f>IF(B1179&lt;&gt;"",TODAY(),"")</f>
        <v/>
      </c>
      <c r="N1179" s="8">
        <f>IF(F1179&lt;&gt;"",IFERROR(IF(AND(REGEXMATCH(SUBSTITUTE(TRIM(F1179)," ",""),"^-?\d+(\.\d+)?,-?\d+(\.\d+)?$"),VALUE(REGEXEXTRACT(SUBSTITUTE(TRIM(F1179)," ",""),"^-?\d+(\.\d+)?"))&gt;=-90,VALUE(REGEXEXTRACT(SUBSTITUTE(TRIM(F1179)," ",""),"^-?\d+(\.\d+)?"))&lt;=90,VALUE(REGEXEXTRACT(SUBSTITUTE(TRIM(F1179)," ",""),"-?\d+(\.\d+)?$"))&gt;=-180,VALUE(REGEXEXTRACT(SUBSTITUTE(TRIM(F1179)," ",""),"-?\d+(\.\d+)?$"))&lt;=180),"OK","REVISAR"),"REVISAR"),"")</f>
        <v/>
      </c>
      <c r="O1179">
        <f>IF(A1179&lt;&gt;"","https://direcciones507.github.io/direcciones507/panel.html?codigo="&amp;A1179&amp;"&amp;nombre="&amp;ENCODEURL(B1179)&amp;"&amp;telefono="&amp;SUBSTITUTE(C1179,"-","")&amp;"&amp;referencia="&amp;ENCODEURL(E1179)&amp;"&amp;lat="&amp;IZQUIERDA(SUBSTITUTE(F1179," ",""),ENCONTRAR(",",SUBSTITUTE(F1179," ",""))-1)&amp;"&amp;lng="&amp;DERECHA(SUBSTITUTE(F1179," ",""),LARGO(SUBSTITUTE(F1179," ",""))-ENCONTRAR(",",SUBSTITUTE(F1179," ",""))),"")</f>
        <v/>
      </c>
    </row>
    <row r="1180" ht="15.75" customHeight="1" s="10">
      <c r="A1180" s="8">
        <f>CONCAT("AD507-",TEXT(ROW()-2,"0000"))</f>
        <v/>
      </c>
      <c r="C1180" s="8" t="n"/>
      <c r="F1180" s="8" t="n"/>
      <c r="G1180" s="8">
        <f>IF(F1180&lt;&gt;"",HYPERLINK("https://www.google.com/maps/search/?api=1&amp;query="&amp;SUBSTITUTE(F1180," ",""),"🗺 Google Maps"),"")</f>
        <v/>
      </c>
      <c r="H1180" s="8">
        <f>IF(F1180&lt;&gt;"",HYPERLINK("https://waze.com/ul?ll="&amp;SUBSTITUTE(F1180," ","")&amp;"&amp;navigate=yes","🚗 Waze"),"")</f>
        <v/>
      </c>
      <c r="I1180" s="8">
        <f>IF(F1180&lt;&gt;"",HYPERLINK("https://m.uber.com/ul/?action=setPickup&amp;pickup=my_location&amp;dropoff[latitude]="&amp;LEFT(SUBSTITUTE(F1180," ",""),FIND(",",SUBSTITUTE(F1180," ",""))-1)&amp;"&amp;dropoff[longitude]="&amp;MID(SUBSTITUTE(F1180," ",""),FIND(",",SUBSTITUTE(F1180," ",""))+1,99),"🚕 Uber"),"")</f>
        <v/>
      </c>
      <c r="J1180" s="8">
        <f>IF(F1180&lt;&gt;"","https://api.qrserver.com/v1/create-qr-code/?size=200x200&amp;data="&amp;ENCODEURL("https://www.google.com/maps/search/?api=1&amp;query="&amp;SUBSTITUTE(F1180," ","")),"")</f>
        <v/>
      </c>
      <c r="K1180" s="8">
        <f>IF(C1180&lt;&gt;"",HYPERLINK("https://wa.me/507"&amp;REGEXREPLACE(C1180,"[^0-9]","")&amp;"?text="&amp;ENCODEURL("Ya llegue. Codigo: "&amp;A1180&amp;". Ubicacion: "&amp;"https://www.google.com/maps/search/?api=1&amp;query="&amp;SUBSTITUTE(F1180," ","")),"📲 Avisar al cliente"),"")</f>
        <v/>
      </c>
      <c r="L1180" s="8">
        <f>IF(C1180&lt;&gt;"","https://api.qrserver.com/v1/create-qr-code/?size=200x200&amp;data="&amp;ENCODEURL("https://wa.me/507"&amp;REGEXREPLACE(C1180,"[^0-9]","")&amp;"?text="&amp;ENCODEURL("Ya llegue. Codigo: "&amp;A1180&amp;". Ubicacion: "&amp;"https://www.google.com/maps/search/?api=1&amp;query="&amp;SUBSTITUTE(F1180," ",""))),"")</f>
        <v/>
      </c>
      <c r="M1180" s="8">
        <f>IF(B1180&lt;&gt;"",TODAY(),"")</f>
        <v/>
      </c>
      <c r="N1180" s="8">
        <f>IF(F1180&lt;&gt;"",IFERROR(IF(AND(REGEXMATCH(SUBSTITUTE(TRIM(F1180)," ",""),"^-?\d+(\.\d+)?,-?\d+(\.\d+)?$"),VALUE(REGEXEXTRACT(SUBSTITUTE(TRIM(F1180)," ",""),"^-?\d+(\.\d+)?"))&gt;=-90,VALUE(REGEXEXTRACT(SUBSTITUTE(TRIM(F1180)," ",""),"^-?\d+(\.\d+)?"))&lt;=90,VALUE(REGEXEXTRACT(SUBSTITUTE(TRIM(F1180)," ",""),"-?\d+(\.\d+)?$"))&gt;=-180,VALUE(REGEXEXTRACT(SUBSTITUTE(TRIM(F1180)," ",""),"-?\d+(\.\d+)?$"))&lt;=180),"OK","REVISAR"),"REVISAR"),"")</f>
        <v/>
      </c>
      <c r="O1180">
        <f>IF(A1180&lt;&gt;"","https://direcciones507.github.io/direcciones507/panel.html?codigo="&amp;A1180&amp;"&amp;nombre="&amp;ENCODEURL(B1180)&amp;"&amp;telefono="&amp;SUBSTITUTE(C1180,"-","")&amp;"&amp;referencia="&amp;ENCODEURL(E1180)&amp;"&amp;lat="&amp;IZQUIERDA(SUBSTITUTE(F1180," ",""),ENCONTRAR(",",SUBSTITUTE(F1180," ",""))-1)&amp;"&amp;lng="&amp;DERECHA(SUBSTITUTE(F1180," ",""),LARGO(SUBSTITUTE(F1180," ",""))-ENCONTRAR(",",SUBSTITUTE(F1180," ",""))),"")</f>
        <v/>
      </c>
    </row>
    <row r="1181" ht="15.75" customHeight="1" s="10">
      <c r="A1181" s="8">
        <f>CONCAT("AD507-",TEXT(ROW()-2,"0000"))</f>
        <v/>
      </c>
      <c r="C1181" s="8" t="n"/>
      <c r="F1181" s="8" t="n"/>
      <c r="G1181" s="8">
        <f>IF(F1181&lt;&gt;"",HYPERLINK("https://www.google.com/maps/search/?api=1&amp;query="&amp;SUBSTITUTE(F1181," ",""),"🗺 Google Maps"),"")</f>
        <v/>
      </c>
      <c r="H1181" s="8">
        <f>IF(F1181&lt;&gt;"",HYPERLINK("https://waze.com/ul?ll="&amp;SUBSTITUTE(F1181," ","")&amp;"&amp;navigate=yes","🚗 Waze"),"")</f>
        <v/>
      </c>
      <c r="I1181" s="8">
        <f>IF(F1181&lt;&gt;"",HYPERLINK("https://m.uber.com/ul/?action=setPickup&amp;pickup=my_location&amp;dropoff[latitude]="&amp;LEFT(SUBSTITUTE(F1181," ",""),FIND(",",SUBSTITUTE(F1181," ",""))-1)&amp;"&amp;dropoff[longitude]="&amp;MID(SUBSTITUTE(F1181," ",""),FIND(",",SUBSTITUTE(F1181," ",""))+1,99),"🚕 Uber"),"")</f>
        <v/>
      </c>
      <c r="J1181" s="8">
        <f>IF(F1181&lt;&gt;"","https://api.qrserver.com/v1/create-qr-code/?size=200x200&amp;data="&amp;ENCODEURL("https://www.google.com/maps/search/?api=1&amp;query="&amp;SUBSTITUTE(F1181," ","")),"")</f>
        <v/>
      </c>
      <c r="K1181" s="8">
        <f>IF(C1181&lt;&gt;"",HYPERLINK("https://wa.me/507"&amp;REGEXREPLACE(C1181,"[^0-9]","")&amp;"?text="&amp;ENCODEURL("Ya llegue. Codigo: "&amp;A1181&amp;". Ubicacion: "&amp;"https://www.google.com/maps/search/?api=1&amp;query="&amp;SUBSTITUTE(F1181," ","")),"📲 Avisar al cliente"),"")</f>
        <v/>
      </c>
      <c r="L1181" s="8">
        <f>IF(C1181&lt;&gt;"","https://api.qrserver.com/v1/create-qr-code/?size=200x200&amp;data="&amp;ENCODEURL("https://wa.me/507"&amp;REGEXREPLACE(C1181,"[^0-9]","")&amp;"?text="&amp;ENCODEURL("Ya llegue. Codigo: "&amp;A1181&amp;". Ubicacion: "&amp;"https://www.google.com/maps/search/?api=1&amp;query="&amp;SUBSTITUTE(F1181," ",""))),"")</f>
        <v/>
      </c>
      <c r="M1181" s="8">
        <f>IF(B1181&lt;&gt;"",TODAY(),"")</f>
        <v/>
      </c>
      <c r="N1181" s="8">
        <f>IF(F1181&lt;&gt;"",IFERROR(IF(AND(REGEXMATCH(SUBSTITUTE(TRIM(F1181)," ",""),"^-?\d+(\.\d+)?,-?\d+(\.\d+)?$"),VALUE(REGEXEXTRACT(SUBSTITUTE(TRIM(F1181)," ",""),"^-?\d+(\.\d+)?"))&gt;=-90,VALUE(REGEXEXTRACT(SUBSTITUTE(TRIM(F1181)," ",""),"^-?\d+(\.\d+)?"))&lt;=90,VALUE(REGEXEXTRACT(SUBSTITUTE(TRIM(F1181)," ",""),"-?\d+(\.\d+)?$"))&gt;=-180,VALUE(REGEXEXTRACT(SUBSTITUTE(TRIM(F1181)," ",""),"-?\d+(\.\d+)?$"))&lt;=180),"OK","REVISAR"),"REVISAR"),"")</f>
        <v/>
      </c>
      <c r="O1181">
        <f>IF(A1181&lt;&gt;"","https://direcciones507.github.io/direcciones507/panel.html?codigo="&amp;A1181&amp;"&amp;nombre="&amp;ENCODEURL(B1181)&amp;"&amp;telefono="&amp;SUBSTITUTE(C1181,"-","")&amp;"&amp;referencia="&amp;ENCODEURL(E1181)&amp;"&amp;lat="&amp;IZQUIERDA(SUBSTITUTE(F1181," ",""),ENCONTRAR(",",SUBSTITUTE(F1181," ",""))-1)&amp;"&amp;lng="&amp;DERECHA(SUBSTITUTE(F1181," ",""),LARGO(SUBSTITUTE(F1181," ",""))-ENCONTRAR(",",SUBSTITUTE(F1181," ",""))),"")</f>
        <v/>
      </c>
    </row>
    <row r="1182" ht="15.75" customHeight="1" s="10">
      <c r="A1182" s="8">
        <f>CONCAT("AD507-",TEXT(ROW()-2,"0000"))</f>
        <v/>
      </c>
      <c r="C1182" s="8" t="n"/>
      <c r="F1182" s="8" t="n"/>
      <c r="G1182" s="8">
        <f>IF(F1182&lt;&gt;"",HYPERLINK("https://www.google.com/maps/search/?api=1&amp;query="&amp;SUBSTITUTE(F1182," ",""),"🗺 Google Maps"),"")</f>
        <v/>
      </c>
      <c r="H1182" s="8">
        <f>IF(F1182&lt;&gt;"",HYPERLINK("https://waze.com/ul?ll="&amp;SUBSTITUTE(F1182," ","")&amp;"&amp;navigate=yes","🚗 Waze"),"")</f>
        <v/>
      </c>
      <c r="I1182" s="8">
        <f>IF(F1182&lt;&gt;"",HYPERLINK("https://m.uber.com/ul/?action=setPickup&amp;pickup=my_location&amp;dropoff[latitude]="&amp;LEFT(SUBSTITUTE(F1182," ",""),FIND(",",SUBSTITUTE(F1182," ",""))-1)&amp;"&amp;dropoff[longitude]="&amp;MID(SUBSTITUTE(F1182," ",""),FIND(",",SUBSTITUTE(F1182," ",""))+1,99),"🚕 Uber"),"")</f>
        <v/>
      </c>
      <c r="J1182" s="8">
        <f>IF(F1182&lt;&gt;"","https://api.qrserver.com/v1/create-qr-code/?size=200x200&amp;data="&amp;ENCODEURL("https://www.google.com/maps/search/?api=1&amp;query="&amp;SUBSTITUTE(F1182," ","")),"")</f>
        <v/>
      </c>
      <c r="K1182" s="8">
        <f>IF(C1182&lt;&gt;"",HYPERLINK("https://wa.me/507"&amp;REGEXREPLACE(C1182,"[^0-9]","")&amp;"?text="&amp;ENCODEURL("Ya llegue. Codigo: "&amp;A1182&amp;". Ubicacion: "&amp;"https://www.google.com/maps/search/?api=1&amp;query="&amp;SUBSTITUTE(F1182," ","")),"📲 Avisar al cliente"),"")</f>
        <v/>
      </c>
      <c r="L1182" s="8">
        <f>IF(C1182&lt;&gt;"","https://api.qrserver.com/v1/create-qr-code/?size=200x200&amp;data="&amp;ENCODEURL("https://wa.me/507"&amp;REGEXREPLACE(C1182,"[^0-9]","")&amp;"?text="&amp;ENCODEURL("Ya llegue. Codigo: "&amp;A1182&amp;". Ubicacion: "&amp;"https://www.google.com/maps/search/?api=1&amp;query="&amp;SUBSTITUTE(F1182," ",""))),"")</f>
        <v/>
      </c>
      <c r="M1182" s="8">
        <f>IF(B1182&lt;&gt;"",TODAY(),"")</f>
        <v/>
      </c>
      <c r="N1182" s="8">
        <f>IF(F1182&lt;&gt;"",IFERROR(IF(AND(REGEXMATCH(SUBSTITUTE(TRIM(F1182)," ",""),"^-?\d+(\.\d+)?,-?\d+(\.\d+)?$"),VALUE(REGEXEXTRACT(SUBSTITUTE(TRIM(F1182)," ",""),"^-?\d+(\.\d+)?"))&gt;=-90,VALUE(REGEXEXTRACT(SUBSTITUTE(TRIM(F1182)," ",""),"^-?\d+(\.\d+)?"))&lt;=90,VALUE(REGEXEXTRACT(SUBSTITUTE(TRIM(F1182)," ",""),"-?\d+(\.\d+)?$"))&gt;=-180,VALUE(REGEXEXTRACT(SUBSTITUTE(TRIM(F1182)," ",""),"-?\d+(\.\d+)?$"))&lt;=180),"OK","REVISAR"),"REVISAR"),"")</f>
        <v/>
      </c>
      <c r="O1182">
        <f>IF(A1182&lt;&gt;"","https://direcciones507.github.io/direcciones507/panel.html?codigo="&amp;A1182&amp;"&amp;nombre="&amp;ENCODEURL(B1182)&amp;"&amp;telefono="&amp;SUBSTITUTE(C1182,"-","")&amp;"&amp;referencia="&amp;ENCODEURL(E1182)&amp;"&amp;lat="&amp;IZQUIERDA(SUBSTITUTE(F1182," ",""),ENCONTRAR(",",SUBSTITUTE(F1182," ",""))-1)&amp;"&amp;lng="&amp;DERECHA(SUBSTITUTE(F1182," ",""),LARGO(SUBSTITUTE(F1182," ",""))-ENCONTRAR(",",SUBSTITUTE(F1182," ",""))),"")</f>
        <v/>
      </c>
    </row>
    <row r="1183" ht="15.75" customHeight="1" s="10">
      <c r="A1183" s="8">
        <f>CONCAT("AD507-",TEXT(ROW()-2,"0000"))</f>
        <v/>
      </c>
      <c r="C1183" s="8" t="n"/>
      <c r="F1183" s="8" t="n"/>
      <c r="G1183" s="8">
        <f>IF(F1183&lt;&gt;"",HYPERLINK("https://www.google.com/maps/search/?api=1&amp;query="&amp;SUBSTITUTE(F1183," ",""),"🗺 Google Maps"),"")</f>
        <v/>
      </c>
      <c r="H1183" s="8">
        <f>IF(F1183&lt;&gt;"",HYPERLINK("https://waze.com/ul?ll="&amp;SUBSTITUTE(F1183," ","")&amp;"&amp;navigate=yes","🚗 Waze"),"")</f>
        <v/>
      </c>
      <c r="I1183" s="8">
        <f>IF(F1183&lt;&gt;"",HYPERLINK("https://m.uber.com/ul/?action=setPickup&amp;pickup=my_location&amp;dropoff[latitude]="&amp;LEFT(SUBSTITUTE(F1183," ",""),FIND(",",SUBSTITUTE(F1183," ",""))-1)&amp;"&amp;dropoff[longitude]="&amp;MID(SUBSTITUTE(F1183," ",""),FIND(",",SUBSTITUTE(F1183," ",""))+1,99),"🚕 Uber"),"")</f>
        <v/>
      </c>
      <c r="J1183" s="8">
        <f>IF(F1183&lt;&gt;"","https://api.qrserver.com/v1/create-qr-code/?size=200x200&amp;data="&amp;ENCODEURL("https://www.google.com/maps/search/?api=1&amp;query="&amp;SUBSTITUTE(F1183," ","")),"")</f>
        <v/>
      </c>
      <c r="K1183" s="8">
        <f>IF(C1183&lt;&gt;"",HYPERLINK("https://wa.me/507"&amp;REGEXREPLACE(C1183,"[^0-9]","")&amp;"?text="&amp;ENCODEURL("Ya llegue. Codigo: "&amp;A1183&amp;". Ubicacion: "&amp;"https://www.google.com/maps/search/?api=1&amp;query="&amp;SUBSTITUTE(F1183," ","")),"📲 Avisar al cliente"),"")</f>
        <v/>
      </c>
      <c r="L1183" s="8">
        <f>IF(C1183&lt;&gt;"","https://api.qrserver.com/v1/create-qr-code/?size=200x200&amp;data="&amp;ENCODEURL("https://wa.me/507"&amp;REGEXREPLACE(C1183,"[^0-9]","")&amp;"?text="&amp;ENCODEURL("Ya llegue. Codigo: "&amp;A1183&amp;". Ubicacion: "&amp;"https://www.google.com/maps/search/?api=1&amp;query="&amp;SUBSTITUTE(F1183," ",""))),"")</f>
        <v/>
      </c>
      <c r="M1183" s="8">
        <f>IF(B1183&lt;&gt;"",TODAY(),"")</f>
        <v/>
      </c>
      <c r="N1183" s="8">
        <f>IF(F1183&lt;&gt;"",IFERROR(IF(AND(REGEXMATCH(SUBSTITUTE(TRIM(F1183)," ",""),"^-?\d+(\.\d+)?,-?\d+(\.\d+)?$"),VALUE(REGEXEXTRACT(SUBSTITUTE(TRIM(F1183)," ",""),"^-?\d+(\.\d+)?"))&gt;=-90,VALUE(REGEXEXTRACT(SUBSTITUTE(TRIM(F1183)," ",""),"^-?\d+(\.\d+)?"))&lt;=90,VALUE(REGEXEXTRACT(SUBSTITUTE(TRIM(F1183)," ",""),"-?\d+(\.\d+)?$"))&gt;=-180,VALUE(REGEXEXTRACT(SUBSTITUTE(TRIM(F1183)," ",""),"-?\d+(\.\d+)?$"))&lt;=180),"OK","REVISAR"),"REVISAR"),"")</f>
        <v/>
      </c>
      <c r="O1183">
        <f>IF(A1183&lt;&gt;"","https://direcciones507.github.io/direcciones507/panel.html?codigo="&amp;A1183&amp;"&amp;nombre="&amp;ENCODEURL(B1183)&amp;"&amp;telefono="&amp;SUBSTITUTE(C1183,"-","")&amp;"&amp;referencia="&amp;ENCODEURL(E1183)&amp;"&amp;lat="&amp;IZQUIERDA(SUBSTITUTE(F1183," ",""),ENCONTRAR(",",SUBSTITUTE(F1183," ",""))-1)&amp;"&amp;lng="&amp;DERECHA(SUBSTITUTE(F1183," ",""),LARGO(SUBSTITUTE(F1183," ",""))-ENCONTRAR(",",SUBSTITUTE(F1183," ",""))),"")</f>
        <v/>
      </c>
    </row>
    <row r="1184" ht="15.75" customHeight="1" s="10">
      <c r="A1184" s="8">
        <f>CONCAT("AD507-",TEXT(ROW()-2,"0000"))</f>
        <v/>
      </c>
      <c r="C1184" s="8" t="n"/>
      <c r="F1184" s="8" t="n"/>
      <c r="G1184" s="8">
        <f>IF(F1184&lt;&gt;"",HYPERLINK("https://www.google.com/maps/search/?api=1&amp;query="&amp;SUBSTITUTE(F1184," ",""),"🗺 Google Maps"),"")</f>
        <v/>
      </c>
      <c r="H1184" s="8">
        <f>IF(F1184&lt;&gt;"",HYPERLINK("https://waze.com/ul?ll="&amp;SUBSTITUTE(F1184," ","")&amp;"&amp;navigate=yes","🚗 Waze"),"")</f>
        <v/>
      </c>
      <c r="I1184" s="8">
        <f>IF(F1184&lt;&gt;"",HYPERLINK("https://m.uber.com/ul/?action=setPickup&amp;pickup=my_location&amp;dropoff[latitude]="&amp;LEFT(SUBSTITUTE(F1184," ",""),FIND(",",SUBSTITUTE(F1184," ",""))-1)&amp;"&amp;dropoff[longitude]="&amp;MID(SUBSTITUTE(F1184," ",""),FIND(",",SUBSTITUTE(F1184," ",""))+1,99),"🚕 Uber"),"")</f>
        <v/>
      </c>
      <c r="J1184" s="8">
        <f>IF(F1184&lt;&gt;"","https://api.qrserver.com/v1/create-qr-code/?size=200x200&amp;data="&amp;ENCODEURL("https://www.google.com/maps/search/?api=1&amp;query="&amp;SUBSTITUTE(F1184," ","")),"")</f>
        <v/>
      </c>
      <c r="K1184" s="8">
        <f>IF(C1184&lt;&gt;"",HYPERLINK("https://wa.me/507"&amp;REGEXREPLACE(C1184,"[^0-9]","")&amp;"?text="&amp;ENCODEURL("Ya llegue. Codigo: "&amp;A1184&amp;". Ubicacion: "&amp;"https://www.google.com/maps/search/?api=1&amp;query="&amp;SUBSTITUTE(F1184," ","")),"📲 Avisar al cliente"),"")</f>
        <v/>
      </c>
      <c r="L1184" s="8">
        <f>IF(C1184&lt;&gt;"","https://api.qrserver.com/v1/create-qr-code/?size=200x200&amp;data="&amp;ENCODEURL("https://wa.me/507"&amp;REGEXREPLACE(C1184,"[^0-9]","")&amp;"?text="&amp;ENCODEURL("Ya llegue. Codigo: "&amp;A1184&amp;". Ubicacion: "&amp;"https://www.google.com/maps/search/?api=1&amp;query="&amp;SUBSTITUTE(F1184," ",""))),"")</f>
        <v/>
      </c>
      <c r="M1184" s="8">
        <f>IF(B1184&lt;&gt;"",TODAY(),"")</f>
        <v/>
      </c>
      <c r="N1184" s="8">
        <f>IF(F1184&lt;&gt;"",IFERROR(IF(AND(REGEXMATCH(SUBSTITUTE(TRIM(F1184)," ",""),"^-?\d+(\.\d+)?,-?\d+(\.\d+)?$"),VALUE(REGEXEXTRACT(SUBSTITUTE(TRIM(F1184)," ",""),"^-?\d+(\.\d+)?"))&gt;=-90,VALUE(REGEXEXTRACT(SUBSTITUTE(TRIM(F1184)," ",""),"^-?\d+(\.\d+)?"))&lt;=90,VALUE(REGEXEXTRACT(SUBSTITUTE(TRIM(F1184)," ",""),"-?\d+(\.\d+)?$"))&gt;=-180,VALUE(REGEXEXTRACT(SUBSTITUTE(TRIM(F1184)," ",""),"-?\d+(\.\d+)?$"))&lt;=180),"OK","REVISAR"),"REVISAR"),"")</f>
        <v/>
      </c>
      <c r="O1184">
        <f>IF(A1184&lt;&gt;"","https://direcciones507.github.io/direcciones507/panel.html?codigo="&amp;A1184&amp;"&amp;nombre="&amp;ENCODEURL(B1184)&amp;"&amp;telefono="&amp;SUBSTITUTE(C1184,"-","")&amp;"&amp;referencia="&amp;ENCODEURL(E1184)&amp;"&amp;lat="&amp;IZQUIERDA(SUBSTITUTE(F1184," ",""),ENCONTRAR(",",SUBSTITUTE(F1184," ",""))-1)&amp;"&amp;lng="&amp;DERECHA(SUBSTITUTE(F1184," ",""),LARGO(SUBSTITUTE(F1184," ",""))-ENCONTRAR(",",SUBSTITUTE(F1184," ",""))),"")</f>
        <v/>
      </c>
    </row>
    <row r="1185" ht="15.75" customHeight="1" s="10">
      <c r="A1185" s="8">
        <f>CONCAT("AD507-",TEXT(ROW()-2,"0000"))</f>
        <v/>
      </c>
      <c r="C1185" s="8" t="n"/>
      <c r="F1185" s="8" t="n"/>
      <c r="G1185" s="8">
        <f>IF(F1185&lt;&gt;"",HYPERLINK("https://www.google.com/maps/search/?api=1&amp;query="&amp;SUBSTITUTE(F1185," ",""),"🗺 Google Maps"),"")</f>
        <v/>
      </c>
      <c r="H1185" s="8">
        <f>IF(F1185&lt;&gt;"",HYPERLINK("https://waze.com/ul?ll="&amp;SUBSTITUTE(F1185," ","")&amp;"&amp;navigate=yes","🚗 Waze"),"")</f>
        <v/>
      </c>
      <c r="I1185" s="8">
        <f>IF(F1185&lt;&gt;"",HYPERLINK("https://m.uber.com/ul/?action=setPickup&amp;pickup=my_location&amp;dropoff[latitude]="&amp;LEFT(SUBSTITUTE(F1185," ",""),FIND(",",SUBSTITUTE(F1185," ",""))-1)&amp;"&amp;dropoff[longitude]="&amp;MID(SUBSTITUTE(F1185," ",""),FIND(",",SUBSTITUTE(F1185," ",""))+1,99),"🚕 Uber"),"")</f>
        <v/>
      </c>
      <c r="J1185" s="8">
        <f>IF(F1185&lt;&gt;"","https://api.qrserver.com/v1/create-qr-code/?size=200x200&amp;data="&amp;ENCODEURL("https://www.google.com/maps/search/?api=1&amp;query="&amp;SUBSTITUTE(F1185," ","")),"")</f>
        <v/>
      </c>
      <c r="K1185" s="8">
        <f>IF(C1185&lt;&gt;"",HYPERLINK("https://wa.me/507"&amp;REGEXREPLACE(C1185,"[^0-9]","")&amp;"?text="&amp;ENCODEURL("Ya llegue. Codigo: "&amp;A1185&amp;". Ubicacion: "&amp;"https://www.google.com/maps/search/?api=1&amp;query="&amp;SUBSTITUTE(F1185," ","")),"📲 Avisar al cliente"),"")</f>
        <v/>
      </c>
      <c r="L1185" s="8">
        <f>IF(C1185&lt;&gt;"","https://api.qrserver.com/v1/create-qr-code/?size=200x200&amp;data="&amp;ENCODEURL("https://wa.me/507"&amp;REGEXREPLACE(C1185,"[^0-9]","")&amp;"?text="&amp;ENCODEURL("Ya llegue. Codigo: "&amp;A1185&amp;". Ubicacion: "&amp;"https://www.google.com/maps/search/?api=1&amp;query="&amp;SUBSTITUTE(F1185," ",""))),"")</f>
        <v/>
      </c>
      <c r="M1185" s="8">
        <f>IF(B1185&lt;&gt;"",TODAY(),"")</f>
        <v/>
      </c>
      <c r="N1185" s="8">
        <f>IF(F1185&lt;&gt;"",IFERROR(IF(AND(REGEXMATCH(SUBSTITUTE(TRIM(F1185)," ",""),"^-?\d+(\.\d+)?,-?\d+(\.\d+)?$"),VALUE(REGEXEXTRACT(SUBSTITUTE(TRIM(F1185)," ",""),"^-?\d+(\.\d+)?"))&gt;=-90,VALUE(REGEXEXTRACT(SUBSTITUTE(TRIM(F1185)," ",""),"^-?\d+(\.\d+)?"))&lt;=90,VALUE(REGEXEXTRACT(SUBSTITUTE(TRIM(F1185)," ",""),"-?\d+(\.\d+)?$"))&gt;=-180,VALUE(REGEXEXTRACT(SUBSTITUTE(TRIM(F1185)," ",""),"-?\d+(\.\d+)?$"))&lt;=180),"OK","REVISAR"),"REVISAR"),"")</f>
        <v/>
      </c>
      <c r="O1185">
        <f>IF(A1185&lt;&gt;"","https://direcciones507.github.io/direcciones507/panel.html?codigo="&amp;A1185&amp;"&amp;nombre="&amp;ENCODEURL(B1185)&amp;"&amp;telefono="&amp;SUBSTITUTE(C1185,"-","")&amp;"&amp;referencia="&amp;ENCODEURL(E1185)&amp;"&amp;lat="&amp;IZQUIERDA(SUBSTITUTE(F1185," ",""),ENCONTRAR(",",SUBSTITUTE(F1185," ",""))-1)&amp;"&amp;lng="&amp;DERECHA(SUBSTITUTE(F1185," ",""),LARGO(SUBSTITUTE(F1185," ",""))-ENCONTRAR(",",SUBSTITUTE(F1185," ",""))),"")</f>
        <v/>
      </c>
    </row>
    <row r="1186" ht="15.75" customHeight="1" s="10">
      <c r="A1186" s="8">
        <f>CONCAT("AD507-",TEXT(ROW()-2,"0000"))</f>
        <v/>
      </c>
      <c r="C1186" s="8" t="n"/>
      <c r="F1186" s="8" t="n"/>
      <c r="G1186" s="8">
        <f>IF(F1186&lt;&gt;"",HYPERLINK("https://www.google.com/maps/search/?api=1&amp;query="&amp;SUBSTITUTE(F1186," ",""),"🗺 Google Maps"),"")</f>
        <v/>
      </c>
      <c r="H1186" s="8">
        <f>IF(F1186&lt;&gt;"",HYPERLINK("https://waze.com/ul?ll="&amp;SUBSTITUTE(F1186," ","")&amp;"&amp;navigate=yes","🚗 Waze"),"")</f>
        <v/>
      </c>
      <c r="I1186" s="8">
        <f>IF(F1186&lt;&gt;"",HYPERLINK("https://m.uber.com/ul/?action=setPickup&amp;pickup=my_location&amp;dropoff[latitude]="&amp;LEFT(SUBSTITUTE(F1186," ",""),FIND(",",SUBSTITUTE(F1186," ",""))-1)&amp;"&amp;dropoff[longitude]="&amp;MID(SUBSTITUTE(F1186," ",""),FIND(",",SUBSTITUTE(F1186," ",""))+1,99),"🚕 Uber"),"")</f>
        <v/>
      </c>
      <c r="J1186" s="8">
        <f>IF(F1186&lt;&gt;"","https://api.qrserver.com/v1/create-qr-code/?size=200x200&amp;data="&amp;ENCODEURL("https://www.google.com/maps/search/?api=1&amp;query="&amp;SUBSTITUTE(F1186," ","")),"")</f>
        <v/>
      </c>
      <c r="K1186" s="8">
        <f>IF(C1186&lt;&gt;"",HYPERLINK("https://wa.me/507"&amp;REGEXREPLACE(C1186,"[^0-9]","")&amp;"?text="&amp;ENCODEURL("Ya llegue. Codigo: "&amp;A1186&amp;". Ubicacion: "&amp;"https://www.google.com/maps/search/?api=1&amp;query="&amp;SUBSTITUTE(F1186," ","")),"📲 Avisar al cliente"),"")</f>
        <v/>
      </c>
      <c r="L1186" s="8">
        <f>IF(C1186&lt;&gt;"","https://api.qrserver.com/v1/create-qr-code/?size=200x200&amp;data="&amp;ENCODEURL("https://wa.me/507"&amp;REGEXREPLACE(C1186,"[^0-9]","")&amp;"?text="&amp;ENCODEURL("Ya llegue. Codigo: "&amp;A1186&amp;". Ubicacion: "&amp;"https://www.google.com/maps/search/?api=1&amp;query="&amp;SUBSTITUTE(F1186," ",""))),"")</f>
        <v/>
      </c>
      <c r="M1186" s="8">
        <f>IF(B1186&lt;&gt;"",TODAY(),"")</f>
        <v/>
      </c>
      <c r="N1186" s="8">
        <f>IF(F1186&lt;&gt;"",IFERROR(IF(AND(REGEXMATCH(SUBSTITUTE(TRIM(F1186)," ",""),"^-?\d+(\.\d+)?,-?\d+(\.\d+)?$"),VALUE(REGEXEXTRACT(SUBSTITUTE(TRIM(F1186)," ",""),"^-?\d+(\.\d+)?"))&gt;=-90,VALUE(REGEXEXTRACT(SUBSTITUTE(TRIM(F1186)," ",""),"^-?\d+(\.\d+)?"))&lt;=90,VALUE(REGEXEXTRACT(SUBSTITUTE(TRIM(F1186)," ",""),"-?\d+(\.\d+)?$"))&gt;=-180,VALUE(REGEXEXTRACT(SUBSTITUTE(TRIM(F1186)," ",""),"-?\d+(\.\d+)?$"))&lt;=180),"OK","REVISAR"),"REVISAR"),"")</f>
        <v/>
      </c>
      <c r="O1186">
        <f>IF(A1186&lt;&gt;"","https://direcciones507.github.io/direcciones507/panel.html?codigo="&amp;A1186&amp;"&amp;nombre="&amp;ENCODEURL(B1186)&amp;"&amp;telefono="&amp;SUBSTITUTE(C1186,"-","")&amp;"&amp;referencia="&amp;ENCODEURL(E1186)&amp;"&amp;lat="&amp;IZQUIERDA(SUBSTITUTE(F1186," ",""),ENCONTRAR(",",SUBSTITUTE(F1186," ",""))-1)&amp;"&amp;lng="&amp;DERECHA(SUBSTITUTE(F1186," ",""),LARGO(SUBSTITUTE(F1186," ",""))-ENCONTRAR(",",SUBSTITUTE(F1186," ",""))),"")</f>
        <v/>
      </c>
    </row>
    <row r="1187" ht="15.75" customHeight="1" s="10">
      <c r="A1187" s="8">
        <f>CONCAT("AD507-",TEXT(ROW()-2,"0000"))</f>
        <v/>
      </c>
      <c r="C1187" s="8" t="n"/>
      <c r="F1187" s="8" t="n"/>
      <c r="G1187" s="8">
        <f>IF(F1187&lt;&gt;"",HYPERLINK("https://www.google.com/maps/search/?api=1&amp;query="&amp;SUBSTITUTE(F1187," ",""),"🗺 Google Maps"),"")</f>
        <v/>
      </c>
      <c r="H1187" s="8">
        <f>IF(F1187&lt;&gt;"",HYPERLINK("https://waze.com/ul?ll="&amp;SUBSTITUTE(F1187," ","")&amp;"&amp;navigate=yes","🚗 Waze"),"")</f>
        <v/>
      </c>
      <c r="I1187" s="8">
        <f>IF(F1187&lt;&gt;"",HYPERLINK("https://m.uber.com/ul/?action=setPickup&amp;pickup=my_location&amp;dropoff[latitude]="&amp;LEFT(SUBSTITUTE(F1187," ",""),FIND(",",SUBSTITUTE(F1187," ",""))-1)&amp;"&amp;dropoff[longitude]="&amp;MID(SUBSTITUTE(F1187," ",""),FIND(",",SUBSTITUTE(F1187," ",""))+1,99),"🚕 Uber"),"")</f>
        <v/>
      </c>
      <c r="J1187" s="8">
        <f>IF(F1187&lt;&gt;"","https://api.qrserver.com/v1/create-qr-code/?size=200x200&amp;data="&amp;ENCODEURL("https://www.google.com/maps/search/?api=1&amp;query="&amp;SUBSTITUTE(F1187," ","")),"")</f>
        <v/>
      </c>
      <c r="K1187" s="8">
        <f>IF(C1187&lt;&gt;"",HYPERLINK("https://wa.me/507"&amp;REGEXREPLACE(C1187,"[^0-9]","")&amp;"?text="&amp;ENCODEURL("Ya llegue. Codigo: "&amp;A1187&amp;". Ubicacion: "&amp;"https://www.google.com/maps/search/?api=1&amp;query="&amp;SUBSTITUTE(F1187," ","")),"📲 Avisar al cliente"),"")</f>
        <v/>
      </c>
      <c r="L1187" s="8">
        <f>IF(C1187&lt;&gt;"","https://api.qrserver.com/v1/create-qr-code/?size=200x200&amp;data="&amp;ENCODEURL("https://wa.me/507"&amp;REGEXREPLACE(C1187,"[^0-9]","")&amp;"?text="&amp;ENCODEURL("Ya llegue. Codigo: "&amp;A1187&amp;". Ubicacion: "&amp;"https://www.google.com/maps/search/?api=1&amp;query="&amp;SUBSTITUTE(F1187," ",""))),"")</f>
        <v/>
      </c>
      <c r="M1187" s="8">
        <f>IF(B1187&lt;&gt;"",TODAY(),"")</f>
        <v/>
      </c>
      <c r="N1187" s="8">
        <f>IF(F1187&lt;&gt;"",IFERROR(IF(AND(REGEXMATCH(SUBSTITUTE(TRIM(F1187)," ",""),"^-?\d+(\.\d+)?,-?\d+(\.\d+)?$"),VALUE(REGEXEXTRACT(SUBSTITUTE(TRIM(F1187)," ",""),"^-?\d+(\.\d+)?"))&gt;=-90,VALUE(REGEXEXTRACT(SUBSTITUTE(TRIM(F1187)," ",""),"^-?\d+(\.\d+)?"))&lt;=90,VALUE(REGEXEXTRACT(SUBSTITUTE(TRIM(F1187)," ",""),"-?\d+(\.\d+)?$"))&gt;=-180,VALUE(REGEXEXTRACT(SUBSTITUTE(TRIM(F1187)," ",""),"-?\d+(\.\d+)?$"))&lt;=180),"OK","REVISAR"),"REVISAR"),"")</f>
        <v/>
      </c>
      <c r="O1187">
        <f>IF(A1187&lt;&gt;"","https://direcciones507.github.io/direcciones507/panel.html?codigo="&amp;A1187&amp;"&amp;nombre="&amp;ENCODEURL(B1187)&amp;"&amp;telefono="&amp;SUBSTITUTE(C1187,"-","")&amp;"&amp;referencia="&amp;ENCODEURL(E1187)&amp;"&amp;lat="&amp;IZQUIERDA(SUBSTITUTE(F1187," ",""),ENCONTRAR(",",SUBSTITUTE(F1187," ",""))-1)&amp;"&amp;lng="&amp;DERECHA(SUBSTITUTE(F1187," ",""),LARGO(SUBSTITUTE(F1187," ",""))-ENCONTRAR(",",SUBSTITUTE(F1187," ",""))),"")</f>
        <v/>
      </c>
    </row>
    <row r="1188" ht="15.75" customHeight="1" s="10">
      <c r="A1188" s="8">
        <f>CONCAT("AD507-",TEXT(ROW()-2,"0000"))</f>
        <v/>
      </c>
      <c r="C1188" s="8" t="n"/>
      <c r="F1188" s="8" t="n"/>
      <c r="G1188" s="8">
        <f>IF(F1188&lt;&gt;"",HYPERLINK("https://www.google.com/maps/search/?api=1&amp;query="&amp;SUBSTITUTE(F1188," ",""),"🗺 Google Maps"),"")</f>
        <v/>
      </c>
      <c r="H1188" s="8">
        <f>IF(F1188&lt;&gt;"",HYPERLINK("https://waze.com/ul?ll="&amp;SUBSTITUTE(F1188," ","")&amp;"&amp;navigate=yes","🚗 Waze"),"")</f>
        <v/>
      </c>
      <c r="I1188" s="8">
        <f>IF(F1188&lt;&gt;"",HYPERLINK("https://m.uber.com/ul/?action=setPickup&amp;pickup=my_location&amp;dropoff[latitude]="&amp;LEFT(SUBSTITUTE(F1188," ",""),FIND(",",SUBSTITUTE(F1188," ",""))-1)&amp;"&amp;dropoff[longitude]="&amp;MID(SUBSTITUTE(F1188," ",""),FIND(",",SUBSTITUTE(F1188," ",""))+1,99),"🚕 Uber"),"")</f>
        <v/>
      </c>
      <c r="J1188" s="8">
        <f>IF(F1188&lt;&gt;"","https://api.qrserver.com/v1/create-qr-code/?size=200x200&amp;data="&amp;ENCODEURL("https://www.google.com/maps/search/?api=1&amp;query="&amp;SUBSTITUTE(F1188," ","")),"")</f>
        <v/>
      </c>
      <c r="K1188" s="8">
        <f>IF(C1188&lt;&gt;"",HYPERLINK("https://wa.me/507"&amp;REGEXREPLACE(C1188,"[^0-9]","")&amp;"?text="&amp;ENCODEURL("Ya llegue. Codigo: "&amp;A1188&amp;". Ubicacion: "&amp;"https://www.google.com/maps/search/?api=1&amp;query="&amp;SUBSTITUTE(F1188," ","")),"📲 Avisar al cliente"),"")</f>
        <v/>
      </c>
      <c r="L1188" s="8">
        <f>IF(C1188&lt;&gt;"","https://api.qrserver.com/v1/create-qr-code/?size=200x200&amp;data="&amp;ENCODEURL("https://wa.me/507"&amp;REGEXREPLACE(C1188,"[^0-9]","")&amp;"?text="&amp;ENCODEURL("Ya llegue. Codigo: "&amp;A1188&amp;". Ubicacion: "&amp;"https://www.google.com/maps/search/?api=1&amp;query="&amp;SUBSTITUTE(F1188," ",""))),"")</f>
        <v/>
      </c>
      <c r="M1188" s="8">
        <f>IF(B1188&lt;&gt;"",TODAY(),"")</f>
        <v/>
      </c>
      <c r="N1188" s="8">
        <f>IF(F1188&lt;&gt;"",IFERROR(IF(AND(REGEXMATCH(SUBSTITUTE(TRIM(F1188)," ",""),"^-?\d+(\.\d+)?,-?\d+(\.\d+)?$"),VALUE(REGEXEXTRACT(SUBSTITUTE(TRIM(F1188)," ",""),"^-?\d+(\.\d+)?"))&gt;=-90,VALUE(REGEXEXTRACT(SUBSTITUTE(TRIM(F1188)," ",""),"^-?\d+(\.\d+)?"))&lt;=90,VALUE(REGEXEXTRACT(SUBSTITUTE(TRIM(F1188)," ",""),"-?\d+(\.\d+)?$"))&gt;=-180,VALUE(REGEXEXTRACT(SUBSTITUTE(TRIM(F1188)," ",""),"-?\d+(\.\d+)?$"))&lt;=180),"OK","REVISAR"),"REVISAR"),"")</f>
        <v/>
      </c>
      <c r="O1188">
        <f>IF(A1188&lt;&gt;"","https://direcciones507.github.io/direcciones507/panel.html?codigo="&amp;A1188&amp;"&amp;nombre="&amp;ENCODEURL(B1188)&amp;"&amp;telefono="&amp;SUBSTITUTE(C1188,"-","")&amp;"&amp;referencia="&amp;ENCODEURL(E1188)&amp;"&amp;lat="&amp;IZQUIERDA(SUBSTITUTE(F1188," ",""),ENCONTRAR(",",SUBSTITUTE(F1188," ",""))-1)&amp;"&amp;lng="&amp;DERECHA(SUBSTITUTE(F1188," ",""),LARGO(SUBSTITUTE(F1188," ",""))-ENCONTRAR(",",SUBSTITUTE(F1188," ",""))),"")</f>
        <v/>
      </c>
    </row>
    <row r="1189" ht="15.75" customHeight="1" s="10">
      <c r="A1189" s="8">
        <f>CONCAT("AD507-",TEXT(ROW()-2,"0000"))</f>
        <v/>
      </c>
      <c r="C1189" s="8" t="n"/>
      <c r="F1189" s="8" t="n"/>
      <c r="G1189" s="8">
        <f>IF(F1189&lt;&gt;"",HYPERLINK("https://www.google.com/maps/search/?api=1&amp;query="&amp;SUBSTITUTE(F1189," ",""),"🗺 Google Maps"),"")</f>
        <v/>
      </c>
      <c r="H1189" s="8">
        <f>IF(F1189&lt;&gt;"",HYPERLINK("https://waze.com/ul?ll="&amp;SUBSTITUTE(F1189," ","")&amp;"&amp;navigate=yes","🚗 Waze"),"")</f>
        <v/>
      </c>
      <c r="I1189" s="8">
        <f>IF(F1189&lt;&gt;"",HYPERLINK("https://m.uber.com/ul/?action=setPickup&amp;pickup=my_location&amp;dropoff[latitude]="&amp;LEFT(SUBSTITUTE(F1189," ",""),FIND(",",SUBSTITUTE(F1189," ",""))-1)&amp;"&amp;dropoff[longitude]="&amp;MID(SUBSTITUTE(F1189," ",""),FIND(",",SUBSTITUTE(F1189," ",""))+1,99),"🚕 Uber"),"")</f>
        <v/>
      </c>
      <c r="J1189" s="8">
        <f>IF(F1189&lt;&gt;"","https://api.qrserver.com/v1/create-qr-code/?size=200x200&amp;data="&amp;ENCODEURL("https://www.google.com/maps/search/?api=1&amp;query="&amp;SUBSTITUTE(F1189," ","")),"")</f>
        <v/>
      </c>
      <c r="K1189" s="8">
        <f>IF(C1189&lt;&gt;"",HYPERLINK("https://wa.me/507"&amp;REGEXREPLACE(C1189,"[^0-9]","")&amp;"?text="&amp;ENCODEURL("Ya llegue. Codigo: "&amp;A1189&amp;". Ubicacion: "&amp;"https://www.google.com/maps/search/?api=1&amp;query="&amp;SUBSTITUTE(F1189," ","")),"📲 Avisar al cliente"),"")</f>
        <v/>
      </c>
      <c r="L1189" s="8">
        <f>IF(C1189&lt;&gt;"","https://api.qrserver.com/v1/create-qr-code/?size=200x200&amp;data="&amp;ENCODEURL("https://wa.me/507"&amp;REGEXREPLACE(C1189,"[^0-9]","")&amp;"?text="&amp;ENCODEURL("Ya llegue. Codigo: "&amp;A1189&amp;". Ubicacion: "&amp;"https://www.google.com/maps/search/?api=1&amp;query="&amp;SUBSTITUTE(F1189," ",""))),"")</f>
        <v/>
      </c>
      <c r="M1189" s="8">
        <f>IF(B1189&lt;&gt;"",TODAY(),"")</f>
        <v/>
      </c>
      <c r="N1189" s="8">
        <f>IF(F1189&lt;&gt;"",IFERROR(IF(AND(REGEXMATCH(SUBSTITUTE(TRIM(F1189)," ",""),"^-?\d+(\.\d+)?,-?\d+(\.\d+)?$"),VALUE(REGEXEXTRACT(SUBSTITUTE(TRIM(F1189)," ",""),"^-?\d+(\.\d+)?"))&gt;=-90,VALUE(REGEXEXTRACT(SUBSTITUTE(TRIM(F1189)," ",""),"^-?\d+(\.\d+)?"))&lt;=90,VALUE(REGEXEXTRACT(SUBSTITUTE(TRIM(F1189)," ",""),"-?\d+(\.\d+)?$"))&gt;=-180,VALUE(REGEXEXTRACT(SUBSTITUTE(TRIM(F1189)," ",""),"-?\d+(\.\d+)?$"))&lt;=180),"OK","REVISAR"),"REVISAR"),"")</f>
        <v/>
      </c>
      <c r="O1189">
        <f>IF(A1189&lt;&gt;"","https://direcciones507.github.io/direcciones507/panel.html?codigo="&amp;A1189&amp;"&amp;nombre="&amp;ENCODEURL(B1189)&amp;"&amp;telefono="&amp;SUBSTITUTE(C1189,"-","")&amp;"&amp;referencia="&amp;ENCODEURL(E1189)&amp;"&amp;lat="&amp;IZQUIERDA(SUBSTITUTE(F1189," ",""),ENCONTRAR(",",SUBSTITUTE(F1189," ",""))-1)&amp;"&amp;lng="&amp;DERECHA(SUBSTITUTE(F1189," ",""),LARGO(SUBSTITUTE(F1189," ",""))-ENCONTRAR(",",SUBSTITUTE(F1189," ",""))),"")</f>
        <v/>
      </c>
    </row>
    <row r="1190" ht="15.75" customHeight="1" s="10">
      <c r="A1190" s="8">
        <f>CONCAT("AD507-",TEXT(ROW()-2,"0000"))</f>
        <v/>
      </c>
      <c r="C1190" s="8" t="n"/>
      <c r="F1190" s="8" t="n"/>
      <c r="G1190" s="8">
        <f>IF(F1190&lt;&gt;"",HYPERLINK("https://www.google.com/maps/search/?api=1&amp;query="&amp;SUBSTITUTE(F1190," ",""),"🗺 Google Maps"),"")</f>
        <v/>
      </c>
      <c r="H1190" s="8">
        <f>IF(F1190&lt;&gt;"",HYPERLINK("https://waze.com/ul?ll="&amp;SUBSTITUTE(F1190," ","")&amp;"&amp;navigate=yes","🚗 Waze"),"")</f>
        <v/>
      </c>
      <c r="I1190" s="8">
        <f>IF(F1190&lt;&gt;"",HYPERLINK("https://m.uber.com/ul/?action=setPickup&amp;pickup=my_location&amp;dropoff[latitude]="&amp;LEFT(SUBSTITUTE(F1190," ",""),FIND(",",SUBSTITUTE(F1190," ",""))-1)&amp;"&amp;dropoff[longitude]="&amp;MID(SUBSTITUTE(F1190," ",""),FIND(",",SUBSTITUTE(F1190," ",""))+1,99),"🚕 Uber"),"")</f>
        <v/>
      </c>
      <c r="J1190" s="8">
        <f>IF(F1190&lt;&gt;"","https://api.qrserver.com/v1/create-qr-code/?size=200x200&amp;data="&amp;ENCODEURL("https://www.google.com/maps/search/?api=1&amp;query="&amp;SUBSTITUTE(F1190," ","")),"")</f>
        <v/>
      </c>
      <c r="K1190" s="8">
        <f>IF(C1190&lt;&gt;"",HYPERLINK("https://wa.me/507"&amp;REGEXREPLACE(C1190,"[^0-9]","")&amp;"?text="&amp;ENCODEURL("Ya llegue. Codigo: "&amp;A1190&amp;". Ubicacion: "&amp;"https://www.google.com/maps/search/?api=1&amp;query="&amp;SUBSTITUTE(F1190," ","")),"📲 Avisar al cliente"),"")</f>
        <v/>
      </c>
      <c r="L1190" s="8">
        <f>IF(C1190&lt;&gt;"","https://api.qrserver.com/v1/create-qr-code/?size=200x200&amp;data="&amp;ENCODEURL("https://wa.me/507"&amp;REGEXREPLACE(C1190,"[^0-9]","")&amp;"?text="&amp;ENCODEURL("Ya llegue. Codigo: "&amp;A1190&amp;". Ubicacion: "&amp;"https://www.google.com/maps/search/?api=1&amp;query="&amp;SUBSTITUTE(F1190," ",""))),"")</f>
        <v/>
      </c>
      <c r="M1190" s="8">
        <f>IF(B1190&lt;&gt;"",TODAY(),"")</f>
        <v/>
      </c>
      <c r="N1190" s="8">
        <f>IF(F1190&lt;&gt;"",IFERROR(IF(AND(REGEXMATCH(SUBSTITUTE(TRIM(F1190)," ",""),"^-?\d+(\.\d+)?,-?\d+(\.\d+)?$"),VALUE(REGEXEXTRACT(SUBSTITUTE(TRIM(F1190)," ",""),"^-?\d+(\.\d+)?"))&gt;=-90,VALUE(REGEXEXTRACT(SUBSTITUTE(TRIM(F1190)," ",""),"^-?\d+(\.\d+)?"))&lt;=90,VALUE(REGEXEXTRACT(SUBSTITUTE(TRIM(F1190)," ",""),"-?\d+(\.\d+)?$"))&gt;=-180,VALUE(REGEXEXTRACT(SUBSTITUTE(TRIM(F1190)," ",""),"-?\d+(\.\d+)?$"))&lt;=180),"OK","REVISAR"),"REVISAR"),"")</f>
        <v/>
      </c>
      <c r="O1190">
        <f>IF(A1190&lt;&gt;"","https://direcciones507.github.io/direcciones507/panel.html?codigo="&amp;A1190&amp;"&amp;nombre="&amp;ENCODEURL(B1190)&amp;"&amp;telefono="&amp;SUBSTITUTE(C1190,"-","")&amp;"&amp;referencia="&amp;ENCODEURL(E1190)&amp;"&amp;lat="&amp;IZQUIERDA(SUBSTITUTE(F1190," ",""),ENCONTRAR(",",SUBSTITUTE(F1190," ",""))-1)&amp;"&amp;lng="&amp;DERECHA(SUBSTITUTE(F1190," ",""),LARGO(SUBSTITUTE(F1190," ",""))-ENCONTRAR(",",SUBSTITUTE(F1190," ",""))),"")</f>
        <v/>
      </c>
    </row>
    <row r="1191" ht="15.75" customHeight="1" s="10">
      <c r="A1191" s="8">
        <f>CONCAT("AD507-",TEXT(ROW()-2,"0000"))</f>
        <v/>
      </c>
      <c r="C1191" s="8" t="n"/>
      <c r="F1191" s="8" t="n"/>
      <c r="G1191" s="8">
        <f>IF(F1191&lt;&gt;"",HYPERLINK("https://www.google.com/maps/search/?api=1&amp;query="&amp;SUBSTITUTE(F1191," ",""),"🗺 Google Maps"),"")</f>
        <v/>
      </c>
      <c r="H1191" s="8">
        <f>IF(F1191&lt;&gt;"",HYPERLINK("https://waze.com/ul?ll="&amp;SUBSTITUTE(F1191," ","")&amp;"&amp;navigate=yes","🚗 Waze"),"")</f>
        <v/>
      </c>
      <c r="I1191" s="8">
        <f>IF(F1191&lt;&gt;"",HYPERLINK("https://m.uber.com/ul/?action=setPickup&amp;pickup=my_location&amp;dropoff[latitude]="&amp;LEFT(SUBSTITUTE(F1191," ",""),FIND(",",SUBSTITUTE(F1191," ",""))-1)&amp;"&amp;dropoff[longitude]="&amp;MID(SUBSTITUTE(F1191," ",""),FIND(",",SUBSTITUTE(F1191," ",""))+1,99),"🚕 Uber"),"")</f>
        <v/>
      </c>
      <c r="J1191" s="8">
        <f>IF(F1191&lt;&gt;"","https://api.qrserver.com/v1/create-qr-code/?size=200x200&amp;data="&amp;ENCODEURL("https://www.google.com/maps/search/?api=1&amp;query="&amp;SUBSTITUTE(F1191," ","")),"")</f>
        <v/>
      </c>
      <c r="K1191" s="8">
        <f>IF(C1191&lt;&gt;"",HYPERLINK("https://wa.me/507"&amp;REGEXREPLACE(C1191,"[^0-9]","")&amp;"?text="&amp;ENCODEURL("Ya llegue. Codigo: "&amp;A1191&amp;". Ubicacion: "&amp;"https://www.google.com/maps/search/?api=1&amp;query="&amp;SUBSTITUTE(F1191," ","")),"📲 Avisar al cliente"),"")</f>
        <v/>
      </c>
      <c r="L1191" s="8">
        <f>IF(C1191&lt;&gt;"","https://api.qrserver.com/v1/create-qr-code/?size=200x200&amp;data="&amp;ENCODEURL("https://wa.me/507"&amp;REGEXREPLACE(C1191,"[^0-9]","")&amp;"?text="&amp;ENCODEURL("Ya llegue. Codigo: "&amp;A1191&amp;". Ubicacion: "&amp;"https://www.google.com/maps/search/?api=1&amp;query="&amp;SUBSTITUTE(F1191," ",""))),"")</f>
        <v/>
      </c>
      <c r="M1191" s="8">
        <f>IF(B1191&lt;&gt;"",TODAY(),"")</f>
        <v/>
      </c>
      <c r="N1191" s="8">
        <f>IF(F1191&lt;&gt;"",IFERROR(IF(AND(REGEXMATCH(SUBSTITUTE(TRIM(F1191)," ",""),"^-?\d+(\.\d+)?,-?\d+(\.\d+)?$"),VALUE(REGEXEXTRACT(SUBSTITUTE(TRIM(F1191)," ",""),"^-?\d+(\.\d+)?"))&gt;=-90,VALUE(REGEXEXTRACT(SUBSTITUTE(TRIM(F1191)," ",""),"^-?\d+(\.\d+)?"))&lt;=90,VALUE(REGEXEXTRACT(SUBSTITUTE(TRIM(F1191)," ",""),"-?\d+(\.\d+)?$"))&gt;=-180,VALUE(REGEXEXTRACT(SUBSTITUTE(TRIM(F1191)," ",""),"-?\d+(\.\d+)?$"))&lt;=180),"OK","REVISAR"),"REVISAR"),"")</f>
        <v/>
      </c>
      <c r="O1191">
        <f>IF(A1191&lt;&gt;"","https://direcciones507.github.io/direcciones507/panel.html?codigo="&amp;A1191&amp;"&amp;nombre="&amp;ENCODEURL(B1191)&amp;"&amp;telefono="&amp;SUBSTITUTE(C1191,"-","")&amp;"&amp;referencia="&amp;ENCODEURL(E1191)&amp;"&amp;lat="&amp;IZQUIERDA(SUBSTITUTE(F1191," ",""),ENCONTRAR(",",SUBSTITUTE(F1191," ",""))-1)&amp;"&amp;lng="&amp;DERECHA(SUBSTITUTE(F1191," ",""),LARGO(SUBSTITUTE(F1191," ",""))-ENCONTRAR(",",SUBSTITUTE(F1191," ",""))),"")</f>
        <v/>
      </c>
    </row>
    <row r="1192" ht="15.75" customHeight="1" s="10">
      <c r="A1192" s="8">
        <f>CONCAT("AD507-",TEXT(ROW()-2,"0000"))</f>
        <v/>
      </c>
      <c r="C1192" s="8" t="n"/>
      <c r="F1192" s="8" t="n"/>
      <c r="G1192" s="8">
        <f>IF(F1192&lt;&gt;"",HYPERLINK("https://www.google.com/maps/search/?api=1&amp;query="&amp;SUBSTITUTE(F1192," ",""),"🗺 Google Maps"),"")</f>
        <v/>
      </c>
      <c r="H1192" s="8">
        <f>IF(F1192&lt;&gt;"",HYPERLINK("https://waze.com/ul?ll="&amp;SUBSTITUTE(F1192," ","")&amp;"&amp;navigate=yes","🚗 Waze"),"")</f>
        <v/>
      </c>
      <c r="I1192" s="8">
        <f>IF(F1192&lt;&gt;"",HYPERLINK("https://m.uber.com/ul/?action=setPickup&amp;pickup=my_location&amp;dropoff[latitude]="&amp;LEFT(SUBSTITUTE(F1192," ",""),FIND(",",SUBSTITUTE(F1192," ",""))-1)&amp;"&amp;dropoff[longitude]="&amp;MID(SUBSTITUTE(F1192," ",""),FIND(",",SUBSTITUTE(F1192," ",""))+1,99),"🚕 Uber"),"")</f>
        <v/>
      </c>
      <c r="J1192" s="8">
        <f>IF(F1192&lt;&gt;"","https://api.qrserver.com/v1/create-qr-code/?size=200x200&amp;data="&amp;ENCODEURL("https://www.google.com/maps/search/?api=1&amp;query="&amp;SUBSTITUTE(F1192," ","")),"")</f>
        <v/>
      </c>
      <c r="K1192" s="8">
        <f>IF(C1192&lt;&gt;"",HYPERLINK("https://wa.me/507"&amp;REGEXREPLACE(C1192,"[^0-9]","")&amp;"?text="&amp;ENCODEURL("Ya llegue. Codigo: "&amp;A1192&amp;". Ubicacion: "&amp;"https://www.google.com/maps/search/?api=1&amp;query="&amp;SUBSTITUTE(F1192," ","")),"📲 Avisar al cliente"),"")</f>
        <v/>
      </c>
      <c r="L1192" s="8">
        <f>IF(C1192&lt;&gt;"","https://api.qrserver.com/v1/create-qr-code/?size=200x200&amp;data="&amp;ENCODEURL("https://wa.me/507"&amp;REGEXREPLACE(C1192,"[^0-9]","")&amp;"?text="&amp;ENCODEURL("Ya llegue. Codigo: "&amp;A1192&amp;". Ubicacion: "&amp;"https://www.google.com/maps/search/?api=1&amp;query="&amp;SUBSTITUTE(F1192," ",""))),"")</f>
        <v/>
      </c>
      <c r="M1192" s="8">
        <f>IF(B1192&lt;&gt;"",TODAY(),"")</f>
        <v/>
      </c>
      <c r="N1192" s="8">
        <f>IF(F1192&lt;&gt;"",IFERROR(IF(AND(REGEXMATCH(SUBSTITUTE(TRIM(F1192)," ",""),"^-?\d+(\.\d+)?,-?\d+(\.\d+)?$"),VALUE(REGEXEXTRACT(SUBSTITUTE(TRIM(F1192)," ",""),"^-?\d+(\.\d+)?"))&gt;=-90,VALUE(REGEXEXTRACT(SUBSTITUTE(TRIM(F1192)," ",""),"^-?\d+(\.\d+)?"))&lt;=90,VALUE(REGEXEXTRACT(SUBSTITUTE(TRIM(F1192)," ",""),"-?\d+(\.\d+)?$"))&gt;=-180,VALUE(REGEXEXTRACT(SUBSTITUTE(TRIM(F1192)," ",""),"-?\d+(\.\d+)?$"))&lt;=180),"OK","REVISAR"),"REVISAR"),"")</f>
        <v/>
      </c>
      <c r="O1192">
        <f>IF(A1192&lt;&gt;"","https://direcciones507.github.io/direcciones507/panel.html?codigo="&amp;A1192&amp;"&amp;nombre="&amp;ENCODEURL(B1192)&amp;"&amp;telefono="&amp;SUBSTITUTE(C1192,"-","")&amp;"&amp;referencia="&amp;ENCODEURL(E1192)&amp;"&amp;lat="&amp;IZQUIERDA(SUBSTITUTE(F1192," ",""),ENCONTRAR(",",SUBSTITUTE(F1192," ",""))-1)&amp;"&amp;lng="&amp;DERECHA(SUBSTITUTE(F1192," ",""),LARGO(SUBSTITUTE(F1192," ",""))-ENCONTRAR(",",SUBSTITUTE(F1192," ",""))),"")</f>
        <v/>
      </c>
    </row>
    <row r="1193" ht="15.75" customHeight="1" s="10">
      <c r="A1193" s="8">
        <f>CONCAT("AD507-",TEXT(ROW()-2,"0000"))</f>
        <v/>
      </c>
      <c r="C1193" s="8" t="n"/>
      <c r="F1193" s="8" t="n"/>
      <c r="G1193" s="8">
        <f>IF(F1193&lt;&gt;"",HYPERLINK("https://www.google.com/maps/search/?api=1&amp;query="&amp;SUBSTITUTE(F1193," ",""),"🗺 Google Maps"),"")</f>
        <v/>
      </c>
      <c r="H1193" s="8">
        <f>IF(F1193&lt;&gt;"",HYPERLINK("https://waze.com/ul?ll="&amp;SUBSTITUTE(F1193," ","")&amp;"&amp;navigate=yes","🚗 Waze"),"")</f>
        <v/>
      </c>
      <c r="I1193" s="8">
        <f>IF(F1193&lt;&gt;"",HYPERLINK("https://m.uber.com/ul/?action=setPickup&amp;pickup=my_location&amp;dropoff[latitude]="&amp;LEFT(SUBSTITUTE(F1193," ",""),FIND(",",SUBSTITUTE(F1193," ",""))-1)&amp;"&amp;dropoff[longitude]="&amp;MID(SUBSTITUTE(F1193," ",""),FIND(",",SUBSTITUTE(F1193," ",""))+1,99),"🚕 Uber"),"")</f>
        <v/>
      </c>
      <c r="J1193" s="8">
        <f>IF(F1193&lt;&gt;"","https://api.qrserver.com/v1/create-qr-code/?size=200x200&amp;data="&amp;ENCODEURL("https://www.google.com/maps/search/?api=1&amp;query="&amp;SUBSTITUTE(F1193," ","")),"")</f>
        <v/>
      </c>
      <c r="K1193" s="8">
        <f>IF(C1193&lt;&gt;"",HYPERLINK("https://wa.me/507"&amp;REGEXREPLACE(C1193,"[^0-9]","")&amp;"?text="&amp;ENCODEURL("Ya llegue. Codigo: "&amp;A1193&amp;". Ubicacion: "&amp;"https://www.google.com/maps/search/?api=1&amp;query="&amp;SUBSTITUTE(F1193," ","")),"📲 Avisar al cliente"),"")</f>
        <v/>
      </c>
      <c r="L1193" s="8">
        <f>IF(C1193&lt;&gt;"","https://api.qrserver.com/v1/create-qr-code/?size=200x200&amp;data="&amp;ENCODEURL("https://wa.me/507"&amp;REGEXREPLACE(C1193,"[^0-9]","")&amp;"?text="&amp;ENCODEURL("Ya llegue. Codigo: "&amp;A1193&amp;". Ubicacion: "&amp;"https://www.google.com/maps/search/?api=1&amp;query="&amp;SUBSTITUTE(F1193," ",""))),"")</f>
        <v/>
      </c>
      <c r="M1193" s="8">
        <f>IF(B1193&lt;&gt;"",TODAY(),"")</f>
        <v/>
      </c>
      <c r="N1193" s="8">
        <f>IF(F1193&lt;&gt;"",IFERROR(IF(AND(REGEXMATCH(SUBSTITUTE(TRIM(F1193)," ",""),"^-?\d+(\.\d+)?,-?\d+(\.\d+)?$"),VALUE(REGEXEXTRACT(SUBSTITUTE(TRIM(F1193)," ",""),"^-?\d+(\.\d+)?"))&gt;=-90,VALUE(REGEXEXTRACT(SUBSTITUTE(TRIM(F1193)," ",""),"^-?\d+(\.\d+)?"))&lt;=90,VALUE(REGEXEXTRACT(SUBSTITUTE(TRIM(F1193)," ",""),"-?\d+(\.\d+)?$"))&gt;=-180,VALUE(REGEXEXTRACT(SUBSTITUTE(TRIM(F1193)," ",""),"-?\d+(\.\d+)?$"))&lt;=180),"OK","REVISAR"),"REVISAR"),"")</f>
        <v/>
      </c>
      <c r="O1193">
        <f>IF(A1193&lt;&gt;"","https://direcciones507.github.io/direcciones507/panel.html?codigo="&amp;A1193&amp;"&amp;nombre="&amp;ENCODEURL(B1193)&amp;"&amp;telefono="&amp;SUBSTITUTE(C1193,"-","")&amp;"&amp;referencia="&amp;ENCODEURL(E1193)&amp;"&amp;lat="&amp;IZQUIERDA(SUBSTITUTE(F1193," ",""),ENCONTRAR(",",SUBSTITUTE(F1193," ",""))-1)&amp;"&amp;lng="&amp;DERECHA(SUBSTITUTE(F1193," ",""),LARGO(SUBSTITUTE(F1193," ",""))-ENCONTRAR(",",SUBSTITUTE(F1193," ",""))),"")</f>
        <v/>
      </c>
    </row>
    <row r="1194" ht="15.75" customHeight="1" s="10">
      <c r="A1194" s="8">
        <f>CONCAT("AD507-",TEXT(ROW()-2,"0000"))</f>
        <v/>
      </c>
      <c r="C1194" s="8" t="n"/>
      <c r="F1194" s="8" t="n"/>
      <c r="G1194" s="8">
        <f>IF(F1194&lt;&gt;"",HYPERLINK("https://www.google.com/maps/search/?api=1&amp;query="&amp;SUBSTITUTE(F1194," ",""),"🗺 Google Maps"),"")</f>
        <v/>
      </c>
      <c r="H1194" s="8">
        <f>IF(F1194&lt;&gt;"",HYPERLINK("https://waze.com/ul?ll="&amp;SUBSTITUTE(F1194," ","")&amp;"&amp;navigate=yes","🚗 Waze"),"")</f>
        <v/>
      </c>
      <c r="I1194" s="8">
        <f>IF(F1194&lt;&gt;"",HYPERLINK("https://m.uber.com/ul/?action=setPickup&amp;pickup=my_location&amp;dropoff[latitude]="&amp;LEFT(SUBSTITUTE(F1194," ",""),FIND(",",SUBSTITUTE(F1194," ",""))-1)&amp;"&amp;dropoff[longitude]="&amp;MID(SUBSTITUTE(F1194," ",""),FIND(",",SUBSTITUTE(F1194," ",""))+1,99),"🚕 Uber"),"")</f>
        <v/>
      </c>
      <c r="J1194" s="8">
        <f>IF(F1194&lt;&gt;"","https://api.qrserver.com/v1/create-qr-code/?size=200x200&amp;data="&amp;ENCODEURL("https://www.google.com/maps/search/?api=1&amp;query="&amp;SUBSTITUTE(F1194," ","")),"")</f>
        <v/>
      </c>
      <c r="K1194" s="8">
        <f>IF(C1194&lt;&gt;"",HYPERLINK("https://wa.me/507"&amp;REGEXREPLACE(C1194,"[^0-9]","")&amp;"?text="&amp;ENCODEURL("Ya llegue. Codigo: "&amp;A1194&amp;". Ubicacion: "&amp;"https://www.google.com/maps/search/?api=1&amp;query="&amp;SUBSTITUTE(F1194," ","")),"📲 Avisar al cliente"),"")</f>
        <v/>
      </c>
      <c r="L1194" s="8">
        <f>IF(C1194&lt;&gt;"","https://api.qrserver.com/v1/create-qr-code/?size=200x200&amp;data="&amp;ENCODEURL("https://wa.me/507"&amp;REGEXREPLACE(C1194,"[^0-9]","")&amp;"?text="&amp;ENCODEURL("Ya llegue. Codigo: "&amp;A1194&amp;". Ubicacion: "&amp;"https://www.google.com/maps/search/?api=1&amp;query="&amp;SUBSTITUTE(F1194," ",""))),"")</f>
        <v/>
      </c>
      <c r="M1194" s="8">
        <f>IF(B1194&lt;&gt;"",TODAY(),"")</f>
        <v/>
      </c>
      <c r="N1194" s="8">
        <f>IF(F1194&lt;&gt;"",IFERROR(IF(AND(REGEXMATCH(SUBSTITUTE(TRIM(F1194)," ",""),"^-?\d+(\.\d+)?,-?\d+(\.\d+)?$"),VALUE(REGEXEXTRACT(SUBSTITUTE(TRIM(F1194)," ",""),"^-?\d+(\.\d+)?"))&gt;=-90,VALUE(REGEXEXTRACT(SUBSTITUTE(TRIM(F1194)," ",""),"^-?\d+(\.\d+)?"))&lt;=90,VALUE(REGEXEXTRACT(SUBSTITUTE(TRIM(F1194)," ",""),"-?\d+(\.\d+)?$"))&gt;=-180,VALUE(REGEXEXTRACT(SUBSTITUTE(TRIM(F1194)," ",""),"-?\d+(\.\d+)?$"))&lt;=180),"OK","REVISAR"),"REVISAR"),"")</f>
        <v/>
      </c>
      <c r="O1194">
        <f>IF(A1194&lt;&gt;"","https://direcciones507.github.io/direcciones507/panel.html?codigo="&amp;A1194&amp;"&amp;nombre="&amp;ENCODEURL(B1194)&amp;"&amp;telefono="&amp;SUBSTITUTE(C1194,"-","")&amp;"&amp;referencia="&amp;ENCODEURL(E1194)&amp;"&amp;lat="&amp;IZQUIERDA(SUBSTITUTE(F1194," ",""),ENCONTRAR(",",SUBSTITUTE(F1194," ",""))-1)&amp;"&amp;lng="&amp;DERECHA(SUBSTITUTE(F1194," ",""),LARGO(SUBSTITUTE(F1194," ",""))-ENCONTRAR(",",SUBSTITUTE(F1194," ",""))),"")</f>
        <v/>
      </c>
    </row>
    <row r="1195" ht="15.75" customHeight="1" s="10">
      <c r="A1195" s="8">
        <f>CONCAT("AD507-",TEXT(ROW()-2,"0000"))</f>
        <v/>
      </c>
      <c r="C1195" s="8" t="n"/>
      <c r="F1195" s="8" t="n"/>
      <c r="G1195" s="8">
        <f>IF(F1195&lt;&gt;"",HYPERLINK("https://www.google.com/maps/search/?api=1&amp;query="&amp;SUBSTITUTE(F1195," ",""),"🗺 Google Maps"),"")</f>
        <v/>
      </c>
      <c r="H1195" s="8">
        <f>IF(F1195&lt;&gt;"",HYPERLINK("https://waze.com/ul?ll="&amp;SUBSTITUTE(F1195," ","")&amp;"&amp;navigate=yes","🚗 Waze"),"")</f>
        <v/>
      </c>
      <c r="I1195" s="8">
        <f>IF(F1195&lt;&gt;"",HYPERLINK("https://m.uber.com/ul/?action=setPickup&amp;pickup=my_location&amp;dropoff[latitude]="&amp;LEFT(SUBSTITUTE(F1195," ",""),FIND(",",SUBSTITUTE(F1195," ",""))-1)&amp;"&amp;dropoff[longitude]="&amp;MID(SUBSTITUTE(F1195," ",""),FIND(",",SUBSTITUTE(F1195," ",""))+1,99),"🚕 Uber"),"")</f>
        <v/>
      </c>
      <c r="J1195" s="8">
        <f>IF(F1195&lt;&gt;"","https://api.qrserver.com/v1/create-qr-code/?size=200x200&amp;data="&amp;ENCODEURL("https://www.google.com/maps/search/?api=1&amp;query="&amp;SUBSTITUTE(F1195," ","")),"")</f>
        <v/>
      </c>
      <c r="K1195" s="8">
        <f>IF(C1195&lt;&gt;"",HYPERLINK("https://wa.me/507"&amp;REGEXREPLACE(C1195,"[^0-9]","")&amp;"?text="&amp;ENCODEURL("Ya llegue. Codigo: "&amp;A1195&amp;". Ubicacion: "&amp;"https://www.google.com/maps/search/?api=1&amp;query="&amp;SUBSTITUTE(F1195," ","")),"📲 Avisar al cliente"),"")</f>
        <v/>
      </c>
      <c r="L1195" s="8">
        <f>IF(C1195&lt;&gt;"","https://api.qrserver.com/v1/create-qr-code/?size=200x200&amp;data="&amp;ENCODEURL("https://wa.me/507"&amp;REGEXREPLACE(C1195,"[^0-9]","")&amp;"?text="&amp;ENCODEURL("Ya llegue. Codigo: "&amp;A1195&amp;". Ubicacion: "&amp;"https://www.google.com/maps/search/?api=1&amp;query="&amp;SUBSTITUTE(F1195," ",""))),"")</f>
        <v/>
      </c>
      <c r="M1195" s="8">
        <f>IF(B1195&lt;&gt;"",TODAY(),"")</f>
        <v/>
      </c>
      <c r="N1195" s="8">
        <f>IF(F1195&lt;&gt;"",IFERROR(IF(AND(REGEXMATCH(SUBSTITUTE(TRIM(F1195)," ",""),"^-?\d+(\.\d+)?,-?\d+(\.\d+)?$"),VALUE(REGEXEXTRACT(SUBSTITUTE(TRIM(F1195)," ",""),"^-?\d+(\.\d+)?"))&gt;=-90,VALUE(REGEXEXTRACT(SUBSTITUTE(TRIM(F1195)," ",""),"^-?\d+(\.\d+)?"))&lt;=90,VALUE(REGEXEXTRACT(SUBSTITUTE(TRIM(F1195)," ",""),"-?\d+(\.\d+)?$"))&gt;=-180,VALUE(REGEXEXTRACT(SUBSTITUTE(TRIM(F1195)," ",""),"-?\d+(\.\d+)?$"))&lt;=180),"OK","REVISAR"),"REVISAR"),"")</f>
        <v/>
      </c>
      <c r="O1195">
        <f>IF(A1195&lt;&gt;"","https://direcciones507.github.io/direcciones507/panel.html?codigo="&amp;A1195&amp;"&amp;nombre="&amp;ENCODEURL(B1195)&amp;"&amp;telefono="&amp;SUBSTITUTE(C1195,"-","")&amp;"&amp;referencia="&amp;ENCODEURL(E1195)&amp;"&amp;lat="&amp;IZQUIERDA(SUBSTITUTE(F1195," ",""),ENCONTRAR(",",SUBSTITUTE(F1195," ",""))-1)&amp;"&amp;lng="&amp;DERECHA(SUBSTITUTE(F1195," ",""),LARGO(SUBSTITUTE(F1195," ",""))-ENCONTRAR(",",SUBSTITUTE(F1195," ",""))),"")</f>
        <v/>
      </c>
    </row>
    <row r="1196" ht="15.75" customHeight="1" s="10">
      <c r="A1196" s="8">
        <f>CONCAT("AD507-",TEXT(ROW()-2,"0000"))</f>
        <v/>
      </c>
      <c r="C1196" s="8" t="n"/>
      <c r="F1196" s="8" t="n"/>
      <c r="G1196" s="8">
        <f>IF(F1196&lt;&gt;"",HYPERLINK("https://www.google.com/maps/search/?api=1&amp;query="&amp;SUBSTITUTE(F1196," ",""),"🗺 Google Maps"),"")</f>
        <v/>
      </c>
      <c r="H1196" s="8">
        <f>IF(F1196&lt;&gt;"",HYPERLINK("https://waze.com/ul?ll="&amp;SUBSTITUTE(F1196," ","")&amp;"&amp;navigate=yes","🚗 Waze"),"")</f>
        <v/>
      </c>
      <c r="I1196" s="8">
        <f>IF(F1196&lt;&gt;"",HYPERLINK("https://m.uber.com/ul/?action=setPickup&amp;pickup=my_location&amp;dropoff[latitude]="&amp;LEFT(SUBSTITUTE(F1196," ",""),FIND(",",SUBSTITUTE(F1196," ",""))-1)&amp;"&amp;dropoff[longitude]="&amp;MID(SUBSTITUTE(F1196," ",""),FIND(",",SUBSTITUTE(F1196," ",""))+1,99),"🚕 Uber"),"")</f>
        <v/>
      </c>
      <c r="J1196" s="8">
        <f>IF(F1196&lt;&gt;"","https://api.qrserver.com/v1/create-qr-code/?size=200x200&amp;data="&amp;ENCODEURL("https://www.google.com/maps/search/?api=1&amp;query="&amp;SUBSTITUTE(F1196," ","")),"")</f>
        <v/>
      </c>
      <c r="K1196" s="8">
        <f>IF(C1196&lt;&gt;"",HYPERLINK("https://wa.me/507"&amp;REGEXREPLACE(C1196,"[^0-9]","")&amp;"?text="&amp;ENCODEURL("Ya llegue. Codigo: "&amp;A1196&amp;". Ubicacion: "&amp;"https://www.google.com/maps/search/?api=1&amp;query="&amp;SUBSTITUTE(F1196," ","")),"📲 Avisar al cliente"),"")</f>
        <v/>
      </c>
      <c r="L1196" s="8">
        <f>IF(C1196&lt;&gt;"","https://api.qrserver.com/v1/create-qr-code/?size=200x200&amp;data="&amp;ENCODEURL("https://wa.me/507"&amp;REGEXREPLACE(C1196,"[^0-9]","")&amp;"?text="&amp;ENCODEURL("Ya llegue. Codigo: "&amp;A1196&amp;". Ubicacion: "&amp;"https://www.google.com/maps/search/?api=1&amp;query="&amp;SUBSTITUTE(F1196," ",""))),"")</f>
        <v/>
      </c>
      <c r="M1196" s="8">
        <f>IF(B1196&lt;&gt;"",TODAY(),"")</f>
        <v/>
      </c>
      <c r="N1196" s="8">
        <f>IF(F1196&lt;&gt;"",IFERROR(IF(AND(REGEXMATCH(SUBSTITUTE(TRIM(F1196)," ",""),"^-?\d+(\.\d+)?,-?\d+(\.\d+)?$"),VALUE(REGEXEXTRACT(SUBSTITUTE(TRIM(F1196)," ",""),"^-?\d+(\.\d+)?"))&gt;=-90,VALUE(REGEXEXTRACT(SUBSTITUTE(TRIM(F1196)," ",""),"^-?\d+(\.\d+)?"))&lt;=90,VALUE(REGEXEXTRACT(SUBSTITUTE(TRIM(F1196)," ",""),"-?\d+(\.\d+)?$"))&gt;=-180,VALUE(REGEXEXTRACT(SUBSTITUTE(TRIM(F1196)," ",""),"-?\d+(\.\d+)?$"))&lt;=180),"OK","REVISAR"),"REVISAR"),"")</f>
        <v/>
      </c>
      <c r="O1196">
        <f>IF(A1196&lt;&gt;"","https://direcciones507.github.io/direcciones507/panel.html?codigo="&amp;A1196&amp;"&amp;nombre="&amp;ENCODEURL(B1196)&amp;"&amp;telefono="&amp;SUBSTITUTE(C1196,"-","")&amp;"&amp;referencia="&amp;ENCODEURL(E1196)&amp;"&amp;lat="&amp;IZQUIERDA(SUBSTITUTE(F1196," ",""),ENCONTRAR(",",SUBSTITUTE(F1196," ",""))-1)&amp;"&amp;lng="&amp;DERECHA(SUBSTITUTE(F1196," ",""),LARGO(SUBSTITUTE(F1196," ",""))-ENCONTRAR(",",SUBSTITUTE(F1196," ",""))),"")</f>
        <v/>
      </c>
    </row>
    <row r="1197" ht="15.75" customHeight="1" s="10">
      <c r="A1197" s="8">
        <f>CONCAT("AD507-",TEXT(ROW()-2,"0000"))</f>
        <v/>
      </c>
      <c r="C1197" s="8" t="n"/>
      <c r="F1197" s="8" t="n"/>
      <c r="G1197" s="8">
        <f>IF(F1197&lt;&gt;"",HYPERLINK("https://www.google.com/maps/search/?api=1&amp;query="&amp;SUBSTITUTE(F1197," ",""),"🗺 Google Maps"),"")</f>
        <v/>
      </c>
      <c r="H1197" s="8">
        <f>IF(F1197&lt;&gt;"",HYPERLINK("https://waze.com/ul?ll="&amp;SUBSTITUTE(F1197," ","")&amp;"&amp;navigate=yes","🚗 Waze"),"")</f>
        <v/>
      </c>
      <c r="I1197" s="8">
        <f>IF(F1197&lt;&gt;"",HYPERLINK("https://m.uber.com/ul/?action=setPickup&amp;pickup=my_location&amp;dropoff[latitude]="&amp;LEFT(SUBSTITUTE(F1197," ",""),FIND(",",SUBSTITUTE(F1197," ",""))-1)&amp;"&amp;dropoff[longitude]="&amp;MID(SUBSTITUTE(F1197," ",""),FIND(",",SUBSTITUTE(F1197," ",""))+1,99),"🚕 Uber"),"")</f>
        <v/>
      </c>
      <c r="J1197" s="8">
        <f>IF(F1197&lt;&gt;"","https://api.qrserver.com/v1/create-qr-code/?size=200x200&amp;data="&amp;ENCODEURL("https://www.google.com/maps/search/?api=1&amp;query="&amp;SUBSTITUTE(F1197," ","")),"")</f>
        <v/>
      </c>
      <c r="K1197" s="8">
        <f>IF(C1197&lt;&gt;"",HYPERLINK("https://wa.me/507"&amp;REGEXREPLACE(C1197,"[^0-9]","")&amp;"?text="&amp;ENCODEURL("Ya llegue. Codigo: "&amp;A1197&amp;". Ubicacion: "&amp;"https://www.google.com/maps/search/?api=1&amp;query="&amp;SUBSTITUTE(F1197," ","")),"📲 Avisar al cliente"),"")</f>
        <v/>
      </c>
      <c r="L1197" s="8">
        <f>IF(C1197&lt;&gt;"","https://api.qrserver.com/v1/create-qr-code/?size=200x200&amp;data="&amp;ENCODEURL("https://wa.me/507"&amp;REGEXREPLACE(C1197,"[^0-9]","")&amp;"?text="&amp;ENCODEURL("Ya llegue. Codigo: "&amp;A1197&amp;". Ubicacion: "&amp;"https://www.google.com/maps/search/?api=1&amp;query="&amp;SUBSTITUTE(F1197," ",""))),"")</f>
        <v/>
      </c>
      <c r="M1197" s="8">
        <f>IF(B1197&lt;&gt;"",TODAY(),"")</f>
        <v/>
      </c>
      <c r="N1197" s="8">
        <f>IF(F1197&lt;&gt;"",IFERROR(IF(AND(REGEXMATCH(SUBSTITUTE(TRIM(F1197)," ",""),"^-?\d+(\.\d+)?,-?\d+(\.\d+)?$"),VALUE(REGEXEXTRACT(SUBSTITUTE(TRIM(F1197)," ",""),"^-?\d+(\.\d+)?"))&gt;=-90,VALUE(REGEXEXTRACT(SUBSTITUTE(TRIM(F1197)," ",""),"^-?\d+(\.\d+)?"))&lt;=90,VALUE(REGEXEXTRACT(SUBSTITUTE(TRIM(F1197)," ",""),"-?\d+(\.\d+)?$"))&gt;=-180,VALUE(REGEXEXTRACT(SUBSTITUTE(TRIM(F1197)," ",""),"-?\d+(\.\d+)?$"))&lt;=180),"OK","REVISAR"),"REVISAR"),"")</f>
        <v/>
      </c>
      <c r="O1197">
        <f>IF(A1197&lt;&gt;"","https://direcciones507.github.io/direcciones507/panel.html?codigo="&amp;A1197&amp;"&amp;nombre="&amp;ENCODEURL(B1197)&amp;"&amp;telefono="&amp;SUBSTITUTE(C1197,"-","")&amp;"&amp;referencia="&amp;ENCODEURL(E1197)&amp;"&amp;lat="&amp;IZQUIERDA(SUBSTITUTE(F1197," ",""),ENCONTRAR(",",SUBSTITUTE(F1197," ",""))-1)&amp;"&amp;lng="&amp;DERECHA(SUBSTITUTE(F1197," ",""),LARGO(SUBSTITUTE(F1197," ",""))-ENCONTRAR(",",SUBSTITUTE(F1197," ",""))),"")</f>
        <v/>
      </c>
    </row>
    <row r="1198" ht="15.75" customHeight="1" s="10">
      <c r="A1198" s="8">
        <f>CONCAT("AD507-",TEXT(ROW()-2,"0000"))</f>
        <v/>
      </c>
      <c r="C1198" s="8" t="n"/>
      <c r="F1198" s="8" t="n"/>
      <c r="G1198" s="8">
        <f>IF(F1198&lt;&gt;"",HYPERLINK("https://www.google.com/maps/search/?api=1&amp;query="&amp;SUBSTITUTE(F1198," ",""),"🗺 Google Maps"),"")</f>
        <v/>
      </c>
      <c r="H1198" s="8">
        <f>IF(F1198&lt;&gt;"",HYPERLINK("https://waze.com/ul?ll="&amp;SUBSTITUTE(F1198," ","")&amp;"&amp;navigate=yes","🚗 Waze"),"")</f>
        <v/>
      </c>
      <c r="I1198" s="8">
        <f>IF(F1198&lt;&gt;"",HYPERLINK("https://m.uber.com/ul/?action=setPickup&amp;pickup=my_location&amp;dropoff[latitude]="&amp;LEFT(SUBSTITUTE(F1198," ",""),FIND(",",SUBSTITUTE(F1198," ",""))-1)&amp;"&amp;dropoff[longitude]="&amp;MID(SUBSTITUTE(F1198," ",""),FIND(",",SUBSTITUTE(F1198," ",""))+1,99),"🚕 Uber"),"")</f>
        <v/>
      </c>
      <c r="J1198" s="8">
        <f>IF(F1198&lt;&gt;"","https://api.qrserver.com/v1/create-qr-code/?size=200x200&amp;data="&amp;ENCODEURL("https://www.google.com/maps/search/?api=1&amp;query="&amp;SUBSTITUTE(F1198," ","")),"")</f>
        <v/>
      </c>
      <c r="K1198" s="8">
        <f>IF(C1198&lt;&gt;"",HYPERLINK("https://wa.me/507"&amp;REGEXREPLACE(C1198,"[^0-9]","")&amp;"?text="&amp;ENCODEURL("Ya llegue. Codigo: "&amp;A1198&amp;". Ubicacion: "&amp;"https://www.google.com/maps/search/?api=1&amp;query="&amp;SUBSTITUTE(F1198," ","")),"📲 Avisar al cliente"),"")</f>
        <v/>
      </c>
      <c r="L1198" s="8">
        <f>IF(C1198&lt;&gt;"","https://api.qrserver.com/v1/create-qr-code/?size=200x200&amp;data="&amp;ENCODEURL("https://wa.me/507"&amp;REGEXREPLACE(C1198,"[^0-9]","")&amp;"?text="&amp;ENCODEURL("Ya llegue. Codigo: "&amp;A1198&amp;". Ubicacion: "&amp;"https://www.google.com/maps/search/?api=1&amp;query="&amp;SUBSTITUTE(F1198," ",""))),"")</f>
        <v/>
      </c>
      <c r="M1198" s="8">
        <f>IF(B1198&lt;&gt;"",TODAY(),"")</f>
        <v/>
      </c>
      <c r="N1198" s="8">
        <f>IF(F1198&lt;&gt;"",IFERROR(IF(AND(REGEXMATCH(SUBSTITUTE(TRIM(F1198)," ",""),"^-?\d+(\.\d+)?,-?\d+(\.\d+)?$"),VALUE(REGEXEXTRACT(SUBSTITUTE(TRIM(F1198)," ",""),"^-?\d+(\.\d+)?"))&gt;=-90,VALUE(REGEXEXTRACT(SUBSTITUTE(TRIM(F1198)," ",""),"^-?\d+(\.\d+)?"))&lt;=90,VALUE(REGEXEXTRACT(SUBSTITUTE(TRIM(F1198)," ",""),"-?\d+(\.\d+)?$"))&gt;=-180,VALUE(REGEXEXTRACT(SUBSTITUTE(TRIM(F1198)," ",""),"-?\d+(\.\d+)?$"))&lt;=180),"OK","REVISAR"),"REVISAR"),"")</f>
        <v/>
      </c>
      <c r="O1198">
        <f>IF(A1198&lt;&gt;"","https://direcciones507.github.io/direcciones507/panel.html?codigo="&amp;A1198&amp;"&amp;nombre="&amp;ENCODEURL(B1198)&amp;"&amp;telefono="&amp;SUBSTITUTE(C1198,"-","")&amp;"&amp;referencia="&amp;ENCODEURL(E1198)&amp;"&amp;lat="&amp;IZQUIERDA(SUBSTITUTE(F1198," ",""),ENCONTRAR(",",SUBSTITUTE(F1198," ",""))-1)&amp;"&amp;lng="&amp;DERECHA(SUBSTITUTE(F1198," ",""),LARGO(SUBSTITUTE(F1198," ",""))-ENCONTRAR(",",SUBSTITUTE(F1198," ",""))),"")</f>
        <v/>
      </c>
    </row>
    <row r="1199" ht="15.75" customHeight="1" s="10">
      <c r="A1199" s="8">
        <f>CONCAT("AD507-",TEXT(ROW()-2,"0000"))</f>
        <v/>
      </c>
      <c r="C1199" s="8" t="n"/>
      <c r="F1199" s="8" t="n"/>
      <c r="G1199" s="8">
        <f>IF(F1199&lt;&gt;"",HYPERLINK("https://www.google.com/maps/search/?api=1&amp;query="&amp;SUBSTITUTE(F1199," ",""),"🗺 Google Maps"),"")</f>
        <v/>
      </c>
      <c r="H1199" s="8">
        <f>IF(F1199&lt;&gt;"",HYPERLINK("https://waze.com/ul?ll="&amp;SUBSTITUTE(F1199," ","")&amp;"&amp;navigate=yes","🚗 Waze"),"")</f>
        <v/>
      </c>
      <c r="I1199" s="8">
        <f>IF(F1199&lt;&gt;"",HYPERLINK("https://m.uber.com/ul/?action=setPickup&amp;pickup=my_location&amp;dropoff[latitude]="&amp;LEFT(SUBSTITUTE(F1199," ",""),FIND(",",SUBSTITUTE(F1199," ",""))-1)&amp;"&amp;dropoff[longitude]="&amp;MID(SUBSTITUTE(F1199," ",""),FIND(",",SUBSTITUTE(F1199," ",""))+1,99),"🚕 Uber"),"")</f>
        <v/>
      </c>
      <c r="J1199" s="8">
        <f>IF(F1199&lt;&gt;"","https://api.qrserver.com/v1/create-qr-code/?size=200x200&amp;data="&amp;ENCODEURL("https://www.google.com/maps/search/?api=1&amp;query="&amp;SUBSTITUTE(F1199," ","")),"")</f>
        <v/>
      </c>
      <c r="K1199" s="8">
        <f>IF(C1199&lt;&gt;"",HYPERLINK("https://wa.me/507"&amp;REGEXREPLACE(C1199,"[^0-9]","")&amp;"?text="&amp;ENCODEURL("Ya llegue. Codigo: "&amp;A1199&amp;". Ubicacion: "&amp;"https://www.google.com/maps/search/?api=1&amp;query="&amp;SUBSTITUTE(F1199," ","")),"📲 Avisar al cliente"),"")</f>
        <v/>
      </c>
      <c r="L1199" s="8">
        <f>IF(C1199&lt;&gt;"","https://api.qrserver.com/v1/create-qr-code/?size=200x200&amp;data="&amp;ENCODEURL("https://wa.me/507"&amp;REGEXREPLACE(C1199,"[^0-9]","")&amp;"?text="&amp;ENCODEURL("Ya llegue. Codigo: "&amp;A1199&amp;". Ubicacion: "&amp;"https://www.google.com/maps/search/?api=1&amp;query="&amp;SUBSTITUTE(F1199," ",""))),"")</f>
        <v/>
      </c>
      <c r="M1199" s="8">
        <f>IF(B1199&lt;&gt;"",TODAY(),"")</f>
        <v/>
      </c>
      <c r="N1199" s="8">
        <f>IF(F1199&lt;&gt;"",IFERROR(IF(AND(REGEXMATCH(SUBSTITUTE(TRIM(F1199)," ",""),"^-?\d+(\.\d+)?,-?\d+(\.\d+)?$"),VALUE(REGEXEXTRACT(SUBSTITUTE(TRIM(F1199)," ",""),"^-?\d+(\.\d+)?"))&gt;=-90,VALUE(REGEXEXTRACT(SUBSTITUTE(TRIM(F1199)," ",""),"^-?\d+(\.\d+)?"))&lt;=90,VALUE(REGEXEXTRACT(SUBSTITUTE(TRIM(F1199)," ",""),"-?\d+(\.\d+)?$"))&gt;=-180,VALUE(REGEXEXTRACT(SUBSTITUTE(TRIM(F1199)," ",""),"-?\d+(\.\d+)?$"))&lt;=180),"OK","REVISAR"),"REVISAR"),"")</f>
        <v/>
      </c>
      <c r="O1199">
        <f>IF(A1199&lt;&gt;"","https://direcciones507.github.io/direcciones507/panel.html?codigo="&amp;A1199&amp;"&amp;nombre="&amp;ENCODEURL(B1199)&amp;"&amp;telefono="&amp;SUBSTITUTE(C1199,"-","")&amp;"&amp;referencia="&amp;ENCODEURL(E1199)&amp;"&amp;lat="&amp;IZQUIERDA(SUBSTITUTE(F1199," ",""),ENCONTRAR(",",SUBSTITUTE(F1199," ",""))-1)&amp;"&amp;lng="&amp;DERECHA(SUBSTITUTE(F1199," ",""),LARGO(SUBSTITUTE(F1199," ",""))-ENCONTRAR(",",SUBSTITUTE(F1199," ",""))),"")</f>
        <v/>
      </c>
    </row>
    <row r="1200" ht="15.75" customHeight="1" s="10">
      <c r="A1200" s="8">
        <f>CONCAT("AD507-",TEXT(ROW()-2,"0000"))</f>
        <v/>
      </c>
      <c r="C1200" s="8" t="n"/>
      <c r="F1200" s="8" t="n"/>
      <c r="G1200" s="8">
        <f>IF(F1200&lt;&gt;"",HYPERLINK("https://www.google.com/maps/search/?api=1&amp;query="&amp;SUBSTITUTE(F1200," ",""),"🗺 Google Maps"),"")</f>
        <v/>
      </c>
      <c r="H1200" s="8">
        <f>IF(F1200&lt;&gt;"",HYPERLINK("https://waze.com/ul?ll="&amp;SUBSTITUTE(F1200," ","")&amp;"&amp;navigate=yes","🚗 Waze"),"")</f>
        <v/>
      </c>
      <c r="I1200" s="8">
        <f>IF(F1200&lt;&gt;"",HYPERLINK("https://m.uber.com/ul/?action=setPickup&amp;pickup=my_location&amp;dropoff[latitude]="&amp;LEFT(SUBSTITUTE(F1200," ",""),FIND(",",SUBSTITUTE(F1200," ",""))-1)&amp;"&amp;dropoff[longitude]="&amp;MID(SUBSTITUTE(F1200," ",""),FIND(",",SUBSTITUTE(F1200," ",""))+1,99),"🚕 Uber"),"")</f>
        <v/>
      </c>
      <c r="J1200" s="8">
        <f>IF(F1200&lt;&gt;"","https://api.qrserver.com/v1/create-qr-code/?size=200x200&amp;data="&amp;ENCODEURL("https://www.google.com/maps/search/?api=1&amp;query="&amp;SUBSTITUTE(F1200," ","")),"")</f>
        <v/>
      </c>
      <c r="K1200" s="8">
        <f>IF(C1200&lt;&gt;"",HYPERLINK("https://wa.me/507"&amp;REGEXREPLACE(C1200,"[^0-9]","")&amp;"?text="&amp;ENCODEURL("Ya llegue. Codigo: "&amp;A1200&amp;". Ubicacion: "&amp;"https://www.google.com/maps/search/?api=1&amp;query="&amp;SUBSTITUTE(F1200," ","")),"📲 Avisar al cliente"),"")</f>
        <v/>
      </c>
      <c r="L1200" s="8">
        <f>IF(C1200&lt;&gt;"","https://api.qrserver.com/v1/create-qr-code/?size=200x200&amp;data="&amp;ENCODEURL("https://wa.me/507"&amp;REGEXREPLACE(C1200,"[^0-9]","")&amp;"?text="&amp;ENCODEURL("Ya llegue. Codigo: "&amp;A1200&amp;". Ubicacion: "&amp;"https://www.google.com/maps/search/?api=1&amp;query="&amp;SUBSTITUTE(F1200," ",""))),"")</f>
        <v/>
      </c>
      <c r="M1200" s="8">
        <f>IF(B1200&lt;&gt;"",TODAY(),"")</f>
        <v/>
      </c>
      <c r="N1200" s="8">
        <f>IF(F1200&lt;&gt;"",IFERROR(IF(AND(REGEXMATCH(SUBSTITUTE(TRIM(F1200)," ",""),"^-?\d+(\.\d+)?,-?\d+(\.\d+)?$"),VALUE(REGEXEXTRACT(SUBSTITUTE(TRIM(F1200)," ",""),"^-?\d+(\.\d+)?"))&gt;=-90,VALUE(REGEXEXTRACT(SUBSTITUTE(TRIM(F1200)," ",""),"^-?\d+(\.\d+)?"))&lt;=90,VALUE(REGEXEXTRACT(SUBSTITUTE(TRIM(F1200)," ",""),"-?\d+(\.\d+)?$"))&gt;=-180,VALUE(REGEXEXTRACT(SUBSTITUTE(TRIM(F1200)," ",""),"-?\d+(\.\d+)?$"))&lt;=180),"OK","REVISAR"),"REVISAR"),"")</f>
        <v/>
      </c>
      <c r="O1200">
        <f>IF(A1200&lt;&gt;"","https://direcciones507.github.io/direcciones507/panel.html?codigo="&amp;A1200&amp;"&amp;nombre="&amp;ENCODEURL(B1200)&amp;"&amp;telefono="&amp;SUBSTITUTE(C1200,"-","")&amp;"&amp;referencia="&amp;ENCODEURL(E1200)&amp;"&amp;lat="&amp;IZQUIERDA(SUBSTITUTE(F1200," ",""),ENCONTRAR(",",SUBSTITUTE(F1200," ",""))-1)&amp;"&amp;lng="&amp;DERECHA(SUBSTITUTE(F1200," ",""),LARGO(SUBSTITUTE(F1200," ",""))-ENCONTRAR(",",SUBSTITUTE(F1200," ",""))),"")</f>
        <v/>
      </c>
    </row>
    <row r="1201" ht="15.75" customHeight="1" s="10">
      <c r="A1201" s="8">
        <f>CONCAT("AD507-",TEXT(ROW()-2,"0000"))</f>
        <v/>
      </c>
      <c r="C1201" s="8" t="n"/>
      <c r="F1201" s="8" t="n"/>
      <c r="G1201" s="8">
        <f>IF(F1201&lt;&gt;"",HYPERLINK("https://www.google.com/maps/search/?api=1&amp;query="&amp;SUBSTITUTE(F1201," ",""),"🗺 Google Maps"),"")</f>
        <v/>
      </c>
      <c r="H1201" s="8">
        <f>IF(F1201&lt;&gt;"",HYPERLINK("https://waze.com/ul?ll="&amp;SUBSTITUTE(F1201," ","")&amp;"&amp;navigate=yes","🚗 Waze"),"")</f>
        <v/>
      </c>
      <c r="I1201" s="8">
        <f>IF(F1201&lt;&gt;"",HYPERLINK("https://m.uber.com/ul/?action=setPickup&amp;pickup=my_location&amp;dropoff[latitude]="&amp;LEFT(SUBSTITUTE(F1201," ",""),FIND(",",SUBSTITUTE(F1201," ",""))-1)&amp;"&amp;dropoff[longitude]="&amp;MID(SUBSTITUTE(F1201," ",""),FIND(",",SUBSTITUTE(F1201," ",""))+1,99),"🚕 Uber"),"")</f>
        <v/>
      </c>
      <c r="J1201" s="8">
        <f>IF(F1201&lt;&gt;"","https://api.qrserver.com/v1/create-qr-code/?size=200x200&amp;data="&amp;ENCODEURL("https://www.google.com/maps/search/?api=1&amp;query="&amp;SUBSTITUTE(F1201," ","")),"")</f>
        <v/>
      </c>
      <c r="K1201" s="8">
        <f>IF(C1201&lt;&gt;"",HYPERLINK("https://wa.me/507"&amp;REGEXREPLACE(C1201,"[^0-9]","")&amp;"?text="&amp;ENCODEURL("Ya llegue. Codigo: "&amp;A1201&amp;". Ubicacion: "&amp;"https://www.google.com/maps/search/?api=1&amp;query="&amp;SUBSTITUTE(F1201," ","")),"📲 Avisar al cliente"),"")</f>
        <v/>
      </c>
      <c r="L1201" s="8">
        <f>IF(C1201&lt;&gt;"","https://api.qrserver.com/v1/create-qr-code/?size=200x200&amp;data="&amp;ENCODEURL("https://wa.me/507"&amp;REGEXREPLACE(C1201,"[^0-9]","")&amp;"?text="&amp;ENCODEURL("Ya llegue. Codigo: "&amp;A1201&amp;". Ubicacion: "&amp;"https://www.google.com/maps/search/?api=1&amp;query="&amp;SUBSTITUTE(F1201," ",""))),"")</f>
        <v/>
      </c>
      <c r="M1201" s="8">
        <f>IF(B1201&lt;&gt;"",TODAY(),"")</f>
        <v/>
      </c>
      <c r="N1201" s="8">
        <f>IF(F1201&lt;&gt;"",IFERROR(IF(AND(REGEXMATCH(SUBSTITUTE(TRIM(F1201)," ",""),"^-?\d+(\.\d+)?,-?\d+(\.\d+)?$"),VALUE(REGEXEXTRACT(SUBSTITUTE(TRIM(F1201)," ",""),"^-?\d+(\.\d+)?"))&gt;=-90,VALUE(REGEXEXTRACT(SUBSTITUTE(TRIM(F1201)," ",""),"^-?\d+(\.\d+)?"))&lt;=90,VALUE(REGEXEXTRACT(SUBSTITUTE(TRIM(F1201)," ",""),"-?\d+(\.\d+)?$"))&gt;=-180,VALUE(REGEXEXTRACT(SUBSTITUTE(TRIM(F1201)," ",""),"-?\d+(\.\d+)?$"))&lt;=180),"OK","REVISAR"),"REVISAR"),"")</f>
        <v/>
      </c>
      <c r="O1201">
        <f>IF(A1201&lt;&gt;"","https://direcciones507.github.io/direcciones507/panel.html?codigo="&amp;A1201&amp;"&amp;nombre="&amp;ENCODEURL(B1201)&amp;"&amp;telefono="&amp;SUBSTITUTE(C1201,"-","")&amp;"&amp;referencia="&amp;ENCODEURL(E1201)&amp;"&amp;lat="&amp;IZQUIERDA(SUBSTITUTE(F1201," ",""),ENCONTRAR(",",SUBSTITUTE(F1201," ",""))-1)&amp;"&amp;lng="&amp;DERECHA(SUBSTITUTE(F1201," ",""),LARGO(SUBSTITUTE(F1201," ",""))-ENCONTRAR(",",SUBSTITUTE(F1201," ",""))),"")</f>
        <v/>
      </c>
    </row>
    <row r="1202" ht="15.75" customHeight="1" s="10">
      <c r="A1202" s="8">
        <f>CONCAT("AD507-",TEXT(ROW()-2,"0000"))</f>
        <v/>
      </c>
      <c r="C1202" s="8" t="n"/>
      <c r="F1202" s="8" t="n"/>
      <c r="G1202" s="8">
        <f>IF(F1202&lt;&gt;"",HYPERLINK("https://www.google.com/maps/search/?api=1&amp;query="&amp;SUBSTITUTE(F1202," ",""),"🗺 Google Maps"),"")</f>
        <v/>
      </c>
      <c r="H1202" s="8">
        <f>IF(F1202&lt;&gt;"",HYPERLINK("https://waze.com/ul?ll="&amp;SUBSTITUTE(F1202," ","")&amp;"&amp;navigate=yes","🚗 Waze"),"")</f>
        <v/>
      </c>
      <c r="I1202" s="8">
        <f>IF(F1202&lt;&gt;"",HYPERLINK("https://m.uber.com/ul/?action=setPickup&amp;pickup=my_location&amp;dropoff[latitude]="&amp;LEFT(SUBSTITUTE(F1202," ",""),FIND(",",SUBSTITUTE(F1202," ",""))-1)&amp;"&amp;dropoff[longitude]="&amp;MID(SUBSTITUTE(F1202," ",""),FIND(",",SUBSTITUTE(F1202," ",""))+1,99),"🚕 Uber"),"")</f>
        <v/>
      </c>
      <c r="J1202" s="8">
        <f>IF(F1202&lt;&gt;"","https://api.qrserver.com/v1/create-qr-code/?size=200x200&amp;data="&amp;ENCODEURL("https://www.google.com/maps/search/?api=1&amp;query="&amp;SUBSTITUTE(F1202," ","")),"")</f>
        <v/>
      </c>
      <c r="K1202" s="8">
        <f>IF(C1202&lt;&gt;"",HYPERLINK("https://wa.me/507"&amp;REGEXREPLACE(C1202,"[^0-9]","")&amp;"?text="&amp;ENCODEURL("Ya llegue. Codigo: "&amp;A1202&amp;". Ubicacion: "&amp;"https://www.google.com/maps/search/?api=1&amp;query="&amp;SUBSTITUTE(F1202," ","")),"📲 Avisar al cliente"),"")</f>
        <v/>
      </c>
      <c r="L1202" s="8">
        <f>IF(C1202&lt;&gt;"","https://api.qrserver.com/v1/create-qr-code/?size=200x200&amp;data="&amp;ENCODEURL("https://wa.me/507"&amp;REGEXREPLACE(C1202,"[^0-9]","")&amp;"?text="&amp;ENCODEURL("Ya llegue. Codigo: "&amp;A1202&amp;". Ubicacion: "&amp;"https://www.google.com/maps/search/?api=1&amp;query="&amp;SUBSTITUTE(F1202," ",""))),"")</f>
        <v/>
      </c>
      <c r="M1202" s="8">
        <f>IF(B1202&lt;&gt;"",TODAY(),"")</f>
        <v/>
      </c>
      <c r="N1202" s="8">
        <f>IF(F1202&lt;&gt;"",IFERROR(IF(AND(REGEXMATCH(SUBSTITUTE(TRIM(F1202)," ",""),"^-?\d+(\.\d+)?,-?\d+(\.\d+)?$"),VALUE(REGEXEXTRACT(SUBSTITUTE(TRIM(F1202)," ",""),"^-?\d+(\.\d+)?"))&gt;=-90,VALUE(REGEXEXTRACT(SUBSTITUTE(TRIM(F1202)," ",""),"^-?\d+(\.\d+)?"))&lt;=90,VALUE(REGEXEXTRACT(SUBSTITUTE(TRIM(F1202)," ",""),"-?\d+(\.\d+)?$"))&gt;=-180,VALUE(REGEXEXTRACT(SUBSTITUTE(TRIM(F1202)," ",""),"-?\d+(\.\d+)?$"))&lt;=180),"OK","REVISAR"),"REVISAR"),"")</f>
        <v/>
      </c>
      <c r="O1202">
        <f>IF(A1202&lt;&gt;"","https://direcciones507.github.io/direcciones507/panel.html?codigo="&amp;A1202&amp;"&amp;nombre="&amp;ENCODEURL(B1202)&amp;"&amp;telefono="&amp;SUBSTITUTE(C1202,"-","")&amp;"&amp;referencia="&amp;ENCODEURL(E1202)&amp;"&amp;lat="&amp;IZQUIERDA(SUBSTITUTE(F1202," ",""),ENCONTRAR(",",SUBSTITUTE(F1202," ",""))-1)&amp;"&amp;lng="&amp;DERECHA(SUBSTITUTE(F1202," ",""),LARGO(SUBSTITUTE(F1202," ",""))-ENCONTRAR(",",SUBSTITUTE(F1202," ",""))),"")</f>
        <v/>
      </c>
    </row>
    <row r="1203" ht="15.75" customHeight="1" s="10">
      <c r="A1203" s="8">
        <f>CONCAT("AD507-",TEXT(ROW()-2,"0000"))</f>
        <v/>
      </c>
      <c r="C1203" s="8" t="n"/>
      <c r="F1203" s="8" t="n"/>
      <c r="G1203" s="8">
        <f>IF(F1203&lt;&gt;"",HYPERLINK("https://www.google.com/maps/search/?api=1&amp;query="&amp;SUBSTITUTE(F1203," ",""),"🗺 Google Maps"),"")</f>
        <v/>
      </c>
      <c r="H1203" s="8">
        <f>IF(F1203&lt;&gt;"",HYPERLINK("https://waze.com/ul?ll="&amp;SUBSTITUTE(F1203," ","")&amp;"&amp;navigate=yes","🚗 Waze"),"")</f>
        <v/>
      </c>
      <c r="I1203" s="8">
        <f>IF(F1203&lt;&gt;"",HYPERLINK("https://m.uber.com/ul/?action=setPickup&amp;pickup=my_location&amp;dropoff[latitude]="&amp;LEFT(SUBSTITUTE(F1203," ",""),FIND(",",SUBSTITUTE(F1203," ",""))-1)&amp;"&amp;dropoff[longitude]="&amp;MID(SUBSTITUTE(F1203," ",""),FIND(",",SUBSTITUTE(F1203," ",""))+1,99),"🚕 Uber"),"")</f>
        <v/>
      </c>
      <c r="J1203" s="8">
        <f>IF(F1203&lt;&gt;"","https://api.qrserver.com/v1/create-qr-code/?size=200x200&amp;data="&amp;ENCODEURL("https://www.google.com/maps/search/?api=1&amp;query="&amp;SUBSTITUTE(F1203," ","")),"")</f>
        <v/>
      </c>
      <c r="K1203" s="8">
        <f>IF(C1203&lt;&gt;"",HYPERLINK("https://wa.me/507"&amp;REGEXREPLACE(C1203,"[^0-9]","")&amp;"?text="&amp;ENCODEURL("Ya llegue. Codigo: "&amp;A1203&amp;". Ubicacion: "&amp;"https://www.google.com/maps/search/?api=1&amp;query="&amp;SUBSTITUTE(F1203," ","")),"📲 Avisar al cliente"),"")</f>
        <v/>
      </c>
      <c r="L1203" s="8">
        <f>IF(C1203&lt;&gt;"","https://api.qrserver.com/v1/create-qr-code/?size=200x200&amp;data="&amp;ENCODEURL("https://wa.me/507"&amp;REGEXREPLACE(C1203,"[^0-9]","")&amp;"?text="&amp;ENCODEURL("Ya llegue. Codigo: "&amp;A1203&amp;". Ubicacion: "&amp;"https://www.google.com/maps/search/?api=1&amp;query="&amp;SUBSTITUTE(F1203," ",""))),"")</f>
        <v/>
      </c>
      <c r="M1203" s="8">
        <f>IF(B1203&lt;&gt;"",TODAY(),"")</f>
        <v/>
      </c>
      <c r="N1203" s="8">
        <f>IF(F1203&lt;&gt;"",IFERROR(IF(AND(REGEXMATCH(SUBSTITUTE(TRIM(F1203)," ",""),"^-?\d+(\.\d+)?,-?\d+(\.\d+)?$"),VALUE(REGEXEXTRACT(SUBSTITUTE(TRIM(F1203)," ",""),"^-?\d+(\.\d+)?"))&gt;=-90,VALUE(REGEXEXTRACT(SUBSTITUTE(TRIM(F1203)," ",""),"^-?\d+(\.\d+)?"))&lt;=90,VALUE(REGEXEXTRACT(SUBSTITUTE(TRIM(F1203)," ",""),"-?\d+(\.\d+)?$"))&gt;=-180,VALUE(REGEXEXTRACT(SUBSTITUTE(TRIM(F1203)," ",""),"-?\d+(\.\d+)?$"))&lt;=180),"OK","REVISAR"),"REVISAR"),"")</f>
        <v/>
      </c>
      <c r="O1203">
        <f>IF(A1203&lt;&gt;"","https://direcciones507.github.io/direcciones507/panel.html?codigo="&amp;A1203&amp;"&amp;nombre="&amp;ENCODEURL(B1203)&amp;"&amp;telefono="&amp;SUBSTITUTE(C1203,"-","")&amp;"&amp;referencia="&amp;ENCODEURL(E1203)&amp;"&amp;lat="&amp;IZQUIERDA(SUBSTITUTE(F1203," ",""),ENCONTRAR(",",SUBSTITUTE(F1203," ",""))-1)&amp;"&amp;lng="&amp;DERECHA(SUBSTITUTE(F1203," ",""),LARGO(SUBSTITUTE(F1203," ",""))-ENCONTRAR(",",SUBSTITUTE(F1203," ",""))),"")</f>
        <v/>
      </c>
    </row>
    <row r="1204" ht="15.75" customHeight="1" s="10">
      <c r="A1204" s="8">
        <f>CONCAT("AD507-",TEXT(ROW()-2,"0000"))</f>
        <v/>
      </c>
      <c r="C1204" s="8" t="n"/>
      <c r="F1204" s="8" t="n"/>
      <c r="G1204" s="8">
        <f>IF(F1204&lt;&gt;"",HYPERLINK("https://www.google.com/maps/search/?api=1&amp;query="&amp;SUBSTITUTE(F1204," ",""),"🗺 Google Maps"),"")</f>
        <v/>
      </c>
      <c r="H1204" s="8">
        <f>IF(F1204&lt;&gt;"",HYPERLINK("https://waze.com/ul?ll="&amp;SUBSTITUTE(F1204," ","")&amp;"&amp;navigate=yes","🚗 Waze"),"")</f>
        <v/>
      </c>
      <c r="I1204" s="8">
        <f>IF(F1204&lt;&gt;"",HYPERLINK("https://m.uber.com/ul/?action=setPickup&amp;pickup=my_location&amp;dropoff[latitude]="&amp;LEFT(SUBSTITUTE(F1204," ",""),FIND(",",SUBSTITUTE(F1204," ",""))-1)&amp;"&amp;dropoff[longitude]="&amp;MID(SUBSTITUTE(F1204," ",""),FIND(",",SUBSTITUTE(F1204," ",""))+1,99),"🚕 Uber"),"")</f>
        <v/>
      </c>
      <c r="J1204" s="8">
        <f>IF(F1204&lt;&gt;"","https://api.qrserver.com/v1/create-qr-code/?size=200x200&amp;data="&amp;ENCODEURL("https://www.google.com/maps/search/?api=1&amp;query="&amp;SUBSTITUTE(F1204," ","")),"")</f>
        <v/>
      </c>
      <c r="K1204" s="8">
        <f>IF(C1204&lt;&gt;"",HYPERLINK("https://wa.me/507"&amp;REGEXREPLACE(C1204,"[^0-9]","")&amp;"?text="&amp;ENCODEURL("Ya llegue. Codigo: "&amp;A1204&amp;". Ubicacion: "&amp;"https://www.google.com/maps/search/?api=1&amp;query="&amp;SUBSTITUTE(F1204," ","")),"📲 Avisar al cliente"),"")</f>
        <v/>
      </c>
      <c r="L1204" s="8">
        <f>IF(C1204&lt;&gt;"","https://api.qrserver.com/v1/create-qr-code/?size=200x200&amp;data="&amp;ENCODEURL("https://wa.me/507"&amp;REGEXREPLACE(C1204,"[^0-9]","")&amp;"?text="&amp;ENCODEURL("Ya llegue. Codigo: "&amp;A1204&amp;". Ubicacion: "&amp;"https://www.google.com/maps/search/?api=1&amp;query="&amp;SUBSTITUTE(F1204," ",""))),"")</f>
        <v/>
      </c>
      <c r="M1204" s="8">
        <f>IF(B1204&lt;&gt;"",TODAY(),"")</f>
        <v/>
      </c>
      <c r="N1204" s="8">
        <f>IF(F1204&lt;&gt;"",IFERROR(IF(AND(REGEXMATCH(SUBSTITUTE(TRIM(F1204)," ",""),"^-?\d+(\.\d+)?,-?\d+(\.\d+)?$"),VALUE(REGEXEXTRACT(SUBSTITUTE(TRIM(F1204)," ",""),"^-?\d+(\.\d+)?"))&gt;=-90,VALUE(REGEXEXTRACT(SUBSTITUTE(TRIM(F1204)," ",""),"^-?\d+(\.\d+)?"))&lt;=90,VALUE(REGEXEXTRACT(SUBSTITUTE(TRIM(F1204)," ",""),"-?\d+(\.\d+)?$"))&gt;=-180,VALUE(REGEXEXTRACT(SUBSTITUTE(TRIM(F1204)," ",""),"-?\d+(\.\d+)?$"))&lt;=180),"OK","REVISAR"),"REVISAR"),"")</f>
        <v/>
      </c>
      <c r="O1204">
        <f>IF(A1204&lt;&gt;"","https://direcciones507.github.io/direcciones507/panel.html?codigo="&amp;A1204&amp;"&amp;nombre="&amp;ENCODEURL(B1204)&amp;"&amp;telefono="&amp;SUBSTITUTE(C1204,"-","")&amp;"&amp;referencia="&amp;ENCODEURL(E1204)&amp;"&amp;lat="&amp;IZQUIERDA(SUBSTITUTE(F1204," ",""),ENCONTRAR(",",SUBSTITUTE(F1204," ",""))-1)&amp;"&amp;lng="&amp;DERECHA(SUBSTITUTE(F1204," ",""),LARGO(SUBSTITUTE(F1204," ",""))-ENCONTRAR(",",SUBSTITUTE(F1204," ",""))),"")</f>
        <v/>
      </c>
    </row>
    <row r="1205" ht="15.75" customHeight="1" s="10">
      <c r="A1205" s="8">
        <f>CONCAT("AD507-",TEXT(ROW()-2,"0000"))</f>
        <v/>
      </c>
      <c r="C1205" s="8" t="n"/>
      <c r="F1205" s="8" t="n"/>
      <c r="G1205" s="8">
        <f>IF(F1205&lt;&gt;"",HYPERLINK("https://www.google.com/maps/search/?api=1&amp;query="&amp;SUBSTITUTE(F1205," ",""),"🗺 Google Maps"),"")</f>
        <v/>
      </c>
      <c r="H1205" s="8">
        <f>IF(F1205&lt;&gt;"",HYPERLINK("https://waze.com/ul?ll="&amp;SUBSTITUTE(F1205," ","")&amp;"&amp;navigate=yes","🚗 Waze"),"")</f>
        <v/>
      </c>
      <c r="I1205" s="8">
        <f>IF(F1205&lt;&gt;"",HYPERLINK("https://m.uber.com/ul/?action=setPickup&amp;pickup=my_location&amp;dropoff[latitude]="&amp;LEFT(SUBSTITUTE(F1205," ",""),FIND(",",SUBSTITUTE(F1205," ",""))-1)&amp;"&amp;dropoff[longitude]="&amp;MID(SUBSTITUTE(F1205," ",""),FIND(",",SUBSTITUTE(F1205," ",""))+1,99),"🚕 Uber"),"")</f>
        <v/>
      </c>
      <c r="J1205" s="8">
        <f>IF(F1205&lt;&gt;"","https://api.qrserver.com/v1/create-qr-code/?size=200x200&amp;data="&amp;ENCODEURL("https://www.google.com/maps/search/?api=1&amp;query="&amp;SUBSTITUTE(F1205," ","")),"")</f>
        <v/>
      </c>
      <c r="K1205" s="8">
        <f>IF(C1205&lt;&gt;"",HYPERLINK("https://wa.me/507"&amp;REGEXREPLACE(C1205,"[^0-9]","")&amp;"?text="&amp;ENCODEURL("Ya llegue. Codigo: "&amp;A1205&amp;". Ubicacion: "&amp;"https://www.google.com/maps/search/?api=1&amp;query="&amp;SUBSTITUTE(F1205," ","")),"📲 Avisar al cliente"),"")</f>
        <v/>
      </c>
      <c r="L1205" s="8">
        <f>IF(C1205&lt;&gt;"","https://api.qrserver.com/v1/create-qr-code/?size=200x200&amp;data="&amp;ENCODEURL("https://wa.me/507"&amp;REGEXREPLACE(C1205,"[^0-9]","")&amp;"?text="&amp;ENCODEURL("Ya llegue. Codigo: "&amp;A1205&amp;". Ubicacion: "&amp;"https://www.google.com/maps/search/?api=1&amp;query="&amp;SUBSTITUTE(F1205," ",""))),"")</f>
        <v/>
      </c>
      <c r="M1205" s="8">
        <f>IF(B1205&lt;&gt;"",TODAY(),"")</f>
        <v/>
      </c>
      <c r="N1205" s="8">
        <f>IF(F1205&lt;&gt;"",IFERROR(IF(AND(REGEXMATCH(SUBSTITUTE(TRIM(F1205)," ",""),"^-?\d+(\.\d+)?,-?\d+(\.\d+)?$"),VALUE(REGEXEXTRACT(SUBSTITUTE(TRIM(F1205)," ",""),"^-?\d+(\.\d+)?"))&gt;=-90,VALUE(REGEXEXTRACT(SUBSTITUTE(TRIM(F1205)," ",""),"^-?\d+(\.\d+)?"))&lt;=90,VALUE(REGEXEXTRACT(SUBSTITUTE(TRIM(F1205)," ",""),"-?\d+(\.\d+)?$"))&gt;=-180,VALUE(REGEXEXTRACT(SUBSTITUTE(TRIM(F1205)," ",""),"-?\d+(\.\d+)?$"))&lt;=180),"OK","REVISAR"),"REVISAR"),"")</f>
        <v/>
      </c>
      <c r="O1205">
        <f>IF(A1205&lt;&gt;"","https://direcciones507.github.io/direcciones507/panel.html?codigo="&amp;A1205&amp;"&amp;nombre="&amp;ENCODEURL(B1205)&amp;"&amp;telefono="&amp;SUBSTITUTE(C1205,"-","")&amp;"&amp;referencia="&amp;ENCODEURL(E1205)&amp;"&amp;lat="&amp;IZQUIERDA(SUBSTITUTE(F1205," ",""),ENCONTRAR(",",SUBSTITUTE(F1205," ",""))-1)&amp;"&amp;lng="&amp;DERECHA(SUBSTITUTE(F1205," ",""),LARGO(SUBSTITUTE(F1205," ",""))-ENCONTRAR(",",SUBSTITUTE(F1205," ",""))),"")</f>
        <v/>
      </c>
    </row>
    <row r="1206" ht="15.75" customHeight="1" s="10">
      <c r="A1206" s="8">
        <f>CONCAT("AD507-",TEXT(ROW()-2,"0000"))</f>
        <v/>
      </c>
      <c r="C1206" s="8" t="n"/>
      <c r="F1206" s="8" t="n"/>
      <c r="G1206" s="8">
        <f>IF(F1206&lt;&gt;"",HYPERLINK("https://www.google.com/maps/search/?api=1&amp;query="&amp;SUBSTITUTE(F1206," ",""),"🗺 Google Maps"),"")</f>
        <v/>
      </c>
      <c r="H1206" s="8">
        <f>IF(F1206&lt;&gt;"",HYPERLINK("https://waze.com/ul?ll="&amp;SUBSTITUTE(F1206," ","")&amp;"&amp;navigate=yes","🚗 Waze"),"")</f>
        <v/>
      </c>
      <c r="I1206" s="8">
        <f>IF(F1206&lt;&gt;"",HYPERLINK("https://m.uber.com/ul/?action=setPickup&amp;pickup=my_location&amp;dropoff[latitude]="&amp;LEFT(SUBSTITUTE(F1206," ",""),FIND(",",SUBSTITUTE(F1206," ",""))-1)&amp;"&amp;dropoff[longitude]="&amp;MID(SUBSTITUTE(F1206," ",""),FIND(",",SUBSTITUTE(F1206," ",""))+1,99),"🚕 Uber"),"")</f>
        <v/>
      </c>
      <c r="J1206" s="8">
        <f>IF(F1206&lt;&gt;"","https://api.qrserver.com/v1/create-qr-code/?size=200x200&amp;data="&amp;ENCODEURL("https://www.google.com/maps/search/?api=1&amp;query="&amp;SUBSTITUTE(F1206," ","")),"")</f>
        <v/>
      </c>
      <c r="K1206" s="8">
        <f>IF(C1206&lt;&gt;"",HYPERLINK("https://wa.me/507"&amp;REGEXREPLACE(C1206,"[^0-9]","")&amp;"?text="&amp;ENCODEURL("Ya llegue. Codigo: "&amp;A1206&amp;". Ubicacion: "&amp;"https://www.google.com/maps/search/?api=1&amp;query="&amp;SUBSTITUTE(F1206," ","")),"📲 Avisar al cliente"),"")</f>
        <v/>
      </c>
      <c r="L1206" s="8">
        <f>IF(C1206&lt;&gt;"","https://api.qrserver.com/v1/create-qr-code/?size=200x200&amp;data="&amp;ENCODEURL("https://wa.me/507"&amp;REGEXREPLACE(C1206,"[^0-9]","")&amp;"?text="&amp;ENCODEURL("Ya llegue. Codigo: "&amp;A1206&amp;". Ubicacion: "&amp;"https://www.google.com/maps/search/?api=1&amp;query="&amp;SUBSTITUTE(F1206," ",""))),"")</f>
        <v/>
      </c>
      <c r="M1206" s="8">
        <f>IF(B1206&lt;&gt;"",TODAY(),"")</f>
        <v/>
      </c>
      <c r="N1206" s="8">
        <f>IF(F1206&lt;&gt;"",IFERROR(IF(AND(REGEXMATCH(SUBSTITUTE(TRIM(F1206)," ",""),"^-?\d+(\.\d+)?,-?\d+(\.\d+)?$"),VALUE(REGEXEXTRACT(SUBSTITUTE(TRIM(F1206)," ",""),"^-?\d+(\.\d+)?"))&gt;=-90,VALUE(REGEXEXTRACT(SUBSTITUTE(TRIM(F1206)," ",""),"^-?\d+(\.\d+)?"))&lt;=90,VALUE(REGEXEXTRACT(SUBSTITUTE(TRIM(F1206)," ",""),"-?\d+(\.\d+)?$"))&gt;=-180,VALUE(REGEXEXTRACT(SUBSTITUTE(TRIM(F1206)," ",""),"-?\d+(\.\d+)?$"))&lt;=180),"OK","REVISAR"),"REVISAR"),"")</f>
        <v/>
      </c>
      <c r="O1206">
        <f>IF(A1206&lt;&gt;"","https://direcciones507.github.io/direcciones507/panel.html?codigo="&amp;A1206&amp;"&amp;nombre="&amp;ENCODEURL(B1206)&amp;"&amp;telefono="&amp;SUBSTITUTE(C1206,"-","")&amp;"&amp;referencia="&amp;ENCODEURL(E1206)&amp;"&amp;lat="&amp;IZQUIERDA(SUBSTITUTE(F1206," ",""),ENCONTRAR(",",SUBSTITUTE(F1206," ",""))-1)&amp;"&amp;lng="&amp;DERECHA(SUBSTITUTE(F1206," ",""),LARGO(SUBSTITUTE(F1206," ",""))-ENCONTRAR(",",SUBSTITUTE(F1206," ",""))),"")</f>
        <v/>
      </c>
    </row>
    <row r="1207" ht="15.75" customHeight="1" s="10">
      <c r="A1207" s="8">
        <f>CONCAT("AD507-",TEXT(ROW()-2,"0000"))</f>
        <v/>
      </c>
      <c r="C1207" s="8" t="n"/>
      <c r="F1207" s="8" t="n"/>
      <c r="G1207" s="8">
        <f>IF(F1207&lt;&gt;"",HYPERLINK("https://www.google.com/maps/search/?api=1&amp;query="&amp;SUBSTITUTE(F1207," ",""),"🗺 Google Maps"),"")</f>
        <v/>
      </c>
      <c r="H1207" s="8">
        <f>IF(F1207&lt;&gt;"",HYPERLINK("https://waze.com/ul?ll="&amp;SUBSTITUTE(F1207," ","")&amp;"&amp;navigate=yes","🚗 Waze"),"")</f>
        <v/>
      </c>
      <c r="I1207" s="8">
        <f>IF(F1207&lt;&gt;"",HYPERLINK("https://m.uber.com/ul/?action=setPickup&amp;pickup=my_location&amp;dropoff[latitude]="&amp;LEFT(SUBSTITUTE(F1207," ",""),FIND(",",SUBSTITUTE(F1207," ",""))-1)&amp;"&amp;dropoff[longitude]="&amp;MID(SUBSTITUTE(F1207," ",""),FIND(",",SUBSTITUTE(F1207," ",""))+1,99),"🚕 Uber"),"")</f>
        <v/>
      </c>
      <c r="J1207" s="8">
        <f>IF(F1207&lt;&gt;"","https://api.qrserver.com/v1/create-qr-code/?size=200x200&amp;data="&amp;ENCODEURL("https://www.google.com/maps/search/?api=1&amp;query="&amp;SUBSTITUTE(F1207," ","")),"")</f>
        <v/>
      </c>
      <c r="K1207" s="8">
        <f>IF(C1207&lt;&gt;"",HYPERLINK("https://wa.me/507"&amp;REGEXREPLACE(C1207,"[^0-9]","")&amp;"?text="&amp;ENCODEURL("Ya llegue. Codigo: "&amp;A1207&amp;". Ubicacion: "&amp;"https://www.google.com/maps/search/?api=1&amp;query="&amp;SUBSTITUTE(F1207," ","")),"📲 Avisar al cliente"),"")</f>
        <v/>
      </c>
      <c r="L1207" s="8">
        <f>IF(C1207&lt;&gt;"","https://api.qrserver.com/v1/create-qr-code/?size=200x200&amp;data="&amp;ENCODEURL("https://wa.me/507"&amp;REGEXREPLACE(C1207,"[^0-9]","")&amp;"?text="&amp;ENCODEURL("Ya llegue. Codigo: "&amp;A1207&amp;". Ubicacion: "&amp;"https://www.google.com/maps/search/?api=1&amp;query="&amp;SUBSTITUTE(F1207," ",""))),"")</f>
        <v/>
      </c>
      <c r="M1207" s="8">
        <f>IF(B1207&lt;&gt;"",TODAY(),"")</f>
        <v/>
      </c>
      <c r="N1207" s="8">
        <f>IF(F1207&lt;&gt;"",IFERROR(IF(AND(REGEXMATCH(SUBSTITUTE(TRIM(F1207)," ",""),"^-?\d+(\.\d+)?,-?\d+(\.\d+)?$"),VALUE(REGEXEXTRACT(SUBSTITUTE(TRIM(F1207)," ",""),"^-?\d+(\.\d+)?"))&gt;=-90,VALUE(REGEXEXTRACT(SUBSTITUTE(TRIM(F1207)," ",""),"^-?\d+(\.\d+)?"))&lt;=90,VALUE(REGEXEXTRACT(SUBSTITUTE(TRIM(F1207)," ",""),"-?\d+(\.\d+)?$"))&gt;=-180,VALUE(REGEXEXTRACT(SUBSTITUTE(TRIM(F1207)," ",""),"-?\d+(\.\d+)?$"))&lt;=180),"OK","REVISAR"),"REVISAR"),"")</f>
        <v/>
      </c>
      <c r="O1207">
        <f>IF(A1207&lt;&gt;"","https://direcciones507.github.io/direcciones507/panel.html?codigo="&amp;A1207&amp;"&amp;nombre="&amp;ENCODEURL(B1207)&amp;"&amp;telefono="&amp;SUBSTITUTE(C1207,"-","")&amp;"&amp;referencia="&amp;ENCODEURL(E1207)&amp;"&amp;lat="&amp;IZQUIERDA(SUBSTITUTE(F1207," ",""),ENCONTRAR(",",SUBSTITUTE(F1207," ",""))-1)&amp;"&amp;lng="&amp;DERECHA(SUBSTITUTE(F1207," ",""),LARGO(SUBSTITUTE(F1207," ",""))-ENCONTRAR(",",SUBSTITUTE(F1207," ",""))),"")</f>
        <v/>
      </c>
    </row>
    <row r="1208" ht="15.75" customHeight="1" s="10">
      <c r="A1208" s="8">
        <f>CONCAT("AD507-",TEXT(ROW()-2,"0000"))</f>
        <v/>
      </c>
      <c r="C1208" s="8" t="n"/>
      <c r="F1208" s="8" t="n"/>
      <c r="G1208" s="8">
        <f>IF(F1208&lt;&gt;"",HYPERLINK("https://www.google.com/maps/search/?api=1&amp;query="&amp;SUBSTITUTE(F1208," ",""),"🗺 Google Maps"),"")</f>
        <v/>
      </c>
      <c r="H1208" s="8">
        <f>IF(F1208&lt;&gt;"",HYPERLINK("https://waze.com/ul?ll="&amp;SUBSTITUTE(F1208," ","")&amp;"&amp;navigate=yes","🚗 Waze"),"")</f>
        <v/>
      </c>
      <c r="I1208" s="8">
        <f>IF(F1208&lt;&gt;"",HYPERLINK("https://m.uber.com/ul/?action=setPickup&amp;pickup=my_location&amp;dropoff[latitude]="&amp;LEFT(SUBSTITUTE(F1208," ",""),FIND(",",SUBSTITUTE(F1208," ",""))-1)&amp;"&amp;dropoff[longitude]="&amp;MID(SUBSTITUTE(F1208," ",""),FIND(",",SUBSTITUTE(F1208," ",""))+1,99),"🚕 Uber"),"")</f>
        <v/>
      </c>
      <c r="J1208" s="8">
        <f>IF(F1208&lt;&gt;"","https://api.qrserver.com/v1/create-qr-code/?size=200x200&amp;data="&amp;ENCODEURL("https://www.google.com/maps/search/?api=1&amp;query="&amp;SUBSTITUTE(F1208," ","")),"")</f>
        <v/>
      </c>
      <c r="K1208" s="8">
        <f>IF(C1208&lt;&gt;"",HYPERLINK("https://wa.me/507"&amp;REGEXREPLACE(C1208,"[^0-9]","")&amp;"?text="&amp;ENCODEURL("Ya llegue. Codigo: "&amp;A1208&amp;". Ubicacion: "&amp;"https://www.google.com/maps/search/?api=1&amp;query="&amp;SUBSTITUTE(F1208," ","")),"📲 Avisar al cliente"),"")</f>
        <v/>
      </c>
      <c r="L1208" s="8">
        <f>IF(C1208&lt;&gt;"","https://api.qrserver.com/v1/create-qr-code/?size=200x200&amp;data="&amp;ENCODEURL("https://wa.me/507"&amp;REGEXREPLACE(C1208,"[^0-9]","")&amp;"?text="&amp;ENCODEURL("Ya llegue. Codigo: "&amp;A1208&amp;". Ubicacion: "&amp;"https://www.google.com/maps/search/?api=1&amp;query="&amp;SUBSTITUTE(F1208," ",""))),"")</f>
        <v/>
      </c>
      <c r="M1208" s="8">
        <f>IF(B1208&lt;&gt;"",TODAY(),"")</f>
        <v/>
      </c>
      <c r="N1208" s="8">
        <f>IF(F1208&lt;&gt;"",IFERROR(IF(AND(REGEXMATCH(SUBSTITUTE(TRIM(F1208)," ",""),"^-?\d+(\.\d+)?,-?\d+(\.\d+)?$"),VALUE(REGEXEXTRACT(SUBSTITUTE(TRIM(F1208)," ",""),"^-?\d+(\.\d+)?"))&gt;=-90,VALUE(REGEXEXTRACT(SUBSTITUTE(TRIM(F1208)," ",""),"^-?\d+(\.\d+)?"))&lt;=90,VALUE(REGEXEXTRACT(SUBSTITUTE(TRIM(F1208)," ",""),"-?\d+(\.\d+)?$"))&gt;=-180,VALUE(REGEXEXTRACT(SUBSTITUTE(TRIM(F1208)," ",""),"-?\d+(\.\d+)?$"))&lt;=180),"OK","REVISAR"),"REVISAR"),"")</f>
        <v/>
      </c>
      <c r="O1208">
        <f>IF(A1208&lt;&gt;"","https://direcciones507.github.io/direcciones507/panel.html?codigo="&amp;A1208&amp;"&amp;nombre="&amp;ENCODEURL(B1208)&amp;"&amp;telefono="&amp;SUBSTITUTE(C1208,"-","")&amp;"&amp;referencia="&amp;ENCODEURL(E1208)&amp;"&amp;lat="&amp;IZQUIERDA(SUBSTITUTE(F1208," ",""),ENCONTRAR(",",SUBSTITUTE(F1208," ",""))-1)&amp;"&amp;lng="&amp;DERECHA(SUBSTITUTE(F1208," ",""),LARGO(SUBSTITUTE(F1208," ",""))-ENCONTRAR(",",SUBSTITUTE(F1208," ",""))),"")</f>
        <v/>
      </c>
    </row>
    <row r="1209" ht="15.75" customHeight="1" s="10">
      <c r="A1209" s="8">
        <f>CONCAT("AD507-",TEXT(ROW()-2,"0000"))</f>
        <v/>
      </c>
      <c r="C1209" s="8" t="n"/>
      <c r="F1209" s="8" t="n"/>
      <c r="G1209" s="8">
        <f>IF(F1209&lt;&gt;"",HYPERLINK("https://www.google.com/maps/search/?api=1&amp;query="&amp;SUBSTITUTE(F1209," ",""),"🗺 Google Maps"),"")</f>
        <v/>
      </c>
      <c r="H1209" s="8">
        <f>IF(F1209&lt;&gt;"",HYPERLINK("https://waze.com/ul?ll="&amp;SUBSTITUTE(F1209," ","")&amp;"&amp;navigate=yes","🚗 Waze"),"")</f>
        <v/>
      </c>
      <c r="I1209" s="8">
        <f>IF(F1209&lt;&gt;"",HYPERLINK("https://m.uber.com/ul/?action=setPickup&amp;pickup=my_location&amp;dropoff[latitude]="&amp;LEFT(SUBSTITUTE(F1209," ",""),FIND(",",SUBSTITUTE(F1209," ",""))-1)&amp;"&amp;dropoff[longitude]="&amp;MID(SUBSTITUTE(F1209," ",""),FIND(",",SUBSTITUTE(F1209," ",""))+1,99),"🚕 Uber"),"")</f>
        <v/>
      </c>
      <c r="J1209" s="8">
        <f>IF(F1209&lt;&gt;"","https://api.qrserver.com/v1/create-qr-code/?size=200x200&amp;data="&amp;ENCODEURL("https://www.google.com/maps/search/?api=1&amp;query="&amp;SUBSTITUTE(F1209," ","")),"")</f>
        <v/>
      </c>
      <c r="K1209" s="8">
        <f>IF(C1209&lt;&gt;"",HYPERLINK("https://wa.me/507"&amp;REGEXREPLACE(C1209,"[^0-9]","")&amp;"?text="&amp;ENCODEURL("Ya llegue. Codigo: "&amp;A1209&amp;". Ubicacion: "&amp;"https://www.google.com/maps/search/?api=1&amp;query="&amp;SUBSTITUTE(F1209," ","")),"📲 Avisar al cliente"),"")</f>
        <v/>
      </c>
      <c r="L1209" s="8">
        <f>IF(C1209&lt;&gt;"","https://api.qrserver.com/v1/create-qr-code/?size=200x200&amp;data="&amp;ENCODEURL("https://wa.me/507"&amp;REGEXREPLACE(C1209,"[^0-9]","")&amp;"?text="&amp;ENCODEURL("Ya llegue. Codigo: "&amp;A1209&amp;". Ubicacion: "&amp;"https://www.google.com/maps/search/?api=1&amp;query="&amp;SUBSTITUTE(F1209," ",""))),"")</f>
        <v/>
      </c>
      <c r="M1209" s="8">
        <f>IF(B1209&lt;&gt;"",TODAY(),"")</f>
        <v/>
      </c>
      <c r="N1209" s="8">
        <f>IF(F1209&lt;&gt;"",IFERROR(IF(AND(REGEXMATCH(SUBSTITUTE(TRIM(F1209)," ",""),"^-?\d+(\.\d+)?,-?\d+(\.\d+)?$"),VALUE(REGEXEXTRACT(SUBSTITUTE(TRIM(F1209)," ",""),"^-?\d+(\.\d+)?"))&gt;=-90,VALUE(REGEXEXTRACT(SUBSTITUTE(TRIM(F1209)," ",""),"^-?\d+(\.\d+)?"))&lt;=90,VALUE(REGEXEXTRACT(SUBSTITUTE(TRIM(F1209)," ",""),"-?\d+(\.\d+)?$"))&gt;=-180,VALUE(REGEXEXTRACT(SUBSTITUTE(TRIM(F1209)," ",""),"-?\d+(\.\d+)?$"))&lt;=180),"OK","REVISAR"),"REVISAR"),"")</f>
        <v/>
      </c>
      <c r="O1209">
        <f>IF(A1209&lt;&gt;"","https://direcciones507.github.io/direcciones507/panel.html?codigo="&amp;A1209&amp;"&amp;nombre="&amp;ENCODEURL(B1209)&amp;"&amp;telefono="&amp;SUBSTITUTE(C1209,"-","")&amp;"&amp;referencia="&amp;ENCODEURL(E1209)&amp;"&amp;lat="&amp;IZQUIERDA(SUBSTITUTE(F1209," ",""),ENCONTRAR(",",SUBSTITUTE(F1209," ",""))-1)&amp;"&amp;lng="&amp;DERECHA(SUBSTITUTE(F1209," ",""),LARGO(SUBSTITUTE(F1209," ",""))-ENCONTRAR(",",SUBSTITUTE(F1209," ",""))),"")</f>
        <v/>
      </c>
    </row>
    <row r="1210" ht="15.75" customHeight="1" s="10">
      <c r="A1210" s="8">
        <f>CONCAT("AD507-",TEXT(ROW()-2,"0000"))</f>
        <v/>
      </c>
      <c r="C1210" s="8" t="n"/>
      <c r="F1210" s="8" t="n"/>
      <c r="G1210" s="8">
        <f>IF(F1210&lt;&gt;"",HYPERLINK("https://www.google.com/maps/search/?api=1&amp;query="&amp;SUBSTITUTE(F1210," ",""),"🗺 Google Maps"),"")</f>
        <v/>
      </c>
      <c r="H1210" s="8">
        <f>IF(F1210&lt;&gt;"",HYPERLINK("https://waze.com/ul?ll="&amp;SUBSTITUTE(F1210," ","")&amp;"&amp;navigate=yes","🚗 Waze"),"")</f>
        <v/>
      </c>
      <c r="I1210" s="8">
        <f>IF(F1210&lt;&gt;"",HYPERLINK("https://m.uber.com/ul/?action=setPickup&amp;pickup=my_location&amp;dropoff[latitude]="&amp;LEFT(SUBSTITUTE(F1210," ",""),FIND(",",SUBSTITUTE(F1210," ",""))-1)&amp;"&amp;dropoff[longitude]="&amp;MID(SUBSTITUTE(F1210," ",""),FIND(",",SUBSTITUTE(F1210," ",""))+1,99),"🚕 Uber"),"")</f>
        <v/>
      </c>
      <c r="J1210" s="8">
        <f>IF(F1210&lt;&gt;"","https://api.qrserver.com/v1/create-qr-code/?size=200x200&amp;data="&amp;ENCODEURL("https://www.google.com/maps/search/?api=1&amp;query="&amp;SUBSTITUTE(F1210," ","")),"")</f>
        <v/>
      </c>
      <c r="K1210" s="8">
        <f>IF(C1210&lt;&gt;"",HYPERLINK("https://wa.me/507"&amp;REGEXREPLACE(C1210,"[^0-9]","")&amp;"?text="&amp;ENCODEURL("Ya llegue. Codigo: "&amp;A1210&amp;". Ubicacion: "&amp;"https://www.google.com/maps/search/?api=1&amp;query="&amp;SUBSTITUTE(F1210," ","")),"📲 Avisar al cliente"),"")</f>
        <v/>
      </c>
      <c r="L1210" s="8">
        <f>IF(C1210&lt;&gt;"","https://api.qrserver.com/v1/create-qr-code/?size=200x200&amp;data="&amp;ENCODEURL("https://wa.me/507"&amp;REGEXREPLACE(C1210,"[^0-9]","")&amp;"?text="&amp;ENCODEURL("Ya llegue. Codigo: "&amp;A1210&amp;". Ubicacion: "&amp;"https://www.google.com/maps/search/?api=1&amp;query="&amp;SUBSTITUTE(F1210," ",""))),"")</f>
        <v/>
      </c>
      <c r="M1210" s="8">
        <f>IF(B1210&lt;&gt;"",TODAY(),"")</f>
        <v/>
      </c>
      <c r="N1210" s="8">
        <f>IF(F1210&lt;&gt;"",IFERROR(IF(AND(REGEXMATCH(SUBSTITUTE(TRIM(F1210)," ",""),"^-?\d+(\.\d+)?,-?\d+(\.\d+)?$"),VALUE(REGEXEXTRACT(SUBSTITUTE(TRIM(F1210)," ",""),"^-?\d+(\.\d+)?"))&gt;=-90,VALUE(REGEXEXTRACT(SUBSTITUTE(TRIM(F1210)," ",""),"^-?\d+(\.\d+)?"))&lt;=90,VALUE(REGEXEXTRACT(SUBSTITUTE(TRIM(F1210)," ",""),"-?\d+(\.\d+)?$"))&gt;=-180,VALUE(REGEXEXTRACT(SUBSTITUTE(TRIM(F1210)," ",""),"-?\d+(\.\d+)?$"))&lt;=180),"OK","REVISAR"),"REVISAR"),"")</f>
        <v/>
      </c>
      <c r="O1210">
        <f>IF(A1210&lt;&gt;"","https://direcciones507.github.io/direcciones507/panel.html?codigo="&amp;A1210&amp;"&amp;nombre="&amp;ENCODEURL(B1210)&amp;"&amp;telefono="&amp;SUBSTITUTE(C1210,"-","")&amp;"&amp;referencia="&amp;ENCODEURL(E1210)&amp;"&amp;lat="&amp;IZQUIERDA(SUBSTITUTE(F1210," ",""),ENCONTRAR(",",SUBSTITUTE(F1210," ",""))-1)&amp;"&amp;lng="&amp;DERECHA(SUBSTITUTE(F1210," ",""),LARGO(SUBSTITUTE(F1210," ",""))-ENCONTRAR(",",SUBSTITUTE(F1210," ",""))),"")</f>
        <v/>
      </c>
    </row>
    <row r="1211" ht="15.75" customHeight="1" s="10">
      <c r="A1211" s="8">
        <f>CONCAT("AD507-",TEXT(ROW()-2,"0000"))</f>
        <v/>
      </c>
      <c r="C1211" s="8" t="n"/>
      <c r="F1211" s="8" t="n"/>
      <c r="G1211" s="8">
        <f>IF(F1211&lt;&gt;"",HYPERLINK("https://www.google.com/maps/search/?api=1&amp;query="&amp;SUBSTITUTE(F1211," ",""),"🗺 Google Maps"),"")</f>
        <v/>
      </c>
      <c r="H1211" s="8">
        <f>IF(F1211&lt;&gt;"",HYPERLINK("https://waze.com/ul?ll="&amp;SUBSTITUTE(F1211," ","")&amp;"&amp;navigate=yes","🚗 Waze"),"")</f>
        <v/>
      </c>
      <c r="I1211" s="8">
        <f>IF(F1211&lt;&gt;"",HYPERLINK("https://m.uber.com/ul/?action=setPickup&amp;pickup=my_location&amp;dropoff[latitude]="&amp;LEFT(SUBSTITUTE(F1211," ",""),FIND(",",SUBSTITUTE(F1211," ",""))-1)&amp;"&amp;dropoff[longitude]="&amp;MID(SUBSTITUTE(F1211," ",""),FIND(",",SUBSTITUTE(F1211," ",""))+1,99),"🚕 Uber"),"")</f>
        <v/>
      </c>
      <c r="J1211" s="8">
        <f>IF(F1211&lt;&gt;"","https://api.qrserver.com/v1/create-qr-code/?size=200x200&amp;data="&amp;ENCODEURL("https://www.google.com/maps/search/?api=1&amp;query="&amp;SUBSTITUTE(F1211," ","")),"")</f>
        <v/>
      </c>
      <c r="K1211" s="8">
        <f>IF(C1211&lt;&gt;"",HYPERLINK("https://wa.me/507"&amp;REGEXREPLACE(C1211,"[^0-9]","")&amp;"?text="&amp;ENCODEURL("Ya llegue. Codigo: "&amp;A1211&amp;". Ubicacion: "&amp;"https://www.google.com/maps/search/?api=1&amp;query="&amp;SUBSTITUTE(F1211," ","")),"📲 Avisar al cliente"),"")</f>
        <v/>
      </c>
      <c r="L1211" s="8">
        <f>IF(C1211&lt;&gt;"","https://api.qrserver.com/v1/create-qr-code/?size=200x200&amp;data="&amp;ENCODEURL("https://wa.me/507"&amp;REGEXREPLACE(C1211,"[^0-9]","")&amp;"?text="&amp;ENCODEURL("Ya llegue. Codigo: "&amp;A1211&amp;". Ubicacion: "&amp;"https://www.google.com/maps/search/?api=1&amp;query="&amp;SUBSTITUTE(F1211," ",""))),"")</f>
        <v/>
      </c>
      <c r="M1211" s="8">
        <f>IF(B1211&lt;&gt;"",TODAY(),"")</f>
        <v/>
      </c>
      <c r="N1211" s="8">
        <f>IF(F1211&lt;&gt;"",IFERROR(IF(AND(REGEXMATCH(SUBSTITUTE(TRIM(F1211)," ",""),"^-?\d+(\.\d+)?,-?\d+(\.\d+)?$"),VALUE(REGEXEXTRACT(SUBSTITUTE(TRIM(F1211)," ",""),"^-?\d+(\.\d+)?"))&gt;=-90,VALUE(REGEXEXTRACT(SUBSTITUTE(TRIM(F1211)," ",""),"^-?\d+(\.\d+)?"))&lt;=90,VALUE(REGEXEXTRACT(SUBSTITUTE(TRIM(F1211)," ",""),"-?\d+(\.\d+)?$"))&gt;=-180,VALUE(REGEXEXTRACT(SUBSTITUTE(TRIM(F1211)," ",""),"-?\d+(\.\d+)?$"))&lt;=180),"OK","REVISAR"),"REVISAR"),"")</f>
        <v/>
      </c>
      <c r="O1211">
        <f>IF(A1211&lt;&gt;"","https://direcciones507.github.io/direcciones507/panel.html?codigo="&amp;A1211&amp;"&amp;nombre="&amp;ENCODEURL(B1211)&amp;"&amp;telefono="&amp;SUBSTITUTE(C1211,"-","")&amp;"&amp;referencia="&amp;ENCODEURL(E1211)&amp;"&amp;lat="&amp;IZQUIERDA(SUBSTITUTE(F1211," ",""),ENCONTRAR(",",SUBSTITUTE(F1211," ",""))-1)&amp;"&amp;lng="&amp;DERECHA(SUBSTITUTE(F1211," ",""),LARGO(SUBSTITUTE(F1211," ",""))-ENCONTRAR(",",SUBSTITUTE(F1211," ",""))),"")</f>
        <v/>
      </c>
    </row>
    <row r="1212" ht="15.75" customHeight="1" s="10">
      <c r="A1212" s="8">
        <f>CONCAT("AD507-",TEXT(ROW()-2,"0000"))</f>
        <v/>
      </c>
      <c r="C1212" s="8" t="n"/>
      <c r="F1212" s="8" t="n"/>
      <c r="G1212" s="8">
        <f>IF(F1212&lt;&gt;"",HYPERLINK("https://www.google.com/maps/search/?api=1&amp;query="&amp;SUBSTITUTE(F1212," ",""),"🗺 Google Maps"),"")</f>
        <v/>
      </c>
      <c r="H1212" s="8">
        <f>IF(F1212&lt;&gt;"",HYPERLINK("https://waze.com/ul?ll="&amp;SUBSTITUTE(F1212," ","")&amp;"&amp;navigate=yes","🚗 Waze"),"")</f>
        <v/>
      </c>
      <c r="I1212" s="8">
        <f>IF(F1212&lt;&gt;"",HYPERLINK("https://m.uber.com/ul/?action=setPickup&amp;pickup=my_location&amp;dropoff[latitude]="&amp;LEFT(SUBSTITUTE(F1212," ",""),FIND(",",SUBSTITUTE(F1212," ",""))-1)&amp;"&amp;dropoff[longitude]="&amp;MID(SUBSTITUTE(F1212," ",""),FIND(",",SUBSTITUTE(F1212," ",""))+1,99),"🚕 Uber"),"")</f>
        <v/>
      </c>
      <c r="J1212" s="8">
        <f>IF(F1212&lt;&gt;"","https://api.qrserver.com/v1/create-qr-code/?size=200x200&amp;data="&amp;ENCODEURL("https://www.google.com/maps/search/?api=1&amp;query="&amp;SUBSTITUTE(F1212," ","")),"")</f>
        <v/>
      </c>
      <c r="K1212" s="8">
        <f>IF(C1212&lt;&gt;"",HYPERLINK("https://wa.me/507"&amp;REGEXREPLACE(C1212,"[^0-9]","")&amp;"?text="&amp;ENCODEURL("Ya llegue. Codigo: "&amp;A1212&amp;". Ubicacion: "&amp;"https://www.google.com/maps/search/?api=1&amp;query="&amp;SUBSTITUTE(F1212," ","")),"📲 Avisar al cliente"),"")</f>
        <v/>
      </c>
      <c r="L1212" s="8">
        <f>IF(C1212&lt;&gt;"","https://api.qrserver.com/v1/create-qr-code/?size=200x200&amp;data="&amp;ENCODEURL("https://wa.me/507"&amp;REGEXREPLACE(C1212,"[^0-9]","")&amp;"?text="&amp;ENCODEURL("Ya llegue. Codigo: "&amp;A1212&amp;". Ubicacion: "&amp;"https://www.google.com/maps/search/?api=1&amp;query="&amp;SUBSTITUTE(F1212," ",""))),"")</f>
        <v/>
      </c>
      <c r="M1212" s="8">
        <f>IF(B1212&lt;&gt;"",TODAY(),"")</f>
        <v/>
      </c>
      <c r="N1212" s="8">
        <f>IF(F1212&lt;&gt;"",IFERROR(IF(AND(REGEXMATCH(SUBSTITUTE(TRIM(F1212)," ",""),"^-?\d+(\.\d+)?,-?\d+(\.\d+)?$"),VALUE(REGEXEXTRACT(SUBSTITUTE(TRIM(F1212)," ",""),"^-?\d+(\.\d+)?"))&gt;=-90,VALUE(REGEXEXTRACT(SUBSTITUTE(TRIM(F1212)," ",""),"^-?\d+(\.\d+)?"))&lt;=90,VALUE(REGEXEXTRACT(SUBSTITUTE(TRIM(F1212)," ",""),"-?\d+(\.\d+)?$"))&gt;=-180,VALUE(REGEXEXTRACT(SUBSTITUTE(TRIM(F1212)," ",""),"-?\d+(\.\d+)?$"))&lt;=180),"OK","REVISAR"),"REVISAR"),"")</f>
        <v/>
      </c>
      <c r="O1212">
        <f>IF(A1212&lt;&gt;"","https://direcciones507.github.io/direcciones507/panel.html?codigo="&amp;A1212&amp;"&amp;nombre="&amp;ENCODEURL(B1212)&amp;"&amp;telefono="&amp;SUBSTITUTE(C1212,"-","")&amp;"&amp;referencia="&amp;ENCODEURL(E1212)&amp;"&amp;lat="&amp;IZQUIERDA(SUBSTITUTE(F1212," ",""),ENCONTRAR(",",SUBSTITUTE(F1212," ",""))-1)&amp;"&amp;lng="&amp;DERECHA(SUBSTITUTE(F1212," ",""),LARGO(SUBSTITUTE(F1212," ",""))-ENCONTRAR(",",SUBSTITUTE(F1212," ",""))),"")</f>
        <v/>
      </c>
    </row>
    <row r="1213" ht="15.75" customHeight="1" s="10">
      <c r="A1213" s="8">
        <f>CONCAT("AD507-",TEXT(ROW()-2,"0000"))</f>
        <v/>
      </c>
      <c r="C1213" s="8" t="n"/>
      <c r="F1213" s="8" t="n"/>
      <c r="G1213" s="8">
        <f>IF(F1213&lt;&gt;"",HYPERLINK("https://www.google.com/maps/search/?api=1&amp;query="&amp;SUBSTITUTE(F1213," ",""),"🗺 Google Maps"),"")</f>
        <v/>
      </c>
      <c r="H1213" s="8">
        <f>IF(F1213&lt;&gt;"",HYPERLINK("https://waze.com/ul?ll="&amp;SUBSTITUTE(F1213," ","")&amp;"&amp;navigate=yes","🚗 Waze"),"")</f>
        <v/>
      </c>
      <c r="I1213" s="8">
        <f>IF(F1213&lt;&gt;"",HYPERLINK("https://m.uber.com/ul/?action=setPickup&amp;pickup=my_location&amp;dropoff[latitude]="&amp;LEFT(SUBSTITUTE(F1213," ",""),FIND(",",SUBSTITUTE(F1213," ",""))-1)&amp;"&amp;dropoff[longitude]="&amp;MID(SUBSTITUTE(F1213," ",""),FIND(",",SUBSTITUTE(F1213," ",""))+1,99),"🚕 Uber"),"")</f>
        <v/>
      </c>
      <c r="J1213" s="8">
        <f>IF(F1213&lt;&gt;"","https://api.qrserver.com/v1/create-qr-code/?size=200x200&amp;data="&amp;ENCODEURL("https://www.google.com/maps/search/?api=1&amp;query="&amp;SUBSTITUTE(F1213," ","")),"")</f>
        <v/>
      </c>
      <c r="K1213" s="8">
        <f>IF(C1213&lt;&gt;"",HYPERLINK("https://wa.me/507"&amp;REGEXREPLACE(C1213,"[^0-9]","")&amp;"?text="&amp;ENCODEURL("Ya llegue. Codigo: "&amp;A1213&amp;". Ubicacion: "&amp;"https://www.google.com/maps/search/?api=1&amp;query="&amp;SUBSTITUTE(F1213," ","")),"📲 Avisar al cliente"),"")</f>
        <v/>
      </c>
      <c r="L1213" s="8">
        <f>IF(C1213&lt;&gt;"","https://api.qrserver.com/v1/create-qr-code/?size=200x200&amp;data="&amp;ENCODEURL("https://wa.me/507"&amp;REGEXREPLACE(C1213,"[^0-9]","")&amp;"?text="&amp;ENCODEURL("Ya llegue. Codigo: "&amp;A1213&amp;". Ubicacion: "&amp;"https://www.google.com/maps/search/?api=1&amp;query="&amp;SUBSTITUTE(F1213," ",""))),"")</f>
        <v/>
      </c>
      <c r="M1213" s="8">
        <f>IF(B1213&lt;&gt;"",TODAY(),"")</f>
        <v/>
      </c>
      <c r="N1213" s="8">
        <f>IF(F1213&lt;&gt;"",IFERROR(IF(AND(REGEXMATCH(SUBSTITUTE(TRIM(F1213)," ",""),"^-?\d+(\.\d+)?,-?\d+(\.\d+)?$"),VALUE(REGEXEXTRACT(SUBSTITUTE(TRIM(F1213)," ",""),"^-?\d+(\.\d+)?"))&gt;=-90,VALUE(REGEXEXTRACT(SUBSTITUTE(TRIM(F1213)," ",""),"^-?\d+(\.\d+)?"))&lt;=90,VALUE(REGEXEXTRACT(SUBSTITUTE(TRIM(F1213)," ",""),"-?\d+(\.\d+)?$"))&gt;=-180,VALUE(REGEXEXTRACT(SUBSTITUTE(TRIM(F1213)," ",""),"-?\d+(\.\d+)?$"))&lt;=180),"OK","REVISAR"),"REVISAR"),"")</f>
        <v/>
      </c>
      <c r="O1213">
        <f>IF(A1213&lt;&gt;"","https://direcciones507.github.io/direcciones507/panel.html?codigo="&amp;A1213&amp;"&amp;nombre="&amp;ENCODEURL(B1213)&amp;"&amp;telefono="&amp;SUBSTITUTE(C1213,"-","")&amp;"&amp;referencia="&amp;ENCODEURL(E1213)&amp;"&amp;lat="&amp;IZQUIERDA(SUBSTITUTE(F1213," ",""),ENCONTRAR(",",SUBSTITUTE(F1213," ",""))-1)&amp;"&amp;lng="&amp;DERECHA(SUBSTITUTE(F1213," ",""),LARGO(SUBSTITUTE(F1213," ",""))-ENCONTRAR(",",SUBSTITUTE(F1213," ",""))),"")</f>
        <v/>
      </c>
    </row>
    <row r="1214" ht="15.75" customHeight="1" s="10">
      <c r="A1214" s="8">
        <f>CONCAT("AD507-",TEXT(ROW()-2,"0000"))</f>
        <v/>
      </c>
      <c r="C1214" s="8" t="n"/>
      <c r="F1214" s="8" t="n"/>
      <c r="G1214" s="8">
        <f>IF(F1214&lt;&gt;"",HYPERLINK("https://www.google.com/maps/search/?api=1&amp;query="&amp;SUBSTITUTE(F1214," ",""),"🗺 Google Maps"),"")</f>
        <v/>
      </c>
      <c r="H1214" s="8">
        <f>IF(F1214&lt;&gt;"",HYPERLINK("https://waze.com/ul?ll="&amp;SUBSTITUTE(F1214," ","")&amp;"&amp;navigate=yes","🚗 Waze"),"")</f>
        <v/>
      </c>
      <c r="I1214" s="8">
        <f>IF(F1214&lt;&gt;"",HYPERLINK("https://m.uber.com/ul/?action=setPickup&amp;pickup=my_location&amp;dropoff[latitude]="&amp;LEFT(SUBSTITUTE(F1214," ",""),FIND(",",SUBSTITUTE(F1214," ",""))-1)&amp;"&amp;dropoff[longitude]="&amp;MID(SUBSTITUTE(F1214," ",""),FIND(",",SUBSTITUTE(F1214," ",""))+1,99),"🚕 Uber"),"")</f>
        <v/>
      </c>
      <c r="J1214" s="8">
        <f>IF(F1214&lt;&gt;"","https://api.qrserver.com/v1/create-qr-code/?size=200x200&amp;data="&amp;ENCODEURL("https://www.google.com/maps/search/?api=1&amp;query="&amp;SUBSTITUTE(F1214," ","")),"")</f>
        <v/>
      </c>
      <c r="K1214" s="8">
        <f>IF(C1214&lt;&gt;"",HYPERLINK("https://wa.me/507"&amp;REGEXREPLACE(C1214,"[^0-9]","")&amp;"?text="&amp;ENCODEURL("Ya llegue. Codigo: "&amp;A1214&amp;". Ubicacion: "&amp;"https://www.google.com/maps/search/?api=1&amp;query="&amp;SUBSTITUTE(F1214," ","")),"📲 Avisar al cliente"),"")</f>
        <v/>
      </c>
      <c r="L1214" s="8">
        <f>IF(C1214&lt;&gt;"","https://api.qrserver.com/v1/create-qr-code/?size=200x200&amp;data="&amp;ENCODEURL("https://wa.me/507"&amp;REGEXREPLACE(C1214,"[^0-9]","")&amp;"?text="&amp;ENCODEURL("Ya llegue. Codigo: "&amp;A1214&amp;". Ubicacion: "&amp;"https://www.google.com/maps/search/?api=1&amp;query="&amp;SUBSTITUTE(F1214," ",""))),"")</f>
        <v/>
      </c>
      <c r="M1214" s="8">
        <f>IF(B1214&lt;&gt;"",TODAY(),"")</f>
        <v/>
      </c>
      <c r="N1214" s="8">
        <f>IF(F1214&lt;&gt;"",IFERROR(IF(AND(REGEXMATCH(SUBSTITUTE(TRIM(F1214)," ",""),"^-?\d+(\.\d+)?,-?\d+(\.\d+)?$"),VALUE(REGEXEXTRACT(SUBSTITUTE(TRIM(F1214)," ",""),"^-?\d+(\.\d+)?"))&gt;=-90,VALUE(REGEXEXTRACT(SUBSTITUTE(TRIM(F1214)," ",""),"^-?\d+(\.\d+)?"))&lt;=90,VALUE(REGEXEXTRACT(SUBSTITUTE(TRIM(F1214)," ",""),"-?\d+(\.\d+)?$"))&gt;=-180,VALUE(REGEXEXTRACT(SUBSTITUTE(TRIM(F1214)," ",""),"-?\d+(\.\d+)?$"))&lt;=180),"OK","REVISAR"),"REVISAR"),"")</f>
        <v/>
      </c>
      <c r="O1214">
        <f>IF(A1214&lt;&gt;"","https://direcciones507.github.io/direcciones507/panel.html?codigo="&amp;A1214&amp;"&amp;nombre="&amp;ENCODEURL(B1214)&amp;"&amp;telefono="&amp;SUBSTITUTE(C1214,"-","")&amp;"&amp;referencia="&amp;ENCODEURL(E1214)&amp;"&amp;lat="&amp;IZQUIERDA(SUBSTITUTE(F1214," ",""),ENCONTRAR(",",SUBSTITUTE(F1214," ",""))-1)&amp;"&amp;lng="&amp;DERECHA(SUBSTITUTE(F1214," ",""),LARGO(SUBSTITUTE(F1214," ",""))-ENCONTRAR(",",SUBSTITUTE(F1214," ",""))),"")</f>
        <v/>
      </c>
    </row>
    <row r="1215" ht="15.75" customHeight="1" s="10">
      <c r="A1215" s="8">
        <f>CONCAT("AD507-",TEXT(ROW()-2,"0000"))</f>
        <v/>
      </c>
      <c r="C1215" s="8" t="n"/>
      <c r="F1215" s="8" t="n"/>
      <c r="G1215" s="8">
        <f>IF(F1215&lt;&gt;"",HYPERLINK("https://www.google.com/maps/search/?api=1&amp;query="&amp;SUBSTITUTE(F1215," ",""),"🗺 Google Maps"),"")</f>
        <v/>
      </c>
      <c r="H1215" s="8">
        <f>IF(F1215&lt;&gt;"",HYPERLINK("https://waze.com/ul?ll="&amp;SUBSTITUTE(F1215," ","")&amp;"&amp;navigate=yes","🚗 Waze"),"")</f>
        <v/>
      </c>
      <c r="I1215" s="8">
        <f>IF(F1215&lt;&gt;"",HYPERLINK("https://m.uber.com/ul/?action=setPickup&amp;pickup=my_location&amp;dropoff[latitude]="&amp;LEFT(SUBSTITUTE(F1215," ",""),FIND(",",SUBSTITUTE(F1215," ",""))-1)&amp;"&amp;dropoff[longitude]="&amp;MID(SUBSTITUTE(F1215," ",""),FIND(",",SUBSTITUTE(F1215," ",""))+1,99),"🚕 Uber"),"")</f>
        <v/>
      </c>
      <c r="J1215" s="8">
        <f>IF(F1215&lt;&gt;"","https://api.qrserver.com/v1/create-qr-code/?size=200x200&amp;data="&amp;ENCODEURL("https://www.google.com/maps/search/?api=1&amp;query="&amp;SUBSTITUTE(F1215," ","")),"")</f>
        <v/>
      </c>
      <c r="K1215" s="8">
        <f>IF(C1215&lt;&gt;"",HYPERLINK("https://wa.me/507"&amp;REGEXREPLACE(C1215,"[^0-9]","")&amp;"?text="&amp;ENCODEURL("Ya llegue. Codigo: "&amp;A1215&amp;". Ubicacion: "&amp;"https://www.google.com/maps/search/?api=1&amp;query="&amp;SUBSTITUTE(F1215," ","")),"📲 Avisar al cliente"),"")</f>
        <v/>
      </c>
      <c r="L1215" s="8">
        <f>IF(C1215&lt;&gt;"","https://api.qrserver.com/v1/create-qr-code/?size=200x200&amp;data="&amp;ENCODEURL("https://wa.me/507"&amp;REGEXREPLACE(C1215,"[^0-9]","")&amp;"?text="&amp;ENCODEURL("Ya llegue. Codigo: "&amp;A1215&amp;". Ubicacion: "&amp;"https://www.google.com/maps/search/?api=1&amp;query="&amp;SUBSTITUTE(F1215," ",""))),"")</f>
        <v/>
      </c>
      <c r="M1215" s="8">
        <f>IF(B1215&lt;&gt;"",TODAY(),"")</f>
        <v/>
      </c>
      <c r="N1215" s="8">
        <f>IF(F1215&lt;&gt;"",IFERROR(IF(AND(REGEXMATCH(SUBSTITUTE(TRIM(F1215)," ",""),"^-?\d+(\.\d+)?,-?\d+(\.\d+)?$"),VALUE(REGEXEXTRACT(SUBSTITUTE(TRIM(F1215)," ",""),"^-?\d+(\.\d+)?"))&gt;=-90,VALUE(REGEXEXTRACT(SUBSTITUTE(TRIM(F1215)," ",""),"^-?\d+(\.\d+)?"))&lt;=90,VALUE(REGEXEXTRACT(SUBSTITUTE(TRIM(F1215)," ",""),"-?\d+(\.\d+)?$"))&gt;=-180,VALUE(REGEXEXTRACT(SUBSTITUTE(TRIM(F1215)," ",""),"-?\d+(\.\d+)?$"))&lt;=180),"OK","REVISAR"),"REVISAR"),"")</f>
        <v/>
      </c>
      <c r="O1215">
        <f>IF(A1215&lt;&gt;"","https://direcciones507.github.io/direcciones507/panel.html?codigo="&amp;A1215&amp;"&amp;nombre="&amp;ENCODEURL(B1215)&amp;"&amp;telefono="&amp;SUBSTITUTE(C1215,"-","")&amp;"&amp;referencia="&amp;ENCODEURL(E1215)&amp;"&amp;lat="&amp;IZQUIERDA(SUBSTITUTE(F1215," ",""),ENCONTRAR(",",SUBSTITUTE(F1215," ",""))-1)&amp;"&amp;lng="&amp;DERECHA(SUBSTITUTE(F1215," ",""),LARGO(SUBSTITUTE(F1215," ",""))-ENCONTRAR(",",SUBSTITUTE(F1215," ",""))),"")</f>
        <v/>
      </c>
    </row>
    <row r="1216" ht="15.75" customHeight="1" s="10">
      <c r="A1216" s="8">
        <f>CONCAT("AD507-",TEXT(ROW()-2,"0000"))</f>
        <v/>
      </c>
      <c r="C1216" s="8" t="n"/>
      <c r="F1216" s="8" t="n"/>
      <c r="G1216" s="8">
        <f>IF(F1216&lt;&gt;"",HYPERLINK("https://www.google.com/maps/search/?api=1&amp;query="&amp;SUBSTITUTE(F1216," ",""),"🗺 Google Maps"),"")</f>
        <v/>
      </c>
      <c r="H1216" s="8">
        <f>IF(F1216&lt;&gt;"",HYPERLINK("https://waze.com/ul?ll="&amp;SUBSTITUTE(F1216," ","")&amp;"&amp;navigate=yes","🚗 Waze"),"")</f>
        <v/>
      </c>
      <c r="I1216" s="8">
        <f>IF(F1216&lt;&gt;"",HYPERLINK("https://m.uber.com/ul/?action=setPickup&amp;pickup=my_location&amp;dropoff[latitude]="&amp;LEFT(SUBSTITUTE(F1216," ",""),FIND(",",SUBSTITUTE(F1216," ",""))-1)&amp;"&amp;dropoff[longitude]="&amp;MID(SUBSTITUTE(F1216," ",""),FIND(",",SUBSTITUTE(F1216," ",""))+1,99),"🚕 Uber"),"")</f>
        <v/>
      </c>
      <c r="J1216" s="8">
        <f>IF(F1216&lt;&gt;"","https://api.qrserver.com/v1/create-qr-code/?size=200x200&amp;data="&amp;ENCODEURL("https://www.google.com/maps/search/?api=1&amp;query="&amp;SUBSTITUTE(F1216," ","")),"")</f>
        <v/>
      </c>
      <c r="K1216" s="8">
        <f>IF(C1216&lt;&gt;"",HYPERLINK("https://wa.me/507"&amp;REGEXREPLACE(C1216,"[^0-9]","")&amp;"?text="&amp;ENCODEURL("Ya llegue. Codigo: "&amp;A1216&amp;". Ubicacion: "&amp;"https://www.google.com/maps/search/?api=1&amp;query="&amp;SUBSTITUTE(F1216," ","")),"📲 Avisar al cliente"),"")</f>
        <v/>
      </c>
      <c r="L1216" s="8">
        <f>IF(C1216&lt;&gt;"","https://api.qrserver.com/v1/create-qr-code/?size=200x200&amp;data="&amp;ENCODEURL("https://wa.me/507"&amp;REGEXREPLACE(C1216,"[^0-9]","")&amp;"?text="&amp;ENCODEURL("Ya llegue. Codigo: "&amp;A1216&amp;". Ubicacion: "&amp;"https://www.google.com/maps/search/?api=1&amp;query="&amp;SUBSTITUTE(F1216," ",""))),"")</f>
        <v/>
      </c>
      <c r="M1216" s="8">
        <f>IF(B1216&lt;&gt;"",TODAY(),"")</f>
        <v/>
      </c>
      <c r="N1216" s="8">
        <f>IF(F1216&lt;&gt;"",IFERROR(IF(AND(REGEXMATCH(SUBSTITUTE(TRIM(F1216)," ",""),"^-?\d+(\.\d+)?,-?\d+(\.\d+)?$"),VALUE(REGEXEXTRACT(SUBSTITUTE(TRIM(F1216)," ",""),"^-?\d+(\.\d+)?"))&gt;=-90,VALUE(REGEXEXTRACT(SUBSTITUTE(TRIM(F1216)," ",""),"^-?\d+(\.\d+)?"))&lt;=90,VALUE(REGEXEXTRACT(SUBSTITUTE(TRIM(F1216)," ",""),"-?\d+(\.\d+)?$"))&gt;=-180,VALUE(REGEXEXTRACT(SUBSTITUTE(TRIM(F1216)," ",""),"-?\d+(\.\d+)?$"))&lt;=180),"OK","REVISAR"),"REVISAR"),"")</f>
        <v/>
      </c>
      <c r="O1216">
        <f>IF(A1216&lt;&gt;"","https://direcciones507.github.io/direcciones507/panel.html?codigo="&amp;A1216&amp;"&amp;nombre="&amp;ENCODEURL(B1216)&amp;"&amp;telefono="&amp;SUBSTITUTE(C1216,"-","")&amp;"&amp;referencia="&amp;ENCODEURL(E1216)&amp;"&amp;lat="&amp;IZQUIERDA(SUBSTITUTE(F1216," ",""),ENCONTRAR(",",SUBSTITUTE(F1216," ",""))-1)&amp;"&amp;lng="&amp;DERECHA(SUBSTITUTE(F1216," ",""),LARGO(SUBSTITUTE(F1216," ",""))-ENCONTRAR(",",SUBSTITUTE(F1216," ",""))),"")</f>
        <v/>
      </c>
    </row>
    <row r="1217" ht="15.75" customHeight="1" s="10">
      <c r="A1217" s="8">
        <f>CONCAT("AD507-",TEXT(ROW()-2,"0000"))</f>
        <v/>
      </c>
      <c r="C1217" s="8" t="n"/>
      <c r="F1217" s="8" t="n"/>
      <c r="G1217" s="8">
        <f>IF(F1217&lt;&gt;"",HYPERLINK("https://www.google.com/maps/search/?api=1&amp;query="&amp;SUBSTITUTE(F1217," ",""),"🗺 Google Maps"),"")</f>
        <v/>
      </c>
      <c r="H1217" s="8">
        <f>IF(F1217&lt;&gt;"",HYPERLINK("https://waze.com/ul?ll="&amp;SUBSTITUTE(F1217," ","")&amp;"&amp;navigate=yes","🚗 Waze"),"")</f>
        <v/>
      </c>
      <c r="I1217" s="8">
        <f>IF(F1217&lt;&gt;"",HYPERLINK("https://m.uber.com/ul/?action=setPickup&amp;pickup=my_location&amp;dropoff[latitude]="&amp;LEFT(SUBSTITUTE(F1217," ",""),FIND(",",SUBSTITUTE(F1217," ",""))-1)&amp;"&amp;dropoff[longitude]="&amp;MID(SUBSTITUTE(F1217," ",""),FIND(",",SUBSTITUTE(F1217," ",""))+1,99),"🚕 Uber"),"")</f>
        <v/>
      </c>
      <c r="J1217" s="8">
        <f>IF(F1217&lt;&gt;"","https://api.qrserver.com/v1/create-qr-code/?size=200x200&amp;data="&amp;ENCODEURL("https://www.google.com/maps/search/?api=1&amp;query="&amp;SUBSTITUTE(F1217," ","")),"")</f>
        <v/>
      </c>
      <c r="K1217" s="8">
        <f>IF(C1217&lt;&gt;"",HYPERLINK("https://wa.me/507"&amp;REGEXREPLACE(C1217,"[^0-9]","")&amp;"?text="&amp;ENCODEURL("Ya llegue. Codigo: "&amp;A1217&amp;". Ubicacion: "&amp;"https://www.google.com/maps/search/?api=1&amp;query="&amp;SUBSTITUTE(F1217," ","")),"📲 Avisar al cliente"),"")</f>
        <v/>
      </c>
      <c r="L1217" s="8">
        <f>IF(C1217&lt;&gt;"","https://api.qrserver.com/v1/create-qr-code/?size=200x200&amp;data="&amp;ENCODEURL("https://wa.me/507"&amp;REGEXREPLACE(C1217,"[^0-9]","")&amp;"?text="&amp;ENCODEURL("Ya llegue. Codigo: "&amp;A1217&amp;". Ubicacion: "&amp;"https://www.google.com/maps/search/?api=1&amp;query="&amp;SUBSTITUTE(F1217," ",""))),"")</f>
        <v/>
      </c>
      <c r="M1217" s="8">
        <f>IF(B1217&lt;&gt;"",TODAY(),"")</f>
        <v/>
      </c>
      <c r="N1217" s="8">
        <f>IF(F1217&lt;&gt;"",IFERROR(IF(AND(REGEXMATCH(SUBSTITUTE(TRIM(F1217)," ",""),"^-?\d+(\.\d+)?,-?\d+(\.\d+)?$"),VALUE(REGEXEXTRACT(SUBSTITUTE(TRIM(F1217)," ",""),"^-?\d+(\.\d+)?"))&gt;=-90,VALUE(REGEXEXTRACT(SUBSTITUTE(TRIM(F1217)," ",""),"^-?\d+(\.\d+)?"))&lt;=90,VALUE(REGEXEXTRACT(SUBSTITUTE(TRIM(F1217)," ",""),"-?\d+(\.\d+)?$"))&gt;=-180,VALUE(REGEXEXTRACT(SUBSTITUTE(TRIM(F1217)," ",""),"-?\d+(\.\d+)?$"))&lt;=180),"OK","REVISAR"),"REVISAR"),"")</f>
        <v/>
      </c>
      <c r="O1217">
        <f>IF(A1217&lt;&gt;"","https://direcciones507.github.io/direcciones507/panel.html?codigo="&amp;A1217&amp;"&amp;nombre="&amp;ENCODEURL(B1217)&amp;"&amp;telefono="&amp;SUBSTITUTE(C1217,"-","")&amp;"&amp;referencia="&amp;ENCODEURL(E1217)&amp;"&amp;lat="&amp;IZQUIERDA(SUBSTITUTE(F1217," ",""),ENCONTRAR(",",SUBSTITUTE(F1217," ",""))-1)&amp;"&amp;lng="&amp;DERECHA(SUBSTITUTE(F1217," ",""),LARGO(SUBSTITUTE(F1217," ",""))-ENCONTRAR(",",SUBSTITUTE(F1217," ",""))),"")</f>
        <v/>
      </c>
    </row>
    <row r="1218" ht="15.75" customHeight="1" s="10">
      <c r="A1218" s="8">
        <f>CONCAT("AD507-",TEXT(ROW()-2,"0000"))</f>
        <v/>
      </c>
      <c r="C1218" s="8" t="n"/>
      <c r="F1218" s="8" t="n"/>
      <c r="G1218" s="8">
        <f>IF(F1218&lt;&gt;"",HYPERLINK("https://www.google.com/maps/search/?api=1&amp;query="&amp;SUBSTITUTE(F1218," ",""),"🗺 Google Maps"),"")</f>
        <v/>
      </c>
      <c r="H1218" s="8">
        <f>IF(F1218&lt;&gt;"",HYPERLINK("https://waze.com/ul?ll="&amp;SUBSTITUTE(F1218," ","")&amp;"&amp;navigate=yes","🚗 Waze"),"")</f>
        <v/>
      </c>
      <c r="I1218" s="8">
        <f>IF(F1218&lt;&gt;"",HYPERLINK("https://m.uber.com/ul/?action=setPickup&amp;pickup=my_location&amp;dropoff[latitude]="&amp;LEFT(SUBSTITUTE(F1218," ",""),FIND(",",SUBSTITUTE(F1218," ",""))-1)&amp;"&amp;dropoff[longitude]="&amp;MID(SUBSTITUTE(F1218," ",""),FIND(",",SUBSTITUTE(F1218," ",""))+1,99),"🚕 Uber"),"")</f>
        <v/>
      </c>
      <c r="J1218" s="8">
        <f>IF(F1218&lt;&gt;"","https://api.qrserver.com/v1/create-qr-code/?size=200x200&amp;data="&amp;ENCODEURL("https://www.google.com/maps/search/?api=1&amp;query="&amp;SUBSTITUTE(F1218," ","")),"")</f>
        <v/>
      </c>
      <c r="K1218" s="8">
        <f>IF(C1218&lt;&gt;"",HYPERLINK("https://wa.me/507"&amp;REGEXREPLACE(C1218,"[^0-9]","")&amp;"?text="&amp;ENCODEURL("Ya llegue. Codigo: "&amp;A1218&amp;". Ubicacion: "&amp;"https://www.google.com/maps/search/?api=1&amp;query="&amp;SUBSTITUTE(F1218," ","")),"📲 Avisar al cliente"),"")</f>
        <v/>
      </c>
      <c r="L1218" s="8">
        <f>IF(C1218&lt;&gt;"","https://api.qrserver.com/v1/create-qr-code/?size=200x200&amp;data="&amp;ENCODEURL("https://wa.me/507"&amp;REGEXREPLACE(C1218,"[^0-9]","")&amp;"?text="&amp;ENCODEURL("Ya llegue. Codigo: "&amp;A1218&amp;". Ubicacion: "&amp;"https://www.google.com/maps/search/?api=1&amp;query="&amp;SUBSTITUTE(F1218," ",""))),"")</f>
        <v/>
      </c>
      <c r="M1218" s="8">
        <f>IF(B1218&lt;&gt;"",TODAY(),"")</f>
        <v/>
      </c>
      <c r="N1218" s="8">
        <f>IF(F1218&lt;&gt;"",IFERROR(IF(AND(REGEXMATCH(SUBSTITUTE(TRIM(F1218)," ",""),"^-?\d+(\.\d+)?,-?\d+(\.\d+)?$"),VALUE(REGEXEXTRACT(SUBSTITUTE(TRIM(F1218)," ",""),"^-?\d+(\.\d+)?"))&gt;=-90,VALUE(REGEXEXTRACT(SUBSTITUTE(TRIM(F1218)," ",""),"^-?\d+(\.\d+)?"))&lt;=90,VALUE(REGEXEXTRACT(SUBSTITUTE(TRIM(F1218)," ",""),"-?\d+(\.\d+)?$"))&gt;=-180,VALUE(REGEXEXTRACT(SUBSTITUTE(TRIM(F1218)," ",""),"-?\d+(\.\d+)?$"))&lt;=180),"OK","REVISAR"),"REVISAR"),"")</f>
        <v/>
      </c>
      <c r="O1218">
        <f>IF(A1218&lt;&gt;"","https://direcciones507.github.io/direcciones507/panel.html?codigo="&amp;A1218&amp;"&amp;nombre="&amp;ENCODEURL(B1218)&amp;"&amp;telefono="&amp;SUBSTITUTE(C1218,"-","")&amp;"&amp;referencia="&amp;ENCODEURL(E1218)&amp;"&amp;lat="&amp;IZQUIERDA(SUBSTITUTE(F1218," ",""),ENCONTRAR(",",SUBSTITUTE(F1218," ",""))-1)&amp;"&amp;lng="&amp;DERECHA(SUBSTITUTE(F1218," ",""),LARGO(SUBSTITUTE(F1218," ",""))-ENCONTRAR(",",SUBSTITUTE(F1218," ",""))),"")</f>
        <v/>
      </c>
    </row>
    <row r="1219" ht="15.75" customHeight="1" s="10">
      <c r="A1219" s="8">
        <f>CONCAT("AD507-",TEXT(ROW()-2,"0000"))</f>
        <v/>
      </c>
      <c r="C1219" s="8" t="n"/>
      <c r="F1219" s="8" t="n"/>
      <c r="G1219" s="8">
        <f>IF(F1219&lt;&gt;"",HYPERLINK("https://www.google.com/maps/search/?api=1&amp;query="&amp;SUBSTITUTE(F1219," ",""),"🗺 Google Maps"),"")</f>
        <v/>
      </c>
      <c r="H1219" s="8">
        <f>IF(F1219&lt;&gt;"",HYPERLINK("https://waze.com/ul?ll="&amp;SUBSTITUTE(F1219," ","")&amp;"&amp;navigate=yes","🚗 Waze"),"")</f>
        <v/>
      </c>
      <c r="I1219" s="8">
        <f>IF(F1219&lt;&gt;"",HYPERLINK("https://m.uber.com/ul/?action=setPickup&amp;pickup=my_location&amp;dropoff[latitude]="&amp;LEFT(SUBSTITUTE(F1219," ",""),FIND(",",SUBSTITUTE(F1219," ",""))-1)&amp;"&amp;dropoff[longitude]="&amp;MID(SUBSTITUTE(F1219," ",""),FIND(",",SUBSTITUTE(F1219," ",""))+1,99),"🚕 Uber"),"")</f>
        <v/>
      </c>
      <c r="J1219" s="8">
        <f>IF(F1219&lt;&gt;"","https://api.qrserver.com/v1/create-qr-code/?size=200x200&amp;data="&amp;ENCODEURL("https://www.google.com/maps/search/?api=1&amp;query="&amp;SUBSTITUTE(F1219," ","")),"")</f>
        <v/>
      </c>
      <c r="K1219" s="8">
        <f>IF(C1219&lt;&gt;"",HYPERLINK("https://wa.me/507"&amp;REGEXREPLACE(C1219,"[^0-9]","")&amp;"?text="&amp;ENCODEURL("Ya llegue. Codigo: "&amp;A1219&amp;". Ubicacion: "&amp;"https://www.google.com/maps/search/?api=1&amp;query="&amp;SUBSTITUTE(F1219," ","")),"📲 Avisar al cliente"),"")</f>
        <v/>
      </c>
      <c r="L1219" s="8">
        <f>IF(C1219&lt;&gt;"","https://api.qrserver.com/v1/create-qr-code/?size=200x200&amp;data="&amp;ENCODEURL("https://wa.me/507"&amp;REGEXREPLACE(C1219,"[^0-9]","")&amp;"?text="&amp;ENCODEURL("Ya llegue. Codigo: "&amp;A1219&amp;". Ubicacion: "&amp;"https://www.google.com/maps/search/?api=1&amp;query="&amp;SUBSTITUTE(F1219," ",""))),"")</f>
        <v/>
      </c>
      <c r="M1219" s="8">
        <f>IF(B1219&lt;&gt;"",TODAY(),"")</f>
        <v/>
      </c>
      <c r="N1219" s="8">
        <f>IF(F1219&lt;&gt;"",IFERROR(IF(AND(REGEXMATCH(SUBSTITUTE(TRIM(F1219)," ",""),"^-?\d+(\.\d+)?,-?\d+(\.\d+)?$"),VALUE(REGEXEXTRACT(SUBSTITUTE(TRIM(F1219)," ",""),"^-?\d+(\.\d+)?"))&gt;=-90,VALUE(REGEXEXTRACT(SUBSTITUTE(TRIM(F1219)," ",""),"^-?\d+(\.\d+)?"))&lt;=90,VALUE(REGEXEXTRACT(SUBSTITUTE(TRIM(F1219)," ",""),"-?\d+(\.\d+)?$"))&gt;=-180,VALUE(REGEXEXTRACT(SUBSTITUTE(TRIM(F1219)," ",""),"-?\d+(\.\d+)?$"))&lt;=180),"OK","REVISAR"),"REVISAR"),"")</f>
        <v/>
      </c>
      <c r="O1219">
        <f>IF(A1219&lt;&gt;"","https://direcciones507.github.io/direcciones507/panel.html?codigo="&amp;A1219&amp;"&amp;nombre="&amp;ENCODEURL(B1219)&amp;"&amp;telefono="&amp;SUBSTITUTE(C1219,"-","")&amp;"&amp;referencia="&amp;ENCODEURL(E1219)&amp;"&amp;lat="&amp;IZQUIERDA(SUBSTITUTE(F1219," ",""),ENCONTRAR(",",SUBSTITUTE(F1219," ",""))-1)&amp;"&amp;lng="&amp;DERECHA(SUBSTITUTE(F1219," ",""),LARGO(SUBSTITUTE(F1219," ",""))-ENCONTRAR(",",SUBSTITUTE(F1219," ",""))),"")</f>
        <v/>
      </c>
    </row>
    <row r="1220" ht="15.75" customHeight="1" s="10">
      <c r="A1220" s="8">
        <f>CONCAT("AD507-",TEXT(ROW()-2,"0000"))</f>
        <v/>
      </c>
      <c r="C1220" s="8" t="n"/>
      <c r="F1220" s="8" t="n"/>
      <c r="G1220" s="8">
        <f>IF(F1220&lt;&gt;"",HYPERLINK("https://www.google.com/maps/search/?api=1&amp;query="&amp;SUBSTITUTE(F1220," ",""),"🗺 Google Maps"),"")</f>
        <v/>
      </c>
      <c r="H1220" s="8">
        <f>IF(F1220&lt;&gt;"",HYPERLINK("https://waze.com/ul?ll="&amp;SUBSTITUTE(F1220," ","")&amp;"&amp;navigate=yes","🚗 Waze"),"")</f>
        <v/>
      </c>
      <c r="I1220" s="8">
        <f>IF(F1220&lt;&gt;"",HYPERLINK("https://m.uber.com/ul/?action=setPickup&amp;pickup=my_location&amp;dropoff[latitude]="&amp;LEFT(SUBSTITUTE(F1220," ",""),FIND(",",SUBSTITUTE(F1220," ",""))-1)&amp;"&amp;dropoff[longitude]="&amp;MID(SUBSTITUTE(F1220," ",""),FIND(",",SUBSTITUTE(F1220," ",""))+1,99),"🚕 Uber"),"")</f>
        <v/>
      </c>
      <c r="J1220" s="8">
        <f>IF(F1220&lt;&gt;"","https://api.qrserver.com/v1/create-qr-code/?size=200x200&amp;data="&amp;ENCODEURL("https://www.google.com/maps/search/?api=1&amp;query="&amp;SUBSTITUTE(F1220," ","")),"")</f>
        <v/>
      </c>
      <c r="K1220" s="8">
        <f>IF(C1220&lt;&gt;"",HYPERLINK("https://wa.me/507"&amp;REGEXREPLACE(C1220,"[^0-9]","")&amp;"?text="&amp;ENCODEURL("Ya llegue. Codigo: "&amp;A1220&amp;". Ubicacion: "&amp;"https://www.google.com/maps/search/?api=1&amp;query="&amp;SUBSTITUTE(F1220," ","")),"📲 Avisar al cliente"),"")</f>
        <v/>
      </c>
      <c r="L1220" s="8">
        <f>IF(C1220&lt;&gt;"","https://api.qrserver.com/v1/create-qr-code/?size=200x200&amp;data="&amp;ENCODEURL("https://wa.me/507"&amp;REGEXREPLACE(C1220,"[^0-9]","")&amp;"?text="&amp;ENCODEURL("Ya llegue. Codigo: "&amp;A1220&amp;". Ubicacion: "&amp;"https://www.google.com/maps/search/?api=1&amp;query="&amp;SUBSTITUTE(F1220," ",""))),"")</f>
        <v/>
      </c>
      <c r="M1220" s="8">
        <f>IF(B1220&lt;&gt;"",TODAY(),"")</f>
        <v/>
      </c>
      <c r="N1220" s="8">
        <f>IF(F1220&lt;&gt;"",IFERROR(IF(AND(REGEXMATCH(SUBSTITUTE(TRIM(F1220)," ",""),"^-?\d+(\.\d+)?,-?\d+(\.\d+)?$"),VALUE(REGEXEXTRACT(SUBSTITUTE(TRIM(F1220)," ",""),"^-?\d+(\.\d+)?"))&gt;=-90,VALUE(REGEXEXTRACT(SUBSTITUTE(TRIM(F1220)," ",""),"^-?\d+(\.\d+)?"))&lt;=90,VALUE(REGEXEXTRACT(SUBSTITUTE(TRIM(F1220)," ",""),"-?\d+(\.\d+)?$"))&gt;=-180,VALUE(REGEXEXTRACT(SUBSTITUTE(TRIM(F1220)," ",""),"-?\d+(\.\d+)?$"))&lt;=180),"OK","REVISAR"),"REVISAR"),"")</f>
        <v/>
      </c>
      <c r="O1220">
        <f>IF(A1220&lt;&gt;"","https://direcciones507.github.io/direcciones507/panel.html?codigo="&amp;A1220&amp;"&amp;nombre="&amp;ENCODEURL(B1220)&amp;"&amp;telefono="&amp;SUBSTITUTE(C1220,"-","")&amp;"&amp;referencia="&amp;ENCODEURL(E1220)&amp;"&amp;lat="&amp;IZQUIERDA(SUBSTITUTE(F1220," ",""),ENCONTRAR(",",SUBSTITUTE(F1220," ",""))-1)&amp;"&amp;lng="&amp;DERECHA(SUBSTITUTE(F1220," ",""),LARGO(SUBSTITUTE(F1220," ",""))-ENCONTRAR(",",SUBSTITUTE(F1220," ",""))),"")</f>
        <v/>
      </c>
    </row>
    <row r="1221" ht="15.75" customHeight="1" s="10">
      <c r="A1221" s="8">
        <f>CONCAT("AD507-",TEXT(ROW()-2,"0000"))</f>
        <v/>
      </c>
      <c r="C1221" s="8" t="n"/>
      <c r="F1221" s="8" t="n"/>
      <c r="G1221" s="8">
        <f>IF(F1221&lt;&gt;"",HYPERLINK("https://www.google.com/maps/search/?api=1&amp;query="&amp;SUBSTITUTE(F1221," ",""),"🗺 Google Maps"),"")</f>
        <v/>
      </c>
      <c r="H1221" s="8">
        <f>IF(F1221&lt;&gt;"",HYPERLINK("https://waze.com/ul?ll="&amp;SUBSTITUTE(F1221," ","")&amp;"&amp;navigate=yes","🚗 Waze"),"")</f>
        <v/>
      </c>
      <c r="I1221" s="8">
        <f>IF(F1221&lt;&gt;"",HYPERLINK("https://m.uber.com/ul/?action=setPickup&amp;pickup=my_location&amp;dropoff[latitude]="&amp;LEFT(SUBSTITUTE(F1221," ",""),FIND(",",SUBSTITUTE(F1221," ",""))-1)&amp;"&amp;dropoff[longitude]="&amp;MID(SUBSTITUTE(F1221," ",""),FIND(",",SUBSTITUTE(F1221," ",""))+1,99),"🚕 Uber"),"")</f>
        <v/>
      </c>
      <c r="J1221" s="8">
        <f>IF(F1221&lt;&gt;"","https://api.qrserver.com/v1/create-qr-code/?size=200x200&amp;data="&amp;ENCODEURL("https://www.google.com/maps/search/?api=1&amp;query="&amp;SUBSTITUTE(F1221," ","")),"")</f>
        <v/>
      </c>
      <c r="K1221" s="8">
        <f>IF(C1221&lt;&gt;"",HYPERLINK("https://wa.me/507"&amp;REGEXREPLACE(C1221,"[^0-9]","")&amp;"?text="&amp;ENCODEURL("Ya llegue. Codigo: "&amp;A1221&amp;". Ubicacion: "&amp;"https://www.google.com/maps/search/?api=1&amp;query="&amp;SUBSTITUTE(F1221," ","")),"📲 Avisar al cliente"),"")</f>
        <v/>
      </c>
      <c r="L1221" s="8">
        <f>IF(C1221&lt;&gt;"","https://api.qrserver.com/v1/create-qr-code/?size=200x200&amp;data="&amp;ENCODEURL("https://wa.me/507"&amp;REGEXREPLACE(C1221,"[^0-9]","")&amp;"?text="&amp;ENCODEURL("Ya llegue. Codigo: "&amp;A1221&amp;". Ubicacion: "&amp;"https://www.google.com/maps/search/?api=1&amp;query="&amp;SUBSTITUTE(F1221," ",""))),"")</f>
        <v/>
      </c>
      <c r="M1221" s="8">
        <f>IF(B1221&lt;&gt;"",TODAY(),"")</f>
        <v/>
      </c>
      <c r="N1221" s="8">
        <f>IF(F1221&lt;&gt;"",IFERROR(IF(AND(REGEXMATCH(SUBSTITUTE(TRIM(F1221)," ",""),"^-?\d+(\.\d+)?,-?\d+(\.\d+)?$"),VALUE(REGEXEXTRACT(SUBSTITUTE(TRIM(F1221)," ",""),"^-?\d+(\.\d+)?"))&gt;=-90,VALUE(REGEXEXTRACT(SUBSTITUTE(TRIM(F1221)," ",""),"^-?\d+(\.\d+)?"))&lt;=90,VALUE(REGEXEXTRACT(SUBSTITUTE(TRIM(F1221)," ",""),"-?\d+(\.\d+)?$"))&gt;=-180,VALUE(REGEXEXTRACT(SUBSTITUTE(TRIM(F1221)," ",""),"-?\d+(\.\d+)?$"))&lt;=180),"OK","REVISAR"),"REVISAR"),"")</f>
        <v/>
      </c>
      <c r="O1221">
        <f>IF(A1221&lt;&gt;"","https://direcciones507.github.io/direcciones507/panel.html?codigo="&amp;A1221&amp;"&amp;nombre="&amp;ENCODEURL(B1221)&amp;"&amp;telefono="&amp;SUBSTITUTE(C1221,"-","")&amp;"&amp;referencia="&amp;ENCODEURL(E1221)&amp;"&amp;lat="&amp;IZQUIERDA(SUBSTITUTE(F1221," ",""),ENCONTRAR(",",SUBSTITUTE(F1221," ",""))-1)&amp;"&amp;lng="&amp;DERECHA(SUBSTITUTE(F1221," ",""),LARGO(SUBSTITUTE(F1221," ",""))-ENCONTRAR(",",SUBSTITUTE(F1221," ",""))),"")</f>
        <v/>
      </c>
    </row>
    <row r="1222" ht="15.75" customHeight="1" s="10">
      <c r="A1222" s="8">
        <f>CONCAT("AD507-",TEXT(ROW()-2,"0000"))</f>
        <v/>
      </c>
      <c r="C1222" s="8" t="n"/>
      <c r="F1222" s="8" t="n"/>
      <c r="G1222" s="8">
        <f>IF(F1222&lt;&gt;"",HYPERLINK("https://www.google.com/maps/search/?api=1&amp;query="&amp;SUBSTITUTE(F1222," ",""),"🗺 Google Maps"),"")</f>
        <v/>
      </c>
      <c r="H1222" s="8">
        <f>IF(F1222&lt;&gt;"",HYPERLINK("https://waze.com/ul?ll="&amp;SUBSTITUTE(F1222," ","")&amp;"&amp;navigate=yes","🚗 Waze"),"")</f>
        <v/>
      </c>
      <c r="I1222" s="8">
        <f>IF(F1222&lt;&gt;"",HYPERLINK("https://m.uber.com/ul/?action=setPickup&amp;pickup=my_location&amp;dropoff[latitude]="&amp;LEFT(SUBSTITUTE(F1222," ",""),FIND(",",SUBSTITUTE(F1222," ",""))-1)&amp;"&amp;dropoff[longitude]="&amp;MID(SUBSTITUTE(F1222," ",""),FIND(",",SUBSTITUTE(F1222," ",""))+1,99),"🚕 Uber"),"")</f>
        <v/>
      </c>
      <c r="J1222" s="8">
        <f>IF(F1222&lt;&gt;"","https://api.qrserver.com/v1/create-qr-code/?size=200x200&amp;data="&amp;ENCODEURL("https://www.google.com/maps/search/?api=1&amp;query="&amp;SUBSTITUTE(F1222," ","")),"")</f>
        <v/>
      </c>
      <c r="K1222" s="8">
        <f>IF(C1222&lt;&gt;"",HYPERLINK("https://wa.me/507"&amp;REGEXREPLACE(C1222,"[^0-9]","")&amp;"?text="&amp;ENCODEURL("Ya llegue. Codigo: "&amp;A1222&amp;". Ubicacion: "&amp;"https://www.google.com/maps/search/?api=1&amp;query="&amp;SUBSTITUTE(F1222," ","")),"📲 Avisar al cliente"),"")</f>
        <v/>
      </c>
      <c r="L1222" s="8">
        <f>IF(C1222&lt;&gt;"","https://api.qrserver.com/v1/create-qr-code/?size=200x200&amp;data="&amp;ENCODEURL("https://wa.me/507"&amp;REGEXREPLACE(C1222,"[^0-9]","")&amp;"?text="&amp;ENCODEURL("Ya llegue. Codigo: "&amp;A1222&amp;". Ubicacion: "&amp;"https://www.google.com/maps/search/?api=1&amp;query="&amp;SUBSTITUTE(F1222," ",""))),"")</f>
        <v/>
      </c>
      <c r="M1222" s="8">
        <f>IF(B1222&lt;&gt;"",TODAY(),"")</f>
        <v/>
      </c>
      <c r="N1222" s="8">
        <f>IF(F1222&lt;&gt;"",IFERROR(IF(AND(REGEXMATCH(SUBSTITUTE(TRIM(F1222)," ",""),"^-?\d+(\.\d+)?,-?\d+(\.\d+)?$"),VALUE(REGEXEXTRACT(SUBSTITUTE(TRIM(F1222)," ",""),"^-?\d+(\.\d+)?"))&gt;=-90,VALUE(REGEXEXTRACT(SUBSTITUTE(TRIM(F1222)," ",""),"^-?\d+(\.\d+)?"))&lt;=90,VALUE(REGEXEXTRACT(SUBSTITUTE(TRIM(F1222)," ",""),"-?\d+(\.\d+)?$"))&gt;=-180,VALUE(REGEXEXTRACT(SUBSTITUTE(TRIM(F1222)," ",""),"-?\d+(\.\d+)?$"))&lt;=180),"OK","REVISAR"),"REVISAR"),"")</f>
        <v/>
      </c>
      <c r="O1222">
        <f>IF(A1222&lt;&gt;"","https://direcciones507.github.io/direcciones507/panel.html?codigo="&amp;A1222&amp;"&amp;nombre="&amp;ENCODEURL(B1222)&amp;"&amp;telefono="&amp;SUBSTITUTE(C1222,"-","")&amp;"&amp;referencia="&amp;ENCODEURL(E1222)&amp;"&amp;lat="&amp;IZQUIERDA(SUBSTITUTE(F1222," ",""),ENCONTRAR(",",SUBSTITUTE(F1222," ",""))-1)&amp;"&amp;lng="&amp;DERECHA(SUBSTITUTE(F1222," ",""),LARGO(SUBSTITUTE(F1222," ",""))-ENCONTRAR(",",SUBSTITUTE(F1222," ",""))),"")</f>
        <v/>
      </c>
    </row>
    <row r="1223" ht="15.75" customHeight="1" s="10">
      <c r="A1223" s="8">
        <f>CONCAT("AD507-",TEXT(ROW()-2,"0000"))</f>
        <v/>
      </c>
      <c r="C1223" s="8" t="n"/>
      <c r="F1223" s="8" t="n"/>
      <c r="G1223" s="8">
        <f>IF(F1223&lt;&gt;"",HYPERLINK("https://www.google.com/maps/search/?api=1&amp;query="&amp;SUBSTITUTE(F1223," ",""),"🗺 Google Maps"),"")</f>
        <v/>
      </c>
      <c r="H1223" s="8">
        <f>IF(F1223&lt;&gt;"",HYPERLINK("https://waze.com/ul?ll="&amp;SUBSTITUTE(F1223," ","")&amp;"&amp;navigate=yes","🚗 Waze"),"")</f>
        <v/>
      </c>
      <c r="I1223" s="8">
        <f>IF(F1223&lt;&gt;"",HYPERLINK("https://m.uber.com/ul/?action=setPickup&amp;pickup=my_location&amp;dropoff[latitude]="&amp;LEFT(SUBSTITUTE(F1223," ",""),FIND(",",SUBSTITUTE(F1223," ",""))-1)&amp;"&amp;dropoff[longitude]="&amp;MID(SUBSTITUTE(F1223," ",""),FIND(",",SUBSTITUTE(F1223," ",""))+1,99),"🚕 Uber"),"")</f>
        <v/>
      </c>
      <c r="J1223" s="8">
        <f>IF(F1223&lt;&gt;"","https://api.qrserver.com/v1/create-qr-code/?size=200x200&amp;data="&amp;ENCODEURL("https://www.google.com/maps/search/?api=1&amp;query="&amp;SUBSTITUTE(F1223," ","")),"")</f>
        <v/>
      </c>
      <c r="K1223" s="8">
        <f>IF(C1223&lt;&gt;"",HYPERLINK("https://wa.me/507"&amp;REGEXREPLACE(C1223,"[^0-9]","")&amp;"?text="&amp;ENCODEURL("Ya llegue. Codigo: "&amp;A1223&amp;". Ubicacion: "&amp;"https://www.google.com/maps/search/?api=1&amp;query="&amp;SUBSTITUTE(F1223," ","")),"📲 Avisar al cliente"),"")</f>
        <v/>
      </c>
      <c r="L1223" s="8">
        <f>IF(C1223&lt;&gt;"","https://api.qrserver.com/v1/create-qr-code/?size=200x200&amp;data="&amp;ENCODEURL("https://wa.me/507"&amp;REGEXREPLACE(C1223,"[^0-9]","")&amp;"?text="&amp;ENCODEURL("Ya llegue. Codigo: "&amp;A1223&amp;". Ubicacion: "&amp;"https://www.google.com/maps/search/?api=1&amp;query="&amp;SUBSTITUTE(F1223," ",""))),"")</f>
        <v/>
      </c>
      <c r="M1223" s="8">
        <f>IF(B1223&lt;&gt;"",TODAY(),"")</f>
        <v/>
      </c>
      <c r="N1223" s="8">
        <f>IF(F1223&lt;&gt;"",IFERROR(IF(AND(REGEXMATCH(SUBSTITUTE(TRIM(F1223)," ",""),"^-?\d+(\.\d+)?,-?\d+(\.\d+)?$"),VALUE(REGEXEXTRACT(SUBSTITUTE(TRIM(F1223)," ",""),"^-?\d+(\.\d+)?"))&gt;=-90,VALUE(REGEXEXTRACT(SUBSTITUTE(TRIM(F1223)," ",""),"^-?\d+(\.\d+)?"))&lt;=90,VALUE(REGEXEXTRACT(SUBSTITUTE(TRIM(F1223)," ",""),"-?\d+(\.\d+)?$"))&gt;=-180,VALUE(REGEXEXTRACT(SUBSTITUTE(TRIM(F1223)," ",""),"-?\d+(\.\d+)?$"))&lt;=180),"OK","REVISAR"),"REVISAR"),"")</f>
        <v/>
      </c>
      <c r="O1223">
        <f>IF(A1223&lt;&gt;"","https://direcciones507.github.io/direcciones507/panel.html?codigo="&amp;A1223&amp;"&amp;nombre="&amp;ENCODEURL(B1223)&amp;"&amp;telefono="&amp;SUBSTITUTE(C1223,"-","")&amp;"&amp;referencia="&amp;ENCODEURL(E1223)&amp;"&amp;lat="&amp;IZQUIERDA(SUBSTITUTE(F1223," ",""),ENCONTRAR(",",SUBSTITUTE(F1223," ",""))-1)&amp;"&amp;lng="&amp;DERECHA(SUBSTITUTE(F1223," ",""),LARGO(SUBSTITUTE(F1223," ",""))-ENCONTRAR(",",SUBSTITUTE(F1223," ",""))),"")</f>
        <v/>
      </c>
    </row>
    <row r="1224" ht="15.75" customHeight="1" s="10">
      <c r="A1224" s="8">
        <f>CONCAT("AD507-",TEXT(ROW()-2,"0000"))</f>
        <v/>
      </c>
      <c r="C1224" s="8" t="n"/>
      <c r="F1224" s="8" t="n"/>
      <c r="G1224" s="8">
        <f>IF(F1224&lt;&gt;"",HYPERLINK("https://www.google.com/maps/search/?api=1&amp;query="&amp;SUBSTITUTE(F1224," ",""),"🗺 Google Maps"),"")</f>
        <v/>
      </c>
      <c r="H1224" s="8">
        <f>IF(F1224&lt;&gt;"",HYPERLINK("https://waze.com/ul?ll="&amp;SUBSTITUTE(F1224," ","")&amp;"&amp;navigate=yes","🚗 Waze"),"")</f>
        <v/>
      </c>
      <c r="I1224" s="8">
        <f>IF(F1224&lt;&gt;"",HYPERLINK("https://m.uber.com/ul/?action=setPickup&amp;pickup=my_location&amp;dropoff[latitude]="&amp;LEFT(SUBSTITUTE(F1224," ",""),FIND(",",SUBSTITUTE(F1224," ",""))-1)&amp;"&amp;dropoff[longitude]="&amp;MID(SUBSTITUTE(F1224," ",""),FIND(",",SUBSTITUTE(F1224," ",""))+1,99),"🚕 Uber"),"")</f>
        <v/>
      </c>
      <c r="J1224" s="8">
        <f>IF(F1224&lt;&gt;"","https://api.qrserver.com/v1/create-qr-code/?size=200x200&amp;data="&amp;ENCODEURL("https://www.google.com/maps/search/?api=1&amp;query="&amp;SUBSTITUTE(F1224," ","")),"")</f>
        <v/>
      </c>
      <c r="K1224" s="8">
        <f>IF(C1224&lt;&gt;"",HYPERLINK("https://wa.me/507"&amp;REGEXREPLACE(C1224,"[^0-9]","")&amp;"?text="&amp;ENCODEURL("Ya llegue. Codigo: "&amp;A1224&amp;". Ubicacion: "&amp;"https://www.google.com/maps/search/?api=1&amp;query="&amp;SUBSTITUTE(F1224," ","")),"📲 Avisar al cliente"),"")</f>
        <v/>
      </c>
      <c r="L1224" s="8">
        <f>IF(C1224&lt;&gt;"","https://api.qrserver.com/v1/create-qr-code/?size=200x200&amp;data="&amp;ENCODEURL("https://wa.me/507"&amp;REGEXREPLACE(C1224,"[^0-9]","")&amp;"?text="&amp;ENCODEURL("Ya llegue. Codigo: "&amp;A1224&amp;". Ubicacion: "&amp;"https://www.google.com/maps/search/?api=1&amp;query="&amp;SUBSTITUTE(F1224," ",""))),"")</f>
        <v/>
      </c>
      <c r="M1224" s="8">
        <f>IF(B1224&lt;&gt;"",TODAY(),"")</f>
        <v/>
      </c>
      <c r="N1224" s="8">
        <f>IF(F1224&lt;&gt;"",IFERROR(IF(AND(REGEXMATCH(SUBSTITUTE(TRIM(F1224)," ",""),"^-?\d+(\.\d+)?,-?\d+(\.\d+)?$"),VALUE(REGEXEXTRACT(SUBSTITUTE(TRIM(F1224)," ",""),"^-?\d+(\.\d+)?"))&gt;=-90,VALUE(REGEXEXTRACT(SUBSTITUTE(TRIM(F1224)," ",""),"^-?\d+(\.\d+)?"))&lt;=90,VALUE(REGEXEXTRACT(SUBSTITUTE(TRIM(F1224)," ",""),"-?\d+(\.\d+)?$"))&gt;=-180,VALUE(REGEXEXTRACT(SUBSTITUTE(TRIM(F1224)," ",""),"-?\d+(\.\d+)?$"))&lt;=180),"OK","REVISAR"),"REVISAR"),"")</f>
        <v/>
      </c>
      <c r="O1224">
        <f>IF(A1224&lt;&gt;"","https://direcciones507.github.io/direcciones507/panel.html?codigo="&amp;A1224&amp;"&amp;nombre="&amp;ENCODEURL(B1224)&amp;"&amp;telefono="&amp;SUBSTITUTE(C1224,"-","")&amp;"&amp;referencia="&amp;ENCODEURL(E1224)&amp;"&amp;lat="&amp;IZQUIERDA(SUBSTITUTE(F1224," ",""),ENCONTRAR(",",SUBSTITUTE(F1224," ",""))-1)&amp;"&amp;lng="&amp;DERECHA(SUBSTITUTE(F1224," ",""),LARGO(SUBSTITUTE(F1224," ",""))-ENCONTRAR(",",SUBSTITUTE(F1224," ",""))),"")</f>
        <v/>
      </c>
    </row>
    <row r="1225" ht="15.75" customHeight="1" s="10">
      <c r="A1225" s="8">
        <f>CONCAT("AD507-",TEXT(ROW()-2,"0000"))</f>
        <v/>
      </c>
      <c r="C1225" s="8" t="n"/>
      <c r="F1225" s="8" t="n"/>
      <c r="G1225" s="8">
        <f>IF(F1225&lt;&gt;"",HYPERLINK("https://www.google.com/maps/search/?api=1&amp;query="&amp;SUBSTITUTE(F1225," ",""),"🗺 Google Maps"),"")</f>
        <v/>
      </c>
      <c r="H1225" s="8">
        <f>IF(F1225&lt;&gt;"",HYPERLINK("https://waze.com/ul?ll="&amp;SUBSTITUTE(F1225," ","")&amp;"&amp;navigate=yes","🚗 Waze"),"")</f>
        <v/>
      </c>
      <c r="I1225" s="8">
        <f>IF(F1225&lt;&gt;"",HYPERLINK("https://m.uber.com/ul/?action=setPickup&amp;pickup=my_location&amp;dropoff[latitude]="&amp;LEFT(SUBSTITUTE(F1225," ",""),FIND(",",SUBSTITUTE(F1225," ",""))-1)&amp;"&amp;dropoff[longitude]="&amp;MID(SUBSTITUTE(F1225," ",""),FIND(",",SUBSTITUTE(F1225," ",""))+1,99),"🚕 Uber"),"")</f>
        <v/>
      </c>
      <c r="J1225" s="8">
        <f>IF(F1225&lt;&gt;"","https://api.qrserver.com/v1/create-qr-code/?size=200x200&amp;data="&amp;ENCODEURL("https://www.google.com/maps/search/?api=1&amp;query="&amp;SUBSTITUTE(F1225," ","")),"")</f>
        <v/>
      </c>
      <c r="K1225" s="8">
        <f>IF(C1225&lt;&gt;"",HYPERLINK("https://wa.me/507"&amp;REGEXREPLACE(C1225,"[^0-9]","")&amp;"?text="&amp;ENCODEURL("Ya llegue. Codigo: "&amp;A1225&amp;". Ubicacion: "&amp;"https://www.google.com/maps/search/?api=1&amp;query="&amp;SUBSTITUTE(F1225," ","")),"📲 Avisar al cliente"),"")</f>
        <v/>
      </c>
      <c r="L1225" s="8">
        <f>IF(C1225&lt;&gt;"","https://api.qrserver.com/v1/create-qr-code/?size=200x200&amp;data="&amp;ENCODEURL("https://wa.me/507"&amp;REGEXREPLACE(C1225,"[^0-9]","")&amp;"?text="&amp;ENCODEURL("Ya llegue. Codigo: "&amp;A1225&amp;". Ubicacion: "&amp;"https://www.google.com/maps/search/?api=1&amp;query="&amp;SUBSTITUTE(F1225," ",""))),"")</f>
        <v/>
      </c>
      <c r="M1225" s="8">
        <f>IF(B1225&lt;&gt;"",TODAY(),"")</f>
        <v/>
      </c>
      <c r="N1225" s="8">
        <f>IF(F1225&lt;&gt;"",IFERROR(IF(AND(REGEXMATCH(SUBSTITUTE(TRIM(F1225)," ",""),"^-?\d+(\.\d+)?,-?\d+(\.\d+)?$"),VALUE(REGEXEXTRACT(SUBSTITUTE(TRIM(F1225)," ",""),"^-?\d+(\.\d+)?"))&gt;=-90,VALUE(REGEXEXTRACT(SUBSTITUTE(TRIM(F1225)," ",""),"^-?\d+(\.\d+)?"))&lt;=90,VALUE(REGEXEXTRACT(SUBSTITUTE(TRIM(F1225)," ",""),"-?\d+(\.\d+)?$"))&gt;=-180,VALUE(REGEXEXTRACT(SUBSTITUTE(TRIM(F1225)," ",""),"-?\d+(\.\d+)?$"))&lt;=180),"OK","REVISAR"),"REVISAR"),"")</f>
        <v/>
      </c>
      <c r="O1225">
        <f>IF(A1225&lt;&gt;"","https://direcciones507.github.io/direcciones507/panel.html?codigo="&amp;A1225&amp;"&amp;nombre="&amp;ENCODEURL(B1225)&amp;"&amp;telefono="&amp;SUBSTITUTE(C1225,"-","")&amp;"&amp;referencia="&amp;ENCODEURL(E1225)&amp;"&amp;lat="&amp;IZQUIERDA(SUBSTITUTE(F1225," ",""),ENCONTRAR(",",SUBSTITUTE(F1225," ",""))-1)&amp;"&amp;lng="&amp;DERECHA(SUBSTITUTE(F1225," ",""),LARGO(SUBSTITUTE(F1225," ",""))-ENCONTRAR(",",SUBSTITUTE(F1225," ",""))),"")</f>
        <v/>
      </c>
    </row>
    <row r="1226" ht="15.75" customHeight="1" s="10">
      <c r="A1226" s="8">
        <f>CONCAT("AD507-",TEXT(ROW()-2,"0000"))</f>
        <v/>
      </c>
      <c r="C1226" s="8" t="n"/>
      <c r="F1226" s="8" t="n"/>
      <c r="G1226" s="8">
        <f>IF(F1226&lt;&gt;"",HYPERLINK("https://www.google.com/maps/search/?api=1&amp;query="&amp;SUBSTITUTE(F1226," ",""),"🗺 Google Maps"),"")</f>
        <v/>
      </c>
      <c r="H1226" s="8">
        <f>IF(F1226&lt;&gt;"",HYPERLINK("https://waze.com/ul?ll="&amp;SUBSTITUTE(F1226," ","")&amp;"&amp;navigate=yes","🚗 Waze"),"")</f>
        <v/>
      </c>
      <c r="I1226" s="8">
        <f>IF(F1226&lt;&gt;"",HYPERLINK("https://m.uber.com/ul/?action=setPickup&amp;pickup=my_location&amp;dropoff[latitude]="&amp;LEFT(SUBSTITUTE(F1226," ",""),FIND(",",SUBSTITUTE(F1226," ",""))-1)&amp;"&amp;dropoff[longitude]="&amp;MID(SUBSTITUTE(F1226," ",""),FIND(",",SUBSTITUTE(F1226," ",""))+1,99),"🚕 Uber"),"")</f>
        <v/>
      </c>
      <c r="J1226" s="8">
        <f>IF(F1226&lt;&gt;"","https://api.qrserver.com/v1/create-qr-code/?size=200x200&amp;data="&amp;ENCODEURL("https://www.google.com/maps/search/?api=1&amp;query="&amp;SUBSTITUTE(F1226," ","")),"")</f>
        <v/>
      </c>
      <c r="K1226" s="8">
        <f>IF(C1226&lt;&gt;"",HYPERLINK("https://wa.me/507"&amp;REGEXREPLACE(C1226,"[^0-9]","")&amp;"?text="&amp;ENCODEURL("Ya llegue. Codigo: "&amp;A1226&amp;". Ubicacion: "&amp;"https://www.google.com/maps/search/?api=1&amp;query="&amp;SUBSTITUTE(F1226," ","")),"📲 Avisar al cliente"),"")</f>
        <v/>
      </c>
      <c r="L1226" s="8">
        <f>IF(C1226&lt;&gt;"","https://api.qrserver.com/v1/create-qr-code/?size=200x200&amp;data="&amp;ENCODEURL("https://wa.me/507"&amp;REGEXREPLACE(C1226,"[^0-9]","")&amp;"?text="&amp;ENCODEURL("Ya llegue. Codigo: "&amp;A1226&amp;". Ubicacion: "&amp;"https://www.google.com/maps/search/?api=1&amp;query="&amp;SUBSTITUTE(F1226," ",""))),"")</f>
        <v/>
      </c>
      <c r="M1226" s="8">
        <f>IF(B1226&lt;&gt;"",TODAY(),"")</f>
        <v/>
      </c>
      <c r="N1226" s="8">
        <f>IF(F1226&lt;&gt;"",IFERROR(IF(AND(REGEXMATCH(SUBSTITUTE(TRIM(F1226)," ",""),"^-?\d+(\.\d+)?,-?\d+(\.\d+)?$"),VALUE(REGEXEXTRACT(SUBSTITUTE(TRIM(F1226)," ",""),"^-?\d+(\.\d+)?"))&gt;=-90,VALUE(REGEXEXTRACT(SUBSTITUTE(TRIM(F1226)," ",""),"^-?\d+(\.\d+)?"))&lt;=90,VALUE(REGEXEXTRACT(SUBSTITUTE(TRIM(F1226)," ",""),"-?\d+(\.\d+)?$"))&gt;=-180,VALUE(REGEXEXTRACT(SUBSTITUTE(TRIM(F1226)," ",""),"-?\d+(\.\d+)?$"))&lt;=180),"OK","REVISAR"),"REVISAR"),"")</f>
        <v/>
      </c>
      <c r="O1226">
        <f>IF(A1226&lt;&gt;"","https://direcciones507.github.io/direcciones507/panel.html?codigo="&amp;A1226&amp;"&amp;nombre="&amp;ENCODEURL(B1226)&amp;"&amp;telefono="&amp;SUBSTITUTE(C1226,"-","")&amp;"&amp;referencia="&amp;ENCODEURL(E1226)&amp;"&amp;lat="&amp;IZQUIERDA(SUBSTITUTE(F1226," ",""),ENCONTRAR(",",SUBSTITUTE(F1226," ",""))-1)&amp;"&amp;lng="&amp;DERECHA(SUBSTITUTE(F1226," ",""),LARGO(SUBSTITUTE(F1226," ",""))-ENCONTRAR(",",SUBSTITUTE(F1226," ",""))),"")</f>
        <v/>
      </c>
    </row>
    <row r="1227" ht="15.75" customHeight="1" s="10">
      <c r="A1227" s="8">
        <f>CONCAT("AD507-",TEXT(ROW()-2,"0000"))</f>
        <v/>
      </c>
      <c r="C1227" s="8" t="n"/>
      <c r="F1227" s="8" t="n"/>
      <c r="G1227" s="8">
        <f>IF(F1227&lt;&gt;"",HYPERLINK("https://www.google.com/maps/search/?api=1&amp;query="&amp;SUBSTITUTE(F1227," ",""),"🗺 Google Maps"),"")</f>
        <v/>
      </c>
      <c r="H1227" s="8">
        <f>IF(F1227&lt;&gt;"",HYPERLINK("https://waze.com/ul?ll="&amp;SUBSTITUTE(F1227," ","")&amp;"&amp;navigate=yes","🚗 Waze"),"")</f>
        <v/>
      </c>
      <c r="I1227" s="8">
        <f>IF(F1227&lt;&gt;"",HYPERLINK("https://m.uber.com/ul/?action=setPickup&amp;pickup=my_location&amp;dropoff[latitude]="&amp;LEFT(SUBSTITUTE(F1227," ",""),FIND(",",SUBSTITUTE(F1227," ",""))-1)&amp;"&amp;dropoff[longitude]="&amp;MID(SUBSTITUTE(F1227," ",""),FIND(",",SUBSTITUTE(F1227," ",""))+1,99),"🚕 Uber"),"")</f>
        <v/>
      </c>
      <c r="J1227" s="8">
        <f>IF(F1227&lt;&gt;"","https://api.qrserver.com/v1/create-qr-code/?size=200x200&amp;data="&amp;ENCODEURL("https://www.google.com/maps/search/?api=1&amp;query="&amp;SUBSTITUTE(F1227," ","")),"")</f>
        <v/>
      </c>
      <c r="K1227" s="8">
        <f>IF(C1227&lt;&gt;"",HYPERLINK("https://wa.me/507"&amp;REGEXREPLACE(C1227,"[^0-9]","")&amp;"?text="&amp;ENCODEURL("Ya llegue. Codigo: "&amp;A1227&amp;". Ubicacion: "&amp;"https://www.google.com/maps/search/?api=1&amp;query="&amp;SUBSTITUTE(F1227," ","")),"📲 Avisar al cliente"),"")</f>
        <v/>
      </c>
      <c r="L1227" s="8">
        <f>IF(C1227&lt;&gt;"","https://api.qrserver.com/v1/create-qr-code/?size=200x200&amp;data="&amp;ENCODEURL("https://wa.me/507"&amp;REGEXREPLACE(C1227,"[^0-9]","")&amp;"?text="&amp;ENCODEURL("Ya llegue. Codigo: "&amp;A1227&amp;". Ubicacion: "&amp;"https://www.google.com/maps/search/?api=1&amp;query="&amp;SUBSTITUTE(F1227," ",""))),"")</f>
        <v/>
      </c>
      <c r="M1227" s="8">
        <f>IF(B1227&lt;&gt;"",TODAY(),"")</f>
        <v/>
      </c>
      <c r="N1227" s="8">
        <f>IF(F1227&lt;&gt;"",IFERROR(IF(AND(REGEXMATCH(SUBSTITUTE(TRIM(F1227)," ",""),"^-?\d+(\.\d+)?,-?\d+(\.\d+)?$"),VALUE(REGEXEXTRACT(SUBSTITUTE(TRIM(F1227)," ",""),"^-?\d+(\.\d+)?"))&gt;=-90,VALUE(REGEXEXTRACT(SUBSTITUTE(TRIM(F1227)," ",""),"^-?\d+(\.\d+)?"))&lt;=90,VALUE(REGEXEXTRACT(SUBSTITUTE(TRIM(F1227)," ",""),"-?\d+(\.\d+)?$"))&gt;=-180,VALUE(REGEXEXTRACT(SUBSTITUTE(TRIM(F1227)," ",""),"-?\d+(\.\d+)?$"))&lt;=180),"OK","REVISAR"),"REVISAR"),"")</f>
        <v/>
      </c>
      <c r="O1227">
        <f>IF(A1227&lt;&gt;"","https://direcciones507.github.io/direcciones507/panel.html?codigo="&amp;A1227&amp;"&amp;nombre="&amp;ENCODEURL(B1227)&amp;"&amp;telefono="&amp;SUBSTITUTE(C1227,"-","")&amp;"&amp;referencia="&amp;ENCODEURL(E1227)&amp;"&amp;lat="&amp;IZQUIERDA(SUBSTITUTE(F1227," ",""),ENCONTRAR(",",SUBSTITUTE(F1227," ",""))-1)&amp;"&amp;lng="&amp;DERECHA(SUBSTITUTE(F1227," ",""),LARGO(SUBSTITUTE(F1227," ",""))-ENCONTRAR(",",SUBSTITUTE(F1227," ",""))),"")</f>
        <v/>
      </c>
    </row>
    <row r="1228" ht="15.75" customHeight="1" s="10">
      <c r="A1228" s="8">
        <f>CONCAT("AD507-",TEXT(ROW()-2,"0000"))</f>
        <v/>
      </c>
      <c r="C1228" s="8" t="n"/>
      <c r="F1228" s="8" t="n"/>
      <c r="G1228" s="8">
        <f>IF(F1228&lt;&gt;"",HYPERLINK("https://www.google.com/maps/search/?api=1&amp;query="&amp;SUBSTITUTE(F1228," ",""),"🗺 Google Maps"),"")</f>
        <v/>
      </c>
      <c r="H1228" s="8">
        <f>IF(F1228&lt;&gt;"",HYPERLINK("https://waze.com/ul?ll="&amp;SUBSTITUTE(F1228," ","")&amp;"&amp;navigate=yes","🚗 Waze"),"")</f>
        <v/>
      </c>
      <c r="I1228" s="8">
        <f>IF(F1228&lt;&gt;"",HYPERLINK("https://m.uber.com/ul/?action=setPickup&amp;pickup=my_location&amp;dropoff[latitude]="&amp;LEFT(SUBSTITUTE(F1228," ",""),FIND(",",SUBSTITUTE(F1228," ",""))-1)&amp;"&amp;dropoff[longitude]="&amp;MID(SUBSTITUTE(F1228," ",""),FIND(",",SUBSTITUTE(F1228," ",""))+1,99),"🚕 Uber"),"")</f>
        <v/>
      </c>
      <c r="J1228" s="8">
        <f>IF(F1228&lt;&gt;"","https://api.qrserver.com/v1/create-qr-code/?size=200x200&amp;data="&amp;ENCODEURL("https://www.google.com/maps/search/?api=1&amp;query="&amp;SUBSTITUTE(F1228," ","")),"")</f>
        <v/>
      </c>
      <c r="K1228" s="8">
        <f>IF(C1228&lt;&gt;"",HYPERLINK("https://wa.me/507"&amp;REGEXREPLACE(C1228,"[^0-9]","")&amp;"?text="&amp;ENCODEURL("Ya llegue. Codigo: "&amp;A1228&amp;". Ubicacion: "&amp;"https://www.google.com/maps/search/?api=1&amp;query="&amp;SUBSTITUTE(F1228," ","")),"📲 Avisar al cliente"),"")</f>
        <v/>
      </c>
      <c r="L1228" s="8">
        <f>IF(C1228&lt;&gt;"","https://api.qrserver.com/v1/create-qr-code/?size=200x200&amp;data="&amp;ENCODEURL("https://wa.me/507"&amp;REGEXREPLACE(C1228,"[^0-9]","")&amp;"?text="&amp;ENCODEURL("Ya llegue. Codigo: "&amp;A1228&amp;". Ubicacion: "&amp;"https://www.google.com/maps/search/?api=1&amp;query="&amp;SUBSTITUTE(F1228," ",""))),"")</f>
        <v/>
      </c>
      <c r="M1228" s="8">
        <f>IF(B1228&lt;&gt;"",TODAY(),"")</f>
        <v/>
      </c>
      <c r="N1228" s="8">
        <f>IF(F1228&lt;&gt;"",IFERROR(IF(AND(REGEXMATCH(SUBSTITUTE(TRIM(F1228)," ",""),"^-?\d+(\.\d+)?,-?\d+(\.\d+)?$"),VALUE(REGEXEXTRACT(SUBSTITUTE(TRIM(F1228)," ",""),"^-?\d+(\.\d+)?"))&gt;=-90,VALUE(REGEXEXTRACT(SUBSTITUTE(TRIM(F1228)," ",""),"^-?\d+(\.\d+)?"))&lt;=90,VALUE(REGEXEXTRACT(SUBSTITUTE(TRIM(F1228)," ",""),"-?\d+(\.\d+)?$"))&gt;=-180,VALUE(REGEXEXTRACT(SUBSTITUTE(TRIM(F1228)," ",""),"-?\d+(\.\d+)?$"))&lt;=180),"OK","REVISAR"),"REVISAR"),"")</f>
        <v/>
      </c>
      <c r="O1228">
        <f>IF(A1228&lt;&gt;"","https://direcciones507.github.io/direcciones507/panel.html?codigo="&amp;A1228&amp;"&amp;nombre="&amp;ENCODEURL(B1228)&amp;"&amp;telefono="&amp;SUBSTITUTE(C1228,"-","")&amp;"&amp;referencia="&amp;ENCODEURL(E1228)&amp;"&amp;lat="&amp;IZQUIERDA(SUBSTITUTE(F1228," ",""),ENCONTRAR(",",SUBSTITUTE(F1228," ",""))-1)&amp;"&amp;lng="&amp;DERECHA(SUBSTITUTE(F1228," ",""),LARGO(SUBSTITUTE(F1228," ",""))-ENCONTRAR(",",SUBSTITUTE(F1228," ",""))),"")</f>
        <v/>
      </c>
    </row>
    <row r="1229" ht="15.75" customHeight="1" s="10">
      <c r="A1229" s="8">
        <f>CONCAT("AD507-",TEXT(ROW()-2,"0000"))</f>
        <v/>
      </c>
      <c r="C1229" s="8" t="n"/>
      <c r="F1229" s="8" t="n"/>
      <c r="G1229" s="8">
        <f>IF(F1229&lt;&gt;"",HYPERLINK("https://www.google.com/maps/search/?api=1&amp;query="&amp;SUBSTITUTE(F1229," ",""),"🗺 Google Maps"),"")</f>
        <v/>
      </c>
      <c r="H1229" s="8">
        <f>IF(F1229&lt;&gt;"",HYPERLINK("https://waze.com/ul?ll="&amp;SUBSTITUTE(F1229," ","")&amp;"&amp;navigate=yes","🚗 Waze"),"")</f>
        <v/>
      </c>
      <c r="I1229" s="8">
        <f>IF(F1229&lt;&gt;"",HYPERLINK("https://m.uber.com/ul/?action=setPickup&amp;pickup=my_location&amp;dropoff[latitude]="&amp;LEFT(SUBSTITUTE(F1229," ",""),FIND(",",SUBSTITUTE(F1229," ",""))-1)&amp;"&amp;dropoff[longitude]="&amp;MID(SUBSTITUTE(F1229," ",""),FIND(",",SUBSTITUTE(F1229," ",""))+1,99),"🚕 Uber"),"")</f>
        <v/>
      </c>
      <c r="J1229" s="8">
        <f>IF(F1229&lt;&gt;"","https://api.qrserver.com/v1/create-qr-code/?size=200x200&amp;data="&amp;ENCODEURL("https://www.google.com/maps/search/?api=1&amp;query="&amp;SUBSTITUTE(F1229," ","")),"")</f>
        <v/>
      </c>
      <c r="K1229" s="8">
        <f>IF(C1229&lt;&gt;"",HYPERLINK("https://wa.me/507"&amp;REGEXREPLACE(C1229,"[^0-9]","")&amp;"?text="&amp;ENCODEURL("Ya llegue. Codigo: "&amp;A1229&amp;". Ubicacion: "&amp;"https://www.google.com/maps/search/?api=1&amp;query="&amp;SUBSTITUTE(F1229," ","")),"📲 Avisar al cliente"),"")</f>
        <v/>
      </c>
      <c r="L1229" s="8">
        <f>IF(C1229&lt;&gt;"","https://api.qrserver.com/v1/create-qr-code/?size=200x200&amp;data="&amp;ENCODEURL("https://wa.me/507"&amp;REGEXREPLACE(C1229,"[^0-9]","")&amp;"?text="&amp;ENCODEURL("Ya llegue. Codigo: "&amp;A1229&amp;". Ubicacion: "&amp;"https://www.google.com/maps/search/?api=1&amp;query="&amp;SUBSTITUTE(F1229," ",""))),"")</f>
        <v/>
      </c>
      <c r="M1229" s="8">
        <f>IF(B1229&lt;&gt;"",TODAY(),"")</f>
        <v/>
      </c>
      <c r="N1229" s="8">
        <f>IF(F1229&lt;&gt;"",IFERROR(IF(AND(REGEXMATCH(SUBSTITUTE(TRIM(F1229)," ",""),"^-?\d+(\.\d+)?,-?\d+(\.\d+)?$"),VALUE(REGEXEXTRACT(SUBSTITUTE(TRIM(F1229)," ",""),"^-?\d+(\.\d+)?"))&gt;=-90,VALUE(REGEXEXTRACT(SUBSTITUTE(TRIM(F1229)," ",""),"^-?\d+(\.\d+)?"))&lt;=90,VALUE(REGEXEXTRACT(SUBSTITUTE(TRIM(F1229)," ",""),"-?\d+(\.\d+)?$"))&gt;=-180,VALUE(REGEXEXTRACT(SUBSTITUTE(TRIM(F1229)," ",""),"-?\d+(\.\d+)?$"))&lt;=180),"OK","REVISAR"),"REVISAR"),"")</f>
        <v/>
      </c>
      <c r="O1229">
        <f>IF(A1229&lt;&gt;"","https://direcciones507.github.io/direcciones507/panel.html?codigo="&amp;A1229&amp;"&amp;nombre="&amp;ENCODEURL(B1229)&amp;"&amp;telefono="&amp;SUBSTITUTE(C1229,"-","")&amp;"&amp;referencia="&amp;ENCODEURL(E1229)&amp;"&amp;lat="&amp;IZQUIERDA(SUBSTITUTE(F1229," ",""),ENCONTRAR(",",SUBSTITUTE(F1229," ",""))-1)&amp;"&amp;lng="&amp;DERECHA(SUBSTITUTE(F1229," ",""),LARGO(SUBSTITUTE(F1229," ",""))-ENCONTRAR(",",SUBSTITUTE(F1229," ",""))),"")</f>
        <v/>
      </c>
    </row>
    <row r="1230" ht="15.75" customHeight="1" s="10">
      <c r="A1230" s="8">
        <f>CONCAT("AD507-",TEXT(ROW()-2,"0000"))</f>
        <v/>
      </c>
      <c r="C1230" s="8" t="n"/>
      <c r="F1230" s="8" t="n"/>
      <c r="G1230" s="8">
        <f>IF(F1230&lt;&gt;"",HYPERLINK("https://www.google.com/maps/search/?api=1&amp;query="&amp;SUBSTITUTE(F1230," ",""),"🗺 Google Maps"),"")</f>
        <v/>
      </c>
      <c r="H1230" s="8">
        <f>IF(F1230&lt;&gt;"",HYPERLINK("https://waze.com/ul?ll="&amp;SUBSTITUTE(F1230," ","")&amp;"&amp;navigate=yes","🚗 Waze"),"")</f>
        <v/>
      </c>
      <c r="I1230" s="8">
        <f>IF(F1230&lt;&gt;"",HYPERLINK("https://m.uber.com/ul/?action=setPickup&amp;pickup=my_location&amp;dropoff[latitude]="&amp;LEFT(SUBSTITUTE(F1230," ",""),FIND(",",SUBSTITUTE(F1230," ",""))-1)&amp;"&amp;dropoff[longitude]="&amp;MID(SUBSTITUTE(F1230," ",""),FIND(",",SUBSTITUTE(F1230," ",""))+1,99),"🚕 Uber"),"")</f>
        <v/>
      </c>
      <c r="J1230" s="8">
        <f>IF(F1230&lt;&gt;"","https://api.qrserver.com/v1/create-qr-code/?size=200x200&amp;data="&amp;ENCODEURL("https://www.google.com/maps/search/?api=1&amp;query="&amp;SUBSTITUTE(F1230," ","")),"")</f>
        <v/>
      </c>
      <c r="K1230" s="8">
        <f>IF(C1230&lt;&gt;"",HYPERLINK("https://wa.me/507"&amp;REGEXREPLACE(C1230,"[^0-9]","")&amp;"?text="&amp;ENCODEURL("Ya llegue. Codigo: "&amp;A1230&amp;". Ubicacion: "&amp;"https://www.google.com/maps/search/?api=1&amp;query="&amp;SUBSTITUTE(F1230," ","")),"📲 Avisar al cliente"),"")</f>
        <v/>
      </c>
      <c r="L1230" s="8">
        <f>IF(C1230&lt;&gt;"","https://api.qrserver.com/v1/create-qr-code/?size=200x200&amp;data="&amp;ENCODEURL("https://wa.me/507"&amp;REGEXREPLACE(C1230,"[^0-9]","")&amp;"?text="&amp;ENCODEURL("Ya llegue. Codigo: "&amp;A1230&amp;". Ubicacion: "&amp;"https://www.google.com/maps/search/?api=1&amp;query="&amp;SUBSTITUTE(F1230," ",""))),"")</f>
        <v/>
      </c>
      <c r="M1230" s="8">
        <f>IF(B1230&lt;&gt;"",TODAY(),"")</f>
        <v/>
      </c>
      <c r="N1230" s="8">
        <f>IF(F1230&lt;&gt;"",IFERROR(IF(AND(REGEXMATCH(SUBSTITUTE(TRIM(F1230)," ",""),"^-?\d+(\.\d+)?,-?\d+(\.\d+)?$"),VALUE(REGEXEXTRACT(SUBSTITUTE(TRIM(F1230)," ",""),"^-?\d+(\.\d+)?"))&gt;=-90,VALUE(REGEXEXTRACT(SUBSTITUTE(TRIM(F1230)," ",""),"^-?\d+(\.\d+)?"))&lt;=90,VALUE(REGEXEXTRACT(SUBSTITUTE(TRIM(F1230)," ",""),"-?\d+(\.\d+)?$"))&gt;=-180,VALUE(REGEXEXTRACT(SUBSTITUTE(TRIM(F1230)," ",""),"-?\d+(\.\d+)?$"))&lt;=180),"OK","REVISAR"),"REVISAR"),"")</f>
        <v/>
      </c>
      <c r="O1230">
        <f>IF(A1230&lt;&gt;"","https://direcciones507.github.io/direcciones507/panel.html?codigo="&amp;A1230&amp;"&amp;nombre="&amp;ENCODEURL(B1230)&amp;"&amp;telefono="&amp;SUBSTITUTE(C1230,"-","")&amp;"&amp;referencia="&amp;ENCODEURL(E1230)&amp;"&amp;lat="&amp;IZQUIERDA(SUBSTITUTE(F1230," ",""),ENCONTRAR(",",SUBSTITUTE(F1230," ",""))-1)&amp;"&amp;lng="&amp;DERECHA(SUBSTITUTE(F1230," ",""),LARGO(SUBSTITUTE(F1230," ",""))-ENCONTRAR(",",SUBSTITUTE(F1230," ",""))),"")</f>
        <v/>
      </c>
    </row>
    <row r="1231" ht="15.75" customHeight="1" s="10">
      <c r="A1231" s="8">
        <f>CONCAT("AD507-",TEXT(ROW()-2,"0000"))</f>
        <v/>
      </c>
      <c r="C1231" s="8" t="n"/>
      <c r="F1231" s="8" t="n"/>
      <c r="G1231" s="8">
        <f>IF(F1231&lt;&gt;"",HYPERLINK("https://www.google.com/maps/search/?api=1&amp;query="&amp;SUBSTITUTE(F1231," ",""),"🗺 Google Maps"),"")</f>
        <v/>
      </c>
      <c r="H1231" s="8">
        <f>IF(F1231&lt;&gt;"",HYPERLINK("https://waze.com/ul?ll="&amp;SUBSTITUTE(F1231," ","")&amp;"&amp;navigate=yes","🚗 Waze"),"")</f>
        <v/>
      </c>
      <c r="I1231" s="8">
        <f>IF(F1231&lt;&gt;"",HYPERLINK("https://m.uber.com/ul/?action=setPickup&amp;pickup=my_location&amp;dropoff[latitude]="&amp;LEFT(SUBSTITUTE(F1231," ",""),FIND(",",SUBSTITUTE(F1231," ",""))-1)&amp;"&amp;dropoff[longitude]="&amp;MID(SUBSTITUTE(F1231," ",""),FIND(",",SUBSTITUTE(F1231," ",""))+1,99),"🚕 Uber"),"")</f>
        <v/>
      </c>
      <c r="J1231" s="8">
        <f>IF(F1231&lt;&gt;"","https://api.qrserver.com/v1/create-qr-code/?size=200x200&amp;data="&amp;ENCODEURL("https://www.google.com/maps/search/?api=1&amp;query="&amp;SUBSTITUTE(F1231," ","")),"")</f>
        <v/>
      </c>
      <c r="K1231" s="8">
        <f>IF(C1231&lt;&gt;"",HYPERLINK("https://wa.me/507"&amp;REGEXREPLACE(C1231,"[^0-9]","")&amp;"?text="&amp;ENCODEURL("Ya llegue. Codigo: "&amp;A1231&amp;". Ubicacion: "&amp;"https://www.google.com/maps/search/?api=1&amp;query="&amp;SUBSTITUTE(F1231," ","")),"📲 Avisar al cliente"),"")</f>
        <v/>
      </c>
      <c r="L1231" s="8">
        <f>IF(C1231&lt;&gt;"","https://api.qrserver.com/v1/create-qr-code/?size=200x200&amp;data="&amp;ENCODEURL("https://wa.me/507"&amp;REGEXREPLACE(C1231,"[^0-9]","")&amp;"?text="&amp;ENCODEURL("Ya llegue. Codigo: "&amp;A1231&amp;". Ubicacion: "&amp;"https://www.google.com/maps/search/?api=1&amp;query="&amp;SUBSTITUTE(F1231," ",""))),"")</f>
        <v/>
      </c>
      <c r="M1231" s="8">
        <f>IF(B1231&lt;&gt;"",TODAY(),"")</f>
        <v/>
      </c>
      <c r="N1231" s="8">
        <f>IF(F1231&lt;&gt;"",IFERROR(IF(AND(REGEXMATCH(SUBSTITUTE(TRIM(F1231)," ",""),"^-?\d+(\.\d+)?,-?\d+(\.\d+)?$"),VALUE(REGEXEXTRACT(SUBSTITUTE(TRIM(F1231)," ",""),"^-?\d+(\.\d+)?"))&gt;=-90,VALUE(REGEXEXTRACT(SUBSTITUTE(TRIM(F1231)," ",""),"^-?\d+(\.\d+)?"))&lt;=90,VALUE(REGEXEXTRACT(SUBSTITUTE(TRIM(F1231)," ",""),"-?\d+(\.\d+)?$"))&gt;=-180,VALUE(REGEXEXTRACT(SUBSTITUTE(TRIM(F1231)," ",""),"-?\d+(\.\d+)?$"))&lt;=180),"OK","REVISAR"),"REVISAR"),"")</f>
        <v/>
      </c>
      <c r="O1231">
        <f>IF(A1231&lt;&gt;"","https://direcciones507.github.io/direcciones507/panel.html?codigo="&amp;A1231&amp;"&amp;nombre="&amp;ENCODEURL(B1231)&amp;"&amp;telefono="&amp;SUBSTITUTE(C1231,"-","")&amp;"&amp;referencia="&amp;ENCODEURL(E1231)&amp;"&amp;lat="&amp;IZQUIERDA(SUBSTITUTE(F1231," ",""),ENCONTRAR(",",SUBSTITUTE(F1231," ",""))-1)&amp;"&amp;lng="&amp;DERECHA(SUBSTITUTE(F1231," ",""),LARGO(SUBSTITUTE(F1231," ",""))-ENCONTRAR(",",SUBSTITUTE(F1231," ",""))),"")</f>
        <v/>
      </c>
    </row>
    <row r="1232" ht="15.75" customHeight="1" s="10">
      <c r="A1232" s="8">
        <f>CONCAT("AD507-",TEXT(ROW()-2,"0000"))</f>
        <v/>
      </c>
      <c r="C1232" s="8" t="n"/>
      <c r="F1232" s="8" t="n"/>
      <c r="G1232" s="8">
        <f>IF(F1232&lt;&gt;"",HYPERLINK("https://www.google.com/maps/search/?api=1&amp;query="&amp;SUBSTITUTE(F1232," ",""),"🗺 Google Maps"),"")</f>
        <v/>
      </c>
      <c r="H1232" s="8">
        <f>IF(F1232&lt;&gt;"",HYPERLINK("https://waze.com/ul?ll="&amp;SUBSTITUTE(F1232," ","")&amp;"&amp;navigate=yes","🚗 Waze"),"")</f>
        <v/>
      </c>
      <c r="I1232" s="8">
        <f>IF(F1232&lt;&gt;"",HYPERLINK("https://m.uber.com/ul/?action=setPickup&amp;pickup=my_location&amp;dropoff[latitude]="&amp;LEFT(SUBSTITUTE(F1232," ",""),FIND(",",SUBSTITUTE(F1232," ",""))-1)&amp;"&amp;dropoff[longitude]="&amp;MID(SUBSTITUTE(F1232," ",""),FIND(",",SUBSTITUTE(F1232," ",""))+1,99),"🚕 Uber"),"")</f>
        <v/>
      </c>
      <c r="J1232" s="8">
        <f>IF(F1232&lt;&gt;"","https://api.qrserver.com/v1/create-qr-code/?size=200x200&amp;data="&amp;ENCODEURL("https://www.google.com/maps/search/?api=1&amp;query="&amp;SUBSTITUTE(F1232," ","")),"")</f>
        <v/>
      </c>
      <c r="K1232" s="8">
        <f>IF(C1232&lt;&gt;"",HYPERLINK("https://wa.me/507"&amp;REGEXREPLACE(C1232,"[^0-9]","")&amp;"?text="&amp;ENCODEURL("Ya llegue. Codigo: "&amp;A1232&amp;". Ubicacion: "&amp;"https://www.google.com/maps/search/?api=1&amp;query="&amp;SUBSTITUTE(F1232," ","")),"📲 Avisar al cliente"),"")</f>
        <v/>
      </c>
      <c r="L1232" s="8">
        <f>IF(C1232&lt;&gt;"","https://api.qrserver.com/v1/create-qr-code/?size=200x200&amp;data="&amp;ENCODEURL("https://wa.me/507"&amp;REGEXREPLACE(C1232,"[^0-9]","")&amp;"?text="&amp;ENCODEURL("Ya llegue. Codigo: "&amp;A1232&amp;". Ubicacion: "&amp;"https://www.google.com/maps/search/?api=1&amp;query="&amp;SUBSTITUTE(F1232," ",""))),"")</f>
        <v/>
      </c>
      <c r="M1232" s="8">
        <f>IF(B1232&lt;&gt;"",TODAY(),"")</f>
        <v/>
      </c>
      <c r="N1232" s="8">
        <f>IF(F1232&lt;&gt;"",IFERROR(IF(AND(REGEXMATCH(SUBSTITUTE(TRIM(F1232)," ",""),"^-?\d+(\.\d+)?,-?\d+(\.\d+)?$"),VALUE(REGEXEXTRACT(SUBSTITUTE(TRIM(F1232)," ",""),"^-?\d+(\.\d+)?"))&gt;=-90,VALUE(REGEXEXTRACT(SUBSTITUTE(TRIM(F1232)," ",""),"^-?\d+(\.\d+)?"))&lt;=90,VALUE(REGEXEXTRACT(SUBSTITUTE(TRIM(F1232)," ",""),"-?\d+(\.\d+)?$"))&gt;=-180,VALUE(REGEXEXTRACT(SUBSTITUTE(TRIM(F1232)," ",""),"-?\d+(\.\d+)?$"))&lt;=180),"OK","REVISAR"),"REVISAR"),"")</f>
        <v/>
      </c>
      <c r="O1232">
        <f>IF(A1232&lt;&gt;"","https://direcciones507.github.io/direcciones507/panel.html?codigo="&amp;A1232&amp;"&amp;nombre="&amp;ENCODEURL(B1232)&amp;"&amp;telefono="&amp;SUBSTITUTE(C1232,"-","")&amp;"&amp;referencia="&amp;ENCODEURL(E1232)&amp;"&amp;lat="&amp;IZQUIERDA(SUBSTITUTE(F1232," ",""),ENCONTRAR(",",SUBSTITUTE(F1232," ",""))-1)&amp;"&amp;lng="&amp;DERECHA(SUBSTITUTE(F1232," ",""),LARGO(SUBSTITUTE(F1232," ",""))-ENCONTRAR(",",SUBSTITUTE(F1232," ",""))),"")</f>
        <v/>
      </c>
    </row>
    <row r="1233" ht="15.75" customHeight="1" s="10">
      <c r="A1233" s="8">
        <f>CONCAT("AD507-",TEXT(ROW()-2,"0000"))</f>
        <v/>
      </c>
      <c r="C1233" s="8" t="n"/>
      <c r="F1233" s="8" t="n"/>
      <c r="G1233" s="8">
        <f>IF(F1233&lt;&gt;"",HYPERLINK("https://www.google.com/maps/search/?api=1&amp;query="&amp;SUBSTITUTE(F1233," ",""),"🗺 Google Maps"),"")</f>
        <v/>
      </c>
      <c r="H1233" s="8">
        <f>IF(F1233&lt;&gt;"",HYPERLINK("https://waze.com/ul?ll="&amp;SUBSTITUTE(F1233," ","")&amp;"&amp;navigate=yes","🚗 Waze"),"")</f>
        <v/>
      </c>
      <c r="I1233" s="8">
        <f>IF(F1233&lt;&gt;"",HYPERLINK("https://m.uber.com/ul/?action=setPickup&amp;pickup=my_location&amp;dropoff[latitude]="&amp;LEFT(SUBSTITUTE(F1233," ",""),FIND(",",SUBSTITUTE(F1233," ",""))-1)&amp;"&amp;dropoff[longitude]="&amp;MID(SUBSTITUTE(F1233," ",""),FIND(",",SUBSTITUTE(F1233," ",""))+1,99),"🚕 Uber"),"")</f>
        <v/>
      </c>
      <c r="J1233" s="8">
        <f>IF(F1233&lt;&gt;"","https://api.qrserver.com/v1/create-qr-code/?size=200x200&amp;data="&amp;ENCODEURL("https://www.google.com/maps/search/?api=1&amp;query="&amp;SUBSTITUTE(F1233," ","")),"")</f>
        <v/>
      </c>
      <c r="K1233" s="8">
        <f>IF(C1233&lt;&gt;"",HYPERLINK("https://wa.me/507"&amp;REGEXREPLACE(C1233,"[^0-9]","")&amp;"?text="&amp;ENCODEURL("Ya llegue. Codigo: "&amp;A1233&amp;". Ubicacion: "&amp;"https://www.google.com/maps/search/?api=1&amp;query="&amp;SUBSTITUTE(F1233," ","")),"📲 Avisar al cliente"),"")</f>
        <v/>
      </c>
      <c r="L1233" s="8">
        <f>IF(C1233&lt;&gt;"","https://api.qrserver.com/v1/create-qr-code/?size=200x200&amp;data="&amp;ENCODEURL("https://wa.me/507"&amp;REGEXREPLACE(C1233,"[^0-9]","")&amp;"?text="&amp;ENCODEURL("Ya llegue. Codigo: "&amp;A1233&amp;". Ubicacion: "&amp;"https://www.google.com/maps/search/?api=1&amp;query="&amp;SUBSTITUTE(F1233," ",""))),"")</f>
        <v/>
      </c>
      <c r="M1233" s="8">
        <f>IF(B1233&lt;&gt;"",TODAY(),"")</f>
        <v/>
      </c>
      <c r="N1233" s="8">
        <f>IF(F1233&lt;&gt;"",IFERROR(IF(AND(REGEXMATCH(SUBSTITUTE(TRIM(F1233)," ",""),"^-?\d+(\.\d+)?,-?\d+(\.\d+)?$"),VALUE(REGEXEXTRACT(SUBSTITUTE(TRIM(F1233)," ",""),"^-?\d+(\.\d+)?"))&gt;=-90,VALUE(REGEXEXTRACT(SUBSTITUTE(TRIM(F1233)," ",""),"^-?\d+(\.\d+)?"))&lt;=90,VALUE(REGEXEXTRACT(SUBSTITUTE(TRIM(F1233)," ",""),"-?\d+(\.\d+)?$"))&gt;=-180,VALUE(REGEXEXTRACT(SUBSTITUTE(TRIM(F1233)," ",""),"-?\d+(\.\d+)?$"))&lt;=180),"OK","REVISAR"),"REVISAR"),"")</f>
        <v/>
      </c>
      <c r="O1233">
        <f>IF(A1233&lt;&gt;"","https://direcciones507.github.io/direcciones507/panel.html?codigo="&amp;A1233&amp;"&amp;nombre="&amp;ENCODEURL(B1233)&amp;"&amp;telefono="&amp;SUBSTITUTE(C1233,"-","")&amp;"&amp;referencia="&amp;ENCODEURL(E1233)&amp;"&amp;lat="&amp;IZQUIERDA(SUBSTITUTE(F1233," ",""),ENCONTRAR(",",SUBSTITUTE(F1233," ",""))-1)&amp;"&amp;lng="&amp;DERECHA(SUBSTITUTE(F1233," ",""),LARGO(SUBSTITUTE(F1233," ",""))-ENCONTRAR(",",SUBSTITUTE(F1233," ",""))),"")</f>
        <v/>
      </c>
    </row>
    <row r="1234" ht="15.75" customHeight="1" s="10">
      <c r="A1234" s="8">
        <f>CONCAT("AD507-",TEXT(ROW()-2,"0000"))</f>
        <v/>
      </c>
      <c r="C1234" s="8" t="n"/>
      <c r="F1234" s="8" t="n"/>
      <c r="G1234" s="8">
        <f>IF(F1234&lt;&gt;"",HYPERLINK("https://www.google.com/maps/search/?api=1&amp;query="&amp;SUBSTITUTE(F1234," ",""),"🗺 Google Maps"),"")</f>
        <v/>
      </c>
      <c r="H1234" s="8">
        <f>IF(F1234&lt;&gt;"",HYPERLINK("https://waze.com/ul?ll="&amp;SUBSTITUTE(F1234," ","")&amp;"&amp;navigate=yes","🚗 Waze"),"")</f>
        <v/>
      </c>
      <c r="I1234" s="8">
        <f>IF(F1234&lt;&gt;"",HYPERLINK("https://m.uber.com/ul/?action=setPickup&amp;pickup=my_location&amp;dropoff[latitude]="&amp;LEFT(SUBSTITUTE(F1234," ",""),FIND(",",SUBSTITUTE(F1234," ",""))-1)&amp;"&amp;dropoff[longitude]="&amp;MID(SUBSTITUTE(F1234," ",""),FIND(",",SUBSTITUTE(F1234," ",""))+1,99),"🚕 Uber"),"")</f>
        <v/>
      </c>
      <c r="J1234" s="8">
        <f>IF(F1234&lt;&gt;"","https://api.qrserver.com/v1/create-qr-code/?size=200x200&amp;data="&amp;ENCODEURL("https://www.google.com/maps/search/?api=1&amp;query="&amp;SUBSTITUTE(F1234," ","")),"")</f>
        <v/>
      </c>
      <c r="K1234" s="8">
        <f>IF(C1234&lt;&gt;"",HYPERLINK("https://wa.me/507"&amp;REGEXREPLACE(C1234,"[^0-9]","")&amp;"?text="&amp;ENCODEURL("Ya llegue. Codigo: "&amp;A1234&amp;". Ubicacion: "&amp;"https://www.google.com/maps/search/?api=1&amp;query="&amp;SUBSTITUTE(F1234," ","")),"📲 Avisar al cliente"),"")</f>
        <v/>
      </c>
      <c r="L1234" s="8">
        <f>IF(C1234&lt;&gt;"","https://api.qrserver.com/v1/create-qr-code/?size=200x200&amp;data="&amp;ENCODEURL("https://wa.me/507"&amp;REGEXREPLACE(C1234,"[^0-9]","")&amp;"?text="&amp;ENCODEURL("Ya llegue. Codigo: "&amp;A1234&amp;". Ubicacion: "&amp;"https://www.google.com/maps/search/?api=1&amp;query="&amp;SUBSTITUTE(F1234," ",""))),"")</f>
        <v/>
      </c>
      <c r="M1234" s="8">
        <f>IF(B1234&lt;&gt;"",TODAY(),"")</f>
        <v/>
      </c>
      <c r="N1234" s="8">
        <f>IF(F1234&lt;&gt;"",IFERROR(IF(AND(REGEXMATCH(SUBSTITUTE(TRIM(F1234)," ",""),"^-?\d+(\.\d+)?,-?\d+(\.\d+)?$"),VALUE(REGEXEXTRACT(SUBSTITUTE(TRIM(F1234)," ",""),"^-?\d+(\.\d+)?"))&gt;=-90,VALUE(REGEXEXTRACT(SUBSTITUTE(TRIM(F1234)," ",""),"^-?\d+(\.\d+)?"))&lt;=90,VALUE(REGEXEXTRACT(SUBSTITUTE(TRIM(F1234)," ",""),"-?\d+(\.\d+)?$"))&gt;=-180,VALUE(REGEXEXTRACT(SUBSTITUTE(TRIM(F1234)," ",""),"-?\d+(\.\d+)?$"))&lt;=180),"OK","REVISAR"),"REVISAR"),"")</f>
        <v/>
      </c>
      <c r="O1234">
        <f>IF(A1234&lt;&gt;"","https://direcciones507.github.io/direcciones507/panel.html?codigo="&amp;A1234&amp;"&amp;nombre="&amp;ENCODEURL(B1234)&amp;"&amp;telefono="&amp;SUBSTITUTE(C1234,"-","")&amp;"&amp;referencia="&amp;ENCODEURL(E1234)&amp;"&amp;lat="&amp;IZQUIERDA(SUBSTITUTE(F1234," ",""),ENCONTRAR(",",SUBSTITUTE(F1234," ",""))-1)&amp;"&amp;lng="&amp;DERECHA(SUBSTITUTE(F1234," ",""),LARGO(SUBSTITUTE(F1234," ",""))-ENCONTRAR(",",SUBSTITUTE(F1234," ",""))),"")</f>
        <v/>
      </c>
    </row>
    <row r="1235" ht="15.75" customHeight="1" s="10">
      <c r="A1235" s="8">
        <f>CONCAT("AD507-",TEXT(ROW()-2,"0000"))</f>
        <v/>
      </c>
      <c r="C1235" s="8" t="n"/>
      <c r="F1235" s="8" t="n"/>
      <c r="G1235" s="8">
        <f>IF(F1235&lt;&gt;"",HYPERLINK("https://www.google.com/maps/search/?api=1&amp;query="&amp;SUBSTITUTE(F1235," ",""),"🗺 Google Maps"),"")</f>
        <v/>
      </c>
      <c r="H1235" s="8">
        <f>IF(F1235&lt;&gt;"",HYPERLINK("https://waze.com/ul?ll="&amp;SUBSTITUTE(F1235," ","")&amp;"&amp;navigate=yes","🚗 Waze"),"")</f>
        <v/>
      </c>
      <c r="I1235" s="8">
        <f>IF(F1235&lt;&gt;"",HYPERLINK("https://m.uber.com/ul/?action=setPickup&amp;pickup=my_location&amp;dropoff[latitude]="&amp;LEFT(SUBSTITUTE(F1235," ",""),FIND(",",SUBSTITUTE(F1235," ",""))-1)&amp;"&amp;dropoff[longitude]="&amp;MID(SUBSTITUTE(F1235," ",""),FIND(",",SUBSTITUTE(F1235," ",""))+1,99),"🚕 Uber"),"")</f>
        <v/>
      </c>
      <c r="J1235" s="8">
        <f>IF(F1235&lt;&gt;"","https://api.qrserver.com/v1/create-qr-code/?size=200x200&amp;data="&amp;ENCODEURL("https://www.google.com/maps/search/?api=1&amp;query="&amp;SUBSTITUTE(F1235," ","")),"")</f>
        <v/>
      </c>
      <c r="K1235" s="8">
        <f>IF(C1235&lt;&gt;"",HYPERLINK("https://wa.me/507"&amp;REGEXREPLACE(C1235,"[^0-9]","")&amp;"?text="&amp;ENCODEURL("Ya llegue. Codigo: "&amp;A1235&amp;". Ubicacion: "&amp;"https://www.google.com/maps/search/?api=1&amp;query="&amp;SUBSTITUTE(F1235," ","")),"📲 Avisar al cliente"),"")</f>
        <v/>
      </c>
      <c r="L1235" s="8">
        <f>IF(C1235&lt;&gt;"","https://api.qrserver.com/v1/create-qr-code/?size=200x200&amp;data="&amp;ENCODEURL("https://wa.me/507"&amp;REGEXREPLACE(C1235,"[^0-9]","")&amp;"?text="&amp;ENCODEURL("Ya llegue. Codigo: "&amp;A1235&amp;". Ubicacion: "&amp;"https://www.google.com/maps/search/?api=1&amp;query="&amp;SUBSTITUTE(F1235," ",""))),"")</f>
        <v/>
      </c>
      <c r="M1235" s="8">
        <f>IF(B1235&lt;&gt;"",TODAY(),"")</f>
        <v/>
      </c>
      <c r="N1235" s="8">
        <f>IF(F1235&lt;&gt;"",IFERROR(IF(AND(REGEXMATCH(SUBSTITUTE(TRIM(F1235)," ",""),"^-?\d+(\.\d+)?,-?\d+(\.\d+)?$"),VALUE(REGEXEXTRACT(SUBSTITUTE(TRIM(F1235)," ",""),"^-?\d+(\.\d+)?"))&gt;=-90,VALUE(REGEXEXTRACT(SUBSTITUTE(TRIM(F1235)," ",""),"^-?\d+(\.\d+)?"))&lt;=90,VALUE(REGEXEXTRACT(SUBSTITUTE(TRIM(F1235)," ",""),"-?\d+(\.\d+)?$"))&gt;=-180,VALUE(REGEXEXTRACT(SUBSTITUTE(TRIM(F1235)," ",""),"-?\d+(\.\d+)?$"))&lt;=180),"OK","REVISAR"),"REVISAR"),"")</f>
        <v/>
      </c>
      <c r="O1235">
        <f>IF(A1235&lt;&gt;"","https://direcciones507.github.io/direcciones507/panel.html?codigo="&amp;A1235&amp;"&amp;nombre="&amp;ENCODEURL(B1235)&amp;"&amp;telefono="&amp;SUBSTITUTE(C1235,"-","")&amp;"&amp;referencia="&amp;ENCODEURL(E1235)&amp;"&amp;lat="&amp;IZQUIERDA(SUBSTITUTE(F1235," ",""),ENCONTRAR(",",SUBSTITUTE(F1235," ",""))-1)&amp;"&amp;lng="&amp;DERECHA(SUBSTITUTE(F1235," ",""),LARGO(SUBSTITUTE(F1235," ",""))-ENCONTRAR(",",SUBSTITUTE(F1235," ",""))),"")</f>
        <v/>
      </c>
    </row>
    <row r="1236" ht="15.75" customHeight="1" s="10">
      <c r="A1236" s="8">
        <f>CONCAT("AD507-",TEXT(ROW()-2,"0000"))</f>
        <v/>
      </c>
      <c r="C1236" s="8" t="n"/>
      <c r="F1236" s="8" t="n"/>
      <c r="G1236" s="8">
        <f>IF(F1236&lt;&gt;"",HYPERLINK("https://www.google.com/maps/search/?api=1&amp;query="&amp;SUBSTITUTE(F1236," ",""),"🗺 Google Maps"),"")</f>
        <v/>
      </c>
      <c r="H1236" s="8">
        <f>IF(F1236&lt;&gt;"",HYPERLINK("https://waze.com/ul?ll="&amp;SUBSTITUTE(F1236," ","")&amp;"&amp;navigate=yes","🚗 Waze"),"")</f>
        <v/>
      </c>
      <c r="I1236" s="8">
        <f>IF(F1236&lt;&gt;"",HYPERLINK("https://m.uber.com/ul/?action=setPickup&amp;pickup=my_location&amp;dropoff[latitude]="&amp;LEFT(SUBSTITUTE(F1236," ",""),FIND(",",SUBSTITUTE(F1236," ",""))-1)&amp;"&amp;dropoff[longitude]="&amp;MID(SUBSTITUTE(F1236," ",""),FIND(",",SUBSTITUTE(F1236," ",""))+1,99),"🚕 Uber"),"")</f>
        <v/>
      </c>
      <c r="J1236" s="8">
        <f>IF(F1236&lt;&gt;"","https://api.qrserver.com/v1/create-qr-code/?size=200x200&amp;data="&amp;ENCODEURL("https://www.google.com/maps/search/?api=1&amp;query="&amp;SUBSTITUTE(F1236," ","")),"")</f>
        <v/>
      </c>
      <c r="K1236" s="8">
        <f>IF(C1236&lt;&gt;"",HYPERLINK("https://wa.me/507"&amp;REGEXREPLACE(C1236,"[^0-9]","")&amp;"?text="&amp;ENCODEURL("Ya llegue. Codigo: "&amp;A1236&amp;". Ubicacion: "&amp;"https://www.google.com/maps/search/?api=1&amp;query="&amp;SUBSTITUTE(F1236," ","")),"📲 Avisar al cliente"),"")</f>
        <v/>
      </c>
      <c r="L1236" s="8">
        <f>IF(C1236&lt;&gt;"","https://api.qrserver.com/v1/create-qr-code/?size=200x200&amp;data="&amp;ENCODEURL("https://wa.me/507"&amp;REGEXREPLACE(C1236,"[^0-9]","")&amp;"?text="&amp;ENCODEURL("Ya llegue. Codigo: "&amp;A1236&amp;". Ubicacion: "&amp;"https://www.google.com/maps/search/?api=1&amp;query="&amp;SUBSTITUTE(F1236," ",""))),"")</f>
        <v/>
      </c>
      <c r="M1236" s="8">
        <f>IF(B1236&lt;&gt;"",TODAY(),"")</f>
        <v/>
      </c>
      <c r="N1236" s="8">
        <f>IF(F1236&lt;&gt;"",IFERROR(IF(AND(REGEXMATCH(SUBSTITUTE(TRIM(F1236)," ",""),"^-?\d+(\.\d+)?,-?\d+(\.\d+)?$"),VALUE(REGEXEXTRACT(SUBSTITUTE(TRIM(F1236)," ",""),"^-?\d+(\.\d+)?"))&gt;=-90,VALUE(REGEXEXTRACT(SUBSTITUTE(TRIM(F1236)," ",""),"^-?\d+(\.\d+)?"))&lt;=90,VALUE(REGEXEXTRACT(SUBSTITUTE(TRIM(F1236)," ",""),"-?\d+(\.\d+)?$"))&gt;=-180,VALUE(REGEXEXTRACT(SUBSTITUTE(TRIM(F1236)," ",""),"-?\d+(\.\d+)?$"))&lt;=180),"OK","REVISAR"),"REVISAR"),"")</f>
        <v/>
      </c>
      <c r="O1236">
        <f>IF(A1236&lt;&gt;"","https://direcciones507.github.io/direcciones507/panel.html?codigo="&amp;A1236&amp;"&amp;nombre="&amp;ENCODEURL(B1236)&amp;"&amp;telefono="&amp;SUBSTITUTE(C1236,"-","")&amp;"&amp;referencia="&amp;ENCODEURL(E1236)&amp;"&amp;lat="&amp;IZQUIERDA(SUBSTITUTE(F1236," ",""),ENCONTRAR(",",SUBSTITUTE(F1236," ",""))-1)&amp;"&amp;lng="&amp;DERECHA(SUBSTITUTE(F1236," ",""),LARGO(SUBSTITUTE(F1236," ",""))-ENCONTRAR(",",SUBSTITUTE(F1236," ",""))),"")</f>
        <v/>
      </c>
    </row>
    <row r="1237" ht="15.75" customHeight="1" s="10">
      <c r="A1237" s="8">
        <f>CONCAT("AD507-",TEXT(ROW()-2,"0000"))</f>
        <v/>
      </c>
      <c r="C1237" s="8" t="n"/>
      <c r="F1237" s="8" t="n"/>
      <c r="G1237" s="8">
        <f>IF(F1237&lt;&gt;"",HYPERLINK("https://www.google.com/maps/search/?api=1&amp;query="&amp;SUBSTITUTE(F1237," ",""),"🗺 Google Maps"),"")</f>
        <v/>
      </c>
      <c r="H1237" s="8">
        <f>IF(F1237&lt;&gt;"",HYPERLINK("https://waze.com/ul?ll="&amp;SUBSTITUTE(F1237," ","")&amp;"&amp;navigate=yes","🚗 Waze"),"")</f>
        <v/>
      </c>
      <c r="I1237" s="8">
        <f>IF(F1237&lt;&gt;"",HYPERLINK("https://m.uber.com/ul/?action=setPickup&amp;pickup=my_location&amp;dropoff[latitude]="&amp;LEFT(SUBSTITUTE(F1237," ",""),FIND(",",SUBSTITUTE(F1237," ",""))-1)&amp;"&amp;dropoff[longitude]="&amp;MID(SUBSTITUTE(F1237," ",""),FIND(",",SUBSTITUTE(F1237," ",""))+1,99),"🚕 Uber"),"")</f>
        <v/>
      </c>
      <c r="J1237" s="8">
        <f>IF(F1237&lt;&gt;"","https://api.qrserver.com/v1/create-qr-code/?size=200x200&amp;data="&amp;ENCODEURL("https://www.google.com/maps/search/?api=1&amp;query="&amp;SUBSTITUTE(F1237," ","")),"")</f>
        <v/>
      </c>
      <c r="K1237" s="8">
        <f>IF(C1237&lt;&gt;"",HYPERLINK("https://wa.me/507"&amp;REGEXREPLACE(C1237,"[^0-9]","")&amp;"?text="&amp;ENCODEURL("Ya llegue. Codigo: "&amp;A1237&amp;". Ubicacion: "&amp;"https://www.google.com/maps/search/?api=1&amp;query="&amp;SUBSTITUTE(F1237," ","")),"📲 Avisar al cliente"),"")</f>
        <v/>
      </c>
      <c r="L1237" s="8">
        <f>IF(C1237&lt;&gt;"","https://api.qrserver.com/v1/create-qr-code/?size=200x200&amp;data="&amp;ENCODEURL("https://wa.me/507"&amp;REGEXREPLACE(C1237,"[^0-9]","")&amp;"?text="&amp;ENCODEURL("Ya llegue. Codigo: "&amp;A1237&amp;". Ubicacion: "&amp;"https://www.google.com/maps/search/?api=1&amp;query="&amp;SUBSTITUTE(F1237," ",""))),"")</f>
        <v/>
      </c>
      <c r="M1237" s="8">
        <f>IF(B1237&lt;&gt;"",TODAY(),"")</f>
        <v/>
      </c>
      <c r="N1237" s="8">
        <f>IF(F1237&lt;&gt;"",IFERROR(IF(AND(REGEXMATCH(SUBSTITUTE(TRIM(F1237)," ",""),"^-?\d+(\.\d+)?,-?\d+(\.\d+)?$"),VALUE(REGEXEXTRACT(SUBSTITUTE(TRIM(F1237)," ",""),"^-?\d+(\.\d+)?"))&gt;=-90,VALUE(REGEXEXTRACT(SUBSTITUTE(TRIM(F1237)," ",""),"^-?\d+(\.\d+)?"))&lt;=90,VALUE(REGEXEXTRACT(SUBSTITUTE(TRIM(F1237)," ",""),"-?\d+(\.\d+)?$"))&gt;=-180,VALUE(REGEXEXTRACT(SUBSTITUTE(TRIM(F1237)," ",""),"-?\d+(\.\d+)?$"))&lt;=180),"OK","REVISAR"),"REVISAR"),"")</f>
        <v/>
      </c>
      <c r="O1237">
        <f>IF(A1237&lt;&gt;"","https://direcciones507.github.io/direcciones507/panel.html?codigo="&amp;A1237&amp;"&amp;nombre="&amp;ENCODEURL(B1237)&amp;"&amp;telefono="&amp;SUBSTITUTE(C1237,"-","")&amp;"&amp;referencia="&amp;ENCODEURL(E1237)&amp;"&amp;lat="&amp;IZQUIERDA(SUBSTITUTE(F1237," ",""),ENCONTRAR(",",SUBSTITUTE(F1237," ",""))-1)&amp;"&amp;lng="&amp;DERECHA(SUBSTITUTE(F1237," ",""),LARGO(SUBSTITUTE(F1237," ",""))-ENCONTRAR(",",SUBSTITUTE(F1237," ",""))),"")</f>
        <v/>
      </c>
    </row>
    <row r="1238" ht="15.75" customHeight="1" s="10">
      <c r="A1238" s="8">
        <f>CONCAT("AD507-",TEXT(ROW()-2,"0000"))</f>
        <v/>
      </c>
      <c r="C1238" s="8" t="n"/>
      <c r="F1238" s="8" t="n"/>
      <c r="G1238" s="8">
        <f>IF(F1238&lt;&gt;"",HYPERLINK("https://www.google.com/maps/search/?api=1&amp;query="&amp;SUBSTITUTE(F1238," ",""),"🗺 Google Maps"),"")</f>
        <v/>
      </c>
      <c r="H1238" s="8">
        <f>IF(F1238&lt;&gt;"",HYPERLINK("https://waze.com/ul?ll="&amp;SUBSTITUTE(F1238," ","")&amp;"&amp;navigate=yes","🚗 Waze"),"")</f>
        <v/>
      </c>
      <c r="I1238" s="8">
        <f>IF(F1238&lt;&gt;"",HYPERLINK("https://m.uber.com/ul/?action=setPickup&amp;pickup=my_location&amp;dropoff[latitude]="&amp;LEFT(SUBSTITUTE(F1238," ",""),FIND(",",SUBSTITUTE(F1238," ",""))-1)&amp;"&amp;dropoff[longitude]="&amp;MID(SUBSTITUTE(F1238," ",""),FIND(",",SUBSTITUTE(F1238," ",""))+1,99),"🚕 Uber"),"")</f>
        <v/>
      </c>
      <c r="J1238" s="8">
        <f>IF(F1238&lt;&gt;"","https://api.qrserver.com/v1/create-qr-code/?size=200x200&amp;data="&amp;ENCODEURL("https://www.google.com/maps/search/?api=1&amp;query="&amp;SUBSTITUTE(F1238," ","")),"")</f>
        <v/>
      </c>
      <c r="K1238" s="8">
        <f>IF(C1238&lt;&gt;"",HYPERLINK("https://wa.me/507"&amp;REGEXREPLACE(C1238,"[^0-9]","")&amp;"?text="&amp;ENCODEURL("Ya llegue. Codigo: "&amp;A1238&amp;". Ubicacion: "&amp;"https://www.google.com/maps/search/?api=1&amp;query="&amp;SUBSTITUTE(F1238," ","")),"📲 Avisar al cliente"),"")</f>
        <v/>
      </c>
      <c r="L1238" s="8">
        <f>IF(C1238&lt;&gt;"","https://api.qrserver.com/v1/create-qr-code/?size=200x200&amp;data="&amp;ENCODEURL("https://wa.me/507"&amp;REGEXREPLACE(C1238,"[^0-9]","")&amp;"?text="&amp;ENCODEURL("Ya llegue. Codigo: "&amp;A1238&amp;". Ubicacion: "&amp;"https://www.google.com/maps/search/?api=1&amp;query="&amp;SUBSTITUTE(F1238," ",""))),"")</f>
        <v/>
      </c>
      <c r="M1238" s="8">
        <f>IF(B1238&lt;&gt;"",TODAY(),"")</f>
        <v/>
      </c>
      <c r="N1238" s="8">
        <f>IF(F1238&lt;&gt;"",IFERROR(IF(AND(REGEXMATCH(SUBSTITUTE(TRIM(F1238)," ",""),"^-?\d+(\.\d+)?,-?\d+(\.\d+)?$"),VALUE(REGEXEXTRACT(SUBSTITUTE(TRIM(F1238)," ",""),"^-?\d+(\.\d+)?"))&gt;=-90,VALUE(REGEXEXTRACT(SUBSTITUTE(TRIM(F1238)," ",""),"^-?\d+(\.\d+)?"))&lt;=90,VALUE(REGEXEXTRACT(SUBSTITUTE(TRIM(F1238)," ",""),"-?\d+(\.\d+)?$"))&gt;=-180,VALUE(REGEXEXTRACT(SUBSTITUTE(TRIM(F1238)," ",""),"-?\d+(\.\d+)?$"))&lt;=180),"OK","REVISAR"),"REVISAR"),"")</f>
        <v/>
      </c>
      <c r="O1238">
        <f>IF(A1238&lt;&gt;"","https://direcciones507.github.io/direcciones507/panel.html?codigo="&amp;A1238&amp;"&amp;nombre="&amp;ENCODEURL(B1238)&amp;"&amp;telefono="&amp;SUBSTITUTE(C1238,"-","")&amp;"&amp;referencia="&amp;ENCODEURL(E1238)&amp;"&amp;lat="&amp;IZQUIERDA(SUBSTITUTE(F1238," ",""),ENCONTRAR(",",SUBSTITUTE(F1238," ",""))-1)&amp;"&amp;lng="&amp;DERECHA(SUBSTITUTE(F1238," ",""),LARGO(SUBSTITUTE(F1238," ",""))-ENCONTRAR(",",SUBSTITUTE(F1238," ",""))),"")</f>
        <v/>
      </c>
    </row>
    <row r="1239" ht="15.75" customHeight="1" s="10">
      <c r="A1239" s="8">
        <f>CONCAT("AD507-",TEXT(ROW()-2,"0000"))</f>
        <v/>
      </c>
      <c r="C1239" s="8" t="n"/>
      <c r="F1239" s="8" t="n"/>
      <c r="G1239" s="8">
        <f>IF(F1239&lt;&gt;"",HYPERLINK("https://www.google.com/maps/search/?api=1&amp;query="&amp;SUBSTITUTE(F1239," ",""),"🗺 Google Maps"),"")</f>
        <v/>
      </c>
      <c r="H1239" s="8">
        <f>IF(F1239&lt;&gt;"",HYPERLINK("https://waze.com/ul?ll="&amp;SUBSTITUTE(F1239," ","")&amp;"&amp;navigate=yes","🚗 Waze"),"")</f>
        <v/>
      </c>
      <c r="I1239" s="8">
        <f>IF(F1239&lt;&gt;"",HYPERLINK("https://m.uber.com/ul/?action=setPickup&amp;pickup=my_location&amp;dropoff[latitude]="&amp;LEFT(SUBSTITUTE(F1239," ",""),FIND(",",SUBSTITUTE(F1239," ",""))-1)&amp;"&amp;dropoff[longitude]="&amp;MID(SUBSTITUTE(F1239," ",""),FIND(",",SUBSTITUTE(F1239," ",""))+1,99),"🚕 Uber"),"")</f>
        <v/>
      </c>
      <c r="J1239" s="8">
        <f>IF(F1239&lt;&gt;"","https://api.qrserver.com/v1/create-qr-code/?size=200x200&amp;data="&amp;ENCODEURL("https://www.google.com/maps/search/?api=1&amp;query="&amp;SUBSTITUTE(F1239," ","")),"")</f>
        <v/>
      </c>
      <c r="K1239" s="8">
        <f>IF(C1239&lt;&gt;"",HYPERLINK("https://wa.me/507"&amp;REGEXREPLACE(C1239,"[^0-9]","")&amp;"?text="&amp;ENCODEURL("Ya llegue. Codigo: "&amp;A1239&amp;". Ubicacion: "&amp;"https://www.google.com/maps/search/?api=1&amp;query="&amp;SUBSTITUTE(F1239," ","")),"📲 Avisar al cliente"),"")</f>
        <v/>
      </c>
      <c r="L1239" s="8">
        <f>IF(C1239&lt;&gt;"","https://api.qrserver.com/v1/create-qr-code/?size=200x200&amp;data="&amp;ENCODEURL("https://wa.me/507"&amp;REGEXREPLACE(C1239,"[^0-9]","")&amp;"?text="&amp;ENCODEURL("Ya llegue. Codigo: "&amp;A1239&amp;". Ubicacion: "&amp;"https://www.google.com/maps/search/?api=1&amp;query="&amp;SUBSTITUTE(F1239," ",""))),"")</f>
        <v/>
      </c>
      <c r="M1239" s="8">
        <f>IF(B1239&lt;&gt;"",TODAY(),"")</f>
        <v/>
      </c>
      <c r="N1239" s="8">
        <f>IF(F1239&lt;&gt;"",IFERROR(IF(AND(REGEXMATCH(SUBSTITUTE(TRIM(F1239)," ",""),"^-?\d+(\.\d+)?,-?\d+(\.\d+)?$"),VALUE(REGEXEXTRACT(SUBSTITUTE(TRIM(F1239)," ",""),"^-?\d+(\.\d+)?"))&gt;=-90,VALUE(REGEXEXTRACT(SUBSTITUTE(TRIM(F1239)," ",""),"^-?\d+(\.\d+)?"))&lt;=90,VALUE(REGEXEXTRACT(SUBSTITUTE(TRIM(F1239)," ",""),"-?\d+(\.\d+)?$"))&gt;=-180,VALUE(REGEXEXTRACT(SUBSTITUTE(TRIM(F1239)," ",""),"-?\d+(\.\d+)?$"))&lt;=180),"OK","REVISAR"),"REVISAR"),"")</f>
        <v/>
      </c>
      <c r="O1239">
        <f>IF(A1239&lt;&gt;"","https://direcciones507.github.io/direcciones507/panel.html?codigo="&amp;A1239&amp;"&amp;nombre="&amp;ENCODEURL(B1239)&amp;"&amp;telefono="&amp;SUBSTITUTE(C1239,"-","")&amp;"&amp;referencia="&amp;ENCODEURL(E1239)&amp;"&amp;lat="&amp;IZQUIERDA(SUBSTITUTE(F1239," ",""),ENCONTRAR(",",SUBSTITUTE(F1239," ",""))-1)&amp;"&amp;lng="&amp;DERECHA(SUBSTITUTE(F1239," ",""),LARGO(SUBSTITUTE(F1239," ",""))-ENCONTRAR(",",SUBSTITUTE(F1239," ",""))),"")</f>
        <v/>
      </c>
    </row>
    <row r="1240" ht="15.75" customHeight="1" s="10">
      <c r="A1240" s="8">
        <f>CONCAT("AD507-",TEXT(ROW()-2,"0000"))</f>
        <v/>
      </c>
      <c r="C1240" s="8" t="n"/>
      <c r="F1240" s="8" t="n"/>
      <c r="G1240" s="8">
        <f>IF(F1240&lt;&gt;"",HYPERLINK("https://www.google.com/maps/search/?api=1&amp;query="&amp;SUBSTITUTE(F1240," ",""),"🗺 Google Maps"),"")</f>
        <v/>
      </c>
      <c r="H1240" s="8">
        <f>IF(F1240&lt;&gt;"",HYPERLINK("https://waze.com/ul?ll="&amp;SUBSTITUTE(F1240," ","")&amp;"&amp;navigate=yes","🚗 Waze"),"")</f>
        <v/>
      </c>
      <c r="I1240" s="8">
        <f>IF(F1240&lt;&gt;"",HYPERLINK("https://m.uber.com/ul/?action=setPickup&amp;pickup=my_location&amp;dropoff[latitude]="&amp;LEFT(SUBSTITUTE(F1240," ",""),FIND(",",SUBSTITUTE(F1240," ",""))-1)&amp;"&amp;dropoff[longitude]="&amp;MID(SUBSTITUTE(F1240," ",""),FIND(",",SUBSTITUTE(F1240," ",""))+1,99),"🚕 Uber"),"")</f>
        <v/>
      </c>
      <c r="J1240" s="8">
        <f>IF(F1240&lt;&gt;"","https://api.qrserver.com/v1/create-qr-code/?size=200x200&amp;data="&amp;ENCODEURL("https://www.google.com/maps/search/?api=1&amp;query="&amp;SUBSTITUTE(F1240," ","")),"")</f>
        <v/>
      </c>
      <c r="K1240" s="8">
        <f>IF(C1240&lt;&gt;"",HYPERLINK("https://wa.me/507"&amp;REGEXREPLACE(C1240,"[^0-9]","")&amp;"?text="&amp;ENCODEURL("Ya llegue. Codigo: "&amp;A1240&amp;". Ubicacion: "&amp;"https://www.google.com/maps/search/?api=1&amp;query="&amp;SUBSTITUTE(F1240," ","")),"📲 Avisar al cliente"),"")</f>
        <v/>
      </c>
      <c r="L1240" s="8">
        <f>IF(C1240&lt;&gt;"","https://api.qrserver.com/v1/create-qr-code/?size=200x200&amp;data="&amp;ENCODEURL("https://wa.me/507"&amp;REGEXREPLACE(C1240,"[^0-9]","")&amp;"?text="&amp;ENCODEURL("Ya llegue. Codigo: "&amp;A1240&amp;". Ubicacion: "&amp;"https://www.google.com/maps/search/?api=1&amp;query="&amp;SUBSTITUTE(F1240," ",""))),"")</f>
        <v/>
      </c>
      <c r="M1240" s="8">
        <f>IF(B1240&lt;&gt;"",TODAY(),"")</f>
        <v/>
      </c>
      <c r="N1240" s="8">
        <f>IF(F1240&lt;&gt;"",IFERROR(IF(AND(REGEXMATCH(SUBSTITUTE(TRIM(F1240)," ",""),"^-?\d+(\.\d+)?,-?\d+(\.\d+)?$"),VALUE(REGEXEXTRACT(SUBSTITUTE(TRIM(F1240)," ",""),"^-?\d+(\.\d+)?"))&gt;=-90,VALUE(REGEXEXTRACT(SUBSTITUTE(TRIM(F1240)," ",""),"^-?\d+(\.\d+)?"))&lt;=90,VALUE(REGEXEXTRACT(SUBSTITUTE(TRIM(F1240)," ",""),"-?\d+(\.\d+)?$"))&gt;=-180,VALUE(REGEXEXTRACT(SUBSTITUTE(TRIM(F1240)," ",""),"-?\d+(\.\d+)?$"))&lt;=180),"OK","REVISAR"),"REVISAR"),"")</f>
        <v/>
      </c>
      <c r="O1240">
        <f>IF(A1240&lt;&gt;"","https://direcciones507.github.io/direcciones507/panel.html?codigo="&amp;A1240&amp;"&amp;nombre="&amp;ENCODEURL(B1240)&amp;"&amp;telefono="&amp;SUBSTITUTE(C1240,"-","")&amp;"&amp;referencia="&amp;ENCODEURL(E1240)&amp;"&amp;lat="&amp;IZQUIERDA(SUBSTITUTE(F1240," ",""),ENCONTRAR(",",SUBSTITUTE(F1240," ",""))-1)&amp;"&amp;lng="&amp;DERECHA(SUBSTITUTE(F1240," ",""),LARGO(SUBSTITUTE(F1240," ",""))-ENCONTRAR(",",SUBSTITUTE(F1240," ",""))),"")</f>
        <v/>
      </c>
    </row>
    <row r="1241" ht="15.75" customHeight="1" s="10">
      <c r="A1241" s="8">
        <f>CONCAT("AD507-",TEXT(ROW()-2,"0000"))</f>
        <v/>
      </c>
      <c r="C1241" s="8" t="n"/>
      <c r="F1241" s="8" t="n"/>
      <c r="G1241" s="8">
        <f>IF(F1241&lt;&gt;"",HYPERLINK("https://www.google.com/maps/search/?api=1&amp;query="&amp;SUBSTITUTE(F1241," ",""),"🗺 Google Maps"),"")</f>
        <v/>
      </c>
      <c r="H1241" s="8">
        <f>IF(F1241&lt;&gt;"",HYPERLINK("https://waze.com/ul?ll="&amp;SUBSTITUTE(F1241," ","")&amp;"&amp;navigate=yes","🚗 Waze"),"")</f>
        <v/>
      </c>
      <c r="I1241" s="8">
        <f>IF(F1241&lt;&gt;"",HYPERLINK("https://m.uber.com/ul/?action=setPickup&amp;pickup=my_location&amp;dropoff[latitude]="&amp;LEFT(SUBSTITUTE(F1241," ",""),FIND(",",SUBSTITUTE(F1241," ",""))-1)&amp;"&amp;dropoff[longitude]="&amp;MID(SUBSTITUTE(F1241," ",""),FIND(",",SUBSTITUTE(F1241," ",""))+1,99),"🚕 Uber"),"")</f>
        <v/>
      </c>
      <c r="J1241" s="8">
        <f>IF(F1241&lt;&gt;"","https://api.qrserver.com/v1/create-qr-code/?size=200x200&amp;data="&amp;ENCODEURL("https://www.google.com/maps/search/?api=1&amp;query="&amp;SUBSTITUTE(F1241," ","")),"")</f>
        <v/>
      </c>
      <c r="K1241" s="8">
        <f>IF(C1241&lt;&gt;"",HYPERLINK("https://wa.me/507"&amp;REGEXREPLACE(C1241,"[^0-9]","")&amp;"?text="&amp;ENCODEURL("Ya llegue. Codigo: "&amp;A1241&amp;". Ubicacion: "&amp;"https://www.google.com/maps/search/?api=1&amp;query="&amp;SUBSTITUTE(F1241," ","")),"📲 Avisar al cliente"),"")</f>
        <v/>
      </c>
      <c r="L1241" s="8">
        <f>IF(C1241&lt;&gt;"","https://api.qrserver.com/v1/create-qr-code/?size=200x200&amp;data="&amp;ENCODEURL("https://wa.me/507"&amp;REGEXREPLACE(C1241,"[^0-9]","")&amp;"?text="&amp;ENCODEURL("Ya llegue. Codigo: "&amp;A1241&amp;". Ubicacion: "&amp;"https://www.google.com/maps/search/?api=1&amp;query="&amp;SUBSTITUTE(F1241," ",""))),"")</f>
        <v/>
      </c>
      <c r="M1241" s="8">
        <f>IF(B1241&lt;&gt;"",TODAY(),"")</f>
        <v/>
      </c>
      <c r="N1241" s="8">
        <f>IF(F1241&lt;&gt;"",IFERROR(IF(AND(REGEXMATCH(SUBSTITUTE(TRIM(F1241)," ",""),"^-?\d+(\.\d+)?,-?\d+(\.\d+)?$"),VALUE(REGEXEXTRACT(SUBSTITUTE(TRIM(F1241)," ",""),"^-?\d+(\.\d+)?"))&gt;=-90,VALUE(REGEXEXTRACT(SUBSTITUTE(TRIM(F1241)," ",""),"^-?\d+(\.\d+)?"))&lt;=90,VALUE(REGEXEXTRACT(SUBSTITUTE(TRIM(F1241)," ",""),"-?\d+(\.\d+)?$"))&gt;=-180,VALUE(REGEXEXTRACT(SUBSTITUTE(TRIM(F1241)," ",""),"-?\d+(\.\d+)?$"))&lt;=180),"OK","REVISAR"),"REVISAR"),"")</f>
        <v/>
      </c>
      <c r="O1241">
        <f>IF(A1241&lt;&gt;"","https://direcciones507.github.io/direcciones507/panel.html?codigo="&amp;A1241&amp;"&amp;nombre="&amp;ENCODEURL(B1241)&amp;"&amp;telefono="&amp;SUBSTITUTE(C1241,"-","")&amp;"&amp;referencia="&amp;ENCODEURL(E1241)&amp;"&amp;lat="&amp;IZQUIERDA(SUBSTITUTE(F1241," ",""),ENCONTRAR(",",SUBSTITUTE(F1241," ",""))-1)&amp;"&amp;lng="&amp;DERECHA(SUBSTITUTE(F1241," ",""),LARGO(SUBSTITUTE(F1241," ",""))-ENCONTRAR(",",SUBSTITUTE(F1241," ",""))),"")</f>
        <v/>
      </c>
    </row>
    <row r="1242" ht="15.75" customHeight="1" s="10">
      <c r="A1242" s="8">
        <f>CONCAT("AD507-",TEXT(ROW()-2,"0000"))</f>
        <v/>
      </c>
      <c r="C1242" s="8" t="n"/>
      <c r="F1242" s="8" t="n"/>
      <c r="G1242" s="8">
        <f>IF(F1242&lt;&gt;"",HYPERLINK("https://www.google.com/maps/search/?api=1&amp;query="&amp;SUBSTITUTE(F1242," ",""),"🗺 Google Maps"),"")</f>
        <v/>
      </c>
      <c r="H1242" s="8">
        <f>IF(F1242&lt;&gt;"",HYPERLINK("https://waze.com/ul?ll="&amp;SUBSTITUTE(F1242," ","")&amp;"&amp;navigate=yes","🚗 Waze"),"")</f>
        <v/>
      </c>
      <c r="I1242" s="8">
        <f>IF(F1242&lt;&gt;"",HYPERLINK("https://m.uber.com/ul/?action=setPickup&amp;pickup=my_location&amp;dropoff[latitude]="&amp;LEFT(SUBSTITUTE(F1242," ",""),FIND(",",SUBSTITUTE(F1242," ",""))-1)&amp;"&amp;dropoff[longitude]="&amp;MID(SUBSTITUTE(F1242," ",""),FIND(",",SUBSTITUTE(F1242," ",""))+1,99),"🚕 Uber"),"")</f>
        <v/>
      </c>
      <c r="J1242" s="8">
        <f>IF(F1242&lt;&gt;"","https://api.qrserver.com/v1/create-qr-code/?size=200x200&amp;data="&amp;ENCODEURL("https://www.google.com/maps/search/?api=1&amp;query="&amp;SUBSTITUTE(F1242," ","")),"")</f>
        <v/>
      </c>
      <c r="K1242" s="8">
        <f>IF(C1242&lt;&gt;"",HYPERLINK("https://wa.me/507"&amp;REGEXREPLACE(C1242,"[^0-9]","")&amp;"?text="&amp;ENCODEURL("Ya llegue. Codigo: "&amp;A1242&amp;". Ubicacion: "&amp;"https://www.google.com/maps/search/?api=1&amp;query="&amp;SUBSTITUTE(F1242," ","")),"📲 Avisar al cliente"),"")</f>
        <v/>
      </c>
      <c r="L1242" s="8">
        <f>IF(C1242&lt;&gt;"","https://api.qrserver.com/v1/create-qr-code/?size=200x200&amp;data="&amp;ENCODEURL("https://wa.me/507"&amp;REGEXREPLACE(C1242,"[^0-9]","")&amp;"?text="&amp;ENCODEURL("Ya llegue. Codigo: "&amp;A1242&amp;". Ubicacion: "&amp;"https://www.google.com/maps/search/?api=1&amp;query="&amp;SUBSTITUTE(F1242," ",""))),"")</f>
        <v/>
      </c>
      <c r="M1242" s="8">
        <f>IF(B1242&lt;&gt;"",TODAY(),"")</f>
        <v/>
      </c>
      <c r="N1242" s="8">
        <f>IF(F1242&lt;&gt;"",IFERROR(IF(AND(REGEXMATCH(SUBSTITUTE(TRIM(F1242)," ",""),"^-?\d+(\.\d+)?,-?\d+(\.\d+)?$"),VALUE(REGEXEXTRACT(SUBSTITUTE(TRIM(F1242)," ",""),"^-?\d+(\.\d+)?"))&gt;=-90,VALUE(REGEXEXTRACT(SUBSTITUTE(TRIM(F1242)," ",""),"^-?\d+(\.\d+)?"))&lt;=90,VALUE(REGEXEXTRACT(SUBSTITUTE(TRIM(F1242)," ",""),"-?\d+(\.\d+)?$"))&gt;=-180,VALUE(REGEXEXTRACT(SUBSTITUTE(TRIM(F1242)," ",""),"-?\d+(\.\d+)?$"))&lt;=180),"OK","REVISAR"),"REVISAR"),"")</f>
        <v/>
      </c>
      <c r="O1242">
        <f>IF(A1242&lt;&gt;"","https://direcciones507.github.io/direcciones507/panel.html?codigo="&amp;A1242&amp;"&amp;nombre="&amp;ENCODEURL(B1242)&amp;"&amp;telefono="&amp;SUBSTITUTE(C1242,"-","")&amp;"&amp;referencia="&amp;ENCODEURL(E1242)&amp;"&amp;lat="&amp;IZQUIERDA(SUBSTITUTE(F1242," ",""),ENCONTRAR(",",SUBSTITUTE(F1242," ",""))-1)&amp;"&amp;lng="&amp;DERECHA(SUBSTITUTE(F1242," ",""),LARGO(SUBSTITUTE(F1242," ",""))-ENCONTRAR(",",SUBSTITUTE(F1242," ",""))),"")</f>
        <v/>
      </c>
    </row>
    <row r="1243" ht="15.75" customHeight="1" s="10">
      <c r="A1243" s="8">
        <f>CONCAT("AD507-",TEXT(ROW()-2,"0000"))</f>
        <v/>
      </c>
      <c r="C1243" s="8" t="n"/>
      <c r="F1243" s="8" t="n"/>
      <c r="G1243" s="8">
        <f>IF(F1243&lt;&gt;"",HYPERLINK("https://www.google.com/maps/search/?api=1&amp;query="&amp;SUBSTITUTE(F1243," ",""),"🗺 Google Maps"),"")</f>
        <v/>
      </c>
      <c r="H1243" s="8">
        <f>IF(F1243&lt;&gt;"",HYPERLINK("https://waze.com/ul?ll="&amp;SUBSTITUTE(F1243," ","")&amp;"&amp;navigate=yes","🚗 Waze"),"")</f>
        <v/>
      </c>
      <c r="I1243" s="8">
        <f>IF(F1243&lt;&gt;"",HYPERLINK("https://m.uber.com/ul/?action=setPickup&amp;pickup=my_location&amp;dropoff[latitude]="&amp;LEFT(SUBSTITUTE(F1243," ",""),FIND(",",SUBSTITUTE(F1243," ",""))-1)&amp;"&amp;dropoff[longitude]="&amp;MID(SUBSTITUTE(F1243," ",""),FIND(",",SUBSTITUTE(F1243," ",""))+1,99),"🚕 Uber"),"")</f>
        <v/>
      </c>
      <c r="J1243" s="8">
        <f>IF(F1243&lt;&gt;"","https://api.qrserver.com/v1/create-qr-code/?size=200x200&amp;data="&amp;ENCODEURL("https://www.google.com/maps/search/?api=1&amp;query="&amp;SUBSTITUTE(F1243," ","")),"")</f>
        <v/>
      </c>
      <c r="K1243" s="8">
        <f>IF(C1243&lt;&gt;"",HYPERLINK("https://wa.me/507"&amp;REGEXREPLACE(C1243,"[^0-9]","")&amp;"?text="&amp;ENCODEURL("Ya llegue. Codigo: "&amp;A1243&amp;". Ubicacion: "&amp;"https://www.google.com/maps/search/?api=1&amp;query="&amp;SUBSTITUTE(F1243," ","")),"📲 Avisar al cliente"),"")</f>
        <v/>
      </c>
      <c r="L1243" s="8">
        <f>IF(C1243&lt;&gt;"","https://api.qrserver.com/v1/create-qr-code/?size=200x200&amp;data="&amp;ENCODEURL("https://wa.me/507"&amp;REGEXREPLACE(C1243,"[^0-9]","")&amp;"?text="&amp;ENCODEURL("Ya llegue. Codigo: "&amp;A1243&amp;". Ubicacion: "&amp;"https://www.google.com/maps/search/?api=1&amp;query="&amp;SUBSTITUTE(F1243," ",""))),"")</f>
        <v/>
      </c>
      <c r="M1243" s="8">
        <f>IF(B1243&lt;&gt;"",TODAY(),"")</f>
        <v/>
      </c>
      <c r="N1243" s="8">
        <f>IF(F1243&lt;&gt;"",IFERROR(IF(AND(REGEXMATCH(SUBSTITUTE(TRIM(F1243)," ",""),"^-?\d+(\.\d+)?,-?\d+(\.\d+)?$"),VALUE(REGEXEXTRACT(SUBSTITUTE(TRIM(F1243)," ",""),"^-?\d+(\.\d+)?"))&gt;=-90,VALUE(REGEXEXTRACT(SUBSTITUTE(TRIM(F1243)," ",""),"^-?\d+(\.\d+)?"))&lt;=90,VALUE(REGEXEXTRACT(SUBSTITUTE(TRIM(F1243)," ",""),"-?\d+(\.\d+)?$"))&gt;=-180,VALUE(REGEXEXTRACT(SUBSTITUTE(TRIM(F1243)," ",""),"-?\d+(\.\d+)?$"))&lt;=180),"OK","REVISAR"),"REVISAR"),"")</f>
        <v/>
      </c>
      <c r="O1243">
        <f>IF(A1243&lt;&gt;"","https://direcciones507.github.io/direcciones507/panel.html?codigo="&amp;A1243&amp;"&amp;nombre="&amp;ENCODEURL(B1243)&amp;"&amp;telefono="&amp;SUBSTITUTE(C1243,"-","")&amp;"&amp;referencia="&amp;ENCODEURL(E1243)&amp;"&amp;lat="&amp;IZQUIERDA(SUBSTITUTE(F1243," ",""),ENCONTRAR(",",SUBSTITUTE(F1243," ",""))-1)&amp;"&amp;lng="&amp;DERECHA(SUBSTITUTE(F1243," ",""),LARGO(SUBSTITUTE(F1243," ",""))-ENCONTRAR(",",SUBSTITUTE(F1243," ",""))),"")</f>
        <v/>
      </c>
    </row>
    <row r="1244" ht="15.75" customHeight="1" s="10">
      <c r="A1244" s="8">
        <f>CONCAT("AD507-",TEXT(ROW()-2,"0000"))</f>
        <v/>
      </c>
      <c r="C1244" s="8" t="n"/>
      <c r="F1244" s="8" t="n"/>
      <c r="G1244" s="8">
        <f>IF(F1244&lt;&gt;"",HYPERLINK("https://www.google.com/maps/search/?api=1&amp;query="&amp;SUBSTITUTE(F1244," ",""),"🗺 Google Maps"),"")</f>
        <v/>
      </c>
      <c r="H1244" s="8">
        <f>IF(F1244&lt;&gt;"",HYPERLINK("https://waze.com/ul?ll="&amp;SUBSTITUTE(F1244," ","")&amp;"&amp;navigate=yes","🚗 Waze"),"")</f>
        <v/>
      </c>
      <c r="I1244" s="8">
        <f>IF(F1244&lt;&gt;"",HYPERLINK("https://m.uber.com/ul/?action=setPickup&amp;pickup=my_location&amp;dropoff[latitude]="&amp;LEFT(SUBSTITUTE(F1244," ",""),FIND(",",SUBSTITUTE(F1244," ",""))-1)&amp;"&amp;dropoff[longitude]="&amp;MID(SUBSTITUTE(F1244," ",""),FIND(",",SUBSTITUTE(F1244," ",""))+1,99),"🚕 Uber"),"")</f>
        <v/>
      </c>
      <c r="J1244" s="8">
        <f>IF(F1244&lt;&gt;"","https://api.qrserver.com/v1/create-qr-code/?size=200x200&amp;data="&amp;ENCODEURL("https://www.google.com/maps/search/?api=1&amp;query="&amp;SUBSTITUTE(F1244," ","")),"")</f>
        <v/>
      </c>
      <c r="K1244" s="8">
        <f>IF(C1244&lt;&gt;"",HYPERLINK("https://wa.me/507"&amp;REGEXREPLACE(C1244,"[^0-9]","")&amp;"?text="&amp;ENCODEURL("Ya llegue. Codigo: "&amp;A1244&amp;". Ubicacion: "&amp;"https://www.google.com/maps/search/?api=1&amp;query="&amp;SUBSTITUTE(F1244," ","")),"📲 Avisar al cliente"),"")</f>
        <v/>
      </c>
      <c r="L1244" s="8">
        <f>IF(C1244&lt;&gt;"","https://api.qrserver.com/v1/create-qr-code/?size=200x200&amp;data="&amp;ENCODEURL("https://wa.me/507"&amp;REGEXREPLACE(C1244,"[^0-9]","")&amp;"?text="&amp;ENCODEURL("Ya llegue. Codigo: "&amp;A1244&amp;". Ubicacion: "&amp;"https://www.google.com/maps/search/?api=1&amp;query="&amp;SUBSTITUTE(F1244," ",""))),"")</f>
        <v/>
      </c>
      <c r="M1244" s="8">
        <f>IF(B1244&lt;&gt;"",TODAY(),"")</f>
        <v/>
      </c>
      <c r="N1244" s="8">
        <f>IF(F1244&lt;&gt;"",IFERROR(IF(AND(REGEXMATCH(SUBSTITUTE(TRIM(F1244)," ",""),"^-?\d+(\.\d+)?,-?\d+(\.\d+)?$"),VALUE(REGEXEXTRACT(SUBSTITUTE(TRIM(F1244)," ",""),"^-?\d+(\.\d+)?"))&gt;=-90,VALUE(REGEXEXTRACT(SUBSTITUTE(TRIM(F1244)," ",""),"^-?\d+(\.\d+)?"))&lt;=90,VALUE(REGEXEXTRACT(SUBSTITUTE(TRIM(F1244)," ",""),"-?\d+(\.\d+)?$"))&gt;=-180,VALUE(REGEXEXTRACT(SUBSTITUTE(TRIM(F1244)," ",""),"-?\d+(\.\d+)?$"))&lt;=180),"OK","REVISAR"),"REVISAR"),"")</f>
        <v/>
      </c>
      <c r="O1244">
        <f>IF(A1244&lt;&gt;"","https://direcciones507.github.io/direcciones507/panel.html?codigo="&amp;A1244&amp;"&amp;nombre="&amp;ENCODEURL(B1244)&amp;"&amp;telefono="&amp;SUBSTITUTE(C1244,"-","")&amp;"&amp;referencia="&amp;ENCODEURL(E1244)&amp;"&amp;lat="&amp;IZQUIERDA(SUBSTITUTE(F1244," ",""),ENCONTRAR(",",SUBSTITUTE(F1244," ",""))-1)&amp;"&amp;lng="&amp;DERECHA(SUBSTITUTE(F1244," ",""),LARGO(SUBSTITUTE(F1244," ",""))-ENCONTRAR(",",SUBSTITUTE(F1244," ",""))),"")</f>
        <v/>
      </c>
    </row>
    <row r="1245" ht="15.75" customHeight="1" s="10">
      <c r="A1245" s="8">
        <f>CONCAT("AD507-",TEXT(ROW()-2,"0000"))</f>
        <v/>
      </c>
      <c r="C1245" s="8" t="n"/>
      <c r="F1245" s="8" t="n"/>
      <c r="G1245" s="8">
        <f>IF(F1245&lt;&gt;"",HYPERLINK("https://www.google.com/maps/search/?api=1&amp;query="&amp;SUBSTITUTE(F1245," ",""),"🗺 Google Maps"),"")</f>
        <v/>
      </c>
      <c r="H1245" s="8">
        <f>IF(F1245&lt;&gt;"",HYPERLINK("https://waze.com/ul?ll="&amp;SUBSTITUTE(F1245," ","")&amp;"&amp;navigate=yes","🚗 Waze"),"")</f>
        <v/>
      </c>
      <c r="I1245" s="8">
        <f>IF(F1245&lt;&gt;"",HYPERLINK("https://m.uber.com/ul/?action=setPickup&amp;pickup=my_location&amp;dropoff[latitude]="&amp;LEFT(SUBSTITUTE(F1245," ",""),FIND(",",SUBSTITUTE(F1245," ",""))-1)&amp;"&amp;dropoff[longitude]="&amp;MID(SUBSTITUTE(F1245," ",""),FIND(",",SUBSTITUTE(F1245," ",""))+1,99),"🚕 Uber"),"")</f>
        <v/>
      </c>
      <c r="J1245" s="8">
        <f>IF(F1245&lt;&gt;"","https://api.qrserver.com/v1/create-qr-code/?size=200x200&amp;data="&amp;ENCODEURL("https://www.google.com/maps/search/?api=1&amp;query="&amp;SUBSTITUTE(F1245," ","")),"")</f>
        <v/>
      </c>
      <c r="K1245" s="8">
        <f>IF(C1245&lt;&gt;"",HYPERLINK("https://wa.me/507"&amp;REGEXREPLACE(C1245,"[^0-9]","")&amp;"?text="&amp;ENCODEURL("Ya llegue. Codigo: "&amp;A1245&amp;". Ubicacion: "&amp;"https://www.google.com/maps/search/?api=1&amp;query="&amp;SUBSTITUTE(F1245," ","")),"📲 Avisar al cliente"),"")</f>
        <v/>
      </c>
      <c r="L1245" s="8">
        <f>IF(C1245&lt;&gt;"","https://api.qrserver.com/v1/create-qr-code/?size=200x200&amp;data="&amp;ENCODEURL("https://wa.me/507"&amp;REGEXREPLACE(C1245,"[^0-9]","")&amp;"?text="&amp;ENCODEURL("Ya llegue. Codigo: "&amp;A1245&amp;". Ubicacion: "&amp;"https://www.google.com/maps/search/?api=1&amp;query="&amp;SUBSTITUTE(F1245," ",""))),"")</f>
        <v/>
      </c>
      <c r="M1245" s="8">
        <f>IF(B1245&lt;&gt;"",TODAY(),"")</f>
        <v/>
      </c>
      <c r="N1245" s="8">
        <f>IF(F1245&lt;&gt;"",IFERROR(IF(AND(REGEXMATCH(SUBSTITUTE(TRIM(F1245)," ",""),"^-?\d+(\.\d+)?,-?\d+(\.\d+)?$"),VALUE(REGEXEXTRACT(SUBSTITUTE(TRIM(F1245)," ",""),"^-?\d+(\.\d+)?"))&gt;=-90,VALUE(REGEXEXTRACT(SUBSTITUTE(TRIM(F1245)," ",""),"^-?\d+(\.\d+)?"))&lt;=90,VALUE(REGEXEXTRACT(SUBSTITUTE(TRIM(F1245)," ",""),"-?\d+(\.\d+)?$"))&gt;=-180,VALUE(REGEXEXTRACT(SUBSTITUTE(TRIM(F1245)," ",""),"-?\d+(\.\d+)?$"))&lt;=180),"OK","REVISAR"),"REVISAR"),"")</f>
        <v/>
      </c>
      <c r="O1245">
        <f>IF(A1245&lt;&gt;"","https://direcciones507.github.io/direcciones507/panel.html?codigo="&amp;A1245&amp;"&amp;nombre="&amp;ENCODEURL(B1245)&amp;"&amp;telefono="&amp;SUBSTITUTE(C1245,"-","")&amp;"&amp;referencia="&amp;ENCODEURL(E1245)&amp;"&amp;lat="&amp;IZQUIERDA(SUBSTITUTE(F1245," ",""),ENCONTRAR(",",SUBSTITUTE(F1245," ",""))-1)&amp;"&amp;lng="&amp;DERECHA(SUBSTITUTE(F1245," ",""),LARGO(SUBSTITUTE(F1245," ",""))-ENCONTRAR(",",SUBSTITUTE(F1245," ",""))),"")</f>
        <v/>
      </c>
    </row>
    <row r="1246" ht="15.75" customHeight="1" s="10">
      <c r="A1246" s="8">
        <f>CONCAT("AD507-",TEXT(ROW()-2,"0000"))</f>
        <v/>
      </c>
      <c r="C1246" s="8" t="n"/>
      <c r="F1246" s="8" t="n"/>
      <c r="G1246" s="8">
        <f>IF(F1246&lt;&gt;"",HYPERLINK("https://www.google.com/maps/search/?api=1&amp;query="&amp;SUBSTITUTE(F1246," ",""),"🗺 Google Maps"),"")</f>
        <v/>
      </c>
      <c r="H1246" s="8">
        <f>IF(F1246&lt;&gt;"",HYPERLINK("https://waze.com/ul?ll="&amp;SUBSTITUTE(F1246," ","")&amp;"&amp;navigate=yes","🚗 Waze"),"")</f>
        <v/>
      </c>
      <c r="I1246" s="8">
        <f>IF(F1246&lt;&gt;"",HYPERLINK("https://m.uber.com/ul/?action=setPickup&amp;pickup=my_location&amp;dropoff[latitude]="&amp;LEFT(SUBSTITUTE(F1246," ",""),FIND(",",SUBSTITUTE(F1246," ",""))-1)&amp;"&amp;dropoff[longitude]="&amp;MID(SUBSTITUTE(F1246," ",""),FIND(",",SUBSTITUTE(F1246," ",""))+1,99),"🚕 Uber"),"")</f>
        <v/>
      </c>
      <c r="J1246" s="8">
        <f>IF(F1246&lt;&gt;"","https://api.qrserver.com/v1/create-qr-code/?size=200x200&amp;data="&amp;ENCODEURL("https://www.google.com/maps/search/?api=1&amp;query="&amp;SUBSTITUTE(F1246," ","")),"")</f>
        <v/>
      </c>
      <c r="K1246" s="8">
        <f>IF(C1246&lt;&gt;"",HYPERLINK("https://wa.me/507"&amp;REGEXREPLACE(C1246,"[^0-9]","")&amp;"?text="&amp;ENCODEURL("Ya llegue. Codigo: "&amp;A1246&amp;". Ubicacion: "&amp;"https://www.google.com/maps/search/?api=1&amp;query="&amp;SUBSTITUTE(F1246," ","")),"📲 Avisar al cliente"),"")</f>
        <v/>
      </c>
      <c r="L1246" s="8">
        <f>IF(C1246&lt;&gt;"","https://api.qrserver.com/v1/create-qr-code/?size=200x200&amp;data="&amp;ENCODEURL("https://wa.me/507"&amp;REGEXREPLACE(C1246,"[^0-9]","")&amp;"?text="&amp;ENCODEURL("Ya llegue. Codigo: "&amp;A1246&amp;". Ubicacion: "&amp;"https://www.google.com/maps/search/?api=1&amp;query="&amp;SUBSTITUTE(F1246," ",""))),"")</f>
        <v/>
      </c>
      <c r="M1246" s="8">
        <f>IF(B1246&lt;&gt;"",TODAY(),"")</f>
        <v/>
      </c>
      <c r="N1246" s="8">
        <f>IF(F1246&lt;&gt;"",IFERROR(IF(AND(REGEXMATCH(SUBSTITUTE(TRIM(F1246)," ",""),"^-?\d+(\.\d+)?,-?\d+(\.\d+)?$"),VALUE(REGEXEXTRACT(SUBSTITUTE(TRIM(F1246)," ",""),"^-?\d+(\.\d+)?"))&gt;=-90,VALUE(REGEXEXTRACT(SUBSTITUTE(TRIM(F1246)," ",""),"^-?\d+(\.\d+)?"))&lt;=90,VALUE(REGEXEXTRACT(SUBSTITUTE(TRIM(F1246)," ",""),"-?\d+(\.\d+)?$"))&gt;=-180,VALUE(REGEXEXTRACT(SUBSTITUTE(TRIM(F1246)," ",""),"-?\d+(\.\d+)?$"))&lt;=180),"OK","REVISAR"),"REVISAR"),"")</f>
        <v/>
      </c>
      <c r="O1246">
        <f>IF(A1246&lt;&gt;"","https://direcciones507.github.io/direcciones507/panel.html?codigo="&amp;A1246&amp;"&amp;nombre="&amp;ENCODEURL(B1246)&amp;"&amp;telefono="&amp;SUBSTITUTE(C1246,"-","")&amp;"&amp;referencia="&amp;ENCODEURL(E1246)&amp;"&amp;lat="&amp;IZQUIERDA(SUBSTITUTE(F1246," ",""),ENCONTRAR(",",SUBSTITUTE(F1246," ",""))-1)&amp;"&amp;lng="&amp;DERECHA(SUBSTITUTE(F1246," ",""),LARGO(SUBSTITUTE(F1246," ",""))-ENCONTRAR(",",SUBSTITUTE(F1246," ",""))),"")</f>
        <v/>
      </c>
    </row>
    <row r="1247" ht="15.75" customHeight="1" s="10">
      <c r="A1247" s="8">
        <f>CONCAT("AD507-",TEXT(ROW()-2,"0000"))</f>
        <v/>
      </c>
      <c r="C1247" s="8" t="n"/>
      <c r="F1247" s="8" t="n"/>
      <c r="G1247" s="8">
        <f>IF(F1247&lt;&gt;"",HYPERLINK("https://www.google.com/maps/search/?api=1&amp;query="&amp;SUBSTITUTE(F1247," ",""),"🗺 Google Maps"),"")</f>
        <v/>
      </c>
      <c r="H1247" s="8">
        <f>IF(F1247&lt;&gt;"",HYPERLINK("https://waze.com/ul?ll="&amp;SUBSTITUTE(F1247," ","")&amp;"&amp;navigate=yes","🚗 Waze"),"")</f>
        <v/>
      </c>
      <c r="I1247" s="8">
        <f>IF(F1247&lt;&gt;"",HYPERLINK("https://m.uber.com/ul/?action=setPickup&amp;pickup=my_location&amp;dropoff[latitude]="&amp;LEFT(SUBSTITUTE(F1247," ",""),FIND(",",SUBSTITUTE(F1247," ",""))-1)&amp;"&amp;dropoff[longitude]="&amp;MID(SUBSTITUTE(F1247," ",""),FIND(",",SUBSTITUTE(F1247," ",""))+1,99),"🚕 Uber"),"")</f>
        <v/>
      </c>
      <c r="J1247" s="8">
        <f>IF(F1247&lt;&gt;"","https://api.qrserver.com/v1/create-qr-code/?size=200x200&amp;data="&amp;ENCODEURL("https://www.google.com/maps/search/?api=1&amp;query="&amp;SUBSTITUTE(F1247," ","")),"")</f>
        <v/>
      </c>
      <c r="K1247" s="8">
        <f>IF(C1247&lt;&gt;"",HYPERLINK("https://wa.me/507"&amp;REGEXREPLACE(C1247,"[^0-9]","")&amp;"?text="&amp;ENCODEURL("Ya llegue. Codigo: "&amp;A1247&amp;". Ubicacion: "&amp;"https://www.google.com/maps/search/?api=1&amp;query="&amp;SUBSTITUTE(F1247," ","")),"📲 Avisar al cliente"),"")</f>
        <v/>
      </c>
      <c r="L1247" s="8">
        <f>IF(C1247&lt;&gt;"","https://api.qrserver.com/v1/create-qr-code/?size=200x200&amp;data="&amp;ENCODEURL("https://wa.me/507"&amp;REGEXREPLACE(C1247,"[^0-9]","")&amp;"?text="&amp;ENCODEURL("Ya llegue. Codigo: "&amp;A1247&amp;". Ubicacion: "&amp;"https://www.google.com/maps/search/?api=1&amp;query="&amp;SUBSTITUTE(F1247," ",""))),"")</f>
        <v/>
      </c>
      <c r="M1247" s="8">
        <f>IF(B1247&lt;&gt;"",TODAY(),"")</f>
        <v/>
      </c>
      <c r="N1247" s="8">
        <f>IF(F1247&lt;&gt;"",IFERROR(IF(AND(REGEXMATCH(SUBSTITUTE(TRIM(F1247)," ",""),"^-?\d+(\.\d+)?,-?\d+(\.\d+)?$"),VALUE(REGEXEXTRACT(SUBSTITUTE(TRIM(F1247)," ",""),"^-?\d+(\.\d+)?"))&gt;=-90,VALUE(REGEXEXTRACT(SUBSTITUTE(TRIM(F1247)," ",""),"^-?\d+(\.\d+)?"))&lt;=90,VALUE(REGEXEXTRACT(SUBSTITUTE(TRIM(F1247)," ",""),"-?\d+(\.\d+)?$"))&gt;=-180,VALUE(REGEXEXTRACT(SUBSTITUTE(TRIM(F1247)," ",""),"-?\d+(\.\d+)?$"))&lt;=180),"OK","REVISAR"),"REVISAR"),"")</f>
        <v/>
      </c>
      <c r="O1247">
        <f>IF(A1247&lt;&gt;"","https://direcciones507.github.io/direcciones507/panel.html?codigo="&amp;A1247&amp;"&amp;nombre="&amp;ENCODEURL(B1247)&amp;"&amp;telefono="&amp;SUBSTITUTE(C1247,"-","")&amp;"&amp;referencia="&amp;ENCODEURL(E1247)&amp;"&amp;lat="&amp;IZQUIERDA(SUBSTITUTE(F1247," ",""),ENCONTRAR(",",SUBSTITUTE(F1247," ",""))-1)&amp;"&amp;lng="&amp;DERECHA(SUBSTITUTE(F1247," ",""),LARGO(SUBSTITUTE(F1247," ",""))-ENCONTRAR(",",SUBSTITUTE(F1247," ",""))),"")</f>
        <v/>
      </c>
    </row>
    <row r="1248" ht="15.75" customHeight="1" s="10">
      <c r="A1248" s="8">
        <f>CONCAT("AD507-",TEXT(ROW()-2,"0000"))</f>
        <v/>
      </c>
      <c r="C1248" s="8" t="n"/>
      <c r="F1248" s="8" t="n"/>
      <c r="G1248" s="8">
        <f>IF(F1248&lt;&gt;"",HYPERLINK("https://www.google.com/maps/search/?api=1&amp;query="&amp;SUBSTITUTE(F1248," ",""),"🗺 Google Maps"),"")</f>
        <v/>
      </c>
      <c r="H1248" s="8">
        <f>IF(F1248&lt;&gt;"",HYPERLINK("https://waze.com/ul?ll="&amp;SUBSTITUTE(F1248," ","")&amp;"&amp;navigate=yes","🚗 Waze"),"")</f>
        <v/>
      </c>
      <c r="I1248" s="8">
        <f>IF(F1248&lt;&gt;"",HYPERLINK("https://m.uber.com/ul/?action=setPickup&amp;pickup=my_location&amp;dropoff[latitude]="&amp;LEFT(SUBSTITUTE(F1248," ",""),FIND(",",SUBSTITUTE(F1248," ",""))-1)&amp;"&amp;dropoff[longitude]="&amp;MID(SUBSTITUTE(F1248," ",""),FIND(",",SUBSTITUTE(F1248," ",""))+1,99),"🚕 Uber"),"")</f>
        <v/>
      </c>
      <c r="J1248" s="8">
        <f>IF(F1248&lt;&gt;"","https://api.qrserver.com/v1/create-qr-code/?size=200x200&amp;data="&amp;ENCODEURL("https://www.google.com/maps/search/?api=1&amp;query="&amp;SUBSTITUTE(F1248," ","")),"")</f>
        <v/>
      </c>
      <c r="K1248" s="8">
        <f>IF(C1248&lt;&gt;"",HYPERLINK("https://wa.me/507"&amp;REGEXREPLACE(C1248,"[^0-9]","")&amp;"?text="&amp;ENCODEURL("Ya llegue. Codigo: "&amp;A1248&amp;". Ubicacion: "&amp;"https://www.google.com/maps/search/?api=1&amp;query="&amp;SUBSTITUTE(F1248," ","")),"📲 Avisar al cliente"),"")</f>
        <v/>
      </c>
      <c r="L1248" s="8">
        <f>IF(C1248&lt;&gt;"","https://api.qrserver.com/v1/create-qr-code/?size=200x200&amp;data="&amp;ENCODEURL("https://wa.me/507"&amp;REGEXREPLACE(C1248,"[^0-9]","")&amp;"?text="&amp;ENCODEURL("Ya llegue. Codigo: "&amp;A1248&amp;". Ubicacion: "&amp;"https://www.google.com/maps/search/?api=1&amp;query="&amp;SUBSTITUTE(F1248," ",""))),"")</f>
        <v/>
      </c>
      <c r="M1248" s="8">
        <f>IF(B1248&lt;&gt;"",TODAY(),"")</f>
        <v/>
      </c>
      <c r="N1248" s="8">
        <f>IF(F1248&lt;&gt;"",IFERROR(IF(AND(REGEXMATCH(SUBSTITUTE(TRIM(F1248)," ",""),"^-?\d+(\.\d+)?,-?\d+(\.\d+)?$"),VALUE(REGEXEXTRACT(SUBSTITUTE(TRIM(F1248)," ",""),"^-?\d+(\.\d+)?"))&gt;=-90,VALUE(REGEXEXTRACT(SUBSTITUTE(TRIM(F1248)," ",""),"^-?\d+(\.\d+)?"))&lt;=90,VALUE(REGEXEXTRACT(SUBSTITUTE(TRIM(F1248)," ",""),"-?\d+(\.\d+)?$"))&gt;=-180,VALUE(REGEXEXTRACT(SUBSTITUTE(TRIM(F1248)," ",""),"-?\d+(\.\d+)?$"))&lt;=180),"OK","REVISAR"),"REVISAR"),"")</f>
        <v/>
      </c>
      <c r="O1248">
        <f>IF(A1248&lt;&gt;"","https://direcciones507.github.io/direcciones507/panel.html?codigo="&amp;A1248&amp;"&amp;nombre="&amp;ENCODEURL(B1248)&amp;"&amp;telefono="&amp;SUBSTITUTE(C1248,"-","")&amp;"&amp;referencia="&amp;ENCODEURL(E1248)&amp;"&amp;lat="&amp;IZQUIERDA(SUBSTITUTE(F1248," ",""),ENCONTRAR(",",SUBSTITUTE(F1248," ",""))-1)&amp;"&amp;lng="&amp;DERECHA(SUBSTITUTE(F1248," ",""),LARGO(SUBSTITUTE(F1248," ",""))-ENCONTRAR(",",SUBSTITUTE(F1248," ",""))),"")</f>
        <v/>
      </c>
    </row>
    <row r="1249" ht="15.75" customHeight="1" s="10">
      <c r="A1249" s="8">
        <f>CONCAT("AD507-",TEXT(ROW()-2,"0000"))</f>
        <v/>
      </c>
      <c r="C1249" s="8" t="n"/>
      <c r="F1249" s="8" t="n"/>
      <c r="G1249" s="8">
        <f>IF(F1249&lt;&gt;"",HYPERLINK("https://www.google.com/maps/search/?api=1&amp;query="&amp;SUBSTITUTE(F1249," ",""),"🗺 Google Maps"),"")</f>
        <v/>
      </c>
      <c r="H1249" s="8">
        <f>IF(F1249&lt;&gt;"",HYPERLINK("https://waze.com/ul?ll="&amp;SUBSTITUTE(F1249," ","")&amp;"&amp;navigate=yes","🚗 Waze"),"")</f>
        <v/>
      </c>
      <c r="I1249" s="8">
        <f>IF(F1249&lt;&gt;"",HYPERLINK("https://m.uber.com/ul/?action=setPickup&amp;pickup=my_location&amp;dropoff[latitude]="&amp;LEFT(SUBSTITUTE(F1249," ",""),FIND(",",SUBSTITUTE(F1249," ",""))-1)&amp;"&amp;dropoff[longitude]="&amp;MID(SUBSTITUTE(F1249," ",""),FIND(",",SUBSTITUTE(F1249," ",""))+1,99),"🚕 Uber"),"")</f>
        <v/>
      </c>
      <c r="J1249" s="8">
        <f>IF(F1249&lt;&gt;"","https://api.qrserver.com/v1/create-qr-code/?size=200x200&amp;data="&amp;ENCODEURL("https://www.google.com/maps/search/?api=1&amp;query="&amp;SUBSTITUTE(F1249," ","")),"")</f>
        <v/>
      </c>
      <c r="K1249" s="8">
        <f>IF(C1249&lt;&gt;"",HYPERLINK("https://wa.me/507"&amp;REGEXREPLACE(C1249,"[^0-9]","")&amp;"?text="&amp;ENCODEURL("Ya llegue. Codigo: "&amp;A1249&amp;". Ubicacion: "&amp;"https://www.google.com/maps/search/?api=1&amp;query="&amp;SUBSTITUTE(F1249," ","")),"📲 Avisar al cliente"),"")</f>
        <v/>
      </c>
      <c r="L1249" s="8">
        <f>IF(C1249&lt;&gt;"","https://api.qrserver.com/v1/create-qr-code/?size=200x200&amp;data="&amp;ENCODEURL("https://wa.me/507"&amp;REGEXREPLACE(C1249,"[^0-9]","")&amp;"?text="&amp;ENCODEURL("Ya llegue. Codigo: "&amp;A1249&amp;". Ubicacion: "&amp;"https://www.google.com/maps/search/?api=1&amp;query="&amp;SUBSTITUTE(F1249," ",""))),"")</f>
        <v/>
      </c>
      <c r="M1249" s="8">
        <f>IF(B1249&lt;&gt;"",TODAY(),"")</f>
        <v/>
      </c>
      <c r="N1249" s="8">
        <f>IF(F1249&lt;&gt;"",IFERROR(IF(AND(REGEXMATCH(SUBSTITUTE(TRIM(F1249)," ",""),"^-?\d+(\.\d+)?,-?\d+(\.\d+)?$"),VALUE(REGEXEXTRACT(SUBSTITUTE(TRIM(F1249)," ",""),"^-?\d+(\.\d+)?"))&gt;=-90,VALUE(REGEXEXTRACT(SUBSTITUTE(TRIM(F1249)," ",""),"^-?\d+(\.\d+)?"))&lt;=90,VALUE(REGEXEXTRACT(SUBSTITUTE(TRIM(F1249)," ",""),"-?\d+(\.\d+)?$"))&gt;=-180,VALUE(REGEXEXTRACT(SUBSTITUTE(TRIM(F1249)," ",""),"-?\d+(\.\d+)?$"))&lt;=180),"OK","REVISAR"),"REVISAR"),"")</f>
        <v/>
      </c>
      <c r="O1249">
        <f>IF(A1249&lt;&gt;"","https://direcciones507.github.io/direcciones507/panel.html?codigo="&amp;A1249&amp;"&amp;nombre="&amp;ENCODEURL(B1249)&amp;"&amp;telefono="&amp;SUBSTITUTE(C1249,"-","")&amp;"&amp;referencia="&amp;ENCODEURL(E1249)&amp;"&amp;lat="&amp;IZQUIERDA(SUBSTITUTE(F1249," ",""),ENCONTRAR(",",SUBSTITUTE(F1249," ",""))-1)&amp;"&amp;lng="&amp;DERECHA(SUBSTITUTE(F1249," ",""),LARGO(SUBSTITUTE(F1249," ",""))-ENCONTRAR(",",SUBSTITUTE(F1249," ",""))),"")</f>
        <v/>
      </c>
    </row>
    <row r="1250" ht="15.75" customHeight="1" s="10">
      <c r="A1250" s="8">
        <f>CONCAT("AD507-",TEXT(ROW()-2,"0000"))</f>
        <v/>
      </c>
      <c r="C1250" s="8" t="n"/>
      <c r="F1250" s="8" t="n"/>
      <c r="G1250" s="8">
        <f>IF(F1250&lt;&gt;"",HYPERLINK("https://www.google.com/maps/search/?api=1&amp;query="&amp;SUBSTITUTE(F1250," ",""),"🗺 Google Maps"),"")</f>
        <v/>
      </c>
      <c r="H1250" s="8">
        <f>IF(F1250&lt;&gt;"",HYPERLINK("https://waze.com/ul?ll="&amp;SUBSTITUTE(F1250," ","")&amp;"&amp;navigate=yes","🚗 Waze"),"")</f>
        <v/>
      </c>
      <c r="I1250" s="8">
        <f>IF(F1250&lt;&gt;"",HYPERLINK("https://m.uber.com/ul/?action=setPickup&amp;pickup=my_location&amp;dropoff[latitude]="&amp;LEFT(SUBSTITUTE(F1250," ",""),FIND(",",SUBSTITUTE(F1250," ",""))-1)&amp;"&amp;dropoff[longitude]="&amp;MID(SUBSTITUTE(F1250," ",""),FIND(",",SUBSTITUTE(F1250," ",""))+1,99),"🚕 Uber"),"")</f>
        <v/>
      </c>
      <c r="J1250" s="8">
        <f>IF(F1250&lt;&gt;"","https://api.qrserver.com/v1/create-qr-code/?size=200x200&amp;data="&amp;ENCODEURL("https://www.google.com/maps/search/?api=1&amp;query="&amp;SUBSTITUTE(F1250," ","")),"")</f>
        <v/>
      </c>
      <c r="K1250" s="8">
        <f>IF(C1250&lt;&gt;"",HYPERLINK("https://wa.me/507"&amp;REGEXREPLACE(C1250,"[^0-9]","")&amp;"?text="&amp;ENCODEURL("Ya llegue. Codigo: "&amp;A1250&amp;". Ubicacion: "&amp;"https://www.google.com/maps/search/?api=1&amp;query="&amp;SUBSTITUTE(F1250," ","")),"📲 Avisar al cliente"),"")</f>
        <v/>
      </c>
      <c r="L1250" s="8">
        <f>IF(C1250&lt;&gt;"","https://api.qrserver.com/v1/create-qr-code/?size=200x200&amp;data="&amp;ENCODEURL("https://wa.me/507"&amp;REGEXREPLACE(C1250,"[^0-9]","")&amp;"?text="&amp;ENCODEURL("Ya llegue. Codigo: "&amp;A1250&amp;". Ubicacion: "&amp;"https://www.google.com/maps/search/?api=1&amp;query="&amp;SUBSTITUTE(F1250," ",""))),"")</f>
        <v/>
      </c>
      <c r="M1250" s="8">
        <f>IF(B1250&lt;&gt;"",TODAY(),"")</f>
        <v/>
      </c>
      <c r="N1250" s="8">
        <f>IF(F1250&lt;&gt;"",IFERROR(IF(AND(REGEXMATCH(SUBSTITUTE(TRIM(F1250)," ",""),"^-?\d+(\.\d+)?,-?\d+(\.\d+)?$"),VALUE(REGEXEXTRACT(SUBSTITUTE(TRIM(F1250)," ",""),"^-?\d+(\.\d+)?"))&gt;=-90,VALUE(REGEXEXTRACT(SUBSTITUTE(TRIM(F1250)," ",""),"^-?\d+(\.\d+)?"))&lt;=90,VALUE(REGEXEXTRACT(SUBSTITUTE(TRIM(F1250)," ",""),"-?\d+(\.\d+)?$"))&gt;=-180,VALUE(REGEXEXTRACT(SUBSTITUTE(TRIM(F1250)," ",""),"-?\d+(\.\d+)?$"))&lt;=180),"OK","REVISAR"),"REVISAR"),"")</f>
        <v/>
      </c>
      <c r="O1250">
        <f>IF(A1250&lt;&gt;"","https://direcciones507.github.io/direcciones507/panel.html?codigo="&amp;A1250&amp;"&amp;nombre="&amp;ENCODEURL(B1250)&amp;"&amp;telefono="&amp;SUBSTITUTE(C1250,"-","")&amp;"&amp;referencia="&amp;ENCODEURL(E1250)&amp;"&amp;lat="&amp;IZQUIERDA(SUBSTITUTE(F1250," ",""),ENCONTRAR(",",SUBSTITUTE(F1250," ",""))-1)&amp;"&amp;lng="&amp;DERECHA(SUBSTITUTE(F1250," ",""),LARGO(SUBSTITUTE(F1250," ",""))-ENCONTRAR(",",SUBSTITUTE(F1250," ",""))),"")</f>
        <v/>
      </c>
    </row>
    <row r="1251" ht="15.75" customHeight="1" s="10">
      <c r="A1251" s="8">
        <f>CONCAT("AD507-",TEXT(ROW()-2,"0000"))</f>
        <v/>
      </c>
      <c r="C1251" s="8" t="n"/>
      <c r="F1251" s="8" t="n"/>
      <c r="G1251" s="8">
        <f>IF(F1251&lt;&gt;"",HYPERLINK("https://www.google.com/maps/search/?api=1&amp;query="&amp;SUBSTITUTE(F1251," ",""),"🗺 Google Maps"),"")</f>
        <v/>
      </c>
      <c r="H1251" s="8">
        <f>IF(F1251&lt;&gt;"",HYPERLINK("https://waze.com/ul?ll="&amp;SUBSTITUTE(F1251," ","")&amp;"&amp;navigate=yes","🚗 Waze"),"")</f>
        <v/>
      </c>
      <c r="I1251" s="8">
        <f>IF(F1251&lt;&gt;"",HYPERLINK("https://m.uber.com/ul/?action=setPickup&amp;pickup=my_location&amp;dropoff[latitude]="&amp;LEFT(SUBSTITUTE(F1251," ",""),FIND(",",SUBSTITUTE(F1251," ",""))-1)&amp;"&amp;dropoff[longitude]="&amp;MID(SUBSTITUTE(F1251," ",""),FIND(",",SUBSTITUTE(F1251," ",""))+1,99),"🚕 Uber"),"")</f>
        <v/>
      </c>
      <c r="J1251" s="8">
        <f>IF(F1251&lt;&gt;"","https://api.qrserver.com/v1/create-qr-code/?size=200x200&amp;data="&amp;ENCODEURL("https://www.google.com/maps/search/?api=1&amp;query="&amp;SUBSTITUTE(F1251," ","")),"")</f>
        <v/>
      </c>
      <c r="K1251" s="8">
        <f>IF(C1251&lt;&gt;"",HYPERLINK("https://wa.me/507"&amp;REGEXREPLACE(C1251,"[^0-9]","")&amp;"?text="&amp;ENCODEURL("Ya llegue. Codigo: "&amp;A1251&amp;". Ubicacion: "&amp;"https://www.google.com/maps/search/?api=1&amp;query="&amp;SUBSTITUTE(F1251," ","")),"📲 Avisar al cliente"),"")</f>
        <v/>
      </c>
      <c r="L1251" s="8">
        <f>IF(C1251&lt;&gt;"","https://api.qrserver.com/v1/create-qr-code/?size=200x200&amp;data="&amp;ENCODEURL("https://wa.me/507"&amp;REGEXREPLACE(C1251,"[^0-9]","")&amp;"?text="&amp;ENCODEURL("Ya llegue. Codigo: "&amp;A1251&amp;". Ubicacion: "&amp;"https://www.google.com/maps/search/?api=1&amp;query="&amp;SUBSTITUTE(F1251," ",""))),"")</f>
        <v/>
      </c>
      <c r="M1251" s="8">
        <f>IF(B1251&lt;&gt;"",TODAY(),"")</f>
        <v/>
      </c>
      <c r="N1251" s="8">
        <f>IF(F1251&lt;&gt;"",IFERROR(IF(AND(REGEXMATCH(SUBSTITUTE(TRIM(F1251)," ",""),"^-?\d+(\.\d+)?,-?\d+(\.\d+)?$"),VALUE(REGEXEXTRACT(SUBSTITUTE(TRIM(F1251)," ",""),"^-?\d+(\.\d+)?"))&gt;=-90,VALUE(REGEXEXTRACT(SUBSTITUTE(TRIM(F1251)," ",""),"^-?\d+(\.\d+)?"))&lt;=90,VALUE(REGEXEXTRACT(SUBSTITUTE(TRIM(F1251)," ",""),"-?\d+(\.\d+)?$"))&gt;=-180,VALUE(REGEXEXTRACT(SUBSTITUTE(TRIM(F1251)," ",""),"-?\d+(\.\d+)?$"))&lt;=180),"OK","REVISAR"),"REVISAR"),"")</f>
        <v/>
      </c>
      <c r="O1251">
        <f>IF(A1251&lt;&gt;"","https://direcciones507.github.io/direcciones507/panel.html?codigo="&amp;A1251&amp;"&amp;nombre="&amp;ENCODEURL(B1251)&amp;"&amp;telefono="&amp;SUBSTITUTE(C1251,"-","")&amp;"&amp;referencia="&amp;ENCODEURL(E1251)&amp;"&amp;lat="&amp;IZQUIERDA(SUBSTITUTE(F1251," ",""),ENCONTRAR(",",SUBSTITUTE(F1251," ",""))-1)&amp;"&amp;lng="&amp;DERECHA(SUBSTITUTE(F1251," ",""),LARGO(SUBSTITUTE(F1251," ",""))-ENCONTRAR(",",SUBSTITUTE(F1251," ",""))),"")</f>
        <v/>
      </c>
    </row>
    <row r="1252" ht="15.75" customHeight="1" s="10">
      <c r="A1252" s="8">
        <f>CONCAT("AD507-",TEXT(ROW()-2,"0000"))</f>
        <v/>
      </c>
      <c r="C1252" s="8" t="n"/>
      <c r="F1252" s="8" t="n"/>
      <c r="G1252" s="8">
        <f>IF(F1252&lt;&gt;"",HYPERLINK("https://www.google.com/maps/search/?api=1&amp;query="&amp;SUBSTITUTE(F1252," ",""),"🗺 Google Maps"),"")</f>
        <v/>
      </c>
      <c r="H1252" s="8">
        <f>IF(F1252&lt;&gt;"",HYPERLINK("https://waze.com/ul?ll="&amp;SUBSTITUTE(F1252," ","")&amp;"&amp;navigate=yes","🚗 Waze"),"")</f>
        <v/>
      </c>
      <c r="I1252" s="8">
        <f>IF(F1252&lt;&gt;"",HYPERLINK("https://m.uber.com/ul/?action=setPickup&amp;pickup=my_location&amp;dropoff[latitude]="&amp;LEFT(SUBSTITUTE(F1252," ",""),FIND(",",SUBSTITUTE(F1252," ",""))-1)&amp;"&amp;dropoff[longitude]="&amp;MID(SUBSTITUTE(F1252," ",""),FIND(",",SUBSTITUTE(F1252," ",""))+1,99),"🚕 Uber"),"")</f>
        <v/>
      </c>
      <c r="J1252" s="8">
        <f>IF(F1252&lt;&gt;"","https://api.qrserver.com/v1/create-qr-code/?size=200x200&amp;data="&amp;ENCODEURL("https://www.google.com/maps/search/?api=1&amp;query="&amp;SUBSTITUTE(F1252," ","")),"")</f>
        <v/>
      </c>
      <c r="K1252" s="8">
        <f>IF(C1252&lt;&gt;"",HYPERLINK("https://wa.me/507"&amp;REGEXREPLACE(C1252,"[^0-9]","")&amp;"?text="&amp;ENCODEURL("Ya llegue. Codigo: "&amp;A1252&amp;". Ubicacion: "&amp;"https://www.google.com/maps/search/?api=1&amp;query="&amp;SUBSTITUTE(F1252," ","")),"📲 Avisar al cliente"),"")</f>
        <v/>
      </c>
      <c r="L1252" s="8">
        <f>IF(C1252&lt;&gt;"","https://api.qrserver.com/v1/create-qr-code/?size=200x200&amp;data="&amp;ENCODEURL("https://wa.me/507"&amp;REGEXREPLACE(C1252,"[^0-9]","")&amp;"?text="&amp;ENCODEURL("Ya llegue. Codigo: "&amp;A1252&amp;". Ubicacion: "&amp;"https://www.google.com/maps/search/?api=1&amp;query="&amp;SUBSTITUTE(F1252," ",""))),"")</f>
        <v/>
      </c>
      <c r="M1252" s="8">
        <f>IF(B1252&lt;&gt;"",TODAY(),"")</f>
        <v/>
      </c>
      <c r="N1252" s="8">
        <f>IF(F1252&lt;&gt;"",IFERROR(IF(AND(REGEXMATCH(SUBSTITUTE(TRIM(F1252)," ",""),"^-?\d+(\.\d+)?,-?\d+(\.\d+)?$"),VALUE(REGEXEXTRACT(SUBSTITUTE(TRIM(F1252)," ",""),"^-?\d+(\.\d+)?"))&gt;=-90,VALUE(REGEXEXTRACT(SUBSTITUTE(TRIM(F1252)," ",""),"^-?\d+(\.\d+)?"))&lt;=90,VALUE(REGEXEXTRACT(SUBSTITUTE(TRIM(F1252)," ",""),"-?\d+(\.\d+)?$"))&gt;=-180,VALUE(REGEXEXTRACT(SUBSTITUTE(TRIM(F1252)," ",""),"-?\d+(\.\d+)?$"))&lt;=180),"OK","REVISAR"),"REVISAR"),"")</f>
        <v/>
      </c>
      <c r="O1252">
        <f>IF(A1252&lt;&gt;"","https://direcciones507.github.io/direcciones507/panel.html?codigo="&amp;A1252&amp;"&amp;nombre="&amp;ENCODEURL(B1252)&amp;"&amp;telefono="&amp;SUBSTITUTE(C1252,"-","")&amp;"&amp;referencia="&amp;ENCODEURL(E1252)&amp;"&amp;lat="&amp;IZQUIERDA(SUBSTITUTE(F1252," ",""),ENCONTRAR(",",SUBSTITUTE(F1252," ",""))-1)&amp;"&amp;lng="&amp;DERECHA(SUBSTITUTE(F1252," ",""),LARGO(SUBSTITUTE(F1252," ",""))-ENCONTRAR(",",SUBSTITUTE(F1252," ",""))),"")</f>
        <v/>
      </c>
    </row>
    <row r="1253" ht="15.75" customHeight="1" s="10">
      <c r="A1253" s="8">
        <f>CONCAT("AD507-",TEXT(ROW()-2,"0000"))</f>
        <v/>
      </c>
      <c r="C1253" s="8" t="n"/>
      <c r="F1253" s="8" t="n"/>
      <c r="G1253" s="8">
        <f>IF(F1253&lt;&gt;"",HYPERLINK("https://www.google.com/maps/search/?api=1&amp;query="&amp;SUBSTITUTE(F1253," ",""),"🗺 Google Maps"),"")</f>
        <v/>
      </c>
      <c r="H1253" s="8">
        <f>IF(F1253&lt;&gt;"",HYPERLINK("https://waze.com/ul?ll="&amp;SUBSTITUTE(F1253," ","")&amp;"&amp;navigate=yes","🚗 Waze"),"")</f>
        <v/>
      </c>
      <c r="I1253" s="8">
        <f>IF(F1253&lt;&gt;"",HYPERLINK("https://m.uber.com/ul/?action=setPickup&amp;pickup=my_location&amp;dropoff[latitude]="&amp;LEFT(SUBSTITUTE(F1253," ",""),FIND(",",SUBSTITUTE(F1253," ",""))-1)&amp;"&amp;dropoff[longitude]="&amp;MID(SUBSTITUTE(F1253," ",""),FIND(",",SUBSTITUTE(F1253," ",""))+1,99),"🚕 Uber"),"")</f>
        <v/>
      </c>
      <c r="J1253" s="8">
        <f>IF(F1253&lt;&gt;"","https://api.qrserver.com/v1/create-qr-code/?size=200x200&amp;data="&amp;ENCODEURL("https://www.google.com/maps/search/?api=1&amp;query="&amp;SUBSTITUTE(F1253," ","")),"")</f>
        <v/>
      </c>
      <c r="K1253" s="8">
        <f>IF(C1253&lt;&gt;"",HYPERLINK("https://wa.me/507"&amp;REGEXREPLACE(C1253,"[^0-9]","")&amp;"?text="&amp;ENCODEURL("Ya llegue. Codigo: "&amp;A1253&amp;". Ubicacion: "&amp;"https://www.google.com/maps/search/?api=1&amp;query="&amp;SUBSTITUTE(F1253," ","")),"📲 Avisar al cliente"),"")</f>
        <v/>
      </c>
      <c r="L1253" s="8">
        <f>IF(C1253&lt;&gt;"","https://api.qrserver.com/v1/create-qr-code/?size=200x200&amp;data="&amp;ENCODEURL("https://wa.me/507"&amp;REGEXREPLACE(C1253,"[^0-9]","")&amp;"?text="&amp;ENCODEURL("Ya llegue. Codigo: "&amp;A1253&amp;". Ubicacion: "&amp;"https://www.google.com/maps/search/?api=1&amp;query="&amp;SUBSTITUTE(F1253," ",""))),"")</f>
        <v/>
      </c>
      <c r="M1253" s="8">
        <f>IF(B1253&lt;&gt;"",TODAY(),"")</f>
        <v/>
      </c>
      <c r="N1253" s="8">
        <f>IF(F1253&lt;&gt;"",IFERROR(IF(AND(REGEXMATCH(SUBSTITUTE(TRIM(F1253)," ",""),"^-?\d+(\.\d+)?,-?\d+(\.\d+)?$"),VALUE(REGEXEXTRACT(SUBSTITUTE(TRIM(F1253)," ",""),"^-?\d+(\.\d+)?"))&gt;=-90,VALUE(REGEXEXTRACT(SUBSTITUTE(TRIM(F1253)," ",""),"^-?\d+(\.\d+)?"))&lt;=90,VALUE(REGEXEXTRACT(SUBSTITUTE(TRIM(F1253)," ",""),"-?\d+(\.\d+)?$"))&gt;=-180,VALUE(REGEXEXTRACT(SUBSTITUTE(TRIM(F1253)," ",""),"-?\d+(\.\d+)?$"))&lt;=180),"OK","REVISAR"),"REVISAR"),"")</f>
        <v/>
      </c>
      <c r="O1253">
        <f>IF(A1253&lt;&gt;"","https://direcciones507.github.io/direcciones507/panel.html?codigo="&amp;A1253&amp;"&amp;nombre="&amp;ENCODEURL(B1253)&amp;"&amp;telefono="&amp;SUBSTITUTE(C1253,"-","")&amp;"&amp;referencia="&amp;ENCODEURL(E1253)&amp;"&amp;lat="&amp;IZQUIERDA(SUBSTITUTE(F1253," ",""),ENCONTRAR(",",SUBSTITUTE(F1253," ",""))-1)&amp;"&amp;lng="&amp;DERECHA(SUBSTITUTE(F1253," ",""),LARGO(SUBSTITUTE(F1253," ",""))-ENCONTRAR(",",SUBSTITUTE(F1253," ",""))),"")</f>
        <v/>
      </c>
    </row>
    <row r="1254" ht="15.75" customHeight="1" s="10">
      <c r="A1254" s="8">
        <f>CONCAT("AD507-",TEXT(ROW()-2,"0000"))</f>
        <v/>
      </c>
      <c r="C1254" s="8" t="n"/>
      <c r="F1254" s="8" t="n"/>
      <c r="G1254" s="8">
        <f>IF(F1254&lt;&gt;"",HYPERLINK("https://www.google.com/maps/search/?api=1&amp;query="&amp;SUBSTITUTE(F1254," ",""),"🗺 Google Maps"),"")</f>
        <v/>
      </c>
      <c r="H1254" s="8">
        <f>IF(F1254&lt;&gt;"",HYPERLINK("https://waze.com/ul?ll="&amp;SUBSTITUTE(F1254," ","")&amp;"&amp;navigate=yes","🚗 Waze"),"")</f>
        <v/>
      </c>
      <c r="I1254" s="8">
        <f>IF(F1254&lt;&gt;"",HYPERLINK("https://m.uber.com/ul/?action=setPickup&amp;pickup=my_location&amp;dropoff[latitude]="&amp;LEFT(SUBSTITUTE(F1254," ",""),FIND(",",SUBSTITUTE(F1254," ",""))-1)&amp;"&amp;dropoff[longitude]="&amp;MID(SUBSTITUTE(F1254," ",""),FIND(",",SUBSTITUTE(F1254," ",""))+1,99),"🚕 Uber"),"")</f>
        <v/>
      </c>
      <c r="J1254" s="8">
        <f>IF(F1254&lt;&gt;"","https://api.qrserver.com/v1/create-qr-code/?size=200x200&amp;data="&amp;ENCODEURL("https://www.google.com/maps/search/?api=1&amp;query="&amp;SUBSTITUTE(F1254," ","")),"")</f>
        <v/>
      </c>
      <c r="K1254" s="8">
        <f>IF(C1254&lt;&gt;"",HYPERLINK("https://wa.me/507"&amp;REGEXREPLACE(C1254,"[^0-9]","")&amp;"?text="&amp;ENCODEURL("Ya llegue. Codigo: "&amp;A1254&amp;". Ubicacion: "&amp;"https://www.google.com/maps/search/?api=1&amp;query="&amp;SUBSTITUTE(F1254," ","")),"📲 Avisar al cliente"),"")</f>
        <v/>
      </c>
      <c r="L1254" s="8">
        <f>IF(C1254&lt;&gt;"","https://api.qrserver.com/v1/create-qr-code/?size=200x200&amp;data="&amp;ENCODEURL("https://wa.me/507"&amp;REGEXREPLACE(C1254,"[^0-9]","")&amp;"?text="&amp;ENCODEURL("Ya llegue. Codigo: "&amp;A1254&amp;". Ubicacion: "&amp;"https://www.google.com/maps/search/?api=1&amp;query="&amp;SUBSTITUTE(F1254," ",""))),"")</f>
        <v/>
      </c>
      <c r="M1254" s="8">
        <f>IF(B1254&lt;&gt;"",TODAY(),"")</f>
        <v/>
      </c>
      <c r="N1254" s="8">
        <f>IF(F1254&lt;&gt;"",IFERROR(IF(AND(REGEXMATCH(SUBSTITUTE(TRIM(F1254)," ",""),"^-?\d+(\.\d+)?,-?\d+(\.\d+)?$"),VALUE(REGEXEXTRACT(SUBSTITUTE(TRIM(F1254)," ",""),"^-?\d+(\.\d+)?"))&gt;=-90,VALUE(REGEXEXTRACT(SUBSTITUTE(TRIM(F1254)," ",""),"^-?\d+(\.\d+)?"))&lt;=90,VALUE(REGEXEXTRACT(SUBSTITUTE(TRIM(F1254)," ",""),"-?\d+(\.\d+)?$"))&gt;=-180,VALUE(REGEXEXTRACT(SUBSTITUTE(TRIM(F1254)," ",""),"-?\d+(\.\d+)?$"))&lt;=180),"OK","REVISAR"),"REVISAR"),"")</f>
        <v/>
      </c>
      <c r="O1254">
        <f>IF(A1254&lt;&gt;"","https://direcciones507.github.io/direcciones507/panel.html?codigo="&amp;A1254&amp;"&amp;nombre="&amp;ENCODEURL(B1254)&amp;"&amp;telefono="&amp;SUBSTITUTE(C1254,"-","")&amp;"&amp;referencia="&amp;ENCODEURL(E1254)&amp;"&amp;lat="&amp;IZQUIERDA(SUBSTITUTE(F1254," ",""),ENCONTRAR(",",SUBSTITUTE(F1254," ",""))-1)&amp;"&amp;lng="&amp;DERECHA(SUBSTITUTE(F1254," ",""),LARGO(SUBSTITUTE(F1254," ",""))-ENCONTRAR(",",SUBSTITUTE(F1254," ",""))),"")</f>
        <v/>
      </c>
    </row>
    <row r="1255" ht="15.75" customHeight="1" s="10">
      <c r="A1255" s="8">
        <f>CONCAT("AD507-",TEXT(ROW()-2,"0000"))</f>
        <v/>
      </c>
      <c r="C1255" s="8" t="n"/>
      <c r="F1255" s="8" t="n"/>
      <c r="G1255" s="8">
        <f>IF(F1255&lt;&gt;"",HYPERLINK("https://www.google.com/maps/search/?api=1&amp;query="&amp;SUBSTITUTE(F1255," ",""),"🗺 Google Maps"),"")</f>
        <v/>
      </c>
      <c r="H1255" s="8">
        <f>IF(F1255&lt;&gt;"",HYPERLINK("https://waze.com/ul?ll="&amp;SUBSTITUTE(F1255," ","")&amp;"&amp;navigate=yes","🚗 Waze"),"")</f>
        <v/>
      </c>
      <c r="I1255" s="8">
        <f>IF(F1255&lt;&gt;"",HYPERLINK("https://m.uber.com/ul/?action=setPickup&amp;pickup=my_location&amp;dropoff[latitude]="&amp;LEFT(SUBSTITUTE(F1255," ",""),FIND(",",SUBSTITUTE(F1255," ",""))-1)&amp;"&amp;dropoff[longitude]="&amp;MID(SUBSTITUTE(F1255," ",""),FIND(",",SUBSTITUTE(F1255," ",""))+1,99),"🚕 Uber"),"")</f>
        <v/>
      </c>
      <c r="J1255" s="8">
        <f>IF(F1255&lt;&gt;"","https://api.qrserver.com/v1/create-qr-code/?size=200x200&amp;data="&amp;ENCODEURL("https://www.google.com/maps/search/?api=1&amp;query="&amp;SUBSTITUTE(F1255," ","")),"")</f>
        <v/>
      </c>
      <c r="K1255" s="8">
        <f>IF(C1255&lt;&gt;"",HYPERLINK("https://wa.me/507"&amp;REGEXREPLACE(C1255,"[^0-9]","")&amp;"?text="&amp;ENCODEURL("Ya llegue. Codigo: "&amp;A1255&amp;". Ubicacion: "&amp;"https://www.google.com/maps/search/?api=1&amp;query="&amp;SUBSTITUTE(F1255," ","")),"📲 Avisar al cliente"),"")</f>
        <v/>
      </c>
      <c r="L1255" s="8">
        <f>IF(C1255&lt;&gt;"","https://api.qrserver.com/v1/create-qr-code/?size=200x200&amp;data="&amp;ENCODEURL("https://wa.me/507"&amp;REGEXREPLACE(C1255,"[^0-9]","")&amp;"?text="&amp;ENCODEURL("Ya llegue. Codigo: "&amp;A1255&amp;". Ubicacion: "&amp;"https://www.google.com/maps/search/?api=1&amp;query="&amp;SUBSTITUTE(F1255," ",""))),"")</f>
        <v/>
      </c>
      <c r="M1255" s="8">
        <f>IF(B1255&lt;&gt;"",TODAY(),"")</f>
        <v/>
      </c>
      <c r="N1255" s="8">
        <f>IF(F1255&lt;&gt;"",IFERROR(IF(AND(REGEXMATCH(SUBSTITUTE(TRIM(F1255)," ",""),"^-?\d+(\.\d+)?,-?\d+(\.\d+)?$"),VALUE(REGEXEXTRACT(SUBSTITUTE(TRIM(F1255)," ",""),"^-?\d+(\.\d+)?"))&gt;=-90,VALUE(REGEXEXTRACT(SUBSTITUTE(TRIM(F1255)," ",""),"^-?\d+(\.\d+)?"))&lt;=90,VALUE(REGEXEXTRACT(SUBSTITUTE(TRIM(F1255)," ",""),"-?\d+(\.\d+)?$"))&gt;=-180,VALUE(REGEXEXTRACT(SUBSTITUTE(TRIM(F1255)," ",""),"-?\d+(\.\d+)?$"))&lt;=180),"OK","REVISAR"),"REVISAR"),"")</f>
        <v/>
      </c>
      <c r="O1255">
        <f>IF(A1255&lt;&gt;"","https://direcciones507.github.io/direcciones507/panel.html?codigo="&amp;A1255&amp;"&amp;nombre="&amp;ENCODEURL(B1255)&amp;"&amp;telefono="&amp;SUBSTITUTE(C1255,"-","")&amp;"&amp;referencia="&amp;ENCODEURL(E1255)&amp;"&amp;lat="&amp;IZQUIERDA(SUBSTITUTE(F1255," ",""),ENCONTRAR(",",SUBSTITUTE(F1255," ",""))-1)&amp;"&amp;lng="&amp;DERECHA(SUBSTITUTE(F1255," ",""),LARGO(SUBSTITUTE(F1255," ",""))-ENCONTRAR(",",SUBSTITUTE(F1255," ",""))),"")</f>
        <v/>
      </c>
    </row>
    <row r="1256" ht="15.75" customHeight="1" s="10">
      <c r="A1256" s="8">
        <f>CONCAT("AD507-",TEXT(ROW()-2,"0000"))</f>
        <v/>
      </c>
      <c r="C1256" s="8" t="n"/>
      <c r="F1256" s="8" t="n"/>
      <c r="G1256" s="8">
        <f>IF(F1256&lt;&gt;"",HYPERLINK("https://www.google.com/maps/search/?api=1&amp;query="&amp;SUBSTITUTE(F1256," ",""),"🗺 Google Maps"),"")</f>
        <v/>
      </c>
      <c r="H1256" s="8">
        <f>IF(F1256&lt;&gt;"",HYPERLINK("https://waze.com/ul?ll="&amp;SUBSTITUTE(F1256," ","")&amp;"&amp;navigate=yes","🚗 Waze"),"")</f>
        <v/>
      </c>
      <c r="I1256" s="8">
        <f>IF(F1256&lt;&gt;"",HYPERLINK("https://m.uber.com/ul/?action=setPickup&amp;pickup=my_location&amp;dropoff[latitude]="&amp;LEFT(SUBSTITUTE(F1256," ",""),FIND(",",SUBSTITUTE(F1256," ",""))-1)&amp;"&amp;dropoff[longitude]="&amp;MID(SUBSTITUTE(F1256," ",""),FIND(",",SUBSTITUTE(F1256," ",""))+1,99),"🚕 Uber"),"")</f>
        <v/>
      </c>
      <c r="J1256" s="8">
        <f>IF(F1256&lt;&gt;"","https://api.qrserver.com/v1/create-qr-code/?size=200x200&amp;data="&amp;ENCODEURL("https://www.google.com/maps/search/?api=1&amp;query="&amp;SUBSTITUTE(F1256," ","")),"")</f>
        <v/>
      </c>
      <c r="K1256" s="8">
        <f>IF(C1256&lt;&gt;"",HYPERLINK("https://wa.me/507"&amp;REGEXREPLACE(C1256,"[^0-9]","")&amp;"?text="&amp;ENCODEURL("Ya llegue. Codigo: "&amp;A1256&amp;". Ubicacion: "&amp;"https://www.google.com/maps/search/?api=1&amp;query="&amp;SUBSTITUTE(F1256," ","")),"📲 Avisar al cliente"),"")</f>
        <v/>
      </c>
      <c r="L1256" s="8">
        <f>IF(C1256&lt;&gt;"","https://api.qrserver.com/v1/create-qr-code/?size=200x200&amp;data="&amp;ENCODEURL("https://wa.me/507"&amp;REGEXREPLACE(C1256,"[^0-9]","")&amp;"?text="&amp;ENCODEURL("Ya llegue. Codigo: "&amp;A1256&amp;". Ubicacion: "&amp;"https://www.google.com/maps/search/?api=1&amp;query="&amp;SUBSTITUTE(F1256," ",""))),"")</f>
        <v/>
      </c>
      <c r="M1256" s="8">
        <f>IF(B1256&lt;&gt;"",TODAY(),"")</f>
        <v/>
      </c>
      <c r="N1256" s="8">
        <f>IF(F1256&lt;&gt;"",IFERROR(IF(AND(REGEXMATCH(SUBSTITUTE(TRIM(F1256)," ",""),"^-?\d+(\.\d+)?,-?\d+(\.\d+)?$"),VALUE(REGEXEXTRACT(SUBSTITUTE(TRIM(F1256)," ",""),"^-?\d+(\.\d+)?"))&gt;=-90,VALUE(REGEXEXTRACT(SUBSTITUTE(TRIM(F1256)," ",""),"^-?\d+(\.\d+)?"))&lt;=90,VALUE(REGEXEXTRACT(SUBSTITUTE(TRIM(F1256)," ",""),"-?\d+(\.\d+)?$"))&gt;=-180,VALUE(REGEXEXTRACT(SUBSTITUTE(TRIM(F1256)," ",""),"-?\d+(\.\d+)?$"))&lt;=180),"OK","REVISAR"),"REVISAR"),"")</f>
        <v/>
      </c>
      <c r="O1256">
        <f>IF(A1256&lt;&gt;"","https://direcciones507.github.io/direcciones507/panel.html?codigo="&amp;A1256&amp;"&amp;nombre="&amp;ENCODEURL(B1256)&amp;"&amp;telefono="&amp;SUBSTITUTE(C1256,"-","")&amp;"&amp;referencia="&amp;ENCODEURL(E1256)&amp;"&amp;lat="&amp;IZQUIERDA(SUBSTITUTE(F1256," ",""),ENCONTRAR(",",SUBSTITUTE(F1256," ",""))-1)&amp;"&amp;lng="&amp;DERECHA(SUBSTITUTE(F1256," ",""),LARGO(SUBSTITUTE(F1256," ",""))-ENCONTRAR(",",SUBSTITUTE(F1256," ",""))),"")</f>
        <v/>
      </c>
    </row>
    <row r="1257" ht="15.75" customHeight="1" s="10">
      <c r="A1257" s="8">
        <f>CONCAT("AD507-",TEXT(ROW()-2,"0000"))</f>
        <v/>
      </c>
      <c r="C1257" s="8" t="n"/>
      <c r="F1257" s="8" t="n"/>
      <c r="G1257" s="8">
        <f>IF(F1257&lt;&gt;"",HYPERLINK("https://www.google.com/maps/search/?api=1&amp;query="&amp;SUBSTITUTE(F1257," ",""),"🗺 Google Maps"),"")</f>
        <v/>
      </c>
      <c r="H1257" s="8">
        <f>IF(F1257&lt;&gt;"",HYPERLINK("https://waze.com/ul?ll="&amp;SUBSTITUTE(F1257," ","")&amp;"&amp;navigate=yes","🚗 Waze"),"")</f>
        <v/>
      </c>
      <c r="I1257" s="8">
        <f>IF(F1257&lt;&gt;"",HYPERLINK("https://m.uber.com/ul/?action=setPickup&amp;pickup=my_location&amp;dropoff[latitude]="&amp;LEFT(SUBSTITUTE(F1257," ",""),FIND(",",SUBSTITUTE(F1257," ",""))-1)&amp;"&amp;dropoff[longitude]="&amp;MID(SUBSTITUTE(F1257," ",""),FIND(",",SUBSTITUTE(F1257," ",""))+1,99),"🚕 Uber"),"")</f>
        <v/>
      </c>
      <c r="J1257" s="8">
        <f>IF(F1257&lt;&gt;"","https://api.qrserver.com/v1/create-qr-code/?size=200x200&amp;data="&amp;ENCODEURL("https://www.google.com/maps/search/?api=1&amp;query="&amp;SUBSTITUTE(F1257," ","")),"")</f>
        <v/>
      </c>
      <c r="K1257" s="8">
        <f>IF(C1257&lt;&gt;"",HYPERLINK("https://wa.me/507"&amp;REGEXREPLACE(C1257,"[^0-9]","")&amp;"?text="&amp;ENCODEURL("Ya llegue. Codigo: "&amp;A1257&amp;". Ubicacion: "&amp;"https://www.google.com/maps/search/?api=1&amp;query="&amp;SUBSTITUTE(F1257," ","")),"📲 Avisar al cliente"),"")</f>
        <v/>
      </c>
      <c r="L1257" s="8">
        <f>IF(C1257&lt;&gt;"","https://api.qrserver.com/v1/create-qr-code/?size=200x200&amp;data="&amp;ENCODEURL("https://wa.me/507"&amp;REGEXREPLACE(C1257,"[^0-9]","")&amp;"?text="&amp;ENCODEURL("Ya llegue. Codigo: "&amp;A1257&amp;". Ubicacion: "&amp;"https://www.google.com/maps/search/?api=1&amp;query="&amp;SUBSTITUTE(F1257," ",""))),"")</f>
        <v/>
      </c>
      <c r="M1257" s="8">
        <f>IF(B1257&lt;&gt;"",TODAY(),"")</f>
        <v/>
      </c>
      <c r="N1257" s="8">
        <f>IF(F1257&lt;&gt;"",IFERROR(IF(AND(REGEXMATCH(SUBSTITUTE(TRIM(F1257)," ",""),"^-?\d+(\.\d+)?,-?\d+(\.\d+)?$"),VALUE(REGEXEXTRACT(SUBSTITUTE(TRIM(F1257)," ",""),"^-?\d+(\.\d+)?"))&gt;=-90,VALUE(REGEXEXTRACT(SUBSTITUTE(TRIM(F1257)," ",""),"^-?\d+(\.\d+)?"))&lt;=90,VALUE(REGEXEXTRACT(SUBSTITUTE(TRIM(F1257)," ",""),"-?\d+(\.\d+)?$"))&gt;=-180,VALUE(REGEXEXTRACT(SUBSTITUTE(TRIM(F1257)," ",""),"-?\d+(\.\d+)?$"))&lt;=180),"OK","REVISAR"),"REVISAR"),"")</f>
        <v/>
      </c>
      <c r="O1257">
        <f>IF(A1257&lt;&gt;"","https://direcciones507.github.io/direcciones507/panel.html?codigo="&amp;A1257&amp;"&amp;nombre="&amp;ENCODEURL(B1257)&amp;"&amp;telefono="&amp;SUBSTITUTE(C1257,"-","")&amp;"&amp;referencia="&amp;ENCODEURL(E1257)&amp;"&amp;lat="&amp;IZQUIERDA(SUBSTITUTE(F1257," ",""),ENCONTRAR(",",SUBSTITUTE(F1257," ",""))-1)&amp;"&amp;lng="&amp;DERECHA(SUBSTITUTE(F1257," ",""),LARGO(SUBSTITUTE(F1257," ",""))-ENCONTRAR(",",SUBSTITUTE(F1257," ",""))),"")</f>
        <v/>
      </c>
    </row>
    <row r="1258" ht="15.75" customHeight="1" s="10">
      <c r="A1258" s="8">
        <f>CONCAT("AD507-",TEXT(ROW()-2,"0000"))</f>
        <v/>
      </c>
      <c r="C1258" s="8" t="n"/>
      <c r="F1258" s="8" t="n"/>
      <c r="G1258" s="8">
        <f>IF(F1258&lt;&gt;"",HYPERLINK("https://www.google.com/maps/search/?api=1&amp;query="&amp;SUBSTITUTE(F1258," ",""),"🗺 Google Maps"),"")</f>
        <v/>
      </c>
      <c r="H1258" s="8">
        <f>IF(F1258&lt;&gt;"",HYPERLINK("https://waze.com/ul?ll="&amp;SUBSTITUTE(F1258," ","")&amp;"&amp;navigate=yes","🚗 Waze"),"")</f>
        <v/>
      </c>
      <c r="I1258" s="8">
        <f>IF(F1258&lt;&gt;"",HYPERLINK("https://m.uber.com/ul/?action=setPickup&amp;pickup=my_location&amp;dropoff[latitude]="&amp;LEFT(SUBSTITUTE(F1258," ",""),FIND(",",SUBSTITUTE(F1258," ",""))-1)&amp;"&amp;dropoff[longitude]="&amp;MID(SUBSTITUTE(F1258," ",""),FIND(",",SUBSTITUTE(F1258," ",""))+1,99),"🚕 Uber"),"")</f>
        <v/>
      </c>
      <c r="J1258" s="8">
        <f>IF(F1258&lt;&gt;"","https://api.qrserver.com/v1/create-qr-code/?size=200x200&amp;data="&amp;ENCODEURL("https://www.google.com/maps/search/?api=1&amp;query="&amp;SUBSTITUTE(F1258," ","")),"")</f>
        <v/>
      </c>
      <c r="K1258" s="8">
        <f>IF(C1258&lt;&gt;"",HYPERLINK("https://wa.me/507"&amp;REGEXREPLACE(C1258,"[^0-9]","")&amp;"?text="&amp;ENCODEURL("Ya llegue. Codigo: "&amp;A1258&amp;". Ubicacion: "&amp;"https://www.google.com/maps/search/?api=1&amp;query="&amp;SUBSTITUTE(F1258," ","")),"📲 Avisar al cliente"),"")</f>
        <v/>
      </c>
      <c r="L1258" s="8">
        <f>IF(C1258&lt;&gt;"","https://api.qrserver.com/v1/create-qr-code/?size=200x200&amp;data="&amp;ENCODEURL("https://wa.me/507"&amp;REGEXREPLACE(C1258,"[^0-9]","")&amp;"?text="&amp;ENCODEURL("Ya llegue. Codigo: "&amp;A1258&amp;". Ubicacion: "&amp;"https://www.google.com/maps/search/?api=1&amp;query="&amp;SUBSTITUTE(F1258," ",""))),"")</f>
        <v/>
      </c>
      <c r="M1258" s="8">
        <f>IF(B1258&lt;&gt;"",TODAY(),"")</f>
        <v/>
      </c>
      <c r="N1258" s="8">
        <f>IF(F1258&lt;&gt;"",IFERROR(IF(AND(REGEXMATCH(SUBSTITUTE(TRIM(F1258)," ",""),"^-?\d+(\.\d+)?,-?\d+(\.\d+)?$"),VALUE(REGEXEXTRACT(SUBSTITUTE(TRIM(F1258)," ",""),"^-?\d+(\.\d+)?"))&gt;=-90,VALUE(REGEXEXTRACT(SUBSTITUTE(TRIM(F1258)," ",""),"^-?\d+(\.\d+)?"))&lt;=90,VALUE(REGEXEXTRACT(SUBSTITUTE(TRIM(F1258)," ",""),"-?\d+(\.\d+)?$"))&gt;=-180,VALUE(REGEXEXTRACT(SUBSTITUTE(TRIM(F1258)," ",""),"-?\d+(\.\d+)?$"))&lt;=180),"OK","REVISAR"),"REVISAR"),"")</f>
        <v/>
      </c>
      <c r="O1258">
        <f>IF(A1258&lt;&gt;"","https://direcciones507.github.io/direcciones507/panel.html?codigo="&amp;A1258&amp;"&amp;nombre="&amp;ENCODEURL(B1258)&amp;"&amp;telefono="&amp;SUBSTITUTE(C1258,"-","")&amp;"&amp;referencia="&amp;ENCODEURL(E1258)&amp;"&amp;lat="&amp;IZQUIERDA(SUBSTITUTE(F1258," ",""),ENCONTRAR(",",SUBSTITUTE(F1258," ",""))-1)&amp;"&amp;lng="&amp;DERECHA(SUBSTITUTE(F1258," ",""),LARGO(SUBSTITUTE(F1258," ",""))-ENCONTRAR(",",SUBSTITUTE(F1258," ",""))),"")</f>
        <v/>
      </c>
    </row>
    <row r="1259" ht="15.75" customHeight="1" s="10">
      <c r="A1259" s="8">
        <f>CONCAT("AD507-",TEXT(ROW()-2,"0000"))</f>
        <v/>
      </c>
      <c r="C1259" s="8" t="n"/>
      <c r="F1259" s="8" t="n"/>
      <c r="G1259" s="8">
        <f>IF(F1259&lt;&gt;"",HYPERLINK("https://www.google.com/maps/search/?api=1&amp;query="&amp;SUBSTITUTE(F1259," ",""),"🗺 Google Maps"),"")</f>
        <v/>
      </c>
      <c r="H1259" s="8">
        <f>IF(F1259&lt;&gt;"",HYPERLINK("https://waze.com/ul?ll="&amp;SUBSTITUTE(F1259," ","")&amp;"&amp;navigate=yes","🚗 Waze"),"")</f>
        <v/>
      </c>
      <c r="I1259" s="8">
        <f>IF(F1259&lt;&gt;"",HYPERLINK("https://m.uber.com/ul/?action=setPickup&amp;pickup=my_location&amp;dropoff[latitude]="&amp;LEFT(SUBSTITUTE(F1259," ",""),FIND(",",SUBSTITUTE(F1259," ",""))-1)&amp;"&amp;dropoff[longitude]="&amp;MID(SUBSTITUTE(F1259," ",""),FIND(",",SUBSTITUTE(F1259," ",""))+1,99),"🚕 Uber"),"")</f>
        <v/>
      </c>
      <c r="J1259" s="8">
        <f>IF(F1259&lt;&gt;"","https://api.qrserver.com/v1/create-qr-code/?size=200x200&amp;data="&amp;ENCODEURL("https://www.google.com/maps/search/?api=1&amp;query="&amp;SUBSTITUTE(F1259," ","")),"")</f>
        <v/>
      </c>
      <c r="K1259" s="8">
        <f>IF(C1259&lt;&gt;"",HYPERLINK("https://wa.me/507"&amp;REGEXREPLACE(C1259,"[^0-9]","")&amp;"?text="&amp;ENCODEURL("Ya llegue. Codigo: "&amp;A1259&amp;". Ubicacion: "&amp;"https://www.google.com/maps/search/?api=1&amp;query="&amp;SUBSTITUTE(F1259," ","")),"📲 Avisar al cliente"),"")</f>
        <v/>
      </c>
      <c r="L1259" s="8">
        <f>IF(C1259&lt;&gt;"","https://api.qrserver.com/v1/create-qr-code/?size=200x200&amp;data="&amp;ENCODEURL("https://wa.me/507"&amp;REGEXREPLACE(C1259,"[^0-9]","")&amp;"?text="&amp;ENCODEURL("Ya llegue. Codigo: "&amp;A1259&amp;". Ubicacion: "&amp;"https://www.google.com/maps/search/?api=1&amp;query="&amp;SUBSTITUTE(F1259," ",""))),"")</f>
        <v/>
      </c>
      <c r="M1259" s="8">
        <f>IF(B1259&lt;&gt;"",TODAY(),"")</f>
        <v/>
      </c>
      <c r="N1259" s="8">
        <f>IF(F1259&lt;&gt;"",IFERROR(IF(AND(REGEXMATCH(SUBSTITUTE(TRIM(F1259)," ",""),"^-?\d+(\.\d+)?,-?\d+(\.\d+)?$"),VALUE(REGEXEXTRACT(SUBSTITUTE(TRIM(F1259)," ",""),"^-?\d+(\.\d+)?"))&gt;=-90,VALUE(REGEXEXTRACT(SUBSTITUTE(TRIM(F1259)," ",""),"^-?\d+(\.\d+)?"))&lt;=90,VALUE(REGEXEXTRACT(SUBSTITUTE(TRIM(F1259)," ",""),"-?\d+(\.\d+)?$"))&gt;=-180,VALUE(REGEXEXTRACT(SUBSTITUTE(TRIM(F1259)," ",""),"-?\d+(\.\d+)?$"))&lt;=180),"OK","REVISAR"),"REVISAR"),"")</f>
        <v/>
      </c>
      <c r="O1259">
        <f>IF(A1259&lt;&gt;"","https://direcciones507.github.io/direcciones507/panel.html?codigo="&amp;A1259&amp;"&amp;nombre="&amp;ENCODEURL(B1259)&amp;"&amp;telefono="&amp;SUBSTITUTE(C1259,"-","")&amp;"&amp;referencia="&amp;ENCODEURL(E1259)&amp;"&amp;lat="&amp;IZQUIERDA(SUBSTITUTE(F1259," ",""),ENCONTRAR(",",SUBSTITUTE(F1259," ",""))-1)&amp;"&amp;lng="&amp;DERECHA(SUBSTITUTE(F1259," ",""),LARGO(SUBSTITUTE(F1259," ",""))-ENCONTRAR(",",SUBSTITUTE(F1259," ",""))),"")</f>
        <v/>
      </c>
    </row>
    <row r="1260" ht="15.75" customHeight="1" s="10">
      <c r="A1260" s="8">
        <f>CONCAT("AD507-",TEXT(ROW()-2,"0000"))</f>
        <v/>
      </c>
      <c r="C1260" s="8" t="n"/>
      <c r="F1260" s="8" t="n"/>
      <c r="G1260" s="8">
        <f>IF(F1260&lt;&gt;"",HYPERLINK("https://www.google.com/maps/search/?api=1&amp;query="&amp;SUBSTITUTE(F1260," ",""),"🗺 Google Maps"),"")</f>
        <v/>
      </c>
      <c r="H1260" s="8">
        <f>IF(F1260&lt;&gt;"",HYPERLINK("https://waze.com/ul?ll="&amp;SUBSTITUTE(F1260," ","")&amp;"&amp;navigate=yes","🚗 Waze"),"")</f>
        <v/>
      </c>
      <c r="I1260" s="8">
        <f>IF(F1260&lt;&gt;"",HYPERLINK("https://m.uber.com/ul/?action=setPickup&amp;pickup=my_location&amp;dropoff[latitude]="&amp;LEFT(SUBSTITUTE(F1260," ",""),FIND(",",SUBSTITUTE(F1260," ",""))-1)&amp;"&amp;dropoff[longitude]="&amp;MID(SUBSTITUTE(F1260," ",""),FIND(",",SUBSTITUTE(F1260," ",""))+1,99),"🚕 Uber"),"")</f>
        <v/>
      </c>
      <c r="J1260" s="8">
        <f>IF(F1260&lt;&gt;"","https://api.qrserver.com/v1/create-qr-code/?size=200x200&amp;data="&amp;ENCODEURL("https://www.google.com/maps/search/?api=1&amp;query="&amp;SUBSTITUTE(F1260," ","")),"")</f>
        <v/>
      </c>
      <c r="K1260" s="8">
        <f>IF(C1260&lt;&gt;"",HYPERLINK("https://wa.me/507"&amp;REGEXREPLACE(C1260,"[^0-9]","")&amp;"?text="&amp;ENCODEURL("Ya llegue. Codigo: "&amp;A1260&amp;". Ubicacion: "&amp;"https://www.google.com/maps/search/?api=1&amp;query="&amp;SUBSTITUTE(F1260," ","")),"📲 Avisar al cliente"),"")</f>
        <v/>
      </c>
      <c r="L1260" s="8">
        <f>IF(C1260&lt;&gt;"","https://api.qrserver.com/v1/create-qr-code/?size=200x200&amp;data="&amp;ENCODEURL("https://wa.me/507"&amp;REGEXREPLACE(C1260,"[^0-9]","")&amp;"?text="&amp;ENCODEURL("Ya llegue. Codigo: "&amp;A1260&amp;". Ubicacion: "&amp;"https://www.google.com/maps/search/?api=1&amp;query="&amp;SUBSTITUTE(F1260," ",""))),"")</f>
        <v/>
      </c>
      <c r="M1260" s="8">
        <f>IF(B1260&lt;&gt;"",TODAY(),"")</f>
        <v/>
      </c>
      <c r="N1260" s="8">
        <f>IF(F1260&lt;&gt;"",IFERROR(IF(AND(REGEXMATCH(SUBSTITUTE(TRIM(F1260)," ",""),"^-?\d+(\.\d+)?,-?\d+(\.\d+)?$"),VALUE(REGEXEXTRACT(SUBSTITUTE(TRIM(F1260)," ",""),"^-?\d+(\.\d+)?"))&gt;=-90,VALUE(REGEXEXTRACT(SUBSTITUTE(TRIM(F1260)," ",""),"^-?\d+(\.\d+)?"))&lt;=90,VALUE(REGEXEXTRACT(SUBSTITUTE(TRIM(F1260)," ",""),"-?\d+(\.\d+)?$"))&gt;=-180,VALUE(REGEXEXTRACT(SUBSTITUTE(TRIM(F1260)," ",""),"-?\d+(\.\d+)?$"))&lt;=180),"OK","REVISAR"),"REVISAR"),"")</f>
        <v/>
      </c>
      <c r="O1260">
        <f>IF(A1260&lt;&gt;"","https://direcciones507.github.io/direcciones507/panel.html?codigo="&amp;A1260&amp;"&amp;nombre="&amp;ENCODEURL(B1260)&amp;"&amp;telefono="&amp;SUBSTITUTE(C1260,"-","")&amp;"&amp;referencia="&amp;ENCODEURL(E1260)&amp;"&amp;lat="&amp;IZQUIERDA(SUBSTITUTE(F1260," ",""),ENCONTRAR(",",SUBSTITUTE(F1260," ",""))-1)&amp;"&amp;lng="&amp;DERECHA(SUBSTITUTE(F1260," ",""),LARGO(SUBSTITUTE(F1260," ",""))-ENCONTRAR(",",SUBSTITUTE(F1260," ",""))),"")</f>
        <v/>
      </c>
    </row>
    <row r="1261" ht="15.75" customHeight="1" s="10">
      <c r="A1261" s="8">
        <f>CONCAT("AD507-",TEXT(ROW()-2,"0000"))</f>
        <v/>
      </c>
      <c r="C1261" s="8" t="n"/>
      <c r="F1261" s="8" t="n"/>
      <c r="G1261" s="8">
        <f>IF(F1261&lt;&gt;"",HYPERLINK("https://www.google.com/maps/search/?api=1&amp;query="&amp;SUBSTITUTE(F1261," ",""),"🗺 Google Maps"),"")</f>
        <v/>
      </c>
      <c r="H1261" s="8">
        <f>IF(F1261&lt;&gt;"",HYPERLINK("https://waze.com/ul?ll="&amp;SUBSTITUTE(F1261," ","")&amp;"&amp;navigate=yes","🚗 Waze"),"")</f>
        <v/>
      </c>
      <c r="I1261" s="8">
        <f>IF(F1261&lt;&gt;"",HYPERLINK("https://m.uber.com/ul/?action=setPickup&amp;pickup=my_location&amp;dropoff[latitude]="&amp;LEFT(SUBSTITUTE(F1261," ",""),FIND(",",SUBSTITUTE(F1261," ",""))-1)&amp;"&amp;dropoff[longitude]="&amp;MID(SUBSTITUTE(F1261," ",""),FIND(",",SUBSTITUTE(F1261," ",""))+1,99),"🚕 Uber"),"")</f>
        <v/>
      </c>
      <c r="J1261" s="8">
        <f>IF(F1261&lt;&gt;"","https://api.qrserver.com/v1/create-qr-code/?size=200x200&amp;data="&amp;ENCODEURL("https://www.google.com/maps/search/?api=1&amp;query="&amp;SUBSTITUTE(F1261," ","")),"")</f>
        <v/>
      </c>
      <c r="K1261" s="8">
        <f>IF(C1261&lt;&gt;"",HYPERLINK("https://wa.me/507"&amp;REGEXREPLACE(C1261,"[^0-9]","")&amp;"?text="&amp;ENCODEURL("Ya llegue. Codigo: "&amp;A1261&amp;". Ubicacion: "&amp;"https://www.google.com/maps/search/?api=1&amp;query="&amp;SUBSTITUTE(F1261," ","")),"📲 Avisar al cliente"),"")</f>
        <v/>
      </c>
      <c r="L1261" s="8">
        <f>IF(C1261&lt;&gt;"","https://api.qrserver.com/v1/create-qr-code/?size=200x200&amp;data="&amp;ENCODEURL("https://wa.me/507"&amp;REGEXREPLACE(C1261,"[^0-9]","")&amp;"?text="&amp;ENCODEURL("Ya llegue. Codigo: "&amp;A1261&amp;". Ubicacion: "&amp;"https://www.google.com/maps/search/?api=1&amp;query="&amp;SUBSTITUTE(F1261," ",""))),"")</f>
        <v/>
      </c>
      <c r="M1261" s="8">
        <f>IF(B1261&lt;&gt;"",TODAY(),"")</f>
        <v/>
      </c>
      <c r="N1261" s="8">
        <f>IF(F1261&lt;&gt;"",IFERROR(IF(AND(REGEXMATCH(SUBSTITUTE(TRIM(F1261)," ",""),"^-?\d+(\.\d+)?,-?\d+(\.\d+)?$"),VALUE(REGEXEXTRACT(SUBSTITUTE(TRIM(F1261)," ",""),"^-?\d+(\.\d+)?"))&gt;=-90,VALUE(REGEXEXTRACT(SUBSTITUTE(TRIM(F1261)," ",""),"^-?\d+(\.\d+)?"))&lt;=90,VALUE(REGEXEXTRACT(SUBSTITUTE(TRIM(F1261)," ",""),"-?\d+(\.\d+)?$"))&gt;=-180,VALUE(REGEXEXTRACT(SUBSTITUTE(TRIM(F1261)," ",""),"-?\d+(\.\d+)?$"))&lt;=180),"OK","REVISAR"),"REVISAR"),"")</f>
        <v/>
      </c>
      <c r="O1261">
        <f>IF(A1261&lt;&gt;"","https://direcciones507.github.io/direcciones507/panel.html?codigo="&amp;A1261&amp;"&amp;nombre="&amp;ENCODEURL(B1261)&amp;"&amp;telefono="&amp;SUBSTITUTE(C1261,"-","")&amp;"&amp;referencia="&amp;ENCODEURL(E1261)&amp;"&amp;lat="&amp;IZQUIERDA(SUBSTITUTE(F1261," ",""),ENCONTRAR(",",SUBSTITUTE(F1261," ",""))-1)&amp;"&amp;lng="&amp;DERECHA(SUBSTITUTE(F1261," ",""),LARGO(SUBSTITUTE(F1261," ",""))-ENCONTRAR(",",SUBSTITUTE(F1261," ",""))),"")</f>
        <v/>
      </c>
    </row>
    <row r="1262" ht="15.75" customHeight="1" s="10">
      <c r="A1262" s="8">
        <f>CONCAT("AD507-",TEXT(ROW()-2,"0000"))</f>
        <v/>
      </c>
      <c r="C1262" s="8" t="n"/>
      <c r="F1262" s="8" t="n"/>
      <c r="G1262" s="8">
        <f>IF(F1262&lt;&gt;"",HYPERLINK("https://www.google.com/maps/search/?api=1&amp;query="&amp;SUBSTITUTE(F1262," ",""),"🗺 Google Maps"),"")</f>
        <v/>
      </c>
      <c r="H1262" s="8">
        <f>IF(F1262&lt;&gt;"",HYPERLINK("https://waze.com/ul?ll="&amp;SUBSTITUTE(F1262," ","")&amp;"&amp;navigate=yes","🚗 Waze"),"")</f>
        <v/>
      </c>
      <c r="I1262" s="8">
        <f>IF(F1262&lt;&gt;"",HYPERLINK("https://m.uber.com/ul/?action=setPickup&amp;pickup=my_location&amp;dropoff[latitude]="&amp;LEFT(SUBSTITUTE(F1262," ",""),FIND(",",SUBSTITUTE(F1262," ",""))-1)&amp;"&amp;dropoff[longitude]="&amp;MID(SUBSTITUTE(F1262," ",""),FIND(",",SUBSTITUTE(F1262," ",""))+1,99),"🚕 Uber"),"")</f>
        <v/>
      </c>
      <c r="J1262" s="8">
        <f>IF(F1262&lt;&gt;"","https://api.qrserver.com/v1/create-qr-code/?size=200x200&amp;data="&amp;ENCODEURL("https://www.google.com/maps/search/?api=1&amp;query="&amp;SUBSTITUTE(F1262," ","")),"")</f>
        <v/>
      </c>
      <c r="K1262" s="8">
        <f>IF(C1262&lt;&gt;"",HYPERLINK("https://wa.me/507"&amp;REGEXREPLACE(C1262,"[^0-9]","")&amp;"?text="&amp;ENCODEURL("Ya llegue. Codigo: "&amp;A1262&amp;". Ubicacion: "&amp;"https://www.google.com/maps/search/?api=1&amp;query="&amp;SUBSTITUTE(F1262," ","")),"📲 Avisar al cliente"),"")</f>
        <v/>
      </c>
      <c r="L1262" s="8">
        <f>IF(C1262&lt;&gt;"","https://api.qrserver.com/v1/create-qr-code/?size=200x200&amp;data="&amp;ENCODEURL("https://wa.me/507"&amp;REGEXREPLACE(C1262,"[^0-9]","")&amp;"?text="&amp;ENCODEURL("Ya llegue. Codigo: "&amp;A1262&amp;". Ubicacion: "&amp;"https://www.google.com/maps/search/?api=1&amp;query="&amp;SUBSTITUTE(F1262," ",""))),"")</f>
        <v/>
      </c>
      <c r="M1262" s="8">
        <f>IF(B1262&lt;&gt;"",TODAY(),"")</f>
        <v/>
      </c>
      <c r="N1262" s="8">
        <f>IF(F1262&lt;&gt;"",IFERROR(IF(AND(REGEXMATCH(SUBSTITUTE(TRIM(F1262)," ",""),"^-?\d+(\.\d+)?,-?\d+(\.\d+)?$"),VALUE(REGEXEXTRACT(SUBSTITUTE(TRIM(F1262)," ",""),"^-?\d+(\.\d+)?"))&gt;=-90,VALUE(REGEXEXTRACT(SUBSTITUTE(TRIM(F1262)," ",""),"^-?\d+(\.\d+)?"))&lt;=90,VALUE(REGEXEXTRACT(SUBSTITUTE(TRIM(F1262)," ",""),"-?\d+(\.\d+)?$"))&gt;=-180,VALUE(REGEXEXTRACT(SUBSTITUTE(TRIM(F1262)," ",""),"-?\d+(\.\d+)?$"))&lt;=180),"OK","REVISAR"),"REVISAR"),"")</f>
        <v/>
      </c>
      <c r="O1262">
        <f>IF(A1262&lt;&gt;"","https://direcciones507.github.io/direcciones507/panel.html?codigo="&amp;A1262&amp;"&amp;nombre="&amp;ENCODEURL(B1262)&amp;"&amp;telefono="&amp;SUBSTITUTE(C1262,"-","")&amp;"&amp;referencia="&amp;ENCODEURL(E1262)&amp;"&amp;lat="&amp;IZQUIERDA(SUBSTITUTE(F1262," ",""),ENCONTRAR(",",SUBSTITUTE(F1262," ",""))-1)&amp;"&amp;lng="&amp;DERECHA(SUBSTITUTE(F1262," ",""),LARGO(SUBSTITUTE(F1262," ",""))-ENCONTRAR(",",SUBSTITUTE(F1262," ",""))),"")</f>
        <v/>
      </c>
    </row>
    <row r="1263" ht="15.75" customHeight="1" s="10">
      <c r="A1263" s="8">
        <f>CONCAT("AD507-",TEXT(ROW()-2,"0000"))</f>
        <v/>
      </c>
      <c r="C1263" s="8" t="n"/>
      <c r="F1263" s="8" t="n"/>
      <c r="G1263" s="8">
        <f>IF(F1263&lt;&gt;"",HYPERLINK("https://www.google.com/maps/search/?api=1&amp;query="&amp;SUBSTITUTE(F1263," ",""),"🗺 Google Maps"),"")</f>
        <v/>
      </c>
      <c r="H1263" s="8">
        <f>IF(F1263&lt;&gt;"",HYPERLINK("https://waze.com/ul?ll="&amp;SUBSTITUTE(F1263," ","")&amp;"&amp;navigate=yes","🚗 Waze"),"")</f>
        <v/>
      </c>
      <c r="I1263" s="8">
        <f>IF(F1263&lt;&gt;"",HYPERLINK("https://m.uber.com/ul/?action=setPickup&amp;pickup=my_location&amp;dropoff[latitude]="&amp;LEFT(SUBSTITUTE(F1263," ",""),FIND(",",SUBSTITUTE(F1263," ",""))-1)&amp;"&amp;dropoff[longitude]="&amp;MID(SUBSTITUTE(F1263," ",""),FIND(",",SUBSTITUTE(F1263," ",""))+1,99),"🚕 Uber"),"")</f>
        <v/>
      </c>
      <c r="J1263" s="8">
        <f>IF(F1263&lt;&gt;"","https://api.qrserver.com/v1/create-qr-code/?size=200x200&amp;data="&amp;ENCODEURL("https://www.google.com/maps/search/?api=1&amp;query="&amp;SUBSTITUTE(F1263," ","")),"")</f>
        <v/>
      </c>
      <c r="K1263" s="8">
        <f>IF(C1263&lt;&gt;"",HYPERLINK("https://wa.me/507"&amp;REGEXREPLACE(C1263,"[^0-9]","")&amp;"?text="&amp;ENCODEURL("Ya llegue. Codigo: "&amp;A1263&amp;". Ubicacion: "&amp;"https://www.google.com/maps/search/?api=1&amp;query="&amp;SUBSTITUTE(F1263," ","")),"📲 Avisar al cliente"),"")</f>
        <v/>
      </c>
      <c r="L1263" s="8">
        <f>IF(C1263&lt;&gt;"","https://api.qrserver.com/v1/create-qr-code/?size=200x200&amp;data="&amp;ENCODEURL("https://wa.me/507"&amp;REGEXREPLACE(C1263,"[^0-9]","")&amp;"?text="&amp;ENCODEURL("Ya llegue. Codigo: "&amp;A1263&amp;". Ubicacion: "&amp;"https://www.google.com/maps/search/?api=1&amp;query="&amp;SUBSTITUTE(F1263," ",""))),"")</f>
        <v/>
      </c>
      <c r="M1263" s="8">
        <f>IF(B1263&lt;&gt;"",TODAY(),"")</f>
        <v/>
      </c>
      <c r="N1263" s="8">
        <f>IF(F1263&lt;&gt;"",IFERROR(IF(AND(REGEXMATCH(SUBSTITUTE(TRIM(F1263)," ",""),"^-?\d+(\.\d+)?,-?\d+(\.\d+)?$"),VALUE(REGEXEXTRACT(SUBSTITUTE(TRIM(F1263)," ",""),"^-?\d+(\.\d+)?"))&gt;=-90,VALUE(REGEXEXTRACT(SUBSTITUTE(TRIM(F1263)," ",""),"^-?\d+(\.\d+)?"))&lt;=90,VALUE(REGEXEXTRACT(SUBSTITUTE(TRIM(F1263)," ",""),"-?\d+(\.\d+)?$"))&gt;=-180,VALUE(REGEXEXTRACT(SUBSTITUTE(TRIM(F1263)," ",""),"-?\d+(\.\d+)?$"))&lt;=180),"OK","REVISAR"),"REVISAR"),"")</f>
        <v/>
      </c>
      <c r="O1263">
        <f>IF(A1263&lt;&gt;"","https://direcciones507.github.io/direcciones507/panel.html?codigo="&amp;A1263&amp;"&amp;nombre="&amp;ENCODEURL(B1263)&amp;"&amp;telefono="&amp;SUBSTITUTE(C1263,"-","")&amp;"&amp;referencia="&amp;ENCODEURL(E1263)&amp;"&amp;lat="&amp;IZQUIERDA(SUBSTITUTE(F1263," ",""),ENCONTRAR(",",SUBSTITUTE(F1263," ",""))-1)&amp;"&amp;lng="&amp;DERECHA(SUBSTITUTE(F1263," ",""),LARGO(SUBSTITUTE(F1263," ",""))-ENCONTRAR(",",SUBSTITUTE(F1263," ",""))),"")</f>
        <v/>
      </c>
    </row>
    <row r="1264" ht="15.75" customHeight="1" s="10">
      <c r="A1264" s="8">
        <f>CONCAT("AD507-",TEXT(ROW()-2,"0000"))</f>
        <v/>
      </c>
      <c r="C1264" s="8" t="n"/>
      <c r="F1264" s="8" t="n"/>
      <c r="G1264" s="8">
        <f>IF(F1264&lt;&gt;"",HYPERLINK("https://www.google.com/maps/search/?api=1&amp;query="&amp;SUBSTITUTE(F1264," ",""),"🗺 Google Maps"),"")</f>
        <v/>
      </c>
      <c r="H1264" s="8">
        <f>IF(F1264&lt;&gt;"",HYPERLINK("https://waze.com/ul?ll="&amp;SUBSTITUTE(F1264," ","")&amp;"&amp;navigate=yes","🚗 Waze"),"")</f>
        <v/>
      </c>
      <c r="I1264" s="8">
        <f>IF(F1264&lt;&gt;"",HYPERLINK("https://m.uber.com/ul/?action=setPickup&amp;pickup=my_location&amp;dropoff[latitude]="&amp;LEFT(SUBSTITUTE(F1264," ",""),FIND(",",SUBSTITUTE(F1264," ",""))-1)&amp;"&amp;dropoff[longitude]="&amp;MID(SUBSTITUTE(F1264," ",""),FIND(",",SUBSTITUTE(F1264," ",""))+1,99),"🚕 Uber"),"")</f>
        <v/>
      </c>
      <c r="J1264" s="8">
        <f>IF(F1264&lt;&gt;"","https://api.qrserver.com/v1/create-qr-code/?size=200x200&amp;data="&amp;ENCODEURL("https://www.google.com/maps/search/?api=1&amp;query="&amp;SUBSTITUTE(F1264," ","")),"")</f>
        <v/>
      </c>
      <c r="K1264" s="8">
        <f>IF(C1264&lt;&gt;"",HYPERLINK("https://wa.me/507"&amp;REGEXREPLACE(C1264,"[^0-9]","")&amp;"?text="&amp;ENCODEURL("Ya llegue. Codigo: "&amp;A1264&amp;". Ubicacion: "&amp;"https://www.google.com/maps/search/?api=1&amp;query="&amp;SUBSTITUTE(F1264," ","")),"📲 Avisar al cliente"),"")</f>
        <v/>
      </c>
      <c r="L1264" s="8">
        <f>IF(C1264&lt;&gt;"","https://api.qrserver.com/v1/create-qr-code/?size=200x200&amp;data="&amp;ENCODEURL("https://wa.me/507"&amp;REGEXREPLACE(C1264,"[^0-9]","")&amp;"?text="&amp;ENCODEURL("Ya llegue. Codigo: "&amp;A1264&amp;". Ubicacion: "&amp;"https://www.google.com/maps/search/?api=1&amp;query="&amp;SUBSTITUTE(F1264," ",""))),"")</f>
        <v/>
      </c>
      <c r="M1264" s="8">
        <f>IF(B1264&lt;&gt;"",TODAY(),"")</f>
        <v/>
      </c>
      <c r="N1264" s="8">
        <f>IF(F1264&lt;&gt;"",IFERROR(IF(AND(REGEXMATCH(SUBSTITUTE(TRIM(F1264)," ",""),"^-?\d+(\.\d+)?,-?\d+(\.\d+)?$"),VALUE(REGEXEXTRACT(SUBSTITUTE(TRIM(F1264)," ",""),"^-?\d+(\.\d+)?"))&gt;=-90,VALUE(REGEXEXTRACT(SUBSTITUTE(TRIM(F1264)," ",""),"^-?\d+(\.\d+)?"))&lt;=90,VALUE(REGEXEXTRACT(SUBSTITUTE(TRIM(F1264)," ",""),"-?\d+(\.\d+)?$"))&gt;=-180,VALUE(REGEXEXTRACT(SUBSTITUTE(TRIM(F1264)," ",""),"-?\d+(\.\d+)?$"))&lt;=180),"OK","REVISAR"),"REVISAR"),"")</f>
        <v/>
      </c>
      <c r="O1264">
        <f>IF(A1264&lt;&gt;"","https://direcciones507.github.io/direcciones507/panel.html?codigo="&amp;A1264&amp;"&amp;nombre="&amp;ENCODEURL(B1264)&amp;"&amp;telefono="&amp;SUBSTITUTE(C1264,"-","")&amp;"&amp;referencia="&amp;ENCODEURL(E1264)&amp;"&amp;lat="&amp;IZQUIERDA(SUBSTITUTE(F1264," ",""),ENCONTRAR(",",SUBSTITUTE(F1264," ",""))-1)&amp;"&amp;lng="&amp;DERECHA(SUBSTITUTE(F1264," ",""),LARGO(SUBSTITUTE(F1264," ",""))-ENCONTRAR(",",SUBSTITUTE(F1264," ",""))),"")</f>
        <v/>
      </c>
    </row>
    <row r="1265" ht="15.75" customHeight="1" s="10">
      <c r="A1265" s="8">
        <f>CONCAT("AD507-",TEXT(ROW()-2,"0000"))</f>
        <v/>
      </c>
      <c r="C1265" s="8" t="n"/>
      <c r="F1265" s="8" t="n"/>
      <c r="G1265" s="8">
        <f>IF(F1265&lt;&gt;"",HYPERLINK("https://www.google.com/maps/search/?api=1&amp;query="&amp;SUBSTITUTE(F1265," ",""),"🗺 Google Maps"),"")</f>
        <v/>
      </c>
      <c r="H1265" s="8">
        <f>IF(F1265&lt;&gt;"",HYPERLINK("https://waze.com/ul?ll="&amp;SUBSTITUTE(F1265," ","")&amp;"&amp;navigate=yes","🚗 Waze"),"")</f>
        <v/>
      </c>
      <c r="I1265" s="8">
        <f>IF(F1265&lt;&gt;"",HYPERLINK("https://m.uber.com/ul/?action=setPickup&amp;pickup=my_location&amp;dropoff[latitude]="&amp;LEFT(SUBSTITUTE(F1265," ",""),FIND(",",SUBSTITUTE(F1265," ",""))-1)&amp;"&amp;dropoff[longitude]="&amp;MID(SUBSTITUTE(F1265," ",""),FIND(",",SUBSTITUTE(F1265," ",""))+1,99),"🚕 Uber"),"")</f>
        <v/>
      </c>
      <c r="J1265" s="8">
        <f>IF(F1265&lt;&gt;"","https://api.qrserver.com/v1/create-qr-code/?size=200x200&amp;data="&amp;ENCODEURL("https://www.google.com/maps/search/?api=1&amp;query="&amp;SUBSTITUTE(F1265," ","")),"")</f>
        <v/>
      </c>
      <c r="K1265" s="8">
        <f>IF(C1265&lt;&gt;"",HYPERLINK("https://wa.me/507"&amp;REGEXREPLACE(C1265,"[^0-9]","")&amp;"?text="&amp;ENCODEURL("Ya llegue. Codigo: "&amp;A1265&amp;". Ubicacion: "&amp;"https://www.google.com/maps/search/?api=1&amp;query="&amp;SUBSTITUTE(F1265," ","")),"📲 Avisar al cliente"),"")</f>
        <v/>
      </c>
      <c r="L1265" s="8">
        <f>IF(C1265&lt;&gt;"","https://api.qrserver.com/v1/create-qr-code/?size=200x200&amp;data="&amp;ENCODEURL("https://wa.me/507"&amp;REGEXREPLACE(C1265,"[^0-9]","")&amp;"?text="&amp;ENCODEURL("Ya llegue. Codigo: "&amp;A1265&amp;". Ubicacion: "&amp;"https://www.google.com/maps/search/?api=1&amp;query="&amp;SUBSTITUTE(F1265," ",""))),"")</f>
        <v/>
      </c>
      <c r="M1265" s="8">
        <f>IF(B1265&lt;&gt;"",TODAY(),"")</f>
        <v/>
      </c>
      <c r="N1265" s="8">
        <f>IF(F1265&lt;&gt;"",IFERROR(IF(AND(REGEXMATCH(SUBSTITUTE(TRIM(F1265)," ",""),"^-?\d+(\.\d+)?,-?\d+(\.\d+)?$"),VALUE(REGEXEXTRACT(SUBSTITUTE(TRIM(F1265)," ",""),"^-?\d+(\.\d+)?"))&gt;=-90,VALUE(REGEXEXTRACT(SUBSTITUTE(TRIM(F1265)," ",""),"^-?\d+(\.\d+)?"))&lt;=90,VALUE(REGEXEXTRACT(SUBSTITUTE(TRIM(F1265)," ",""),"-?\d+(\.\d+)?$"))&gt;=-180,VALUE(REGEXEXTRACT(SUBSTITUTE(TRIM(F1265)," ",""),"-?\d+(\.\d+)?$"))&lt;=180),"OK","REVISAR"),"REVISAR"),"")</f>
        <v/>
      </c>
      <c r="O1265">
        <f>IF(A1265&lt;&gt;"","https://direcciones507.github.io/direcciones507/panel.html?codigo="&amp;A1265&amp;"&amp;nombre="&amp;ENCODEURL(B1265)&amp;"&amp;telefono="&amp;SUBSTITUTE(C1265,"-","")&amp;"&amp;referencia="&amp;ENCODEURL(E1265)&amp;"&amp;lat="&amp;IZQUIERDA(SUBSTITUTE(F1265," ",""),ENCONTRAR(",",SUBSTITUTE(F1265," ",""))-1)&amp;"&amp;lng="&amp;DERECHA(SUBSTITUTE(F1265," ",""),LARGO(SUBSTITUTE(F1265," ",""))-ENCONTRAR(",",SUBSTITUTE(F1265," ",""))),"")</f>
        <v/>
      </c>
    </row>
    <row r="1266" ht="15.75" customHeight="1" s="10">
      <c r="A1266" s="8">
        <f>CONCAT("AD507-",TEXT(ROW()-2,"0000"))</f>
        <v/>
      </c>
      <c r="C1266" s="8" t="n"/>
      <c r="F1266" s="8" t="n"/>
      <c r="G1266" s="8">
        <f>IF(F1266&lt;&gt;"",HYPERLINK("https://www.google.com/maps/search/?api=1&amp;query="&amp;SUBSTITUTE(F1266," ",""),"🗺 Google Maps"),"")</f>
        <v/>
      </c>
      <c r="H1266" s="8">
        <f>IF(F1266&lt;&gt;"",HYPERLINK("https://waze.com/ul?ll="&amp;SUBSTITUTE(F1266," ","")&amp;"&amp;navigate=yes","🚗 Waze"),"")</f>
        <v/>
      </c>
      <c r="I1266" s="8">
        <f>IF(F1266&lt;&gt;"",HYPERLINK("https://m.uber.com/ul/?action=setPickup&amp;pickup=my_location&amp;dropoff[latitude]="&amp;LEFT(SUBSTITUTE(F1266," ",""),FIND(",",SUBSTITUTE(F1266," ",""))-1)&amp;"&amp;dropoff[longitude]="&amp;MID(SUBSTITUTE(F1266," ",""),FIND(",",SUBSTITUTE(F1266," ",""))+1,99),"🚕 Uber"),"")</f>
        <v/>
      </c>
      <c r="J1266" s="8">
        <f>IF(F1266&lt;&gt;"","https://api.qrserver.com/v1/create-qr-code/?size=200x200&amp;data="&amp;ENCODEURL("https://www.google.com/maps/search/?api=1&amp;query="&amp;SUBSTITUTE(F1266," ","")),"")</f>
        <v/>
      </c>
      <c r="K1266" s="8">
        <f>IF(C1266&lt;&gt;"",HYPERLINK("https://wa.me/507"&amp;REGEXREPLACE(C1266,"[^0-9]","")&amp;"?text="&amp;ENCODEURL("Ya llegue. Codigo: "&amp;A1266&amp;". Ubicacion: "&amp;"https://www.google.com/maps/search/?api=1&amp;query="&amp;SUBSTITUTE(F1266," ","")),"📲 Avisar al cliente"),"")</f>
        <v/>
      </c>
      <c r="L1266" s="8">
        <f>IF(C1266&lt;&gt;"","https://api.qrserver.com/v1/create-qr-code/?size=200x200&amp;data="&amp;ENCODEURL("https://wa.me/507"&amp;REGEXREPLACE(C1266,"[^0-9]","")&amp;"?text="&amp;ENCODEURL("Ya llegue. Codigo: "&amp;A1266&amp;". Ubicacion: "&amp;"https://www.google.com/maps/search/?api=1&amp;query="&amp;SUBSTITUTE(F1266," ",""))),"")</f>
        <v/>
      </c>
      <c r="M1266" s="8">
        <f>IF(B1266&lt;&gt;"",TODAY(),"")</f>
        <v/>
      </c>
      <c r="N1266" s="8">
        <f>IF(F1266&lt;&gt;"",IFERROR(IF(AND(REGEXMATCH(SUBSTITUTE(TRIM(F1266)," ",""),"^-?\d+(\.\d+)?,-?\d+(\.\d+)?$"),VALUE(REGEXEXTRACT(SUBSTITUTE(TRIM(F1266)," ",""),"^-?\d+(\.\d+)?"))&gt;=-90,VALUE(REGEXEXTRACT(SUBSTITUTE(TRIM(F1266)," ",""),"^-?\d+(\.\d+)?"))&lt;=90,VALUE(REGEXEXTRACT(SUBSTITUTE(TRIM(F1266)," ",""),"-?\d+(\.\d+)?$"))&gt;=-180,VALUE(REGEXEXTRACT(SUBSTITUTE(TRIM(F1266)," ",""),"-?\d+(\.\d+)?$"))&lt;=180),"OK","REVISAR"),"REVISAR"),"")</f>
        <v/>
      </c>
      <c r="O1266">
        <f>IF(A1266&lt;&gt;"","https://direcciones507.github.io/direcciones507/panel.html?codigo="&amp;A1266&amp;"&amp;nombre="&amp;ENCODEURL(B1266)&amp;"&amp;telefono="&amp;SUBSTITUTE(C1266,"-","")&amp;"&amp;referencia="&amp;ENCODEURL(E1266)&amp;"&amp;lat="&amp;IZQUIERDA(SUBSTITUTE(F1266," ",""),ENCONTRAR(",",SUBSTITUTE(F1266," ",""))-1)&amp;"&amp;lng="&amp;DERECHA(SUBSTITUTE(F1266," ",""),LARGO(SUBSTITUTE(F1266," ",""))-ENCONTRAR(",",SUBSTITUTE(F1266," ",""))),"")</f>
        <v/>
      </c>
    </row>
    <row r="1267" ht="15.75" customHeight="1" s="10">
      <c r="A1267" s="8">
        <f>CONCAT("AD507-",TEXT(ROW()-2,"0000"))</f>
        <v/>
      </c>
      <c r="C1267" s="8" t="n"/>
      <c r="F1267" s="8" t="n"/>
      <c r="G1267" s="8">
        <f>IF(F1267&lt;&gt;"",HYPERLINK("https://www.google.com/maps/search/?api=1&amp;query="&amp;SUBSTITUTE(F1267," ",""),"🗺 Google Maps"),"")</f>
        <v/>
      </c>
      <c r="H1267" s="8">
        <f>IF(F1267&lt;&gt;"",HYPERLINK("https://waze.com/ul?ll="&amp;SUBSTITUTE(F1267," ","")&amp;"&amp;navigate=yes","🚗 Waze"),"")</f>
        <v/>
      </c>
      <c r="I1267" s="8">
        <f>IF(F1267&lt;&gt;"",HYPERLINK("https://m.uber.com/ul/?action=setPickup&amp;pickup=my_location&amp;dropoff[latitude]="&amp;LEFT(SUBSTITUTE(F1267," ",""),FIND(",",SUBSTITUTE(F1267," ",""))-1)&amp;"&amp;dropoff[longitude]="&amp;MID(SUBSTITUTE(F1267," ",""),FIND(",",SUBSTITUTE(F1267," ",""))+1,99),"🚕 Uber"),"")</f>
        <v/>
      </c>
      <c r="J1267" s="8">
        <f>IF(F1267&lt;&gt;"","https://api.qrserver.com/v1/create-qr-code/?size=200x200&amp;data="&amp;ENCODEURL("https://www.google.com/maps/search/?api=1&amp;query="&amp;SUBSTITUTE(F1267," ","")),"")</f>
        <v/>
      </c>
      <c r="K1267" s="8">
        <f>IF(C1267&lt;&gt;"",HYPERLINK("https://wa.me/507"&amp;REGEXREPLACE(C1267,"[^0-9]","")&amp;"?text="&amp;ENCODEURL("Ya llegue. Codigo: "&amp;A1267&amp;". Ubicacion: "&amp;"https://www.google.com/maps/search/?api=1&amp;query="&amp;SUBSTITUTE(F1267," ","")),"📲 Avisar al cliente"),"")</f>
        <v/>
      </c>
      <c r="L1267" s="8">
        <f>IF(C1267&lt;&gt;"","https://api.qrserver.com/v1/create-qr-code/?size=200x200&amp;data="&amp;ENCODEURL("https://wa.me/507"&amp;REGEXREPLACE(C1267,"[^0-9]","")&amp;"?text="&amp;ENCODEURL("Ya llegue. Codigo: "&amp;A1267&amp;". Ubicacion: "&amp;"https://www.google.com/maps/search/?api=1&amp;query="&amp;SUBSTITUTE(F1267," ",""))),"")</f>
        <v/>
      </c>
      <c r="M1267" s="8">
        <f>IF(B1267&lt;&gt;"",TODAY(),"")</f>
        <v/>
      </c>
      <c r="N1267" s="8">
        <f>IF(F1267&lt;&gt;"",IFERROR(IF(AND(REGEXMATCH(SUBSTITUTE(TRIM(F1267)," ",""),"^-?\d+(\.\d+)?,-?\d+(\.\d+)?$"),VALUE(REGEXEXTRACT(SUBSTITUTE(TRIM(F1267)," ",""),"^-?\d+(\.\d+)?"))&gt;=-90,VALUE(REGEXEXTRACT(SUBSTITUTE(TRIM(F1267)," ",""),"^-?\d+(\.\d+)?"))&lt;=90,VALUE(REGEXEXTRACT(SUBSTITUTE(TRIM(F1267)," ",""),"-?\d+(\.\d+)?$"))&gt;=-180,VALUE(REGEXEXTRACT(SUBSTITUTE(TRIM(F1267)," ",""),"-?\d+(\.\d+)?$"))&lt;=180),"OK","REVISAR"),"REVISAR"),"")</f>
        <v/>
      </c>
      <c r="O1267">
        <f>IF(A1267&lt;&gt;"","https://direcciones507.github.io/direcciones507/panel.html?codigo="&amp;A1267&amp;"&amp;nombre="&amp;ENCODEURL(B1267)&amp;"&amp;telefono="&amp;SUBSTITUTE(C1267,"-","")&amp;"&amp;referencia="&amp;ENCODEURL(E1267)&amp;"&amp;lat="&amp;IZQUIERDA(SUBSTITUTE(F1267," ",""),ENCONTRAR(",",SUBSTITUTE(F1267," ",""))-1)&amp;"&amp;lng="&amp;DERECHA(SUBSTITUTE(F1267," ",""),LARGO(SUBSTITUTE(F1267," ",""))-ENCONTRAR(",",SUBSTITUTE(F1267," ",""))),"")</f>
        <v/>
      </c>
    </row>
    <row r="1268" ht="15.75" customHeight="1" s="10">
      <c r="A1268" s="8">
        <f>CONCAT("AD507-",TEXT(ROW()-2,"0000"))</f>
        <v/>
      </c>
      <c r="C1268" s="8" t="n"/>
      <c r="F1268" s="8" t="n"/>
      <c r="G1268" s="8">
        <f>IF(F1268&lt;&gt;"",HYPERLINK("https://www.google.com/maps/search/?api=1&amp;query="&amp;SUBSTITUTE(F1268," ",""),"🗺 Google Maps"),"")</f>
        <v/>
      </c>
      <c r="H1268" s="8">
        <f>IF(F1268&lt;&gt;"",HYPERLINK("https://waze.com/ul?ll="&amp;SUBSTITUTE(F1268," ","")&amp;"&amp;navigate=yes","🚗 Waze"),"")</f>
        <v/>
      </c>
      <c r="I1268" s="8">
        <f>IF(F1268&lt;&gt;"",HYPERLINK("https://m.uber.com/ul/?action=setPickup&amp;pickup=my_location&amp;dropoff[latitude]="&amp;LEFT(SUBSTITUTE(F1268," ",""),FIND(",",SUBSTITUTE(F1268," ",""))-1)&amp;"&amp;dropoff[longitude]="&amp;MID(SUBSTITUTE(F1268," ",""),FIND(",",SUBSTITUTE(F1268," ",""))+1,99),"🚕 Uber"),"")</f>
        <v/>
      </c>
      <c r="J1268" s="8">
        <f>IF(F1268&lt;&gt;"","https://api.qrserver.com/v1/create-qr-code/?size=200x200&amp;data="&amp;ENCODEURL("https://www.google.com/maps/search/?api=1&amp;query="&amp;SUBSTITUTE(F1268," ","")),"")</f>
        <v/>
      </c>
      <c r="K1268" s="8">
        <f>IF(C1268&lt;&gt;"",HYPERLINK("https://wa.me/507"&amp;REGEXREPLACE(C1268,"[^0-9]","")&amp;"?text="&amp;ENCODEURL("Ya llegue. Codigo: "&amp;A1268&amp;". Ubicacion: "&amp;"https://www.google.com/maps/search/?api=1&amp;query="&amp;SUBSTITUTE(F1268," ","")),"📲 Avisar al cliente"),"")</f>
        <v/>
      </c>
      <c r="L1268" s="8">
        <f>IF(C1268&lt;&gt;"","https://api.qrserver.com/v1/create-qr-code/?size=200x200&amp;data="&amp;ENCODEURL("https://wa.me/507"&amp;REGEXREPLACE(C1268,"[^0-9]","")&amp;"?text="&amp;ENCODEURL("Ya llegue. Codigo: "&amp;A1268&amp;". Ubicacion: "&amp;"https://www.google.com/maps/search/?api=1&amp;query="&amp;SUBSTITUTE(F1268," ",""))),"")</f>
        <v/>
      </c>
      <c r="M1268" s="8">
        <f>IF(B1268&lt;&gt;"",TODAY(),"")</f>
        <v/>
      </c>
      <c r="N1268" s="8">
        <f>IF(F1268&lt;&gt;"",IFERROR(IF(AND(REGEXMATCH(SUBSTITUTE(TRIM(F1268)," ",""),"^-?\d+(\.\d+)?,-?\d+(\.\d+)?$"),VALUE(REGEXEXTRACT(SUBSTITUTE(TRIM(F1268)," ",""),"^-?\d+(\.\d+)?"))&gt;=-90,VALUE(REGEXEXTRACT(SUBSTITUTE(TRIM(F1268)," ",""),"^-?\d+(\.\d+)?"))&lt;=90,VALUE(REGEXEXTRACT(SUBSTITUTE(TRIM(F1268)," ",""),"-?\d+(\.\d+)?$"))&gt;=-180,VALUE(REGEXEXTRACT(SUBSTITUTE(TRIM(F1268)," ",""),"-?\d+(\.\d+)?$"))&lt;=180),"OK","REVISAR"),"REVISAR"),"")</f>
        <v/>
      </c>
      <c r="O1268">
        <f>IF(A1268&lt;&gt;"","https://direcciones507.github.io/direcciones507/panel.html?codigo="&amp;A1268&amp;"&amp;nombre="&amp;ENCODEURL(B1268)&amp;"&amp;telefono="&amp;SUBSTITUTE(C1268,"-","")&amp;"&amp;referencia="&amp;ENCODEURL(E1268)&amp;"&amp;lat="&amp;IZQUIERDA(SUBSTITUTE(F1268," ",""),ENCONTRAR(",",SUBSTITUTE(F1268," ",""))-1)&amp;"&amp;lng="&amp;DERECHA(SUBSTITUTE(F1268," ",""),LARGO(SUBSTITUTE(F1268," ",""))-ENCONTRAR(",",SUBSTITUTE(F1268," ",""))),"")</f>
        <v/>
      </c>
    </row>
    <row r="1269" ht="15.75" customHeight="1" s="10">
      <c r="A1269" s="8">
        <f>CONCAT("AD507-",TEXT(ROW()-2,"0000"))</f>
        <v/>
      </c>
      <c r="C1269" s="8" t="n"/>
      <c r="F1269" s="8" t="n"/>
      <c r="G1269" s="8">
        <f>IF(F1269&lt;&gt;"",HYPERLINK("https://www.google.com/maps/search/?api=1&amp;query="&amp;SUBSTITUTE(F1269," ",""),"🗺 Google Maps"),"")</f>
        <v/>
      </c>
      <c r="H1269" s="8">
        <f>IF(F1269&lt;&gt;"",HYPERLINK("https://waze.com/ul?ll="&amp;SUBSTITUTE(F1269," ","")&amp;"&amp;navigate=yes","🚗 Waze"),"")</f>
        <v/>
      </c>
      <c r="I1269" s="8">
        <f>IF(F1269&lt;&gt;"",HYPERLINK("https://m.uber.com/ul/?action=setPickup&amp;pickup=my_location&amp;dropoff[latitude]="&amp;LEFT(SUBSTITUTE(F1269," ",""),FIND(",",SUBSTITUTE(F1269," ",""))-1)&amp;"&amp;dropoff[longitude]="&amp;MID(SUBSTITUTE(F1269," ",""),FIND(",",SUBSTITUTE(F1269," ",""))+1,99),"🚕 Uber"),"")</f>
        <v/>
      </c>
      <c r="J1269" s="8">
        <f>IF(F1269&lt;&gt;"","https://api.qrserver.com/v1/create-qr-code/?size=200x200&amp;data="&amp;ENCODEURL("https://www.google.com/maps/search/?api=1&amp;query="&amp;SUBSTITUTE(F1269," ","")),"")</f>
        <v/>
      </c>
      <c r="K1269" s="8">
        <f>IF(C1269&lt;&gt;"",HYPERLINK("https://wa.me/507"&amp;REGEXREPLACE(C1269,"[^0-9]","")&amp;"?text="&amp;ENCODEURL("Ya llegue. Codigo: "&amp;A1269&amp;". Ubicacion: "&amp;"https://www.google.com/maps/search/?api=1&amp;query="&amp;SUBSTITUTE(F1269," ","")),"📲 Avisar al cliente"),"")</f>
        <v/>
      </c>
      <c r="L1269" s="8">
        <f>IF(C1269&lt;&gt;"","https://api.qrserver.com/v1/create-qr-code/?size=200x200&amp;data="&amp;ENCODEURL("https://wa.me/507"&amp;REGEXREPLACE(C1269,"[^0-9]","")&amp;"?text="&amp;ENCODEURL("Ya llegue. Codigo: "&amp;A1269&amp;". Ubicacion: "&amp;"https://www.google.com/maps/search/?api=1&amp;query="&amp;SUBSTITUTE(F1269," ",""))),"")</f>
        <v/>
      </c>
      <c r="M1269" s="8">
        <f>IF(B1269&lt;&gt;"",TODAY(),"")</f>
        <v/>
      </c>
      <c r="N1269" s="8">
        <f>IF(F1269&lt;&gt;"",IFERROR(IF(AND(REGEXMATCH(SUBSTITUTE(TRIM(F1269)," ",""),"^-?\d+(\.\d+)?,-?\d+(\.\d+)?$"),VALUE(REGEXEXTRACT(SUBSTITUTE(TRIM(F1269)," ",""),"^-?\d+(\.\d+)?"))&gt;=-90,VALUE(REGEXEXTRACT(SUBSTITUTE(TRIM(F1269)," ",""),"^-?\d+(\.\d+)?"))&lt;=90,VALUE(REGEXEXTRACT(SUBSTITUTE(TRIM(F1269)," ",""),"-?\d+(\.\d+)?$"))&gt;=-180,VALUE(REGEXEXTRACT(SUBSTITUTE(TRIM(F1269)," ",""),"-?\d+(\.\d+)?$"))&lt;=180),"OK","REVISAR"),"REVISAR"),"")</f>
        <v/>
      </c>
      <c r="O1269">
        <f>IF(A1269&lt;&gt;"","https://direcciones507.github.io/direcciones507/panel.html?codigo="&amp;A1269&amp;"&amp;nombre="&amp;ENCODEURL(B1269)&amp;"&amp;telefono="&amp;SUBSTITUTE(C1269,"-","")&amp;"&amp;referencia="&amp;ENCODEURL(E1269)&amp;"&amp;lat="&amp;IZQUIERDA(SUBSTITUTE(F1269," ",""),ENCONTRAR(",",SUBSTITUTE(F1269," ",""))-1)&amp;"&amp;lng="&amp;DERECHA(SUBSTITUTE(F1269," ",""),LARGO(SUBSTITUTE(F1269," ",""))-ENCONTRAR(",",SUBSTITUTE(F1269," ",""))),"")</f>
        <v/>
      </c>
    </row>
    <row r="1270" ht="15.75" customHeight="1" s="10">
      <c r="A1270" s="8">
        <f>CONCAT("AD507-",TEXT(ROW()-2,"0000"))</f>
        <v/>
      </c>
      <c r="C1270" s="8" t="n"/>
      <c r="F1270" s="8" t="n"/>
      <c r="G1270" s="8">
        <f>IF(F1270&lt;&gt;"",HYPERLINK("https://www.google.com/maps/search/?api=1&amp;query="&amp;SUBSTITUTE(F1270," ",""),"🗺 Google Maps"),"")</f>
        <v/>
      </c>
      <c r="H1270" s="8">
        <f>IF(F1270&lt;&gt;"",HYPERLINK("https://waze.com/ul?ll="&amp;SUBSTITUTE(F1270," ","")&amp;"&amp;navigate=yes","🚗 Waze"),"")</f>
        <v/>
      </c>
      <c r="I1270" s="8">
        <f>IF(F1270&lt;&gt;"",HYPERLINK("https://m.uber.com/ul/?action=setPickup&amp;pickup=my_location&amp;dropoff[latitude]="&amp;LEFT(SUBSTITUTE(F1270," ",""),FIND(",",SUBSTITUTE(F1270," ",""))-1)&amp;"&amp;dropoff[longitude]="&amp;MID(SUBSTITUTE(F1270," ",""),FIND(",",SUBSTITUTE(F1270," ",""))+1,99),"🚕 Uber"),"")</f>
        <v/>
      </c>
      <c r="J1270" s="8">
        <f>IF(F1270&lt;&gt;"","https://api.qrserver.com/v1/create-qr-code/?size=200x200&amp;data="&amp;ENCODEURL("https://www.google.com/maps/search/?api=1&amp;query="&amp;SUBSTITUTE(F1270," ","")),"")</f>
        <v/>
      </c>
      <c r="K1270" s="8">
        <f>IF(C1270&lt;&gt;"",HYPERLINK("https://wa.me/507"&amp;REGEXREPLACE(C1270,"[^0-9]","")&amp;"?text="&amp;ENCODEURL("Ya llegue. Codigo: "&amp;A1270&amp;". Ubicacion: "&amp;"https://www.google.com/maps/search/?api=1&amp;query="&amp;SUBSTITUTE(F1270," ","")),"📲 Avisar al cliente"),"")</f>
        <v/>
      </c>
      <c r="L1270" s="8">
        <f>IF(C1270&lt;&gt;"","https://api.qrserver.com/v1/create-qr-code/?size=200x200&amp;data="&amp;ENCODEURL("https://wa.me/507"&amp;REGEXREPLACE(C1270,"[^0-9]","")&amp;"?text="&amp;ENCODEURL("Ya llegue. Codigo: "&amp;A1270&amp;". Ubicacion: "&amp;"https://www.google.com/maps/search/?api=1&amp;query="&amp;SUBSTITUTE(F1270," ",""))),"")</f>
        <v/>
      </c>
      <c r="M1270" s="8">
        <f>IF(B1270&lt;&gt;"",TODAY(),"")</f>
        <v/>
      </c>
      <c r="N1270" s="8">
        <f>IF(F1270&lt;&gt;"",IFERROR(IF(AND(REGEXMATCH(SUBSTITUTE(TRIM(F1270)," ",""),"^-?\d+(\.\d+)?,-?\d+(\.\d+)?$"),VALUE(REGEXEXTRACT(SUBSTITUTE(TRIM(F1270)," ",""),"^-?\d+(\.\d+)?"))&gt;=-90,VALUE(REGEXEXTRACT(SUBSTITUTE(TRIM(F1270)," ",""),"^-?\d+(\.\d+)?"))&lt;=90,VALUE(REGEXEXTRACT(SUBSTITUTE(TRIM(F1270)," ",""),"-?\d+(\.\d+)?$"))&gt;=-180,VALUE(REGEXEXTRACT(SUBSTITUTE(TRIM(F1270)," ",""),"-?\d+(\.\d+)?$"))&lt;=180),"OK","REVISAR"),"REVISAR"),"")</f>
        <v/>
      </c>
      <c r="O1270">
        <f>IF(A1270&lt;&gt;"","https://direcciones507.github.io/direcciones507/panel.html?codigo="&amp;A1270&amp;"&amp;nombre="&amp;ENCODEURL(B1270)&amp;"&amp;telefono="&amp;SUBSTITUTE(C1270,"-","")&amp;"&amp;referencia="&amp;ENCODEURL(E1270)&amp;"&amp;lat="&amp;IZQUIERDA(SUBSTITUTE(F1270," ",""),ENCONTRAR(",",SUBSTITUTE(F1270," ",""))-1)&amp;"&amp;lng="&amp;DERECHA(SUBSTITUTE(F1270," ",""),LARGO(SUBSTITUTE(F1270," ",""))-ENCONTRAR(",",SUBSTITUTE(F1270," ",""))),"")</f>
        <v/>
      </c>
    </row>
    <row r="1271" ht="15.75" customHeight="1" s="10">
      <c r="A1271" s="8">
        <f>CONCAT("AD507-",TEXT(ROW()-2,"0000"))</f>
        <v/>
      </c>
      <c r="C1271" s="8" t="n"/>
      <c r="F1271" s="8" t="n"/>
      <c r="G1271" s="8">
        <f>IF(F1271&lt;&gt;"",HYPERLINK("https://www.google.com/maps/search/?api=1&amp;query="&amp;SUBSTITUTE(F1271," ",""),"🗺 Google Maps"),"")</f>
        <v/>
      </c>
      <c r="H1271" s="8">
        <f>IF(F1271&lt;&gt;"",HYPERLINK("https://waze.com/ul?ll="&amp;SUBSTITUTE(F1271," ","")&amp;"&amp;navigate=yes","🚗 Waze"),"")</f>
        <v/>
      </c>
      <c r="I1271" s="8">
        <f>IF(F1271&lt;&gt;"",HYPERLINK("https://m.uber.com/ul/?action=setPickup&amp;pickup=my_location&amp;dropoff[latitude]="&amp;LEFT(SUBSTITUTE(F1271," ",""),FIND(",",SUBSTITUTE(F1271," ",""))-1)&amp;"&amp;dropoff[longitude]="&amp;MID(SUBSTITUTE(F1271," ",""),FIND(",",SUBSTITUTE(F1271," ",""))+1,99),"🚕 Uber"),"")</f>
        <v/>
      </c>
      <c r="J1271" s="8">
        <f>IF(F1271&lt;&gt;"","https://api.qrserver.com/v1/create-qr-code/?size=200x200&amp;data="&amp;ENCODEURL("https://www.google.com/maps/search/?api=1&amp;query="&amp;SUBSTITUTE(F1271," ","")),"")</f>
        <v/>
      </c>
      <c r="K1271" s="8">
        <f>IF(C1271&lt;&gt;"",HYPERLINK("https://wa.me/507"&amp;REGEXREPLACE(C1271,"[^0-9]","")&amp;"?text="&amp;ENCODEURL("Ya llegue. Codigo: "&amp;A1271&amp;". Ubicacion: "&amp;"https://www.google.com/maps/search/?api=1&amp;query="&amp;SUBSTITUTE(F1271," ","")),"📲 Avisar al cliente"),"")</f>
        <v/>
      </c>
      <c r="L1271" s="8">
        <f>IF(C1271&lt;&gt;"","https://api.qrserver.com/v1/create-qr-code/?size=200x200&amp;data="&amp;ENCODEURL("https://wa.me/507"&amp;REGEXREPLACE(C1271,"[^0-9]","")&amp;"?text="&amp;ENCODEURL("Ya llegue. Codigo: "&amp;A1271&amp;". Ubicacion: "&amp;"https://www.google.com/maps/search/?api=1&amp;query="&amp;SUBSTITUTE(F1271," ",""))),"")</f>
        <v/>
      </c>
      <c r="M1271" s="8">
        <f>IF(B1271&lt;&gt;"",TODAY(),"")</f>
        <v/>
      </c>
      <c r="N1271" s="8">
        <f>IF(F1271&lt;&gt;"",IFERROR(IF(AND(REGEXMATCH(SUBSTITUTE(TRIM(F1271)," ",""),"^-?\d+(\.\d+)?,-?\d+(\.\d+)?$"),VALUE(REGEXEXTRACT(SUBSTITUTE(TRIM(F1271)," ",""),"^-?\d+(\.\d+)?"))&gt;=-90,VALUE(REGEXEXTRACT(SUBSTITUTE(TRIM(F1271)," ",""),"^-?\d+(\.\d+)?"))&lt;=90,VALUE(REGEXEXTRACT(SUBSTITUTE(TRIM(F1271)," ",""),"-?\d+(\.\d+)?$"))&gt;=-180,VALUE(REGEXEXTRACT(SUBSTITUTE(TRIM(F1271)," ",""),"-?\d+(\.\d+)?$"))&lt;=180),"OK","REVISAR"),"REVISAR"),"")</f>
        <v/>
      </c>
      <c r="O1271">
        <f>IF(A1271&lt;&gt;"","https://direcciones507.github.io/direcciones507/panel.html?codigo="&amp;A1271&amp;"&amp;nombre="&amp;ENCODEURL(B1271)&amp;"&amp;telefono="&amp;SUBSTITUTE(C1271,"-","")&amp;"&amp;referencia="&amp;ENCODEURL(E1271)&amp;"&amp;lat="&amp;IZQUIERDA(SUBSTITUTE(F1271," ",""),ENCONTRAR(",",SUBSTITUTE(F1271," ",""))-1)&amp;"&amp;lng="&amp;DERECHA(SUBSTITUTE(F1271," ",""),LARGO(SUBSTITUTE(F1271," ",""))-ENCONTRAR(",",SUBSTITUTE(F1271," ",""))),"")</f>
        <v/>
      </c>
    </row>
    <row r="1272" ht="15.75" customHeight="1" s="10">
      <c r="A1272" s="8">
        <f>CONCAT("AD507-",TEXT(ROW()-2,"0000"))</f>
        <v/>
      </c>
      <c r="C1272" s="8" t="n"/>
      <c r="F1272" s="8" t="n"/>
      <c r="G1272" s="8">
        <f>IF(F1272&lt;&gt;"",HYPERLINK("https://www.google.com/maps/search/?api=1&amp;query="&amp;SUBSTITUTE(F1272," ",""),"🗺 Google Maps"),"")</f>
        <v/>
      </c>
      <c r="H1272" s="8">
        <f>IF(F1272&lt;&gt;"",HYPERLINK("https://waze.com/ul?ll="&amp;SUBSTITUTE(F1272," ","")&amp;"&amp;navigate=yes","🚗 Waze"),"")</f>
        <v/>
      </c>
      <c r="I1272" s="8">
        <f>IF(F1272&lt;&gt;"",HYPERLINK("https://m.uber.com/ul/?action=setPickup&amp;pickup=my_location&amp;dropoff[latitude]="&amp;LEFT(SUBSTITUTE(F1272," ",""),FIND(",",SUBSTITUTE(F1272," ",""))-1)&amp;"&amp;dropoff[longitude]="&amp;MID(SUBSTITUTE(F1272," ",""),FIND(",",SUBSTITUTE(F1272," ",""))+1,99),"🚕 Uber"),"")</f>
        <v/>
      </c>
      <c r="J1272" s="8">
        <f>IF(F1272&lt;&gt;"","https://api.qrserver.com/v1/create-qr-code/?size=200x200&amp;data="&amp;ENCODEURL("https://www.google.com/maps/search/?api=1&amp;query="&amp;SUBSTITUTE(F1272," ","")),"")</f>
        <v/>
      </c>
      <c r="K1272" s="8">
        <f>IF(C1272&lt;&gt;"",HYPERLINK("https://wa.me/507"&amp;REGEXREPLACE(C1272,"[^0-9]","")&amp;"?text="&amp;ENCODEURL("Ya llegue. Codigo: "&amp;A1272&amp;". Ubicacion: "&amp;"https://www.google.com/maps/search/?api=1&amp;query="&amp;SUBSTITUTE(F1272," ","")),"📲 Avisar al cliente"),"")</f>
        <v/>
      </c>
      <c r="L1272" s="8">
        <f>IF(C1272&lt;&gt;"","https://api.qrserver.com/v1/create-qr-code/?size=200x200&amp;data="&amp;ENCODEURL("https://wa.me/507"&amp;REGEXREPLACE(C1272,"[^0-9]","")&amp;"?text="&amp;ENCODEURL("Ya llegue. Codigo: "&amp;A1272&amp;". Ubicacion: "&amp;"https://www.google.com/maps/search/?api=1&amp;query="&amp;SUBSTITUTE(F1272," ",""))),"")</f>
        <v/>
      </c>
      <c r="M1272" s="8">
        <f>IF(B1272&lt;&gt;"",TODAY(),"")</f>
        <v/>
      </c>
      <c r="N1272" s="8">
        <f>IF(F1272&lt;&gt;"",IFERROR(IF(AND(REGEXMATCH(SUBSTITUTE(TRIM(F1272)," ",""),"^-?\d+(\.\d+)?,-?\d+(\.\d+)?$"),VALUE(REGEXEXTRACT(SUBSTITUTE(TRIM(F1272)," ",""),"^-?\d+(\.\d+)?"))&gt;=-90,VALUE(REGEXEXTRACT(SUBSTITUTE(TRIM(F1272)," ",""),"^-?\d+(\.\d+)?"))&lt;=90,VALUE(REGEXEXTRACT(SUBSTITUTE(TRIM(F1272)," ",""),"-?\d+(\.\d+)?$"))&gt;=-180,VALUE(REGEXEXTRACT(SUBSTITUTE(TRIM(F1272)," ",""),"-?\d+(\.\d+)?$"))&lt;=180),"OK","REVISAR"),"REVISAR"),"")</f>
        <v/>
      </c>
      <c r="O1272">
        <f>IF(A1272&lt;&gt;"","https://direcciones507.github.io/direcciones507/panel.html?codigo="&amp;A1272&amp;"&amp;nombre="&amp;ENCODEURL(B1272)&amp;"&amp;telefono="&amp;SUBSTITUTE(C1272,"-","")&amp;"&amp;referencia="&amp;ENCODEURL(E1272)&amp;"&amp;lat="&amp;IZQUIERDA(SUBSTITUTE(F1272," ",""),ENCONTRAR(",",SUBSTITUTE(F1272," ",""))-1)&amp;"&amp;lng="&amp;DERECHA(SUBSTITUTE(F1272," ",""),LARGO(SUBSTITUTE(F1272," ",""))-ENCONTRAR(",",SUBSTITUTE(F1272," ",""))),"")</f>
        <v/>
      </c>
    </row>
    <row r="1273" ht="15.75" customHeight="1" s="10">
      <c r="A1273" s="8">
        <f>CONCAT("AD507-",TEXT(ROW()-2,"0000"))</f>
        <v/>
      </c>
      <c r="C1273" s="8" t="n"/>
      <c r="F1273" s="8" t="n"/>
      <c r="G1273" s="8">
        <f>IF(F1273&lt;&gt;"",HYPERLINK("https://www.google.com/maps/search/?api=1&amp;query="&amp;SUBSTITUTE(F1273," ",""),"🗺 Google Maps"),"")</f>
        <v/>
      </c>
      <c r="H1273" s="8">
        <f>IF(F1273&lt;&gt;"",HYPERLINK("https://waze.com/ul?ll="&amp;SUBSTITUTE(F1273," ","")&amp;"&amp;navigate=yes","🚗 Waze"),"")</f>
        <v/>
      </c>
      <c r="I1273" s="8">
        <f>IF(F1273&lt;&gt;"",HYPERLINK("https://m.uber.com/ul/?action=setPickup&amp;pickup=my_location&amp;dropoff[latitude]="&amp;LEFT(SUBSTITUTE(F1273," ",""),FIND(",",SUBSTITUTE(F1273," ",""))-1)&amp;"&amp;dropoff[longitude]="&amp;MID(SUBSTITUTE(F1273," ",""),FIND(",",SUBSTITUTE(F1273," ",""))+1,99),"🚕 Uber"),"")</f>
        <v/>
      </c>
      <c r="J1273" s="8">
        <f>IF(F1273&lt;&gt;"","https://api.qrserver.com/v1/create-qr-code/?size=200x200&amp;data="&amp;ENCODEURL("https://www.google.com/maps/search/?api=1&amp;query="&amp;SUBSTITUTE(F1273," ","")),"")</f>
        <v/>
      </c>
      <c r="K1273" s="8">
        <f>IF(C1273&lt;&gt;"",HYPERLINK("https://wa.me/507"&amp;REGEXREPLACE(C1273,"[^0-9]","")&amp;"?text="&amp;ENCODEURL("Ya llegue. Codigo: "&amp;A1273&amp;". Ubicacion: "&amp;"https://www.google.com/maps/search/?api=1&amp;query="&amp;SUBSTITUTE(F1273," ","")),"📲 Avisar al cliente"),"")</f>
        <v/>
      </c>
      <c r="L1273" s="8">
        <f>IF(C1273&lt;&gt;"","https://api.qrserver.com/v1/create-qr-code/?size=200x200&amp;data="&amp;ENCODEURL("https://wa.me/507"&amp;REGEXREPLACE(C1273,"[^0-9]","")&amp;"?text="&amp;ENCODEURL("Ya llegue. Codigo: "&amp;A1273&amp;". Ubicacion: "&amp;"https://www.google.com/maps/search/?api=1&amp;query="&amp;SUBSTITUTE(F1273," ",""))),"")</f>
        <v/>
      </c>
      <c r="M1273" s="8">
        <f>IF(B1273&lt;&gt;"",TODAY(),"")</f>
        <v/>
      </c>
      <c r="N1273" s="8">
        <f>IF(F1273&lt;&gt;"",IFERROR(IF(AND(REGEXMATCH(SUBSTITUTE(TRIM(F1273)," ",""),"^-?\d+(\.\d+)?,-?\d+(\.\d+)?$"),VALUE(REGEXEXTRACT(SUBSTITUTE(TRIM(F1273)," ",""),"^-?\d+(\.\d+)?"))&gt;=-90,VALUE(REGEXEXTRACT(SUBSTITUTE(TRIM(F1273)," ",""),"^-?\d+(\.\d+)?"))&lt;=90,VALUE(REGEXEXTRACT(SUBSTITUTE(TRIM(F1273)," ",""),"-?\d+(\.\d+)?$"))&gt;=-180,VALUE(REGEXEXTRACT(SUBSTITUTE(TRIM(F1273)," ",""),"-?\d+(\.\d+)?$"))&lt;=180),"OK","REVISAR"),"REVISAR"),"")</f>
        <v/>
      </c>
      <c r="O1273">
        <f>IF(A1273&lt;&gt;"","https://direcciones507.github.io/direcciones507/panel.html?codigo="&amp;A1273&amp;"&amp;nombre="&amp;ENCODEURL(B1273)&amp;"&amp;telefono="&amp;SUBSTITUTE(C1273,"-","")&amp;"&amp;referencia="&amp;ENCODEURL(E1273)&amp;"&amp;lat="&amp;IZQUIERDA(SUBSTITUTE(F1273," ",""),ENCONTRAR(",",SUBSTITUTE(F1273," ",""))-1)&amp;"&amp;lng="&amp;DERECHA(SUBSTITUTE(F1273," ",""),LARGO(SUBSTITUTE(F1273," ",""))-ENCONTRAR(",",SUBSTITUTE(F1273," ",""))),"")</f>
        <v/>
      </c>
    </row>
    <row r="1274" ht="15.75" customHeight="1" s="10">
      <c r="A1274" s="8">
        <f>CONCAT("AD507-",TEXT(ROW()-2,"0000"))</f>
        <v/>
      </c>
      <c r="C1274" s="8" t="n"/>
      <c r="F1274" s="8" t="n"/>
      <c r="G1274" s="8">
        <f>IF(F1274&lt;&gt;"",HYPERLINK("https://www.google.com/maps/search/?api=1&amp;query="&amp;SUBSTITUTE(F1274," ",""),"🗺 Google Maps"),"")</f>
        <v/>
      </c>
      <c r="H1274" s="8">
        <f>IF(F1274&lt;&gt;"",HYPERLINK("https://waze.com/ul?ll="&amp;SUBSTITUTE(F1274," ","")&amp;"&amp;navigate=yes","🚗 Waze"),"")</f>
        <v/>
      </c>
      <c r="I1274" s="8">
        <f>IF(F1274&lt;&gt;"",HYPERLINK("https://m.uber.com/ul/?action=setPickup&amp;pickup=my_location&amp;dropoff[latitude]="&amp;LEFT(SUBSTITUTE(F1274," ",""),FIND(",",SUBSTITUTE(F1274," ",""))-1)&amp;"&amp;dropoff[longitude]="&amp;MID(SUBSTITUTE(F1274," ",""),FIND(",",SUBSTITUTE(F1274," ",""))+1,99),"🚕 Uber"),"")</f>
        <v/>
      </c>
      <c r="J1274" s="8">
        <f>IF(F1274&lt;&gt;"","https://api.qrserver.com/v1/create-qr-code/?size=200x200&amp;data="&amp;ENCODEURL("https://www.google.com/maps/search/?api=1&amp;query="&amp;SUBSTITUTE(F1274," ","")),"")</f>
        <v/>
      </c>
      <c r="K1274" s="8">
        <f>IF(C1274&lt;&gt;"",HYPERLINK("https://wa.me/507"&amp;REGEXREPLACE(C1274,"[^0-9]","")&amp;"?text="&amp;ENCODEURL("Ya llegue. Codigo: "&amp;A1274&amp;". Ubicacion: "&amp;"https://www.google.com/maps/search/?api=1&amp;query="&amp;SUBSTITUTE(F1274," ","")),"📲 Avisar al cliente"),"")</f>
        <v/>
      </c>
      <c r="L1274" s="8">
        <f>IF(C1274&lt;&gt;"","https://api.qrserver.com/v1/create-qr-code/?size=200x200&amp;data="&amp;ENCODEURL("https://wa.me/507"&amp;REGEXREPLACE(C1274,"[^0-9]","")&amp;"?text="&amp;ENCODEURL("Ya llegue. Codigo: "&amp;A1274&amp;". Ubicacion: "&amp;"https://www.google.com/maps/search/?api=1&amp;query="&amp;SUBSTITUTE(F1274," ",""))),"")</f>
        <v/>
      </c>
      <c r="M1274" s="8">
        <f>IF(B1274&lt;&gt;"",TODAY(),"")</f>
        <v/>
      </c>
      <c r="N1274" s="8">
        <f>IF(F1274&lt;&gt;"",IFERROR(IF(AND(REGEXMATCH(SUBSTITUTE(TRIM(F1274)," ",""),"^-?\d+(\.\d+)?,-?\d+(\.\d+)?$"),VALUE(REGEXEXTRACT(SUBSTITUTE(TRIM(F1274)," ",""),"^-?\d+(\.\d+)?"))&gt;=-90,VALUE(REGEXEXTRACT(SUBSTITUTE(TRIM(F1274)," ",""),"^-?\d+(\.\d+)?"))&lt;=90,VALUE(REGEXEXTRACT(SUBSTITUTE(TRIM(F1274)," ",""),"-?\d+(\.\d+)?$"))&gt;=-180,VALUE(REGEXEXTRACT(SUBSTITUTE(TRIM(F1274)," ",""),"-?\d+(\.\d+)?$"))&lt;=180),"OK","REVISAR"),"REVISAR"),"")</f>
        <v/>
      </c>
      <c r="O1274">
        <f>IF(A1274&lt;&gt;"","https://direcciones507.github.io/direcciones507/panel.html?codigo="&amp;A1274&amp;"&amp;nombre="&amp;ENCODEURL(B1274)&amp;"&amp;telefono="&amp;SUBSTITUTE(C1274,"-","")&amp;"&amp;referencia="&amp;ENCODEURL(E1274)&amp;"&amp;lat="&amp;IZQUIERDA(SUBSTITUTE(F1274," ",""),ENCONTRAR(",",SUBSTITUTE(F1274," ",""))-1)&amp;"&amp;lng="&amp;DERECHA(SUBSTITUTE(F1274," ",""),LARGO(SUBSTITUTE(F1274," ",""))-ENCONTRAR(",",SUBSTITUTE(F1274," ",""))),"")</f>
        <v/>
      </c>
    </row>
    <row r="1275" ht="15.75" customHeight="1" s="10">
      <c r="A1275" s="8">
        <f>CONCAT("AD507-",TEXT(ROW()-2,"0000"))</f>
        <v/>
      </c>
      <c r="C1275" s="8" t="n"/>
      <c r="F1275" s="8" t="n"/>
      <c r="G1275" s="8">
        <f>IF(F1275&lt;&gt;"",HYPERLINK("https://www.google.com/maps/search/?api=1&amp;query="&amp;SUBSTITUTE(F1275," ",""),"🗺 Google Maps"),"")</f>
        <v/>
      </c>
      <c r="H1275" s="8">
        <f>IF(F1275&lt;&gt;"",HYPERLINK("https://waze.com/ul?ll="&amp;SUBSTITUTE(F1275," ","")&amp;"&amp;navigate=yes","🚗 Waze"),"")</f>
        <v/>
      </c>
      <c r="I1275" s="8">
        <f>IF(F1275&lt;&gt;"",HYPERLINK("https://m.uber.com/ul/?action=setPickup&amp;pickup=my_location&amp;dropoff[latitude]="&amp;LEFT(SUBSTITUTE(F1275," ",""),FIND(",",SUBSTITUTE(F1275," ",""))-1)&amp;"&amp;dropoff[longitude]="&amp;MID(SUBSTITUTE(F1275," ",""),FIND(",",SUBSTITUTE(F1275," ",""))+1,99),"🚕 Uber"),"")</f>
        <v/>
      </c>
      <c r="J1275" s="8">
        <f>IF(F1275&lt;&gt;"","https://api.qrserver.com/v1/create-qr-code/?size=200x200&amp;data="&amp;ENCODEURL("https://www.google.com/maps/search/?api=1&amp;query="&amp;SUBSTITUTE(F1275," ","")),"")</f>
        <v/>
      </c>
      <c r="K1275" s="8">
        <f>IF(C1275&lt;&gt;"",HYPERLINK("https://wa.me/507"&amp;REGEXREPLACE(C1275,"[^0-9]","")&amp;"?text="&amp;ENCODEURL("Ya llegue. Codigo: "&amp;A1275&amp;". Ubicacion: "&amp;"https://www.google.com/maps/search/?api=1&amp;query="&amp;SUBSTITUTE(F1275," ","")),"📲 Avisar al cliente"),"")</f>
        <v/>
      </c>
      <c r="L1275" s="8">
        <f>IF(C1275&lt;&gt;"","https://api.qrserver.com/v1/create-qr-code/?size=200x200&amp;data="&amp;ENCODEURL("https://wa.me/507"&amp;REGEXREPLACE(C1275,"[^0-9]","")&amp;"?text="&amp;ENCODEURL("Ya llegue. Codigo: "&amp;A1275&amp;". Ubicacion: "&amp;"https://www.google.com/maps/search/?api=1&amp;query="&amp;SUBSTITUTE(F1275," ",""))),"")</f>
        <v/>
      </c>
      <c r="M1275" s="8">
        <f>IF(B1275&lt;&gt;"",TODAY(),"")</f>
        <v/>
      </c>
      <c r="N1275" s="8">
        <f>IF(F1275&lt;&gt;"",IFERROR(IF(AND(REGEXMATCH(SUBSTITUTE(TRIM(F1275)," ",""),"^-?\d+(\.\d+)?,-?\d+(\.\d+)?$"),VALUE(REGEXEXTRACT(SUBSTITUTE(TRIM(F1275)," ",""),"^-?\d+(\.\d+)?"))&gt;=-90,VALUE(REGEXEXTRACT(SUBSTITUTE(TRIM(F1275)," ",""),"^-?\d+(\.\d+)?"))&lt;=90,VALUE(REGEXEXTRACT(SUBSTITUTE(TRIM(F1275)," ",""),"-?\d+(\.\d+)?$"))&gt;=-180,VALUE(REGEXEXTRACT(SUBSTITUTE(TRIM(F1275)," ",""),"-?\d+(\.\d+)?$"))&lt;=180),"OK","REVISAR"),"REVISAR"),"")</f>
        <v/>
      </c>
      <c r="O1275">
        <f>IF(A1275&lt;&gt;"","https://direcciones507.github.io/direcciones507/panel.html?codigo="&amp;A1275&amp;"&amp;nombre="&amp;ENCODEURL(B1275)&amp;"&amp;telefono="&amp;SUBSTITUTE(C1275,"-","")&amp;"&amp;referencia="&amp;ENCODEURL(E1275)&amp;"&amp;lat="&amp;IZQUIERDA(SUBSTITUTE(F1275," ",""),ENCONTRAR(",",SUBSTITUTE(F1275," ",""))-1)&amp;"&amp;lng="&amp;DERECHA(SUBSTITUTE(F1275," ",""),LARGO(SUBSTITUTE(F1275," ",""))-ENCONTRAR(",",SUBSTITUTE(F1275," ",""))),"")</f>
        <v/>
      </c>
    </row>
    <row r="1276" ht="15.75" customHeight="1" s="10">
      <c r="A1276" s="8">
        <f>CONCAT("AD507-",TEXT(ROW()-2,"0000"))</f>
        <v/>
      </c>
      <c r="C1276" s="8" t="n"/>
      <c r="F1276" s="8" t="n"/>
      <c r="G1276" s="8">
        <f>IF(F1276&lt;&gt;"",HYPERLINK("https://www.google.com/maps/search/?api=1&amp;query="&amp;SUBSTITUTE(F1276," ",""),"🗺 Google Maps"),"")</f>
        <v/>
      </c>
      <c r="H1276" s="8">
        <f>IF(F1276&lt;&gt;"",HYPERLINK("https://waze.com/ul?ll="&amp;SUBSTITUTE(F1276," ","")&amp;"&amp;navigate=yes","🚗 Waze"),"")</f>
        <v/>
      </c>
      <c r="I1276" s="8">
        <f>IF(F1276&lt;&gt;"",HYPERLINK("https://m.uber.com/ul/?action=setPickup&amp;pickup=my_location&amp;dropoff[latitude]="&amp;LEFT(SUBSTITUTE(F1276," ",""),FIND(",",SUBSTITUTE(F1276," ",""))-1)&amp;"&amp;dropoff[longitude]="&amp;MID(SUBSTITUTE(F1276," ",""),FIND(",",SUBSTITUTE(F1276," ",""))+1,99),"🚕 Uber"),"")</f>
        <v/>
      </c>
      <c r="J1276" s="8">
        <f>IF(F1276&lt;&gt;"","https://api.qrserver.com/v1/create-qr-code/?size=200x200&amp;data="&amp;ENCODEURL("https://www.google.com/maps/search/?api=1&amp;query="&amp;SUBSTITUTE(F1276," ","")),"")</f>
        <v/>
      </c>
      <c r="K1276" s="8">
        <f>IF(C1276&lt;&gt;"",HYPERLINK("https://wa.me/507"&amp;REGEXREPLACE(C1276,"[^0-9]","")&amp;"?text="&amp;ENCODEURL("Ya llegue. Codigo: "&amp;A1276&amp;". Ubicacion: "&amp;"https://www.google.com/maps/search/?api=1&amp;query="&amp;SUBSTITUTE(F1276," ","")),"📲 Avisar al cliente"),"")</f>
        <v/>
      </c>
      <c r="L1276" s="8">
        <f>IF(C1276&lt;&gt;"","https://api.qrserver.com/v1/create-qr-code/?size=200x200&amp;data="&amp;ENCODEURL("https://wa.me/507"&amp;REGEXREPLACE(C1276,"[^0-9]","")&amp;"?text="&amp;ENCODEURL("Ya llegue. Codigo: "&amp;A1276&amp;". Ubicacion: "&amp;"https://www.google.com/maps/search/?api=1&amp;query="&amp;SUBSTITUTE(F1276," ",""))),"")</f>
        <v/>
      </c>
      <c r="M1276" s="8">
        <f>IF(B1276&lt;&gt;"",TODAY(),"")</f>
        <v/>
      </c>
      <c r="N1276" s="8">
        <f>IF(F1276&lt;&gt;"",IFERROR(IF(AND(REGEXMATCH(SUBSTITUTE(TRIM(F1276)," ",""),"^-?\d+(\.\d+)?,-?\d+(\.\d+)?$"),VALUE(REGEXEXTRACT(SUBSTITUTE(TRIM(F1276)," ",""),"^-?\d+(\.\d+)?"))&gt;=-90,VALUE(REGEXEXTRACT(SUBSTITUTE(TRIM(F1276)," ",""),"^-?\d+(\.\d+)?"))&lt;=90,VALUE(REGEXEXTRACT(SUBSTITUTE(TRIM(F1276)," ",""),"-?\d+(\.\d+)?$"))&gt;=-180,VALUE(REGEXEXTRACT(SUBSTITUTE(TRIM(F1276)," ",""),"-?\d+(\.\d+)?$"))&lt;=180),"OK","REVISAR"),"REVISAR"),"")</f>
        <v/>
      </c>
      <c r="O1276">
        <f>IF(A1276&lt;&gt;"","https://direcciones507.github.io/direcciones507/panel.html?codigo="&amp;A1276&amp;"&amp;nombre="&amp;ENCODEURL(B1276)&amp;"&amp;telefono="&amp;SUBSTITUTE(C1276,"-","")&amp;"&amp;referencia="&amp;ENCODEURL(E1276)&amp;"&amp;lat="&amp;IZQUIERDA(SUBSTITUTE(F1276," ",""),ENCONTRAR(",",SUBSTITUTE(F1276," ",""))-1)&amp;"&amp;lng="&amp;DERECHA(SUBSTITUTE(F1276," ",""),LARGO(SUBSTITUTE(F1276," ",""))-ENCONTRAR(",",SUBSTITUTE(F1276," ",""))),"")</f>
        <v/>
      </c>
    </row>
    <row r="1277" ht="15.75" customHeight="1" s="10">
      <c r="A1277" s="8">
        <f>CONCAT("AD507-",TEXT(ROW()-2,"0000"))</f>
        <v/>
      </c>
      <c r="C1277" s="8" t="n"/>
      <c r="F1277" s="8" t="n"/>
      <c r="G1277" s="8">
        <f>IF(F1277&lt;&gt;"",HYPERLINK("https://www.google.com/maps/search/?api=1&amp;query="&amp;SUBSTITUTE(F1277," ",""),"🗺 Google Maps"),"")</f>
        <v/>
      </c>
      <c r="H1277" s="8">
        <f>IF(F1277&lt;&gt;"",HYPERLINK("https://waze.com/ul?ll="&amp;SUBSTITUTE(F1277," ","")&amp;"&amp;navigate=yes","🚗 Waze"),"")</f>
        <v/>
      </c>
      <c r="I1277" s="8">
        <f>IF(F1277&lt;&gt;"",HYPERLINK("https://m.uber.com/ul/?action=setPickup&amp;pickup=my_location&amp;dropoff[latitude]="&amp;LEFT(SUBSTITUTE(F1277," ",""),FIND(",",SUBSTITUTE(F1277," ",""))-1)&amp;"&amp;dropoff[longitude]="&amp;MID(SUBSTITUTE(F1277," ",""),FIND(",",SUBSTITUTE(F1277," ",""))+1,99),"🚕 Uber"),"")</f>
        <v/>
      </c>
      <c r="J1277" s="8">
        <f>IF(F1277&lt;&gt;"","https://api.qrserver.com/v1/create-qr-code/?size=200x200&amp;data="&amp;ENCODEURL("https://www.google.com/maps/search/?api=1&amp;query="&amp;SUBSTITUTE(F1277," ","")),"")</f>
        <v/>
      </c>
      <c r="K1277" s="8">
        <f>IF(C1277&lt;&gt;"",HYPERLINK("https://wa.me/507"&amp;REGEXREPLACE(C1277,"[^0-9]","")&amp;"?text="&amp;ENCODEURL("Ya llegue. Codigo: "&amp;A1277&amp;". Ubicacion: "&amp;"https://www.google.com/maps/search/?api=1&amp;query="&amp;SUBSTITUTE(F1277," ","")),"📲 Avisar al cliente"),"")</f>
        <v/>
      </c>
      <c r="L1277" s="8">
        <f>IF(C1277&lt;&gt;"","https://api.qrserver.com/v1/create-qr-code/?size=200x200&amp;data="&amp;ENCODEURL("https://wa.me/507"&amp;REGEXREPLACE(C1277,"[^0-9]","")&amp;"?text="&amp;ENCODEURL("Ya llegue. Codigo: "&amp;A1277&amp;". Ubicacion: "&amp;"https://www.google.com/maps/search/?api=1&amp;query="&amp;SUBSTITUTE(F1277," ",""))),"")</f>
        <v/>
      </c>
      <c r="M1277" s="8">
        <f>IF(B1277&lt;&gt;"",TODAY(),"")</f>
        <v/>
      </c>
      <c r="N1277" s="8">
        <f>IF(F1277&lt;&gt;"",IFERROR(IF(AND(REGEXMATCH(SUBSTITUTE(TRIM(F1277)," ",""),"^-?\d+(\.\d+)?,-?\d+(\.\d+)?$"),VALUE(REGEXEXTRACT(SUBSTITUTE(TRIM(F1277)," ",""),"^-?\d+(\.\d+)?"))&gt;=-90,VALUE(REGEXEXTRACT(SUBSTITUTE(TRIM(F1277)," ",""),"^-?\d+(\.\d+)?"))&lt;=90,VALUE(REGEXEXTRACT(SUBSTITUTE(TRIM(F1277)," ",""),"-?\d+(\.\d+)?$"))&gt;=-180,VALUE(REGEXEXTRACT(SUBSTITUTE(TRIM(F1277)," ",""),"-?\d+(\.\d+)?$"))&lt;=180),"OK","REVISAR"),"REVISAR"),"")</f>
        <v/>
      </c>
      <c r="O1277">
        <f>IF(A1277&lt;&gt;"","https://direcciones507.github.io/direcciones507/panel.html?codigo="&amp;A1277&amp;"&amp;nombre="&amp;ENCODEURL(B1277)&amp;"&amp;telefono="&amp;SUBSTITUTE(C1277,"-","")&amp;"&amp;referencia="&amp;ENCODEURL(E1277)&amp;"&amp;lat="&amp;IZQUIERDA(SUBSTITUTE(F1277," ",""),ENCONTRAR(",",SUBSTITUTE(F1277," ",""))-1)&amp;"&amp;lng="&amp;DERECHA(SUBSTITUTE(F1277," ",""),LARGO(SUBSTITUTE(F1277," ",""))-ENCONTRAR(",",SUBSTITUTE(F1277," ",""))),"")</f>
        <v/>
      </c>
    </row>
    <row r="1278" ht="15.75" customHeight="1" s="10">
      <c r="A1278" s="8">
        <f>CONCAT("AD507-",TEXT(ROW()-2,"0000"))</f>
        <v/>
      </c>
      <c r="C1278" s="8" t="n"/>
      <c r="F1278" s="8" t="n"/>
      <c r="G1278" s="8">
        <f>IF(F1278&lt;&gt;"",HYPERLINK("https://www.google.com/maps/search/?api=1&amp;query="&amp;SUBSTITUTE(F1278," ",""),"🗺 Google Maps"),"")</f>
        <v/>
      </c>
      <c r="H1278" s="8">
        <f>IF(F1278&lt;&gt;"",HYPERLINK("https://waze.com/ul?ll="&amp;SUBSTITUTE(F1278," ","")&amp;"&amp;navigate=yes","🚗 Waze"),"")</f>
        <v/>
      </c>
      <c r="I1278" s="8">
        <f>IF(F1278&lt;&gt;"",HYPERLINK("https://m.uber.com/ul/?action=setPickup&amp;pickup=my_location&amp;dropoff[latitude]="&amp;LEFT(SUBSTITUTE(F1278," ",""),FIND(",",SUBSTITUTE(F1278," ",""))-1)&amp;"&amp;dropoff[longitude]="&amp;MID(SUBSTITUTE(F1278," ",""),FIND(",",SUBSTITUTE(F1278," ",""))+1,99),"🚕 Uber"),"")</f>
        <v/>
      </c>
      <c r="J1278" s="8">
        <f>IF(F1278&lt;&gt;"","https://api.qrserver.com/v1/create-qr-code/?size=200x200&amp;data="&amp;ENCODEURL("https://www.google.com/maps/search/?api=1&amp;query="&amp;SUBSTITUTE(F1278," ","")),"")</f>
        <v/>
      </c>
      <c r="K1278" s="8">
        <f>IF(C1278&lt;&gt;"",HYPERLINK("https://wa.me/507"&amp;REGEXREPLACE(C1278,"[^0-9]","")&amp;"?text="&amp;ENCODEURL("Ya llegue. Codigo: "&amp;A1278&amp;". Ubicacion: "&amp;"https://www.google.com/maps/search/?api=1&amp;query="&amp;SUBSTITUTE(F1278," ","")),"📲 Avisar al cliente"),"")</f>
        <v/>
      </c>
      <c r="L1278" s="8">
        <f>IF(C1278&lt;&gt;"","https://api.qrserver.com/v1/create-qr-code/?size=200x200&amp;data="&amp;ENCODEURL("https://wa.me/507"&amp;REGEXREPLACE(C1278,"[^0-9]","")&amp;"?text="&amp;ENCODEURL("Ya llegue. Codigo: "&amp;A1278&amp;". Ubicacion: "&amp;"https://www.google.com/maps/search/?api=1&amp;query="&amp;SUBSTITUTE(F1278," ",""))),"")</f>
        <v/>
      </c>
      <c r="M1278" s="8">
        <f>IF(B1278&lt;&gt;"",TODAY(),"")</f>
        <v/>
      </c>
      <c r="N1278" s="8">
        <f>IF(F1278&lt;&gt;"",IFERROR(IF(AND(REGEXMATCH(SUBSTITUTE(TRIM(F1278)," ",""),"^-?\d+(\.\d+)?,-?\d+(\.\d+)?$"),VALUE(REGEXEXTRACT(SUBSTITUTE(TRIM(F1278)," ",""),"^-?\d+(\.\d+)?"))&gt;=-90,VALUE(REGEXEXTRACT(SUBSTITUTE(TRIM(F1278)," ",""),"^-?\d+(\.\d+)?"))&lt;=90,VALUE(REGEXEXTRACT(SUBSTITUTE(TRIM(F1278)," ",""),"-?\d+(\.\d+)?$"))&gt;=-180,VALUE(REGEXEXTRACT(SUBSTITUTE(TRIM(F1278)," ",""),"-?\d+(\.\d+)?$"))&lt;=180),"OK","REVISAR"),"REVISAR"),"")</f>
        <v/>
      </c>
      <c r="O1278">
        <f>IF(A1278&lt;&gt;"","https://direcciones507.github.io/direcciones507/panel.html?codigo="&amp;A1278&amp;"&amp;nombre="&amp;ENCODEURL(B1278)&amp;"&amp;telefono="&amp;SUBSTITUTE(C1278,"-","")&amp;"&amp;referencia="&amp;ENCODEURL(E1278)&amp;"&amp;lat="&amp;IZQUIERDA(SUBSTITUTE(F1278," ",""),ENCONTRAR(",",SUBSTITUTE(F1278," ",""))-1)&amp;"&amp;lng="&amp;DERECHA(SUBSTITUTE(F1278," ",""),LARGO(SUBSTITUTE(F1278," ",""))-ENCONTRAR(",",SUBSTITUTE(F1278," ",""))),"")</f>
        <v/>
      </c>
    </row>
    <row r="1279" ht="15.75" customHeight="1" s="10">
      <c r="A1279" s="8">
        <f>CONCAT("AD507-",TEXT(ROW()-2,"0000"))</f>
        <v/>
      </c>
      <c r="C1279" s="8" t="n"/>
      <c r="F1279" s="8" t="n"/>
      <c r="G1279" s="8">
        <f>IF(F1279&lt;&gt;"",HYPERLINK("https://www.google.com/maps/search/?api=1&amp;query="&amp;SUBSTITUTE(F1279," ",""),"🗺 Google Maps"),"")</f>
        <v/>
      </c>
      <c r="H1279" s="8">
        <f>IF(F1279&lt;&gt;"",HYPERLINK("https://waze.com/ul?ll="&amp;SUBSTITUTE(F1279," ","")&amp;"&amp;navigate=yes","🚗 Waze"),"")</f>
        <v/>
      </c>
      <c r="I1279" s="8">
        <f>IF(F1279&lt;&gt;"",HYPERLINK("https://m.uber.com/ul/?action=setPickup&amp;pickup=my_location&amp;dropoff[latitude]="&amp;LEFT(SUBSTITUTE(F1279," ",""),FIND(",",SUBSTITUTE(F1279," ",""))-1)&amp;"&amp;dropoff[longitude]="&amp;MID(SUBSTITUTE(F1279," ",""),FIND(",",SUBSTITUTE(F1279," ",""))+1,99),"🚕 Uber"),"")</f>
        <v/>
      </c>
      <c r="J1279" s="8">
        <f>IF(F1279&lt;&gt;"","https://api.qrserver.com/v1/create-qr-code/?size=200x200&amp;data="&amp;ENCODEURL("https://www.google.com/maps/search/?api=1&amp;query="&amp;SUBSTITUTE(F1279," ","")),"")</f>
        <v/>
      </c>
      <c r="K1279" s="8">
        <f>IF(C1279&lt;&gt;"",HYPERLINK("https://wa.me/507"&amp;REGEXREPLACE(C1279,"[^0-9]","")&amp;"?text="&amp;ENCODEURL("Ya llegue. Codigo: "&amp;A1279&amp;". Ubicacion: "&amp;"https://www.google.com/maps/search/?api=1&amp;query="&amp;SUBSTITUTE(F1279," ","")),"📲 Avisar al cliente"),"")</f>
        <v/>
      </c>
      <c r="L1279" s="8">
        <f>IF(C1279&lt;&gt;"","https://api.qrserver.com/v1/create-qr-code/?size=200x200&amp;data="&amp;ENCODEURL("https://wa.me/507"&amp;REGEXREPLACE(C1279,"[^0-9]","")&amp;"?text="&amp;ENCODEURL("Ya llegue. Codigo: "&amp;A1279&amp;". Ubicacion: "&amp;"https://www.google.com/maps/search/?api=1&amp;query="&amp;SUBSTITUTE(F1279," ",""))),"")</f>
        <v/>
      </c>
      <c r="M1279" s="8">
        <f>IF(B1279&lt;&gt;"",TODAY(),"")</f>
        <v/>
      </c>
      <c r="N1279" s="8">
        <f>IF(F1279&lt;&gt;"",IFERROR(IF(AND(REGEXMATCH(SUBSTITUTE(TRIM(F1279)," ",""),"^-?\d+(\.\d+)?,-?\d+(\.\d+)?$"),VALUE(REGEXEXTRACT(SUBSTITUTE(TRIM(F1279)," ",""),"^-?\d+(\.\d+)?"))&gt;=-90,VALUE(REGEXEXTRACT(SUBSTITUTE(TRIM(F1279)," ",""),"^-?\d+(\.\d+)?"))&lt;=90,VALUE(REGEXEXTRACT(SUBSTITUTE(TRIM(F1279)," ",""),"-?\d+(\.\d+)?$"))&gt;=-180,VALUE(REGEXEXTRACT(SUBSTITUTE(TRIM(F1279)," ",""),"-?\d+(\.\d+)?$"))&lt;=180),"OK","REVISAR"),"REVISAR"),"")</f>
        <v/>
      </c>
      <c r="O1279">
        <f>IF(A1279&lt;&gt;"","https://direcciones507.github.io/direcciones507/panel.html?codigo="&amp;A1279&amp;"&amp;nombre="&amp;ENCODEURL(B1279)&amp;"&amp;telefono="&amp;SUBSTITUTE(C1279,"-","")&amp;"&amp;referencia="&amp;ENCODEURL(E1279)&amp;"&amp;lat="&amp;IZQUIERDA(SUBSTITUTE(F1279," ",""),ENCONTRAR(",",SUBSTITUTE(F1279," ",""))-1)&amp;"&amp;lng="&amp;DERECHA(SUBSTITUTE(F1279," ",""),LARGO(SUBSTITUTE(F1279," ",""))-ENCONTRAR(",",SUBSTITUTE(F1279," ",""))),"")</f>
        <v/>
      </c>
    </row>
    <row r="1280" ht="15.75" customHeight="1" s="10">
      <c r="A1280" s="8">
        <f>CONCAT("AD507-",TEXT(ROW()-2,"0000"))</f>
        <v/>
      </c>
      <c r="C1280" s="8" t="n"/>
      <c r="F1280" s="8" t="n"/>
      <c r="G1280" s="8">
        <f>IF(F1280&lt;&gt;"",HYPERLINK("https://www.google.com/maps/search/?api=1&amp;query="&amp;SUBSTITUTE(F1280," ",""),"🗺 Google Maps"),"")</f>
        <v/>
      </c>
      <c r="H1280" s="8">
        <f>IF(F1280&lt;&gt;"",HYPERLINK("https://waze.com/ul?ll="&amp;SUBSTITUTE(F1280," ","")&amp;"&amp;navigate=yes","🚗 Waze"),"")</f>
        <v/>
      </c>
      <c r="I1280" s="8">
        <f>IF(F1280&lt;&gt;"",HYPERLINK("https://m.uber.com/ul/?action=setPickup&amp;pickup=my_location&amp;dropoff[latitude]="&amp;LEFT(SUBSTITUTE(F1280," ",""),FIND(",",SUBSTITUTE(F1280," ",""))-1)&amp;"&amp;dropoff[longitude]="&amp;MID(SUBSTITUTE(F1280," ",""),FIND(",",SUBSTITUTE(F1280," ",""))+1,99),"🚕 Uber"),"")</f>
        <v/>
      </c>
      <c r="J1280" s="8">
        <f>IF(F1280&lt;&gt;"","https://api.qrserver.com/v1/create-qr-code/?size=200x200&amp;data="&amp;ENCODEURL("https://www.google.com/maps/search/?api=1&amp;query="&amp;SUBSTITUTE(F1280," ","")),"")</f>
        <v/>
      </c>
      <c r="K1280" s="8">
        <f>IF(C1280&lt;&gt;"",HYPERLINK("https://wa.me/507"&amp;REGEXREPLACE(C1280,"[^0-9]","")&amp;"?text="&amp;ENCODEURL("Ya llegue. Codigo: "&amp;A1280&amp;". Ubicacion: "&amp;"https://www.google.com/maps/search/?api=1&amp;query="&amp;SUBSTITUTE(F1280," ","")),"📲 Avisar al cliente"),"")</f>
        <v/>
      </c>
      <c r="L1280" s="8">
        <f>IF(C1280&lt;&gt;"","https://api.qrserver.com/v1/create-qr-code/?size=200x200&amp;data="&amp;ENCODEURL("https://wa.me/507"&amp;REGEXREPLACE(C1280,"[^0-9]","")&amp;"?text="&amp;ENCODEURL("Ya llegue. Codigo: "&amp;A1280&amp;". Ubicacion: "&amp;"https://www.google.com/maps/search/?api=1&amp;query="&amp;SUBSTITUTE(F1280," ",""))),"")</f>
        <v/>
      </c>
      <c r="M1280" s="8">
        <f>IF(B1280&lt;&gt;"",TODAY(),"")</f>
        <v/>
      </c>
      <c r="N1280" s="8">
        <f>IF(F1280&lt;&gt;"",IFERROR(IF(AND(REGEXMATCH(SUBSTITUTE(TRIM(F1280)," ",""),"^-?\d+(\.\d+)?,-?\d+(\.\d+)?$"),VALUE(REGEXEXTRACT(SUBSTITUTE(TRIM(F1280)," ",""),"^-?\d+(\.\d+)?"))&gt;=-90,VALUE(REGEXEXTRACT(SUBSTITUTE(TRIM(F1280)," ",""),"^-?\d+(\.\d+)?"))&lt;=90,VALUE(REGEXEXTRACT(SUBSTITUTE(TRIM(F1280)," ",""),"-?\d+(\.\d+)?$"))&gt;=-180,VALUE(REGEXEXTRACT(SUBSTITUTE(TRIM(F1280)," ",""),"-?\d+(\.\d+)?$"))&lt;=180),"OK","REVISAR"),"REVISAR"),"")</f>
        <v/>
      </c>
      <c r="O1280">
        <f>IF(A1280&lt;&gt;"","https://direcciones507.github.io/direcciones507/panel.html?codigo="&amp;A1280&amp;"&amp;nombre="&amp;ENCODEURL(B1280)&amp;"&amp;telefono="&amp;SUBSTITUTE(C1280,"-","")&amp;"&amp;referencia="&amp;ENCODEURL(E1280)&amp;"&amp;lat="&amp;IZQUIERDA(SUBSTITUTE(F1280," ",""),ENCONTRAR(",",SUBSTITUTE(F1280," ",""))-1)&amp;"&amp;lng="&amp;DERECHA(SUBSTITUTE(F1280," ",""),LARGO(SUBSTITUTE(F1280," ",""))-ENCONTRAR(",",SUBSTITUTE(F1280," ",""))),"")</f>
        <v/>
      </c>
    </row>
    <row r="1281" ht="15.75" customHeight="1" s="10">
      <c r="A1281" s="8">
        <f>CONCAT("AD507-",TEXT(ROW()-2,"0000"))</f>
        <v/>
      </c>
      <c r="C1281" s="8" t="n"/>
      <c r="F1281" s="8" t="n"/>
      <c r="G1281" s="8">
        <f>IF(F1281&lt;&gt;"",HYPERLINK("https://www.google.com/maps/search/?api=1&amp;query="&amp;SUBSTITUTE(F1281," ",""),"🗺 Google Maps"),"")</f>
        <v/>
      </c>
      <c r="H1281" s="8">
        <f>IF(F1281&lt;&gt;"",HYPERLINK("https://waze.com/ul?ll="&amp;SUBSTITUTE(F1281," ","")&amp;"&amp;navigate=yes","🚗 Waze"),"")</f>
        <v/>
      </c>
      <c r="I1281" s="8">
        <f>IF(F1281&lt;&gt;"",HYPERLINK("https://m.uber.com/ul/?action=setPickup&amp;pickup=my_location&amp;dropoff[latitude]="&amp;LEFT(SUBSTITUTE(F1281," ",""),FIND(",",SUBSTITUTE(F1281," ",""))-1)&amp;"&amp;dropoff[longitude]="&amp;MID(SUBSTITUTE(F1281," ",""),FIND(",",SUBSTITUTE(F1281," ",""))+1,99),"🚕 Uber"),"")</f>
        <v/>
      </c>
      <c r="J1281" s="8">
        <f>IF(F1281&lt;&gt;"","https://api.qrserver.com/v1/create-qr-code/?size=200x200&amp;data="&amp;ENCODEURL("https://www.google.com/maps/search/?api=1&amp;query="&amp;SUBSTITUTE(F1281," ","")),"")</f>
        <v/>
      </c>
      <c r="K1281" s="8">
        <f>IF(C1281&lt;&gt;"",HYPERLINK("https://wa.me/507"&amp;REGEXREPLACE(C1281,"[^0-9]","")&amp;"?text="&amp;ENCODEURL("Ya llegue. Codigo: "&amp;A1281&amp;". Ubicacion: "&amp;"https://www.google.com/maps/search/?api=1&amp;query="&amp;SUBSTITUTE(F1281," ","")),"📲 Avisar al cliente"),"")</f>
        <v/>
      </c>
      <c r="L1281" s="8">
        <f>IF(C1281&lt;&gt;"","https://api.qrserver.com/v1/create-qr-code/?size=200x200&amp;data="&amp;ENCODEURL("https://wa.me/507"&amp;REGEXREPLACE(C1281,"[^0-9]","")&amp;"?text="&amp;ENCODEURL("Ya llegue. Codigo: "&amp;A1281&amp;". Ubicacion: "&amp;"https://www.google.com/maps/search/?api=1&amp;query="&amp;SUBSTITUTE(F1281," ",""))),"")</f>
        <v/>
      </c>
      <c r="M1281" s="8">
        <f>IF(B1281&lt;&gt;"",TODAY(),"")</f>
        <v/>
      </c>
      <c r="N1281" s="8">
        <f>IF(F1281&lt;&gt;"",IFERROR(IF(AND(REGEXMATCH(SUBSTITUTE(TRIM(F1281)," ",""),"^-?\d+(\.\d+)?,-?\d+(\.\d+)?$"),VALUE(REGEXEXTRACT(SUBSTITUTE(TRIM(F1281)," ",""),"^-?\d+(\.\d+)?"))&gt;=-90,VALUE(REGEXEXTRACT(SUBSTITUTE(TRIM(F1281)," ",""),"^-?\d+(\.\d+)?"))&lt;=90,VALUE(REGEXEXTRACT(SUBSTITUTE(TRIM(F1281)," ",""),"-?\d+(\.\d+)?$"))&gt;=-180,VALUE(REGEXEXTRACT(SUBSTITUTE(TRIM(F1281)," ",""),"-?\d+(\.\d+)?$"))&lt;=180),"OK","REVISAR"),"REVISAR"),"")</f>
        <v/>
      </c>
      <c r="O1281">
        <f>IF(A1281&lt;&gt;"","https://direcciones507.github.io/direcciones507/panel.html?codigo="&amp;A1281&amp;"&amp;nombre="&amp;ENCODEURL(B1281)&amp;"&amp;telefono="&amp;SUBSTITUTE(C1281,"-","")&amp;"&amp;referencia="&amp;ENCODEURL(E1281)&amp;"&amp;lat="&amp;IZQUIERDA(SUBSTITUTE(F1281," ",""),ENCONTRAR(",",SUBSTITUTE(F1281," ",""))-1)&amp;"&amp;lng="&amp;DERECHA(SUBSTITUTE(F1281," ",""),LARGO(SUBSTITUTE(F1281," ",""))-ENCONTRAR(",",SUBSTITUTE(F1281," ",""))),"")</f>
        <v/>
      </c>
    </row>
    <row r="1282" ht="15.75" customHeight="1" s="10">
      <c r="A1282" s="8">
        <f>CONCAT("AD507-",TEXT(ROW()-2,"0000"))</f>
        <v/>
      </c>
      <c r="C1282" s="8" t="n"/>
      <c r="F1282" s="8" t="n"/>
      <c r="G1282" s="8">
        <f>IF(F1282&lt;&gt;"",HYPERLINK("https://www.google.com/maps/search/?api=1&amp;query="&amp;SUBSTITUTE(F1282," ",""),"🗺 Google Maps"),"")</f>
        <v/>
      </c>
      <c r="H1282" s="8">
        <f>IF(F1282&lt;&gt;"",HYPERLINK("https://waze.com/ul?ll="&amp;SUBSTITUTE(F1282," ","")&amp;"&amp;navigate=yes","🚗 Waze"),"")</f>
        <v/>
      </c>
      <c r="I1282" s="8">
        <f>IF(F1282&lt;&gt;"",HYPERLINK("https://m.uber.com/ul/?action=setPickup&amp;pickup=my_location&amp;dropoff[latitude]="&amp;LEFT(SUBSTITUTE(F1282," ",""),FIND(",",SUBSTITUTE(F1282," ",""))-1)&amp;"&amp;dropoff[longitude]="&amp;MID(SUBSTITUTE(F1282," ",""),FIND(",",SUBSTITUTE(F1282," ",""))+1,99),"🚕 Uber"),"")</f>
        <v/>
      </c>
      <c r="J1282" s="8">
        <f>IF(F1282&lt;&gt;"","https://api.qrserver.com/v1/create-qr-code/?size=200x200&amp;data="&amp;ENCODEURL("https://www.google.com/maps/search/?api=1&amp;query="&amp;SUBSTITUTE(F1282," ","")),"")</f>
        <v/>
      </c>
      <c r="K1282" s="8">
        <f>IF(C1282&lt;&gt;"",HYPERLINK("https://wa.me/507"&amp;REGEXREPLACE(C1282,"[^0-9]","")&amp;"?text="&amp;ENCODEURL("Ya llegue. Codigo: "&amp;A1282&amp;". Ubicacion: "&amp;"https://www.google.com/maps/search/?api=1&amp;query="&amp;SUBSTITUTE(F1282," ","")),"📲 Avisar al cliente"),"")</f>
        <v/>
      </c>
      <c r="L1282" s="8">
        <f>IF(C1282&lt;&gt;"","https://api.qrserver.com/v1/create-qr-code/?size=200x200&amp;data="&amp;ENCODEURL("https://wa.me/507"&amp;REGEXREPLACE(C1282,"[^0-9]","")&amp;"?text="&amp;ENCODEURL("Ya llegue. Codigo: "&amp;A1282&amp;". Ubicacion: "&amp;"https://www.google.com/maps/search/?api=1&amp;query="&amp;SUBSTITUTE(F1282," ",""))),"")</f>
        <v/>
      </c>
      <c r="M1282" s="8">
        <f>IF(B1282&lt;&gt;"",TODAY(),"")</f>
        <v/>
      </c>
      <c r="N1282" s="8">
        <f>IF(F1282&lt;&gt;"",IFERROR(IF(AND(REGEXMATCH(SUBSTITUTE(TRIM(F1282)," ",""),"^-?\d+(\.\d+)?,-?\d+(\.\d+)?$"),VALUE(REGEXEXTRACT(SUBSTITUTE(TRIM(F1282)," ",""),"^-?\d+(\.\d+)?"))&gt;=-90,VALUE(REGEXEXTRACT(SUBSTITUTE(TRIM(F1282)," ",""),"^-?\d+(\.\d+)?"))&lt;=90,VALUE(REGEXEXTRACT(SUBSTITUTE(TRIM(F1282)," ",""),"-?\d+(\.\d+)?$"))&gt;=-180,VALUE(REGEXEXTRACT(SUBSTITUTE(TRIM(F1282)," ",""),"-?\d+(\.\d+)?$"))&lt;=180),"OK","REVISAR"),"REVISAR"),"")</f>
        <v/>
      </c>
      <c r="O1282">
        <f>IF(A1282&lt;&gt;"","https://direcciones507.github.io/direcciones507/panel.html?codigo="&amp;A1282&amp;"&amp;nombre="&amp;ENCODEURL(B1282)&amp;"&amp;telefono="&amp;SUBSTITUTE(C1282,"-","")&amp;"&amp;referencia="&amp;ENCODEURL(E1282)&amp;"&amp;lat="&amp;IZQUIERDA(SUBSTITUTE(F1282," ",""),ENCONTRAR(",",SUBSTITUTE(F1282," ",""))-1)&amp;"&amp;lng="&amp;DERECHA(SUBSTITUTE(F1282," ",""),LARGO(SUBSTITUTE(F1282," ",""))-ENCONTRAR(",",SUBSTITUTE(F1282," ",""))),"")</f>
        <v/>
      </c>
    </row>
    <row r="1283" ht="15.75" customHeight="1" s="10">
      <c r="A1283" s="8">
        <f>CONCAT("AD507-",TEXT(ROW()-2,"0000"))</f>
        <v/>
      </c>
      <c r="C1283" s="8" t="n"/>
      <c r="F1283" s="8" t="n"/>
      <c r="G1283" s="8">
        <f>IF(F1283&lt;&gt;"",HYPERLINK("https://www.google.com/maps/search/?api=1&amp;query="&amp;SUBSTITUTE(F1283," ",""),"🗺 Google Maps"),"")</f>
        <v/>
      </c>
      <c r="H1283" s="8">
        <f>IF(F1283&lt;&gt;"",HYPERLINK("https://waze.com/ul?ll="&amp;SUBSTITUTE(F1283," ","")&amp;"&amp;navigate=yes","🚗 Waze"),"")</f>
        <v/>
      </c>
      <c r="I1283" s="8">
        <f>IF(F1283&lt;&gt;"",HYPERLINK("https://m.uber.com/ul/?action=setPickup&amp;pickup=my_location&amp;dropoff[latitude]="&amp;LEFT(SUBSTITUTE(F1283," ",""),FIND(",",SUBSTITUTE(F1283," ",""))-1)&amp;"&amp;dropoff[longitude]="&amp;MID(SUBSTITUTE(F1283," ",""),FIND(",",SUBSTITUTE(F1283," ",""))+1,99),"🚕 Uber"),"")</f>
        <v/>
      </c>
      <c r="J1283" s="8">
        <f>IF(F1283&lt;&gt;"","https://api.qrserver.com/v1/create-qr-code/?size=200x200&amp;data="&amp;ENCODEURL("https://www.google.com/maps/search/?api=1&amp;query="&amp;SUBSTITUTE(F1283," ","")),"")</f>
        <v/>
      </c>
      <c r="K1283" s="8">
        <f>IF(C1283&lt;&gt;"",HYPERLINK("https://wa.me/507"&amp;REGEXREPLACE(C1283,"[^0-9]","")&amp;"?text="&amp;ENCODEURL("Ya llegue. Codigo: "&amp;A1283&amp;". Ubicacion: "&amp;"https://www.google.com/maps/search/?api=1&amp;query="&amp;SUBSTITUTE(F1283," ","")),"📲 Avisar al cliente"),"")</f>
        <v/>
      </c>
      <c r="L1283" s="8">
        <f>IF(C1283&lt;&gt;"","https://api.qrserver.com/v1/create-qr-code/?size=200x200&amp;data="&amp;ENCODEURL("https://wa.me/507"&amp;REGEXREPLACE(C1283,"[^0-9]","")&amp;"?text="&amp;ENCODEURL("Ya llegue. Codigo: "&amp;A1283&amp;". Ubicacion: "&amp;"https://www.google.com/maps/search/?api=1&amp;query="&amp;SUBSTITUTE(F1283," ",""))),"")</f>
        <v/>
      </c>
      <c r="M1283" s="8">
        <f>IF(B1283&lt;&gt;"",TODAY(),"")</f>
        <v/>
      </c>
      <c r="N1283" s="8">
        <f>IF(F1283&lt;&gt;"",IFERROR(IF(AND(REGEXMATCH(SUBSTITUTE(TRIM(F1283)," ",""),"^-?\d+(\.\d+)?,-?\d+(\.\d+)?$"),VALUE(REGEXEXTRACT(SUBSTITUTE(TRIM(F1283)," ",""),"^-?\d+(\.\d+)?"))&gt;=-90,VALUE(REGEXEXTRACT(SUBSTITUTE(TRIM(F1283)," ",""),"^-?\d+(\.\d+)?"))&lt;=90,VALUE(REGEXEXTRACT(SUBSTITUTE(TRIM(F1283)," ",""),"-?\d+(\.\d+)?$"))&gt;=-180,VALUE(REGEXEXTRACT(SUBSTITUTE(TRIM(F1283)," ",""),"-?\d+(\.\d+)?$"))&lt;=180),"OK","REVISAR"),"REVISAR"),"")</f>
        <v/>
      </c>
      <c r="O1283">
        <f>IF(A1283&lt;&gt;"","https://direcciones507.github.io/direcciones507/panel.html?codigo="&amp;A1283&amp;"&amp;nombre="&amp;ENCODEURL(B1283)&amp;"&amp;telefono="&amp;SUBSTITUTE(C1283,"-","")&amp;"&amp;referencia="&amp;ENCODEURL(E1283)&amp;"&amp;lat="&amp;IZQUIERDA(SUBSTITUTE(F1283," ",""),ENCONTRAR(",",SUBSTITUTE(F1283," ",""))-1)&amp;"&amp;lng="&amp;DERECHA(SUBSTITUTE(F1283," ",""),LARGO(SUBSTITUTE(F1283," ",""))-ENCONTRAR(",",SUBSTITUTE(F1283," ",""))),"")</f>
        <v/>
      </c>
    </row>
    <row r="1284" ht="15.75" customHeight="1" s="10">
      <c r="A1284" s="8">
        <f>CONCAT("AD507-",TEXT(ROW()-2,"0000"))</f>
        <v/>
      </c>
      <c r="C1284" s="8" t="n"/>
      <c r="F1284" s="8" t="n"/>
      <c r="G1284" s="8">
        <f>IF(F1284&lt;&gt;"",HYPERLINK("https://www.google.com/maps/search/?api=1&amp;query="&amp;SUBSTITUTE(F1284," ",""),"🗺 Google Maps"),"")</f>
        <v/>
      </c>
      <c r="H1284" s="8">
        <f>IF(F1284&lt;&gt;"",HYPERLINK("https://waze.com/ul?ll="&amp;SUBSTITUTE(F1284," ","")&amp;"&amp;navigate=yes","🚗 Waze"),"")</f>
        <v/>
      </c>
      <c r="I1284" s="8">
        <f>IF(F1284&lt;&gt;"",HYPERLINK("https://m.uber.com/ul/?action=setPickup&amp;pickup=my_location&amp;dropoff[latitude]="&amp;LEFT(SUBSTITUTE(F1284," ",""),FIND(",",SUBSTITUTE(F1284," ",""))-1)&amp;"&amp;dropoff[longitude]="&amp;MID(SUBSTITUTE(F1284," ",""),FIND(",",SUBSTITUTE(F1284," ",""))+1,99),"🚕 Uber"),"")</f>
        <v/>
      </c>
      <c r="J1284" s="8">
        <f>IF(F1284&lt;&gt;"","https://api.qrserver.com/v1/create-qr-code/?size=200x200&amp;data="&amp;ENCODEURL("https://www.google.com/maps/search/?api=1&amp;query="&amp;SUBSTITUTE(F1284," ","")),"")</f>
        <v/>
      </c>
      <c r="K1284" s="8">
        <f>IF(C1284&lt;&gt;"",HYPERLINK("https://wa.me/507"&amp;REGEXREPLACE(C1284,"[^0-9]","")&amp;"?text="&amp;ENCODEURL("Ya llegue. Codigo: "&amp;A1284&amp;". Ubicacion: "&amp;"https://www.google.com/maps/search/?api=1&amp;query="&amp;SUBSTITUTE(F1284," ","")),"📲 Avisar al cliente"),"")</f>
        <v/>
      </c>
      <c r="L1284" s="8">
        <f>IF(C1284&lt;&gt;"","https://api.qrserver.com/v1/create-qr-code/?size=200x200&amp;data="&amp;ENCODEURL("https://wa.me/507"&amp;REGEXREPLACE(C1284,"[^0-9]","")&amp;"?text="&amp;ENCODEURL("Ya llegue. Codigo: "&amp;A1284&amp;". Ubicacion: "&amp;"https://www.google.com/maps/search/?api=1&amp;query="&amp;SUBSTITUTE(F1284," ",""))),"")</f>
        <v/>
      </c>
      <c r="M1284" s="8">
        <f>IF(B1284&lt;&gt;"",TODAY(),"")</f>
        <v/>
      </c>
      <c r="N1284" s="8">
        <f>IF(F1284&lt;&gt;"",IFERROR(IF(AND(REGEXMATCH(SUBSTITUTE(TRIM(F1284)," ",""),"^-?\d+(\.\d+)?,-?\d+(\.\d+)?$"),VALUE(REGEXEXTRACT(SUBSTITUTE(TRIM(F1284)," ",""),"^-?\d+(\.\d+)?"))&gt;=-90,VALUE(REGEXEXTRACT(SUBSTITUTE(TRIM(F1284)," ",""),"^-?\d+(\.\d+)?"))&lt;=90,VALUE(REGEXEXTRACT(SUBSTITUTE(TRIM(F1284)," ",""),"-?\d+(\.\d+)?$"))&gt;=-180,VALUE(REGEXEXTRACT(SUBSTITUTE(TRIM(F1284)," ",""),"-?\d+(\.\d+)?$"))&lt;=180),"OK","REVISAR"),"REVISAR"),"")</f>
        <v/>
      </c>
      <c r="O1284">
        <f>IF(A1284&lt;&gt;"","https://direcciones507.github.io/direcciones507/panel.html?codigo="&amp;A1284&amp;"&amp;nombre="&amp;ENCODEURL(B1284)&amp;"&amp;telefono="&amp;SUBSTITUTE(C1284,"-","")&amp;"&amp;referencia="&amp;ENCODEURL(E1284)&amp;"&amp;lat="&amp;IZQUIERDA(SUBSTITUTE(F1284," ",""),ENCONTRAR(",",SUBSTITUTE(F1284," ",""))-1)&amp;"&amp;lng="&amp;DERECHA(SUBSTITUTE(F1284," ",""),LARGO(SUBSTITUTE(F1284," ",""))-ENCONTRAR(",",SUBSTITUTE(F1284," ",""))),"")</f>
        <v/>
      </c>
    </row>
    <row r="1285" ht="15.75" customHeight="1" s="10">
      <c r="A1285" s="8">
        <f>CONCAT("AD507-",TEXT(ROW()-2,"0000"))</f>
        <v/>
      </c>
      <c r="C1285" s="8" t="n"/>
      <c r="F1285" s="8" t="n"/>
      <c r="G1285" s="8">
        <f>IF(F1285&lt;&gt;"",HYPERLINK("https://www.google.com/maps/search/?api=1&amp;query="&amp;SUBSTITUTE(F1285," ",""),"🗺 Google Maps"),"")</f>
        <v/>
      </c>
      <c r="H1285" s="8">
        <f>IF(F1285&lt;&gt;"",HYPERLINK("https://waze.com/ul?ll="&amp;SUBSTITUTE(F1285," ","")&amp;"&amp;navigate=yes","🚗 Waze"),"")</f>
        <v/>
      </c>
      <c r="I1285" s="8">
        <f>IF(F1285&lt;&gt;"",HYPERLINK("https://m.uber.com/ul/?action=setPickup&amp;pickup=my_location&amp;dropoff[latitude]="&amp;LEFT(SUBSTITUTE(F1285," ",""),FIND(",",SUBSTITUTE(F1285," ",""))-1)&amp;"&amp;dropoff[longitude]="&amp;MID(SUBSTITUTE(F1285," ",""),FIND(",",SUBSTITUTE(F1285," ",""))+1,99),"🚕 Uber"),"")</f>
        <v/>
      </c>
      <c r="J1285" s="8">
        <f>IF(F1285&lt;&gt;"","https://api.qrserver.com/v1/create-qr-code/?size=200x200&amp;data="&amp;ENCODEURL("https://www.google.com/maps/search/?api=1&amp;query="&amp;SUBSTITUTE(F1285," ","")),"")</f>
        <v/>
      </c>
      <c r="K1285" s="8">
        <f>IF(C1285&lt;&gt;"",HYPERLINK("https://wa.me/507"&amp;REGEXREPLACE(C1285,"[^0-9]","")&amp;"?text="&amp;ENCODEURL("Ya llegue. Codigo: "&amp;A1285&amp;". Ubicacion: "&amp;"https://www.google.com/maps/search/?api=1&amp;query="&amp;SUBSTITUTE(F1285," ","")),"📲 Avisar al cliente"),"")</f>
        <v/>
      </c>
      <c r="L1285" s="8">
        <f>IF(C1285&lt;&gt;"","https://api.qrserver.com/v1/create-qr-code/?size=200x200&amp;data="&amp;ENCODEURL("https://wa.me/507"&amp;REGEXREPLACE(C1285,"[^0-9]","")&amp;"?text="&amp;ENCODEURL("Ya llegue. Codigo: "&amp;A1285&amp;". Ubicacion: "&amp;"https://www.google.com/maps/search/?api=1&amp;query="&amp;SUBSTITUTE(F1285," ",""))),"")</f>
        <v/>
      </c>
      <c r="M1285" s="8">
        <f>IF(B1285&lt;&gt;"",TODAY(),"")</f>
        <v/>
      </c>
      <c r="N1285" s="8">
        <f>IF(F1285&lt;&gt;"",IFERROR(IF(AND(REGEXMATCH(SUBSTITUTE(TRIM(F1285)," ",""),"^-?\d+(\.\d+)?,-?\d+(\.\d+)?$"),VALUE(REGEXEXTRACT(SUBSTITUTE(TRIM(F1285)," ",""),"^-?\d+(\.\d+)?"))&gt;=-90,VALUE(REGEXEXTRACT(SUBSTITUTE(TRIM(F1285)," ",""),"^-?\d+(\.\d+)?"))&lt;=90,VALUE(REGEXEXTRACT(SUBSTITUTE(TRIM(F1285)," ",""),"-?\d+(\.\d+)?$"))&gt;=-180,VALUE(REGEXEXTRACT(SUBSTITUTE(TRIM(F1285)," ",""),"-?\d+(\.\d+)?$"))&lt;=180),"OK","REVISAR"),"REVISAR"),"")</f>
        <v/>
      </c>
      <c r="O1285">
        <f>IF(A1285&lt;&gt;"","https://direcciones507.github.io/direcciones507/panel.html?codigo="&amp;A1285&amp;"&amp;nombre="&amp;ENCODEURL(B1285)&amp;"&amp;telefono="&amp;SUBSTITUTE(C1285,"-","")&amp;"&amp;referencia="&amp;ENCODEURL(E1285)&amp;"&amp;lat="&amp;IZQUIERDA(SUBSTITUTE(F1285," ",""),ENCONTRAR(",",SUBSTITUTE(F1285," ",""))-1)&amp;"&amp;lng="&amp;DERECHA(SUBSTITUTE(F1285," ",""),LARGO(SUBSTITUTE(F1285," ",""))-ENCONTRAR(",",SUBSTITUTE(F1285," ",""))),"")</f>
        <v/>
      </c>
    </row>
    <row r="1286" ht="15.75" customHeight="1" s="10">
      <c r="A1286" s="8">
        <f>CONCAT("AD507-",TEXT(ROW()-2,"0000"))</f>
        <v/>
      </c>
      <c r="C1286" s="8" t="n"/>
      <c r="F1286" s="8" t="n"/>
      <c r="G1286" s="8">
        <f>IF(F1286&lt;&gt;"",HYPERLINK("https://www.google.com/maps/search/?api=1&amp;query="&amp;SUBSTITUTE(F1286," ",""),"🗺 Google Maps"),"")</f>
        <v/>
      </c>
      <c r="H1286" s="8">
        <f>IF(F1286&lt;&gt;"",HYPERLINK("https://waze.com/ul?ll="&amp;SUBSTITUTE(F1286," ","")&amp;"&amp;navigate=yes","🚗 Waze"),"")</f>
        <v/>
      </c>
      <c r="I1286" s="8">
        <f>IF(F1286&lt;&gt;"",HYPERLINK("https://m.uber.com/ul/?action=setPickup&amp;pickup=my_location&amp;dropoff[latitude]="&amp;LEFT(SUBSTITUTE(F1286," ",""),FIND(",",SUBSTITUTE(F1286," ",""))-1)&amp;"&amp;dropoff[longitude]="&amp;MID(SUBSTITUTE(F1286," ",""),FIND(",",SUBSTITUTE(F1286," ",""))+1,99),"🚕 Uber"),"")</f>
        <v/>
      </c>
      <c r="J1286" s="8">
        <f>IF(F1286&lt;&gt;"","https://api.qrserver.com/v1/create-qr-code/?size=200x200&amp;data="&amp;ENCODEURL("https://www.google.com/maps/search/?api=1&amp;query="&amp;SUBSTITUTE(F1286," ","")),"")</f>
        <v/>
      </c>
      <c r="K1286" s="8">
        <f>IF(C1286&lt;&gt;"",HYPERLINK("https://wa.me/507"&amp;REGEXREPLACE(C1286,"[^0-9]","")&amp;"?text="&amp;ENCODEURL("Ya llegue. Codigo: "&amp;A1286&amp;". Ubicacion: "&amp;"https://www.google.com/maps/search/?api=1&amp;query="&amp;SUBSTITUTE(F1286," ","")),"📲 Avisar al cliente"),"")</f>
        <v/>
      </c>
      <c r="L1286" s="8">
        <f>IF(C1286&lt;&gt;"","https://api.qrserver.com/v1/create-qr-code/?size=200x200&amp;data="&amp;ENCODEURL("https://wa.me/507"&amp;REGEXREPLACE(C1286,"[^0-9]","")&amp;"?text="&amp;ENCODEURL("Ya llegue. Codigo: "&amp;A1286&amp;". Ubicacion: "&amp;"https://www.google.com/maps/search/?api=1&amp;query="&amp;SUBSTITUTE(F1286," ",""))),"")</f>
        <v/>
      </c>
      <c r="M1286" s="8">
        <f>IF(B1286&lt;&gt;"",TODAY(),"")</f>
        <v/>
      </c>
      <c r="N1286" s="8">
        <f>IF(F1286&lt;&gt;"",IFERROR(IF(AND(REGEXMATCH(SUBSTITUTE(TRIM(F1286)," ",""),"^-?\d+(\.\d+)?,-?\d+(\.\d+)?$"),VALUE(REGEXEXTRACT(SUBSTITUTE(TRIM(F1286)," ",""),"^-?\d+(\.\d+)?"))&gt;=-90,VALUE(REGEXEXTRACT(SUBSTITUTE(TRIM(F1286)," ",""),"^-?\d+(\.\d+)?"))&lt;=90,VALUE(REGEXEXTRACT(SUBSTITUTE(TRIM(F1286)," ",""),"-?\d+(\.\d+)?$"))&gt;=-180,VALUE(REGEXEXTRACT(SUBSTITUTE(TRIM(F1286)," ",""),"-?\d+(\.\d+)?$"))&lt;=180),"OK","REVISAR"),"REVISAR"),"")</f>
        <v/>
      </c>
      <c r="O1286">
        <f>IF(A1286&lt;&gt;"","https://direcciones507.github.io/direcciones507/panel.html?codigo="&amp;A1286&amp;"&amp;nombre="&amp;ENCODEURL(B1286)&amp;"&amp;telefono="&amp;SUBSTITUTE(C1286,"-","")&amp;"&amp;referencia="&amp;ENCODEURL(E1286)&amp;"&amp;lat="&amp;IZQUIERDA(SUBSTITUTE(F1286," ",""),ENCONTRAR(",",SUBSTITUTE(F1286," ",""))-1)&amp;"&amp;lng="&amp;DERECHA(SUBSTITUTE(F1286," ",""),LARGO(SUBSTITUTE(F1286," ",""))-ENCONTRAR(",",SUBSTITUTE(F1286," ",""))),"")</f>
        <v/>
      </c>
    </row>
    <row r="1287" ht="15.75" customHeight="1" s="10">
      <c r="A1287" s="8">
        <f>CONCAT("AD507-",TEXT(ROW()-2,"0000"))</f>
        <v/>
      </c>
      <c r="C1287" s="8" t="n"/>
      <c r="F1287" s="8" t="n"/>
      <c r="G1287" s="8">
        <f>IF(F1287&lt;&gt;"",HYPERLINK("https://www.google.com/maps/search/?api=1&amp;query="&amp;SUBSTITUTE(F1287," ",""),"🗺 Google Maps"),"")</f>
        <v/>
      </c>
      <c r="H1287" s="8">
        <f>IF(F1287&lt;&gt;"",HYPERLINK("https://waze.com/ul?ll="&amp;SUBSTITUTE(F1287," ","")&amp;"&amp;navigate=yes","🚗 Waze"),"")</f>
        <v/>
      </c>
      <c r="I1287" s="8">
        <f>IF(F1287&lt;&gt;"",HYPERLINK("https://m.uber.com/ul/?action=setPickup&amp;pickup=my_location&amp;dropoff[latitude]="&amp;LEFT(SUBSTITUTE(F1287," ",""),FIND(",",SUBSTITUTE(F1287," ",""))-1)&amp;"&amp;dropoff[longitude]="&amp;MID(SUBSTITUTE(F1287," ",""),FIND(",",SUBSTITUTE(F1287," ",""))+1,99),"🚕 Uber"),"")</f>
        <v/>
      </c>
      <c r="J1287" s="8">
        <f>IF(F1287&lt;&gt;"","https://api.qrserver.com/v1/create-qr-code/?size=200x200&amp;data="&amp;ENCODEURL("https://www.google.com/maps/search/?api=1&amp;query="&amp;SUBSTITUTE(F1287," ","")),"")</f>
        <v/>
      </c>
      <c r="K1287" s="8">
        <f>IF(C1287&lt;&gt;"",HYPERLINK("https://wa.me/507"&amp;REGEXREPLACE(C1287,"[^0-9]","")&amp;"?text="&amp;ENCODEURL("Ya llegue. Codigo: "&amp;A1287&amp;". Ubicacion: "&amp;"https://www.google.com/maps/search/?api=1&amp;query="&amp;SUBSTITUTE(F1287," ","")),"📲 Avisar al cliente"),"")</f>
        <v/>
      </c>
      <c r="L1287" s="8">
        <f>IF(C1287&lt;&gt;"","https://api.qrserver.com/v1/create-qr-code/?size=200x200&amp;data="&amp;ENCODEURL("https://wa.me/507"&amp;REGEXREPLACE(C1287,"[^0-9]","")&amp;"?text="&amp;ENCODEURL("Ya llegue. Codigo: "&amp;A1287&amp;". Ubicacion: "&amp;"https://www.google.com/maps/search/?api=1&amp;query="&amp;SUBSTITUTE(F1287," ",""))),"")</f>
        <v/>
      </c>
      <c r="M1287" s="8">
        <f>IF(B1287&lt;&gt;"",TODAY(),"")</f>
        <v/>
      </c>
      <c r="N1287" s="8">
        <f>IF(F1287&lt;&gt;"",IFERROR(IF(AND(REGEXMATCH(SUBSTITUTE(TRIM(F1287)," ",""),"^-?\d+(\.\d+)?,-?\d+(\.\d+)?$"),VALUE(REGEXEXTRACT(SUBSTITUTE(TRIM(F1287)," ",""),"^-?\d+(\.\d+)?"))&gt;=-90,VALUE(REGEXEXTRACT(SUBSTITUTE(TRIM(F1287)," ",""),"^-?\d+(\.\d+)?"))&lt;=90,VALUE(REGEXEXTRACT(SUBSTITUTE(TRIM(F1287)," ",""),"-?\d+(\.\d+)?$"))&gt;=-180,VALUE(REGEXEXTRACT(SUBSTITUTE(TRIM(F1287)," ",""),"-?\d+(\.\d+)?$"))&lt;=180),"OK","REVISAR"),"REVISAR"),"")</f>
        <v/>
      </c>
      <c r="O1287">
        <f>IF(A1287&lt;&gt;"","https://direcciones507.github.io/direcciones507/panel.html?codigo="&amp;A1287&amp;"&amp;nombre="&amp;ENCODEURL(B1287)&amp;"&amp;telefono="&amp;SUBSTITUTE(C1287,"-","")&amp;"&amp;referencia="&amp;ENCODEURL(E1287)&amp;"&amp;lat="&amp;IZQUIERDA(SUBSTITUTE(F1287," ",""),ENCONTRAR(",",SUBSTITUTE(F1287," ",""))-1)&amp;"&amp;lng="&amp;DERECHA(SUBSTITUTE(F1287," ",""),LARGO(SUBSTITUTE(F1287," ",""))-ENCONTRAR(",",SUBSTITUTE(F1287," ",""))),"")</f>
        <v/>
      </c>
    </row>
    <row r="1288" ht="15.75" customHeight="1" s="10">
      <c r="A1288" s="8">
        <f>CONCAT("AD507-",TEXT(ROW()-2,"0000"))</f>
        <v/>
      </c>
      <c r="C1288" s="8" t="n"/>
      <c r="F1288" s="8" t="n"/>
      <c r="G1288" s="8">
        <f>IF(F1288&lt;&gt;"",HYPERLINK("https://www.google.com/maps/search/?api=1&amp;query="&amp;SUBSTITUTE(F1288," ",""),"🗺 Google Maps"),"")</f>
        <v/>
      </c>
      <c r="H1288" s="8">
        <f>IF(F1288&lt;&gt;"",HYPERLINK("https://waze.com/ul?ll="&amp;SUBSTITUTE(F1288," ","")&amp;"&amp;navigate=yes","🚗 Waze"),"")</f>
        <v/>
      </c>
      <c r="I1288" s="8">
        <f>IF(F1288&lt;&gt;"",HYPERLINK("https://m.uber.com/ul/?action=setPickup&amp;pickup=my_location&amp;dropoff[latitude]="&amp;LEFT(SUBSTITUTE(F1288," ",""),FIND(",",SUBSTITUTE(F1288," ",""))-1)&amp;"&amp;dropoff[longitude]="&amp;MID(SUBSTITUTE(F1288," ",""),FIND(",",SUBSTITUTE(F1288," ",""))+1,99),"🚕 Uber"),"")</f>
        <v/>
      </c>
      <c r="J1288" s="8">
        <f>IF(F1288&lt;&gt;"","https://api.qrserver.com/v1/create-qr-code/?size=200x200&amp;data="&amp;ENCODEURL("https://www.google.com/maps/search/?api=1&amp;query="&amp;SUBSTITUTE(F1288," ","")),"")</f>
        <v/>
      </c>
      <c r="K1288" s="8">
        <f>IF(C1288&lt;&gt;"",HYPERLINK("https://wa.me/507"&amp;REGEXREPLACE(C1288,"[^0-9]","")&amp;"?text="&amp;ENCODEURL("Ya llegue. Codigo: "&amp;A1288&amp;". Ubicacion: "&amp;"https://www.google.com/maps/search/?api=1&amp;query="&amp;SUBSTITUTE(F1288," ","")),"📲 Avisar al cliente"),"")</f>
        <v/>
      </c>
      <c r="L1288" s="8">
        <f>IF(C1288&lt;&gt;"","https://api.qrserver.com/v1/create-qr-code/?size=200x200&amp;data="&amp;ENCODEURL("https://wa.me/507"&amp;REGEXREPLACE(C1288,"[^0-9]","")&amp;"?text="&amp;ENCODEURL("Ya llegue. Codigo: "&amp;A1288&amp;". Ubicacion: "&amp;"https://www.google.com/maps/search/?api=1&amp;query="&amp;SUBSTITUTE(F1288," ",""))),"")</f>
        <v/>
      </c>
      <c r="M1288" s="8">
        <f>IF(B1288&lt;&gt;"",TODAY(),"")</f>
        <v/>
      </c>
      <c r="N1288" s="8">
        <f>IF(F1288&lt;&gt;"",IFERROR(IF(AND(REGEXMATCH(SUBSTITUTE(TRIM(F1288)," ",""),"^-?\d+(\.\d+)?,-?\d+(\.\d+)?$"),VALUE(REGEXEXTRACT(SUBSTITUTE(TRIM(F1288)," ",""),"^-?\d+(\.\d+)?"))&gt;=-90,VALUE(REGEXEXTRACT(SUBSTITUTE(TRIM(F1288)," ",""),"^-?\d+(\.\d+)?"))&lt;=90,VALUE(REGEXEXTRACT(SUBSTITUTE(TRIM(F1288)," ",""),"-?\d+(\.\d+)?$"))&gt;=-180,VALUE(REGEXEXTRACT(SUBSTITUTE(TRIM(F1288)," ",""),"-?\d+(\.\d+)?$"))&lt;=180),"OK","REVISAR"),"REVISAR"),"")</f>
        <v/>
      </c>
      <c r="O1288">
        <f>IF(A1288&lt;&gt;"","https://direcciones507.github.io/direcciones507/panel.html?codigo="&amp;A1288&amp;"&amp;nombre="&amp;ENCODEURL(B1288)&amp;"&amp;telefono="&amp;SUBSTITUTE(C1288,"-","")&amp;"&amp;referencia="&amp;ENCODEURL(E1288)&amp;"&amp;lat="&amp;IZQUIERDA(SUBSTITUTE(F1288," ",""),ENCONTRAR(",",SUBSTITUTE(F1288," ",""))-1)&amp;"&amp;lng="&amp;DERECHA(SUBSTITUTE(F1288," ",""),LARGO(SUBSTITUTE(F1288," ",""))-ENCONTRAR(",",SUBSTITUTE(F1288," ",""))),"")</f>
        <v/>
      </c>
    </row>
    <row r="1289" ht="15.75" customHeight="1" s="10">
      <c r="A1289" s="8">
        <f>CONCAT("AD507-",TEXT(ROW()-2,"0000"))</f>
        <v/>
      </c>
      <c r="C1289" s="8" t="n"/>
      <c r="F1289" s="8" t="n"/>
      <c r="G1289" s="8">
        <f>IF(F1289&lt;&gt;"",HYPERLINK("https://www.google.com/maps/search/?api=1&amp;query="&amp;SUBSTITUTE(F1289," ",""),"🗺 Google Maps"),"")</f>
        <v/>
      </c>
      <c r="H1289" s="8">
        <f>IF(F1289&lt;&gt;"",HYPERLINK("https://waze.com/ul?ll="&amp;SUBSTITUTE(F1289," ","")&amp;"&amp;navigate=yes","🚗 Waze"),"")</f>
        <v/>
      </c>
      <c r="I1289" s="8">
        <f>IF(F1289&lt;&gt;"",HYPERLINK("https://m.uber.com/ul/?action=setPickup&amp;pickup=my_location&amp;dropoff[latitude]="&amp;LEFT(SUBSTITUTE(F1289," ",""),FIND(",",SUBSTITUTE(F1289," ",""))-1)&amp;"&amp;dropoff[longitude]="&amp;MID(SUBSTITUTE(F1289," ",""),FIND(",",SUBSTITUTE(F1289," ",""))+1,99),"🚕 Uber"),"")</f>
        <v/>
      </c>
      <c r="J1289" s="8">
        <f>IF(F1289&lt;&gt;"","https://api.qrserver.com/v1/create-qr-code/?size=200x200&amp;data="&amp;ENCODEURL("https://www.google.com/maps/search/?api=1&amp;query="&amp;SUBSTITUTE(F1289," ","")),"")</f>
        <v/>
      </c>
      <c r="K1289" s="8">
        <f>IF(C1289&lt;&gt;"",HYPERLINK("https://wa.me/507"&amp;REGEXREPLACE(C1289,"[^0-9]","")&amp;"?text="&amp;ENCODEURL("Ya llegue. Codigo: "&amp;A1289&amp;". Ubicacion: "&amp;"https://www.google.com/maps/search/?api=1&amp;query="&amp;SUBSTITUTE(F1289," ","")),"📲 Avisar al cliente"),"")</f>
        <v/>
      </c>
      <c r="L1289" s="8">
        <f>IF(C1289&lt;&gt;"","https://api.qrserver.com/v1/create-qr-code/?size=200x200&amp;data="&amp;ENCODEURL("https://wa.me/507"&amp;REGEXREPLACE(C1289,"[^0-9]","")&amp;"?text="&amp;ENCODEURL("Ya llegue. Codigo: "&amp;A1289&amp;". Ubicacion: "&amp;"https://www.google.com/maps/search/?api=1&amp;query="&amp;SUBSTITUTE(F1289," ",""))),"")</f>
        <v/>
      </c>
      <c r="M1289" s="8">
        <f>IF(B1289&lt;&gt;"",TODAY(),"")</f>
        <v/>
      </c>
      <c r="N1289" s="8">
        <f>IF(F1289&lt;&gt;"",IFERROR(IF(AND(REGEXMATCH(SUBSTITUTE(TRIM(F1289)," ",""),"^-?\d+(\.\d+)?,-?\d+(\.\d+)?$"),VALUE(REGEXEXTRACT(SUBSTITUTE(TRIM(F1289)," ",""),"^-?\d+(\.\d+)?"))&gt;=-90,VALUE(REGEXEXTRACT(SUBSTITUTE(TRIM(F1289)," ",""),"^-?\d+(\.\d+)?"))&lt;=90,VALUE(REGEXEXTRACT(SUBSTITUTE(TRIM(F1289)," ",""),"-?\d+(\.\d+)?$"))&gt;=-180,VALUE(REGEXEXTRACT(SUBSTITUTE(TRIM(F1289)," ",""),"-?\d+(\.\d+)?$"))&lt;=180),"OK","REVISAR"),"REVISAR"),"")</f>
        <v/>
      </c>
      <c r="O1289">
        <f>IF(A1289&lt;&gt;"","https://direcciones507.github.io/direcciones507/panel.html?codigo="&amp;A1289&amp;"&amp;nombre="&amp;ENCODEURL(B1289)&amp;"&amp;telefono="&amp;SUBSTITUTE(C1289,"-","")&amp;"&amp;referencia="&amp;ENCODEURL(E1289)&amp;"&amp;lat="&amp;IZQUIERDA(SUBSTITUTE(F1289," ",""),ENCONTRAR(",",SUBSTITUTE(F1289," ",""))-1)&amp;"&amp;lng="&amp;DERECHA(SUBSTITUTE(F1289," ",""),LARGO(SUBSTITUTE(F1289," ",""))-ENCONTRAR(",",SUBSTITUTE(F1289," ",""))),"")</f>
        <v/>
      </c>
    </row>
    <row r="1290" ht="15.75" customHeight="1" s="10">
      <c r="A1290" s="8">
        <f>CONCAT("AD507-",TEXT(ROW()-2,"0000"))</f>
        <v/>
      </c>
      <c r="C1290" s="8" t="n"/>
      <c r="F1290" s="8" t="n"/>
      <c r="G1290" s="8">
        <f>IF(F1290&lt;&gt;"",HYPERLINK("https://www.google.com/maps/search/?api=1&amp;query="&amp;SUBSTITUTE(F1290," ",""),"🗺 Google Maps"),"")</f>
        <v/>
      </c>
      <c r="H1290" s="8">
        <f>IF(F1290&lt;&gt;"",HYPERLINK("https://waze.com/ul?ll="&amp;SUBSTITUTE(F1290," ","")&amp;"&amp;navigate=yes","🚗 Waze"),"")</f>
        <v/>
      </c>
      <c r="I1290" s="8">
        <f>IF(F1290&lt;&gt;"",HYPERLINK("https://m.uber.com/ul/?action=setPickup&amp;pickup=my_location&amp;dropoff[latitude]="&amp;LEFT(SUBSTITUTE(F1290," ",""),FIND(",",SUBSTITUTE(F1290," ",""))-1)&amp;"&amp;dropoff[longitude]="&amp;MID(SUBSTITUTE(F1290," ",""),FIND(",",SUBSTITUTE(F1290," ",""))+1,99),"🚕 Uber"),"")</f>
        <v/>
      </c>
      <c r="J1290" s="8">
        <f>IF(F1290&lt;&gt;"","https://api.qrserver.com/v1/create-qr-code/?size=200x200&amp;data="&amp;ENCODEURL("https://www.google.com/maps/search/?api=1&amp;query="&amp;SUBSTITUTE(F1290," ","")),"")</f>
        <v/>
      </c>
      <c r="K1290" s="8">
        <f>IF(C1290&lt;&gt;"",HYPERLINK("https://wa.me/507"&amp;REGEXREPLACE(C1290,"[^0-9]","")&amp;"?text="&amp;ENCODEURL("Ya llegue. Codigo: "&amp;A1290&amp;". Ubicacion: "&amp;"https://www.google.com/maps/search/?api=1&amp;query="&amp;SUBSTITUTE(F1290," ","")),"📲 Avisar al cliente"),"")</f>
        <v/>
      </c>
      <c r="L1290" s="8">
        <f>IF(C1290&lt;&gt;"","https://api.qrserver.com/v1/create-qr-code/?size=200x200&amp;data="&amp;ENCODEURL("https://wa.me/507"&amp;REGEXREPLACE(C1290,"[^0-9]","")&amp;"?text="&amp;ENCODEURL("Ya llegue. Codigo: "&amp;A1290&amp;". Ubicacion: "&amp;"https://www.google.com/maps/search/?api=1&amp;query="&amp;SUBSTITUTE(F1290," ",""))),"")</f>
        <v/>
      </c>
      <c r="M1290" s="8">
        <f>IF(B1290&lt;&gt;"",TODAY(),"")</f>
        <v/>
      </c>
      <c r="N1290" s="8">
        <f>IF(F1290&lt;&gt;"",IFERROR(IF(AND(REGEXMATCH(SUBSTITUTE(TRIM(F1290)," ",""),"^-?\d+(\.\d+)?,-?\d+(\.\d+)?$"),VALUE(REGEXEXTRACT(SUBSTITUTE(TRIM(F1290)," ",""),"^-?\d+(\.\d+)?"))&gt;=-90,VALUE(REGEXEXTRACT(SUBSTITUTE(TRIM(F1290)," ",""),"^-?\d+(\.\d+)?"))&lt;=90,VALUE(REGEXEXTRACT(SUBSTITUTE(TRIM(F1290)," ",""),"-?\d+(\.\d+)?$"))&gt;=-180,VALUE(REGEXEXTRACT(SUBSTITUTE(TRIM(F1290)," ",""),"-?\d+(\.\d+)?$"))&lt;=180),"OK","REVISAR"),"REVISAR"),"")</f>
        <v/>
      </c>
      <c r="O1290">
        <f>IF(A1290&lt;&gt;"","https://direcciones507.github.io/direcciones507/panel.html?codigo="&amp;A1290&amp;"&amp;nombre="&amp;ENCODEURL(B1290)&amp;"&amp;telefono="&amp;SUBSTITUTE(C1290,"-","")&amp;"&amp;referencia="&amp;ENCODEURL(E1290)&amp;"&amp;lat="&amp;IZQUIERDA(SUBSTITUTE(F1290," ",""),ENCONTRAR(",",SUBSTITUTE(F1290," ",""))-1)&amp;"&amp;lng="&amp;DERECHA(SUBSTITUTE(F1290," ",""),LARGO(SUBSTITUTE(F1290," ",""))-ENCONTRAR(",",SUBSTITUTE(F1290," ",""))),"")</f>
        <v/>
      </c>
    </row>
    <row r="1291" ht="15.75" customHeight="1" s="10">
      <c r="A1291" s="8">
        <f>CONCAT("AD507-",TEXT(ROW()-2,"0000"))</f>
        <v/>
      </c>
      <c r="C1291" s="8" t="n"/>
      <c r="F1291" s="8" t="n"/>
      <c r="G1291" s="8">
        <f>IF(F1291&lt;&gt;"",HYPERLINK("https://www.google.com/maps/search/?api=1&amp;query="&amp;SUBSTITUTE(F1291," ",""),"🗺 Google Maps"),"")</f>
        <v/>
      </c>
      <c r="H1291" s="8">
        <f>IF(F1291&lt;&gt;"",HYPERLINK("https://waze.com/ul?ll="&amp;SUBSTITUTE(F1291," ","")&amp;"&amp;navigate=yes","🚗 Waze"),"")</f>
        <v/>
      </c>
      <c r="I1291" s="8">
        <f>IF(F1291&lt;&gt;"",HYPERLINK("https://m.uber.com/ul/?action=setPickup&amp;pickup=my_location&amp;dropoff[latitude]="&amp;LEFT(SUBSTITUTE(F1291," ",""),FIND(",",SUBSTITUTE(F1291," ",""))-1)&amp;"&amp;dropoff[longitude]="&amp;MID(SUBSTITUTE(F1291," ",""),FIND(",",SUBSTITUTE(F1291," ",""))+1,99),"🚕 Uber"),"")</f>
        <v/>
      </c>
      <c r="J1291" s="8">
        <f>IF(F1291&lt;&gt;"","https://api.qrserver.com/v1/create-qr-code/?size=200x200&amp;data="&amp;ENCODEURL("https://www.google.com/maps/search/?api=1&amp;query="&amp;SUBSTITUTE(F1291," ","")),"")</f>
        <v/>
      </c>
      <c r="K1291" s="8">
        <f>IF(C1291&lt;&gt;"",HYPERLINK("https://wa.me/507"&amp;REGEXREPLACE(C1291,"[^0-9]","")&amp;"?text="&amp;ENCODEURL("Ya llegue. Codigo: "&amp;A1291&amp;". Ubicacion: "&amp;"https://www.google.com/maps/search/?api=1&amp;query="&amp;SUBSTITUTE(F1291," ","")),"📲 Avisar al cliente"),"")</f>
        <v/>
      </c>
      <c r="L1291" s="8">
        <f>IF(C1291&lt;&gt;"","https://api.qrserver.com/v1/create-qr-code/?size=200x200&amp;data="&amp;ENCODEURL("https://wa.me/507"&amp;REGEXREPLACE(C1291,"[^0-9]","")&amp;"?text="&amp;ENCODEURL("Ya llegue. Codigo: "&amp;A1291&amp;". Ubicacion: "&amp;"https://www.google.com/maps/search/?api=1&amp;query="&amp;SUBSTITUTE(F1291," ",""))),"")</f>
        <v/>
      </c>
      <c r="M1291" s="8">
        <f>IF(B1291&lt;&gt;"",TODAY(),"")</f>
        <v/>
      </c>
      <c r="N1291" s="8">
        <f>IF(F1291&lt;&gt;"",IFERROR(IF(AND(REGEXMATCH(SUBSTITUTE(TRIM(F1291)," ",""),"^-?\d+(\.\d+)?,-?\d+(\.\d+)?$"),VALUE(REGEXEXTRACT(SUBSTITUTE(TRIM(F1291)," ",""),"^-?\d+(\.\d+)?"))&gt;=-90,VALUE(REGEXEXTRACT(SUBSTITUTE(TRIM(F1291)," ",""),"^-?\d+(\.\d+)?"))&lt;=90,VALUE(REGEXEXTRACT(SUBSTITUTE(TRIM(F1291)," ",""),"-?\d+(\.\d+)?$"))&gt;=-180,VALUE(REGEXEXTRACT(SUBSTITUTE(TRIM(F1291)," ",""),"-?\d+(\.\d+)?$"))&lt;=180),"OK","REVISAR"),"REVISAR"),"")</f>
        <v/>
      </c>
      <c r="O1291">
        <f>IF(A1291&lt;&gt;"","https://direcciones507.github.io/direcciones507/panel.html?codigo="&amp;A1291&amp;"&amp;nombre="&amp;ENCODEURL(B1291)&amp;"&amp;telefono="&amp;SUBSTITUTE(C1291,"-","")&amp;"&amp;referencia="&amp;ENCODEURL(E1291)&amp;"&amp;lat="&amp;IZQUIERDA(SUBSTITUTE(F1291," ",""),ENCONTRAR(",",SUBSTITUTE(F1291," ",""))-1)&amp;"&amp;lng="&amp;DERECHA(SUBSTITUTE(F1291," ",""),LARGO(SUBSTITUTE(F1291," ",""))-ENCONTRAR(",",SUBSTITUTE(F1291," ",""))),"")</f>
        <v/>
      </c>
    </row>
    <row r="1292" ht="15.75" customHeight="1" s="10">
      <c r="A1292" s="8">
        <f>CONCAT("AD507-",TEXT(ROW()-2,"0000"))</f>
        <v/>
      </c>
      <c r="C1292" s="8" t="n"/>
      <c r="F1292" s="8" t="n"/>
      <c r="G1292" s="8">
        <f>IF(F1292&lt;&gt;"",HYPERLINK("https://www.google.com/maps/search/?api=1&amp;query="&amp;SUBSTITUTE(F1292," ",""),"🗺 Google Maps"),"")</f>
        <v/>
      </c>
      <c r="H1292" s="8">
        <f>IF(F1292&lt;&gt;"",HYPERLINK("https://waze.com/ul?ll="&amp;SUBSTITUTE(F1292," ","")&amp;"&amp;navigate=yes","🚗 Waze"),"")</f>
        <v/>
      </c>
      <c r="I1292" s="8">
        <f>IF(F1292&lt;&gt;"",HYPERLINK("https://m.uber.com/ul/?action=setPickup&amp;pickup=my_location&amp;dropoff[latitude]="&amp;LEFT(SUBSTITUTE(F1292," ",""),FIND(",",SUBSTITUTE(F1292," ",""))-1)&amp;"&amp;dropoff[longitude]="&amp;MID(SUBSTITUTE(F1292," ",""),FIND(",",SUBSTITUTE(F1292," ",""))+1,99),"🚕 Uber"),"")</f>
        <v/>
      </c>
      <c r="J1292" s="8">
        <f>IF(F1292&lt;&gt;"","https://api.qrserver.com/v1/create-qr-code/?size=200x200&amp;data="&amp;ENCODEURL("https://www.google.com/maps/search/?api=1&amp;query="&amp;SUBSTITUTE(F1292," ","")),"")</f>
        <v/>
      </c>
      <c r="K1292" s="8">
        <f>IF(C1292&lt;&gt;"",HYPERLINK("https://wa.me/507"&amp;REGEXREPLACE(C1292,"[^0-9]","")&amp;"?text="&amp;ENCODEURL("Ya llegue. Codigo: "&amp;A1292&amp;". Ubicacion: "&amp;"https://www.google.com/maps/search/?api=1&amp;query="&amp;SUBSTITUTE(F1292," ","")),"📲 Avisar al cliente"),"")</f>
        <v/>
      </c>
      <c r="L1292" s="8">
        <f>IF(C1292&lt;&gt;"","https://api.qrserver.com/v1/create-qr-code/?size=200x200&amp;data="&amp;ENCODEURL("https://wa.me/507"&amp;REGEXREPLACE(C1292,"[^0-9]","")&amp;"?text="&amp;ENCODEURL("Ya llegue. Codigo: "&amp;A1292&amp;". Ubicacion: "&amp;"https://www.google.com/maps/search/?api=1&amp;query="&amp;SUBSTITUTE(F1292," ",""))),"")</f>
        <v/>
      </c>
      <c r="M1292" s="8">
        <f>IF(B1292&lt;&gt;"",TODAY(),"")</f>
        <v/>
      </c>
      <c r="N1292" s="8">
        <f>IF(F1292&lt;&gt;"",IFERROR(IF(AND(REGEXMATCH(SUBSTITUTE(TRIM(F1292)," ",""),"^-?\d+(\.\d+)?,-?\d+(\.\d+)?$"),VALUE(REGEXEXTRACT(SUBSTITUTE(TRIM(F1292)," ",""),"^-?\d+(\.\d+)?"))&gt;=-90,VALUE(REGEXEXTRACT(SUBSTITUTE(TRIM(F1292)," ",""),"^-?\d+(\.\d+)?"))&lt;=90,VALUE(REGEXEXTRACT(SUBSTITUTE(TRIM(F1292)," ",""),"-?\d+(\.\d+)?$"))&gt;=-180,VALUE(REGEXEXTRACT(SUBSTITUTE(TRIM(F1292)," ",""),"-?\d+(\.\d+)?$"))&lt;=180),"OK","REVISAR"),"REVISAR"),"")</f>
        <v/>
      </c>
      <c r="O1292">
        <f>IF(A1292&lt;&gt;"","https://direcciones507.github.io/direcciones507/panel.html?codigo="&amp;A1292&amp;"&amp;nombre="&amp;ENCODEURL(B1292)&amp;"&amp;telefono="&amp;SUBSTITUTE(C1292,"-","")&amp;"&amp;referencia="&amp;ENCODEURL(E1292)&amp;"&amp;lat="&amp;IZQUIERDA(SUBSTITUTE(F1292," ",""),ENCONTRAR(",",SUBSTITUTE(F1292," ",""))-1)&amp;"&amp;lng="&amp;DERECHA(SUBSTITUTE(F1292," ",""),LARGO(SUBSTITUTE(F1292," ",""))-ENCONTRAR(",",SUBSTITUTE(F1292," ",""))),"")</f>
        <v/>
      </c>
    </row>
    <row r="1293" ht="15.75" customHeight="1" s="10">
      <c r="A1293" s="8">
        <f>CONCAT("AD507-",TEXT(ROW()-2,"0000"))</f>
        <v/>
      </c>
      <c r="C1293" s="8" t="n"/>
      <c r="F1293" s="8" t="n"/>
      <c r="G1293" s="8">
        <f>IF(F1293&lt;&gt;"",HYPERLINK("https://www.google.com/maps/search/?api=1&amp;query="&amp;SUBSTITUTE(F1293," ",""),"🗺 Google Maps"),"")</f>
        <v/>
      </c>
      <c r="H1293" s="8">
        <f>IF(F1293&lt;&gt;"",HYPERLINK("https://waze.com/ul?ll="&amp;SUBSTITUTE(F1293," ","")&amp;"&amp;navigate=yes","🚗 Waze"),"")</f>
        <v/>
      </c>
      <c r="I1293" s="8">
        <f>IF(F1293&lt;&gt;"",HYPERLINK("https://m.uber.com/ul/?action=setPickup&amp;pickup=my_location&amp;dropoff[latitude]="&amp;LEFT(SUBSTITUTE(F1293," ",""),FIND(",",SUBSTITUTE(F1293," ",""))-1)&amp;"&amp;dropoff[longitude]="&amp;MID(SUBSTITUTE(F1293," ",""),FIND(",",SUBSTITUTE(F1293," ",""))+1,99),"🚕 Uber"),"")</f>
        <v/>
      </c>
      <c r="J1293" s="8">
        <f>IF(F1293&lt;&gt;"","https://api.qrserver.com/v1/create-qr-code/?size=200x200&amp;data="&amp;ENCODEURL("https://www.google.com/maps/search/?api=1&amp;query="&amp;SUBSTITUTE(F1293," ","")),"")</f>
        <v/>
      </c>
      <c r="K1293" s="8">
        <f>IF(C1293&lt;&gt;"",HYPERLINK("https://wa.me/507"&amp;REGEXREPLACE(C1293,"[^0-9]","")&amp;"?text="&amp;ENCODEURL("Ya llegue. Codigo: "&amp;A1293&amp;". Ubicacion: "&amp;"https://www.google.com/maps/search/?api=1&amp;query="&amp;SUBSTITUTE(F1293," ","")),"📲 Avisar al cliente"),"")</f>
        <v/>
      </c>
      <c r="L1293" s="8">
        <f>IF(C1293&lt;&gt;"","https://api.qrserver.com/v1/create-qr-code/?size=200x200&amp;data="&amp;ENCODEURL("https://wa.me/507"&amp;REGEXREPLACE(C1293,"[^0-9]","")&amp;"?text="&amp;ENCODEURL("Ya llegue. Codigo: "&amp;A1293&amp;". Ubicacion: "&amp;"https://www.google.com/maps/search/?api=1&amp;query="&amp;SUBSTITUTE(F1293," ",""))),"")</f>
        <v/>
      </c>
      <c r="M1293" s="8">
        <f>IF(B1293&lt;&gt;"",TODAY(),"")</f>
        <v/>
      </c>
      <c r="N1293" s="8">
        <f>IF(F1293&lt;&gt;"",IFERROR(IF(AND(REGEXMATCH(SUBSTITUTE(TRIM(F1293)," ",""),"^-?\d+(\.\d+)?,-?\d+(\.\d+)?$"),VALUE(REGEXEXTRACT(SUBSTITUTE(TRIM(F1293)," ",""),"^-?\d+(\.\d+)?"))&gt;=-90,VALUE(REGEXEXTRACT(SUBSTITUTE(TRIM(F1293)," ",""),"^-?\d+(\.\d+)?"))&lt;=90,VALUE(REGEXEXTRACT(SUBSTITUTE(TRIM(F1293)," ",""),"-?\d+(\.\d+)?$"))&gt;=-180,VALUE(REGEXEXTRACT(SUBSTITUTE(TRIM(F1293)," ",""),"-?\d+(\.\d+)?$"))&lt;=180),"OK","REVISAR"),"REVISAR"),"")</f>
        <v/>
      </c>
      <c r="O1293">
        <f>IF(A1293&lt;&gt;"","https://direcciones507.github.io/direcciones507/panel.html?codigo="&amp;A1293&amp;"&amp;nombre="&amp;ENCODEURL(B1293)&amp;"&amp;telefono="&amp;SUBSTITUTE(C1293,"-","")&amp;"&amp;referencia="&amp;ENCODEURL(E1293)&amp;"&amp;lat="&amp;IZQUIERDA(SUBSTITUTE(F1293," ",""),ENCONTRAR(",",SUBSTITUTE(F1293," ",""))-1)&amp;"&amp;lng="&amp;DERECHA(SUBSTITUTE(F1293," ",""),LARGO(SUBSTITUTE(F1293," ",""))-ENCONTRAR(",",SUBSTITUTE(F1293," ",""))),"")</f>
        <v/>
      </c>
    </row>
    <row r="1294" ht="15.75" customHeight="1" s="10">
      <c r="A1294" s="8">
        <f>CONCAT("AD507-",TEXT(ROW()-2,"0000"))</f>
        <v/>
      </c>
      <c r="C1294" s="8" t="n"/>
      <c r="F1294" s="8" t="n"/>
      <c r="G1294" s="8">
        <f>IF(F1294&lt;&gt;"",HYPERLINK("https://www.google.com/maps/search/?api=1&amp;query="&amp;SUBSTITUTE(F1294," ",""),"🗺 Google Maps"),"")</f>
        <v/>
      </c>
      <c r="H1294" s="8">
        <f>IF(F1294&lt;&gt;"",HYPERLINK("https://waze.com/ul?ll="&amp;SUBSTITUTE(F1294," ","")&amp;"&amp;navigate=yes","🚗 Waze"),"")</f>
        <v/>
      </c>
      <c r="I1294" s="8">
        <f>IF(F1294&lt;&gt;"",HYPERLINK("https://m.uber.com/ul/?action=setPickup&amp;pickup=my_location&amp;dropoff[latitude]="&amp;LEFT(SUBSTITUTE(F1294," ",""),FIND(",",SUBSTITUTE(F1294," ",""))-1)&amp;"&amp;dropoff[longitude]="&amp;MID(SUBSTITUTE(F1294," ",""),FIND(",",SUBSTITUTE(F1294," ",""))+1,99),"🚕 Uber"),"")</f>
        <v/>
      </c>
      <c r="J1294" s="8">
        <f>IF(F1294&lt;&gt;"","https://api.qrserver.com/v1/create-qr-code/?size=200x200&amp;data="&amp;ENCODEURL("https://www.google.com/maps/search/?api=1&amp;query="&amp;SUBSTITUTE(F1294," ","")),"")</f>
        <v/>
      </c>
      <c r="K1294" s="8">
        <f>IF(C1294&lt;&gt;"",HYPERLINK("https://wa.me/507"&amp;REGEXREPLACE(C1294,"[^0-9]","")&amp;"?text="&amp;ENCODEURL("Ya llegue. Codigo: "&amp;A1294&amp;". Ubicacion: "&amp;"https://www.google.com/maps/search/?api=1&amp;query="&amp;SUBSTITUTE(F1294," ","")),"📲 Avisar al cliente"),"")</f>
        <v/>
      </c>
      <c r="L1294" s="8">
        <f>IF(C1294&lt;&gt;"","https://api.qrserver.com/v1/create-qr-code/?size=200x200&amp;data="&amp;ENCODEURL("https://wa.me/507"&amp;REGEXREPLACE(C1294,"[^0-9]","")&amp;"?text="&amp;ENCODEURL("Ya llegue. Codigo: "&amp;A1294&amp;". Ubicacion: "&amp;"https://www.google.com/maps/search/?api=1&amp;query="&amp;SUBSTITUTE(F1294," ",""))),"")</f>
        <v/>
      </c>
      <c r="M1294" s="8">
        <f>IF(B1294&lt;&gt;"",TODAY(),"")</f>
        <v/>
      </c>
      <c r="N1294" s="8">
        <f>IF(F1294&lt;&gt;"",IFERROR(IF(AND(REGEXMATCH(SUBSTITUTE(TRIM(F1294)," ",""),"^-?\d+(\.\d+)?,-?\d+(\.\d+)?$"),VALUE(REGEXEXTRACT(SUBSTITUTE(TRIM(F1294)," ",""),"^-?\d+(\.\d+)?"))&gt;=-90,VALUE(REGEXEXTRACT(SUBSTITUTE(TRIM(F1294)," ",""),"^-?\d+(\.\d+)?"))&lt;=90,VALUE(REGEXEXTRACT(SUBSTITUTE(TRIM(F1294)," ",""),"-?\d+(\.\d+)?$"))&gt;=-180,VALUE(REGEXEXTRACT(SUBSTITUTE(TRIM(F1294)," ",""),"-?\d+(\.\d+)?$"))&lt;=180),"OK","REVISAR"),"REVISAR"),"")</f>
        <v/>
      </c>
      <c r="O1294">
        <f>IF(A1294&lt;&gt;"","https://direcciones507.github.io/direcciones507/panel.html?codigo="&amp;A1294&amp;"&amp;nombre="&amp;ENCODEURL(B1294)&amp;"&amp;telefono="&amp;SUBSTITUTE(C1294,"-","")&amp;"&amp;referencia="&amp;ENCODEURL(E1294)&amp;"&amp;lat="&amp;IZQUIERDA(SUBSTITUTE(F1294," ",""),ENCONTRAR(",",SUBSTITUTE(F1294," ",""))-1)&amp;"&amp;lng="&amp;DERECHA(SUBSTITUTE(F1294," ",""),LARGO(SUBSTITUTE(F1294," ",""))-ENCONTRAR(",",SUBSTITUTE(F1294," ",""))),"")</f>
        <v/>
      </c>
    </row>
    <row r="1295" ht="15.75" customHeight="1" s="10">
      <c r="A1295" s="8">
        <f>CONCAT("AD507-",TEXT(ROW()-2,"0000"))</f>
        <v/>
      </c>
      <c r="C1295" s="8" t="n"/>
      <c r="F1295" s="8" t="n"/>
      <c r="G1295" s="8">
        <f>IF(F1295&lt;&gt;"",HYPERLINK("https://www.google.com/maps/search/?api=1&amp;query="&amp;SUBSTITUTE(F1295," ",""),"🗺 Google Maps"),"")</f>
        <v/>
      </c>
      <c r="H1295" s="8">
        <f>IF(F1295&lt;&gt;"",HYPERLINK("https://waze.com/ul?ll="&amp;SUBSTITUTE(F1295," ","")&amp;"&amp;navigate=yes","🚗 Waze"),"")</f>
        <v/>
      </c>
      <c r="I1295" s="8">
        <f>IF(F1295&lt;&gt;"",HYPERLINK("https://m.uber.com/ul/?action=setPickup&amp;pickup=my_location&amp;dropoff[latitude]="&amp;LEFT(SUBSTITUTE(F1295," ",""),FIND(",",SUBSTITUTE(F1295," ",""))-1)&amp;"&amp;dropoff[longitude]="&amp;MID(SUBSTITUTE(F1295," ",""),FIND(",",SUBSTITUTE(F1295," ",""))+1,99),"🚕 Uber"),"")</f>
        <v/>
      </c>
      <c r="J1295" s="8">
        <f>IF(F1295&lt;&gt;"","https://api.qrserver.com/v1/create-qr-code/?size=200x200&amp;data="&amp;ENCODEURL("https://www.google.com/maps/search/?api=1&amp;query="&amp;SUBSTITUTE(F1295," ","")),"")</f>
        <v/>
      </c>
      <c r="K1295" s="8">
        <f>IF(C1295&lt;&gt;"",HYPERLINK("https://wa.me/507"&amp;REGEXREPLACE(C1295,"[^0-9]","")&amp;"?text="&amp;ENCODEURL("Ya llegue. Codigo: "&amp;A1295&amp;". Ubicacion: "&amp;"https://www.google.com/maps/search/?api=1&amp;query="&amp;SUBSTITUTE(F1295," ","")),"📲 Avisar al cliente"),"")</f>
        <v/>
      </c>
      <c r="L1295" s="8">
        <f>IF(C1295&lt;&gt;"","https://api.qrserver.com/v1/create-qr-code/?size=200x200&amp;data="&amp;ENCODEURL("https://wa.me/507"&amp;REGEXREPLACE(C1295,"[^0-9]","")&amp;"?text="&amp;ENCODEURL("Ya llegue. Codigo: "&amp;A1295&amp;". Ubicacion: "&amp;"https://www.google.com/maps/search/?api=1&amp;query="&amp;SUBSTITUTE(F1295," ",""))),"")</f>
        <v/>
      </c>
      <c r="M1295" s="8">
        <f>IF(B1295&lt;&gt;"",TODAY(),"")</f>
        <v/>
      </c>
      <c r="N1295" s="8">
        <f>IF(F1295&lt;&gt;"",IFERROR(IF(AND(REGEXMATCH(SUBSTITUTE(TRIM(F1295)," ",""),"^-?\d+(\.\d+)?,-?\d+(\.\d+)?$"),VALUE(REGEXEXTRACT(SUBSTITUTE(TRIM(F1295)," ",""),"^-?\d+(\.\d+)?"))&gt;=-90,VALUE(REGEXEXTRACT(SUBSTITUTE(TRIM(F1295)," ",""),"^-?\d+(\.\d+)?"))&lt;=90,VALUE(REGEXEXTRACT(SUBSTITUTE(TRIM(F1295)," ",""),"-?\d+(\.\d+)?$"))&gt;=-180,VALUE(REGEXEXTRACT(SUBSTITUTE(TRIM(F1295)," ",""),"-?\d+(\.\d+)?$"))&lt;=180),"OK","REVISAR"),"REVISAR"),"")</f>
        <v/>
      </c>
      <c r="O1295">
        <f>IF(A1295&lt;&gt;"","https://direcciones507.github.io/direcciones507/panel.html?codigo="&amp;A1295&amp;"&amp;nombre="&amp;ENCODEURL(B1295)&amp;"&amp;telefono="&amp;SUBSTITUTE(C1295,"-","")&amp;"&amp;referencia="&amp;ENCODEURL(E1295)&amp;"&amp;lat="&amp;IZQUIERDA(SUBSTITUTE(F1295," ",""),ENCONTRAR(",",SUBSTITUTE(F1295," ",""))-1)&amp;"&amp;lng="&amp;DERECHA(SUBSTITUTE(F1295," ",""),LARGO(SUBSTITUTE(F1295," ",""))-ENCONTRAR(",",SUBSTITUTE(F1295," ",""))),"")</f>
        <v/>
      </c>
    </row>
    <row r="1296" ht="15.75" customHeight="1" s="10">
      <c r="A1296" s="8">
        <f>CONCAT("AD507-",TEXT(ROW()-2,"0000"))</f>
        <v/>
      </c>
      <c r="C1296" s="8" t="n"/>
      <c r="F1296" s="8" t="n"/>
      <c r="G1296" s="8">
        <f>IF(F1296&lt;&gt;"",HYPERLINK("https://www.google.com/maps/search/?api=1&amp;query="&amp;SUBSTITUTE(F1296," ",""),"🗺 Google Maps"),"")</f>
        <v/>
      </c>
      <c r="H1296" s="8">
        <f>IF(F1296&lt;&gt;"",HYPERLINK("https://waze.com/ul?ll="&amp;SUBSTITUTE(F1296," ","")&amp;"&amp;navigate=yes","🚗 Waze"),"")</f>
        <v/>
      </c>
      <c r="I1296" s="8">
        <f>IF(F1296&lt;&gt;"",HYPERLINK("https://m.uber.com/ul/?action=setPickup&amp;pickup=my_location&amp;dropoff[latitude]="&amp;LEFT(SUBSTITUTE(F1296," ",""),FIND(",",SUBSTITUTE(F1296," ",""))-1)&amp;"&amp;dropoff[longitude]="&amp;MID(SUBSTITUTE(F1296," ",""),FIND(",",SUBSTITUTE(F1296," ",""))+1,99),"🚕 Uber"),"")</f>
        <v/>
      </c>
      <c r="J1296" s="8">
        <f>IF(F1296&lt;&gt;"","https://api.qrserver.com/v1/create-qr-code/?size=200x200&amp;data="&amp;ENCODEURL("https://www.google.com/maps/search/?api=1&amp;query="&amp;SUBSTITUTE(F1296," ","")),"")</f>
        <v/>
      </c>
      <c r="K1296" s="8">
        <f>IF(C1296&lt;&gt;"",HYPERLINK("https://wa.me/507"&amp;REGEXREPLACE(C1296,"[^0-9]","")&amp;"?text="&amp;ENCODEURL("Ya llegue. Codigo: "&amp;A1296&amp;". Ubicacion: "&amp;"https://www.google.com/maps/search/?api=1&amp;query="&amp;SUBSTITUTE(F1296," ","")),"📲 Avisar al cliente"),"")</f>
        <v/>
      </c>
      <c r="L1296" s="8">
        <f>IF(C1296&lt;&gt;"","https://api.qrserver.com/v1/create-qr-code/?size=200x200&amp;data="&amp;ENCODEURL("https://wa.me/507"&amp;REGEXREPLACE(C1296,"[^0-9]","")&amp;"?text="&amp;ENCODEURL("Ya llegue. Codigo: "&amp;A1296&amp;". Ubicacion: "&amp;"https://www.google.com/maps/search/?api=1&amp;query="&amp;SUBSTITUTE(F1296," ",""))),"")</f>
        <v/>
      </c>
      <c r="M1296" s="8">
        <f>IF(B1296&lt;&gt;"",TODAY(),"")</f>
        <v/>
      </c>
      <c r="N1296" s="8">
        <f>IF(F1296&lt;&gt;"",IFERROR(IF(AND(REGEXMATCH(SUBSTITUTE(TRIM(F1296)," ",""),"^-?\d+(\.\d+)?,-?\d+(\.\d+)?$"),VALUE(REGEXEXTRACT(SUBSTITUTE(TRIM(F1296)," ",""),"^-?\d+(\.\d+)?"))&gt;=-90,VALUE(REGEXEXTRACT(SUBSTITUTE(TRIM(F1296)," ",""),"^-?\d+(\.\d+)?"))&lt;=90,VALUE(REGEXEXTRACT(SUBSTITUTE(TRIM(F1296)," ",""),"-?\d+(\.\d+)?$"))&gt;=-180,VALUE(REGEXEXTRACT(SUBSTITUTE(TRIM(F1296)," ",""),"-?\d+(\.\d+)?$"))&lt;=180),"OK","REVISAR"),"REVISAR"),"")</f>
        <v/>
      </c>
      <c r="O1296">
        <f>IF(A1296&lt;&gt;"","https://direcciones507.github.io/direcciones507/panel.html?codigo="&amp;A1296&amp;"&amp;nombre="&amp;ENCODEURL(B1296)&amp;"&amp;telefono="&amp;SUBSTITUTE(C1296,"-","")&amp;"&amp;referencia="&amp;ENCODEURL(E1296)&amp;"&amp;lat="&amp;IZQUIERDA(SUBSTITUTE(F1296," ",""),ENCONTRAR(",",SUBSTITUTE(F1296," ",""))-1)&amp;"&amp;lng="&amp;DERECHA(SUBSTITUTE(F1296," ",""),LARGO(SUBSTITUTE(F1296," ",""))-ENCONTRAR(",",SUBSTITUTE(F1296," ",""))),"")</f>
        <v/>
      </c>
    </row>
    <row r="1297" ht="15.75" customHeight="1" s="10">
      <c r="A1297" s="8">
        <f>CONCAT("AD507-",TEXT(ROW()-2,"0000"))</f>
        <v/>
      </c>
      <c r="C1297" s="8" t="n"/>
      <c r="F1297" s="8" t="n"/>
      <c r="G1297" s="8">
        <f>IF(F1297&lt;&gt;"",HYPERLINK("https://www.google.com/maps/search/?api=1&amp;query="&amp;SUBSTITUTE(F1297," ",""),"🗺 Google Maps"),"")</f>
        <v/>
      </c>
      <c r="H1297" s="8">
        <f>IF(F1297&lt;&gt;"",HYPERLINK("https://waze.com/ul?ll="&amp;SUBSTITUTE(F1297," ","")&amp;"&amp;navigate=yes","🚗 Waze"),"")</f>
        <v/>
      </c>
      <c r="I1297" s="8">
        <f>IF(F1297&lt;&gt;"",HYPERLINK("https://m.uber.com/ul/?action=setPickup&amp;pickup=my_location&amp;dropoff[latitude]="&amp;LEFT(SUBSTITUTE(F1297," ",""),FIND(",",SUBSTITUTE(F1297," ",""))-1)&amp;"&amp;dropoff[longitude]="&amp;MID(SUBSTITUTE(F1297," ",""),FIND(",",SUBSTITUTE(F1297," ",""))+1,99),"🚕 Uber"),"")</f>
        <v/>
      </c>
      <c r="J1297" s="8">
        <f>IF(F1297&lt;&gt;"","https://api.qrserver.com/v1/create-qr-code/?size=200x200&amp;data="&amp;ENCODEURL("https://www.google.com/maps/search/?api=1&amp;query="&amp;SUBSTITUTE(F1297," ","")),"")</f>
        <v/>
      </c>
      <c r="K1297" s="8">
        <f>IF(C1297&lt;&gt;"",HYPERLINK("https://wa.me/507"&amp;REGEXREPLACE(C1297,"[^0-9]","")&amp;"?text="&amp;ENCODEURL("Ya llegue. Codigo: "&amp;A1297&amp;". Ubicacion: "&amp;"https://www.google.com/maps/search/?api=1&amp;query="&amp;SUBSTITUTE(F1297," ","")),"📲 Avisar al cliente"),"")</f>
        <v/>
      </c>
      <c r="L1297" s="8">
        <f>IF(C1297&lt;&gt;"","https://api.qrserver.com/v1/create-qr-code/?size=200x200&amp;data="&amp;ENCODEURL("https://wa.me/507"&amp;REGEXREPLACE(C1297,"[^0-9]","")&amp;"?text="&amp;ENCODEURL("Ya llegue. Codigo: "&amp;A1297&amp;". Ubicacion: "&amp;"https://www.google.com/maps/search/?api=1&amp;query="&amp;SUBSTITUTE(F1297," ",""))),"")</f>
        <v/>
      </c>
      <c r="M1297" s="8">
        <f>IF(B1297&lt;&gt;"",TODAY(),"")</f>
        <v/>
      </c>
      <c r="N1297" s="8">
        <f>IF(F1297&lt;&gt;"",IFERROR(IF(AND(REGEXMATCH(SUBSTITUTE(TRIM(F1297)," ",""),"^-?\d+(\.\d+)?,-?\d+(\.\d+)?$"),VALUE(REGEXEXTRACT(SUBSTITUTE(TRIM(F1297)," ",""),"^-?\d+(\.\d+)?"))&gt;=-90,VALUE(REGEXEXTRACT(SUBSTITUTE(TRIM(F1297)," ",""),"^-?\d+(\.\d+)?"))&lt;=90,VALUE(REGEXEXTRACT(SUBSTITUTE(TRIM(F1297)," ",""),"-?\d+(\.\d+)?$"))&gt;=-180,VALUE(REGEXEXTRACT(SUBSTITUTE(TRIM(F1297)," ",""),"-?\d+(\.\d+)?$"))&lt;=180),"OK","REVISAR"),"REVISAR"),"")</f>
        <v/>
      </c>
      <c r="O1297">
        <f>IF(A1297&lt;&gt;"","https://direcciones507.github.io/direcciones507/panel.html?codigo="&amp;A1297&amp;"&amp;nombre="&amp;ENCODEURL(B1297)&amp;"&amp;telefono="&amp;SUBSTITUTE(C1297,"-","")&amp;"&amp;referencia="&amp;ENCODEURL(E1297)&amp;"&amp;lat="&amp;IZQUIERDA(SUBSTITUTE(F1297," ",""),ENCONTRAR(",",SUBSTITUTE(F1297," ",""))-1)&amp;"&amp;lng="&amp;DERECHA(SUBSTITUTE(F1297," ",""),LARGO(SUBSTITUTE(F1297," ",""))-ENCONTRAR(",",SUBSTITUTE(F1297," ",""))),"")</f>
        <v/>
      </c>
    </row>
    <row r="1298" ht="15.75" customHeight="1" s="10">
      <c r="A1298" s="8">
        <f>CONCAT("AD507-",TEXT(ROW()-2,"0000"))</f>
        <v/>
      </c>
      <c r="C1298" s="8" t="n"/>
      <c r="F1298" s="8" t="n"/>
      <c r="G1298" s="8">
        <f>IF(F1298&lt;&gt;"",HYPERLINK("https://www.google.com/maps/search/?api=1&amp;query="&amp;SUBSTITUTE(F1298," ",""),"🗺 Google Maps"),"")</f>
        <v/>
      </c>
      <c r="H1298" s="8">
        <f>IF(F1298&lt;&gt;"",HYPERLINK("https://waze.com/ul?ll="&amp;SUBSTITUTE(F1298," ","")&amp;"&amp;navigate=yes","🚗 Waze"),"")</f>
        <v/>
      </c>
      <c r="I1298" s="8">
        <f>IF(F1298&lt;&gt;"",HYPERLINK("https://m.uber.com/ul/?action=setPickup&amp;pickup=my_location&amp;dropoff[latitude]="&amp;LEFT(SUBSTITUTE(F1298," ",""),FIND(",",SUBSTITUTE(F1298," ",""))-1)&amp;"&amp;dropoff[longitude]="&amp;MID(SUBSTITUTE(F1298," ",""),FIND(",",SUBSTITUTE(F1298," ",""))+1,99),"🚕 Uber"),"")</f>
        <v/>
      </c>
      <c r="J1298" s="8">
        <f>IF(F1298&lt;&gt;"","https://api.qrserver.com/v1/create-qr-code/?size=200x200&amp;data="&amp;ENCODEURL("https://www.google.com/maps/search/?api=1&amp;query="&amp;SUBSTITUTE(F1298," ","")),"")</f>
        <v/>
      </c>
      <c r="K1298" s="8">
        <f>IF(C1298&lt;&gt;"",HYPERLINK("https://wa.me/507"&amp;REGEXREPLACE(C1298,"[^0-9]","")&amp;"?text="&amp;ENCODEURL("Ya llegue. Codigo: "&amp;A1298&amp;". Ubicacion: "&amp;"https://www.google.com/maps/search/?api=1&amp;query="&amp;SUBSTITUTE(F1298," ","")),"📲 Avisar al cliente"),"")</f>
        <v/>
      </c>
      <c r="L1298" s="8">
        <f>IF(C1298&lt;&gt;"","https://api.qrserver.com/v1/create-qr-code/?size=200x200&amp;data="&amp;ENCODEURL("https://wa.me/507"&amp;REGEXREPLACE(C1298,"[^0-9]","")&amp;"?text="&amp;ENCODEURL("Ya llegue. Codigo: "&amp;A1298&amp;". Ubicacion: "&amp;"https://www.google.com/maps/search/?api=1&amp;query="&amp;SUBSTITUTE(F1298," ",""))),"")</f>
        <v/>
      </c>
      <c r="M1298" s="8">
        <f>IF(B1298&lt;&gt;"",TODAY(),"")</f>
        <v/>
      </c>
      <c r="N1298" s="8">
        <f>IF(F1298&lt;&gt;"",IFERROR(IF(AND(REGEXMATCH(SUBSTITUTE(TRIM(F1298)," ",""),"^-?\d+(\.\d+)?,-?\d+(\.\d+)?$"),VALUE(REGEXEXTRACT(SUBSTITUTE(TRIM(F1298)," ",""),"^-?\d+(\.\d+)?"))&gt;=-90,VALUE(REGEXEXTRACT(SUBSTITUTE(TRIM(F1298)," ",""),"^-?\d+(\.\d+)?"))&lt;=90,VALUE(REGEXEXTRACT(SUBSTITUTE(TRIM(F1298)," ",""),"-?\d+(\.\d+)?$"))&gt;=-180,VALUE(REGEXEXTRACT(SUBSTITUTE(TRIM(F1298)," ",""),"-?\d+(\.\d+)?$"))&lt;=180),"OK","REVISAR"),"REVISAR"),"")</f>
        <v/>
      </c>
      <c r="O1298">
        <f>IF(A1298&lt;&gt;"","https://direcciones507.github.io/direcciones507/panel.html?codigo="&amp;A1298&amp;"&amp;nombre="&amp;ENCODEURL(B1298)&amp;"&amp;telefono="&amp;SUBSTITUTE(C1298,"-","")&amp;"&amp;referencia="&amp;ENCODEURL(E1298)&amp;"&amp;lat="&amp;IZQUIERDA(SUBSTITUTE(F1298," ",""),ENCONTRAR(",",SUBSTITUTE(F1298," ",""))-1)&amp;"&amp;lng="&amp;DERECHA(SUBSTITUTE(F1298," ",""),LARGO(SUBSTITUTE(F1298," ",""))-ENCONTRAR(",",SUBSTITUTE(F1298," ",""))),"")</f>
        <v/>
      </c>
    </row>
    <row r="1299" ht="15.75" customHeight="1" s="10">
      <c r="A1299" s="8">
        <f>CONCAT("AD507-",TEXT(ROW()-2,"0000"))</f>
        <v/>
      </c>
      <c r="C1299" s="8" t="n"/>
      <c r="F1299" s="8" t="n"/>
      <c r="G1299" s="8">
        <f>IF(F1299&lt;&gt;"",HYPERLINK("https://www.google.com/maps/search/?api=1&amp;query="&amp;SUBSTITUTE(F1299," ",""),"🗺 Google Maps"),"")</f>
        <v/>
      </c>
      <c r="H1299" s="8">
        <f>IF(F1299&lt;&gt;"",HYPERLINK("https://waze.com/ul?ll="&amp;SUBSTITUTE(F1299," ","")&amp;"&amp;navigate=yes","🚗 Waze"),"")</f>
        <v/>
      </c>
      <c r="I1299" s="8">
        <f>IF(F1299&lt;&gt;"",HYPERLINK("https://m.uber.com/ul/?action=setPickup&amp;pickup=my_location&amp;dropoff[latitude]="&amp;LEFT(SUBSTITUTE(F1299," ",""),FIND(",",SUBSTITUTE(F1299," ",""))-1)&amp;"&amp;dropoff[longitude]="&amp;MID(SUBSTITUTE(F1299," ",""),FIND(",",SUBSTITUTE(F1299," ",""))+1,99),"🚕 Uber"),"")</f>
        <v/>
      </c>
      <c r="J1299" s="8">
        <f>IF(F1299&lt;&gt;"","https://api.qrserver.com/v1/create-qr-code/?size=200x200&amp;data="&amp;ENCODEURL("https://www.google.com/maps/search/?api=1&amp;query="&amp;SUBSTITUTE(F1299," ","")),"")</f>
        <v/>
      </c>
      <c r="K1299" s="8">
        <f>IF(C1299&lt;&gt;"",HYPERLINK("https://wa.me/507"&amp;REGEXREPLACE(C1299,"[^0-9]","")&amp;"?text="&amp;ENCODEURL("Ya llegue. Codigo: "&amp;A1299&amp;". Ubicacion: "&amp;"https://www.google.com/maps/search/?api=1&amp;query="&amp;SUBSTITUTE(F1299," ","")),"📲 Avisar al cliente"),"")</f>
        <v/>
      </c>
      <c r="L1299" s="8">
        <f>IF(C1299&lt;&gt;"","https://api.qrserver.com/v1/create-qr-code/?size=200x200&amp;data="&amp;ENCODEURL("https://wa.me/507"&amp;REGEXREPLACE(C1299,"[^0-9]","")&amp;"?text="&amp;ENCODEURL("Ya llegue. Codigo: "&amp;A1299&amp;". Ubicacion: "&amp;"https://www.google.com/maps/search/?api=1&amp;query="&amp;SUBSTITUTE(F1299," ",""))),"")</f>
        <v/>
      </c>
      <c r="M1299" s="8">
        <f>IF(B1299&lt;&gt;"",TODAY(),"")</f>
        <v/>
      </c>
      <c r="N1299" s="8">
        <f>IF(F1299&lt;&gt;"",IFERROR(IF(AND(REGEXMATCH(SUBSTITUTE(TRIM(F1299)," ",""),"^-?\d+(\.\d+)?,-?\d+(\.\d+)?$"),VALUE(REGEXEXTRACT(SUBSTITUTE(TRIM(F1299)," ",""),"^-?\d+(\.\d+)?"))&gt;=-90,VALUE(REGEXEXTRACT(SUBSTITUTE(TRIM(F1299)," ",""),"^-?\d+(\.\d+)?"))&lt;=90,VALUE(REGEXEXTRACT(SUBSTITUTE(TRIM(F1299)," ",""),"-?\d+(\.\d+)?$"))&gt;=-180,VALUE(REGEXEXTRACT(SUBSTITUTE(TRIM(F1299)," ",""),"-?\d+(\.\d+)?$"))&lt;=180),"OK","REVISAR"),"REVISAR"),"")</f>
        <v/>
      </c>
      <c r="O1299">
        <f>IF(A1299&lt;&gt;"","https://direcciones507.github.io/direcciones507/panel.html?codigo="&amp;A1299&amp;"&amp;nombre="&amp;ENCODEURL(B1299)&amp;"&amp;telefono="&amp;SUBSTITUTE(C1299,"-","")&amp;"&amp;referencia="&amp;ENCODEURL(E1299)&amp;"&amp;lat="&amp;IZQUIERDA(SUBSTITUTE(F1299," ",""),ENCONTRAR(",",SUBSTITUTE(F1299," ",""))-1)&amp;"&amp;lng="&amp;DERECHA(SUBSTITUTE(F1299," ",""),LARGO(SUBSTITUTE(F1299," ",""))-ENCONTRAR(",",SUBSTITUTE(F1299," ",""))),"")</f>
        <v/>
      </c>
    </row>
    <row r="1300" ht="15.75" customHeight="1" s="10">
      <c r="A1300" s="8">
        <f>CONCAT("AD507-",TEXT(ROW()-2,"0000"))</f>
        <v/>
      </c>
      <c r="C1300" s="8" t="n"/>
      <c r="F1300" s="8" t="n"/>
      <c r="G1300" s="8">
        <f>IF(F1300&lt;&gt;"",HYPERLINK("https://www.google.com/maps/search/?api=1&amp;query="&amp;SUBSTITUTE(F1300," ",""),"🗺 Google Maps"),"")</f>
        <v/>
      </c>
      <c r="H1300" s="8">
        <f>IF(F1300&lt;&gt;"",HYPERLINK("https://waze.com/ul?ll="&amp;SUBSTITUTE(F1300," ","")&amp;"&amp;navigate=yes","🚗 Waze"),"")</f>
        <v/>
      </c>
      <c r="I1300" s="8">
        <f>IF(F1300&lt;&gt;"",HYPERLINK("https://m.uber.com/ul/?action=setPickup&amp;pickup=my_location&amp;dropoff[latitude]="&amp;LEFT(SUBSTITUTE(F1300," ",""),FIND(",",SUBSTITUTE(F1300," ",""))-1)&amp;"&amp;dropoff[longitude]="&amp;MID(SUBSTITUTE(F1300," ",""),FIND(",",SUBSTITUTE(F1300," ",""))+1,99),"🚕 Uber"),"")</f>
        <v/>
      </c>
      <c r="J1300" s="8">
        <f>IF(F1300&lt;&gt;"","https://api.qrserver.com/v1/create-qr-code/?size=200x200&amp;data="&amp;ENCODEURL("https://www.google.com/maps/search/?api=1&amp;query="&amp;SUBSTITUTE(F1300," ","")),"")</f>
        <v/>
      </c>
      <c r="K1300" s="8">
        <f>IF(C1300&lt;&gt;"",HYPERLINK("https://wa.me/507"&amp;REGEXREPLACE(C1300,"[^0-9]","")&amp;"?text="&amp;ENCODEURL("Ya llegue. Codigo: "&amp;A1300&amp;". Ubicacion: "&amp;"https://www.google.com/maps/search/?api=1&amp;query="&amp;SUBSTITUTE(F1300," ","")),"📲 Avisar al cliente"),"")</f>
        <v/>
      </c>
      <c r="L1300" s="8">
        <f>IF(C1300&lt;&gt;"","https://api.qrserver.com/v1/create-qr-code/?size=200x200&amp;data="&amp;ENCODEURL("https://wa.me/507"&amp;REGEXREPLACE(C1300,"[^0-9]","")&amp;"?text="&amp;ENCODEURL("Ya llegue. Codigo: "&amp;A1300&amp;". Ubicacion: "&amp;"https://www.google.com/maps/search/?api=1&amp;query="&amp;SUBSTITUTE(F1300," ",""))),"")</f>
        <v/>
      </c>
      <c r="M1300" s="8">
        <f>IF(B1300&lt;&gt;"",TODAY(),"")</f>
        <v/>
      </c>
      <c r="N1300" s="8">
        <f>IF(F1300&lt;&gt;"",IFERROR(IF(AND(REGEXMATCH(SUBSTITUTE(TRIM(F1300)," ",""),"^-?\d+(\.\d+)?,-?\d+(\.\d+)?$"),VALUE(REGEXEXTRACT(SUBSTITUTE(TRIM(F1300)," ",""),"^-?\d+(\.\d+)?"))&gt;=-90,VALUE(REGEXEXTRACT(SUBSTITUTE(TRIM(F1300)," ",""),"^-?\d+(\.\d+)?"))&lt;=90,VALUE(REGEXEXTRACT(SUBSTITUTE(TRIM(F1300)," ",""),"-?\d+(\.\d+)?$"))&gt;=-180,VALUE(REGEXEXTRACT(SUBSTITUTE(TRIM(F1300)," ",""),"-?\d+(\.\d+)?$"))&lt;=180),"OK","REVISAR"),"REVISAR"),"")</f>
        <v/>
      </c>
      <c r="O1300">
        <f>IF(A1300&lt;&gt;"","https://direcciones507.github.io/direcciones507/panel.html?codigo="&amp;A1300&amp;"&amp;nombre="&amp;ENCODEURL(B1300)&amp;"&amp;telefono="&amp;SUBSTITUTE(C1300,"-","")&amp;"&amp;referencia="&amp;ENCODEURL(E1300)&amp;"&amp;lat="&amp;IZQUIERDA(SUBSTITUTE(F1300," ",""),ENCONTRAR(",",SUBSTITUTE(F1300," ",""))-1)&amp;"&amp;lng="&amp;DERECHA(SUBSTITUTE(F1300," ",""),LARGO(SUBSTITUTE(F1300," ",""))-ENCONTRAR(",",SUBSTITUTE(F1300," ",""))),"")</f>
        <v/>
      </c>
    </row>
    <row r="1301" ht="15.75" customHeight="1" s="10">
      <c r="A1301" s="8">
        <f>CONCAT("AD507-",TEXT(ROW()-2,"0000"))</f>
        <v/>
      </c>
      <c r="C1301" s="8" t="n"/>
      <c r="F1301" s="8" t="n"/>
      <c r="G1301" s="8">
        <f>IF(F1301&lt;&gt;"",HYPERLINK("https://www.google.com/maps/search/?api=1&amp;query="&amp;SUBSTITUTE(F1301," ",""),"🗺 Google Maps"),"")</f>
        <v/>
      </c>
      <c r="H1301" s="8">
        <f>IF(F1301&lt;&gt;"",HYPERLINK("https://waze.com/ul?ll="&amp;SUBSTITUTE(F1301," ","")&amp;"&amp;navigate=yes","🚗 Waze"),"")</f>
        <v/>
      </c>
      <c r="I1301" s="8">
        <f>IF(F1301&lt;&gt;"",HYPERLINK("https://m.uber.com/ul/?action=setPickup&amp;pickup=my_location&amp;dropoff[latitude]="&amp;LEFT(SUBSTITUTE(F1301," ",""),FIND(",",SUBSTITUTE(F1301," ",""))-1)&amp;"&amp;dropoff[longitude]="&amp;MID(SUBSTITUTE(F1301," ",""),FIND(",",SUBSTITUTE(F1301," ",""))+1,99),"🚕 Uber"),"")</f>
        <v/>
      </c>
      <c r="J1301" s="8">
        <f>IF(F1301&lt;&gt;"","https://api.qrserver.com/v1/create-qr-code/?size=200x200&amp;data="&amp;ENCODEURL("https://www.google.com/maps/search/?api=1&amp;query="&amp;SUBSTITUTE(F1301," ","")),"")</f>
        <v/>
      </c>
      <c r="K1301" s="8">
        <f>IF(C1301&lt;&gt;"",HYPERLINK("https://wa.me/507"&amp;REGEXREPLACE(C1301,"[^0-9]","")&amp;"?text="&amp;ENCODEURL("Ya llegue. Codigo: "&amp;A1301&amp;". Ubicacion: "&amp;"https://www.google.com/maps/search/?api=1&amp;query="&amp;SUBSTITUTE(F1301," ","")),"📲 Avisar al cliente"),"")</f>
        <v/>
      </c>
      <c r="L1301" s="8">
        <f>IF(C1301&lt;&gt;"","https://api.qrserver.com/v1/create-qr-code/?size=200x200&amp;data="&amp;ENCODEURL("https://wa.me/507"&amp;REGEXREPLACE(C1301,"[^0-9]","")&amp;"?text="&amp;ENCODEURL("Ya llegue. Codigo: "&amp;A1301&amp;". Ubicacion: "&amp;"https://www.google.com/maps/search/?api=1&amp;query="&amp;SUBSTITUTE(F1301," ",""))),"")</f>
        <v/>
      </c>
      <c r="M1301" s="8">
        <f>IF(B1301&lt;&gt;"",TODAY(),"")</f>
        <v/>
      </c>
      <c r="N1301" s="8">
        <f>IF(F1301&lt;&gt;"",IFERROR(IF(AND(REGEXMATCH(SUBSTITUTE(TRIM(F1301)," ",""),"^-?\d+(\.\d+)?,-?\d+(\.\d+)?$"),VALUE(REGEXEXTRACT(SUBSTITUTE(TRIM(F1301)," ",""),"^-?\d+(\.\d+)?"))&gt;=-90,VALUE(REGEXEXTRACT(SUBSTITUTE(TRIM(F1301)," ",""),"^-?\d+(\.\d+)?"))&lt;=90,VALUE(REGEXEXTRACT(SUBSTITUTE(TRIM(F1301)," ",""),"-?\d+(\.\d+)?$"))&gt;=-180,VALUE(REGEXEXTRACT(SUBSTITUTE(TRIM(F1301)," ",""),"-?\d+(\.\d+)?$"))&lt;=180),"OK","REVISAR"),"REVISAR"),"")</f>
        <v/>
      </c>
      <c r="O1301">
        <f>IF(A1301&lt;&gt;"","https://direcciones507.github.io/direcciones507/panel.html?codigo="&amp;A1301&amp;"&amp;nombre="&amp;ENCODEURL(B1301)&amp;"&amp;telefono="&amp;SUBSTITUTE(C1301,"-","")&amp;"&amp;referencia="&amp;ENCODEURL(E1301)&amp;"&amp;lat="&amp;IZQUIERDA(SUBSTITUTE(F1301," ",""),ENCONTRAR(",",SUBSTITUTE(F1301," ",""))-1)&amp;"&amp;lng="&amp;DERECHA(SUBSTITUTE(F1301," ",""),LARGO(SUBSTITUTE(F1301," ",""))-ENCONTRAR(",",SUBSTITUTE(F1301," ",""))),"")</f>
        <v/>
      </c>
    </row>
    <row r="1302" ht="15.75" customHeight="1" s="10">
      <c r="A1302" s="8">
        <f>CONCAT("AD507-",TEXT(ROW()-2,"0000"))</f>
        <v/>
      </c>
      <c r="C1302" s="8" t="n"/>
      <c r="F1302" s="8" t="n"/>
      <c r="G1302" s="8">
        <f>IF(F1302&lt;&gt;"",HYPERLINK("https://www.google.com/maps/search/?api=1&amp;query="&amp;SUBSTITUTE(F1302," ",""),"🗺 Google Maps"),"")</f>
        <v/>
      </c>
      <c r="H1302" s="8">
        <f>IF(F1302&lt;&gt;"",HYPERLINK("https://waze.com/ul?ll="&amp;SUBSTITUTE(F1302," ","")&amp;"&amp;navigate=yes","🚗 Waze"),"")</f>
        <v/>
      </c>
      <c r="I1302" s="8">
        <f>IF(F1302&lt;&gt;"",HYPERLINK("https://m.uber.com/ul/?action=setPickup&amp;pickup=my_location&amp;dropoff[latitude]="&amp;LEFT(SUBSTITUTE(F1302," ",""),FIND(",",SUBSTITUTE(F1302," ",""))-1)&amp;"&amp;dropoff[longitude]="&amp;MID(SUBSTITUTE(F1302," ",""),FIND(",",SUBSTITUTE(F1302," ",""))+1,99),"🚕 Uber"),"")</f>
        <v/>
      </c>
      <c r="J1302" s="8">
        <f>IF(F1302&lt;&gt;"","https://api.qrserver.com/v1/create-qr-code/?size=200x200&amp;data="&amp;ENCODEURL("https://www.google.com/maps/search/?api=1&amp;query="&amp;SUBSTITUTE(F1302," ","")),"")</f>
        <v/>
      </c>
      <c r="K1302" s="8">
        <f>IF(C1302&lt;&gt;"",HYPERLINK("https://wa.me/507"&amp;REGEXREPLACE(C1302,"[^0-9]","")&amp;"?text="&amp;ENCODEURL("Ya llegue. Codigo: "&amp;A1302&amp;". Ubicacion: "&amp;"https://www.google.com/maps/search/?api=1&amp;query="&amp;SUBSTITUTE(F1302," ","")),"📲 Avisar al cliente"),"")</f>
        <v/>
      </c>
      <c r="L1302" s="8">
        <f>IF(C1302&lt;&gt;"","https://api.qrserver.com/v1/create-qr-code/?size=200x200&amp;data="&amp;ENCODEURL("https://wa.me/507"&amp;REGEXREPLACE(C1302,"[^0-9]","")&amp;"?text="&amp;ENCODEURL("Ya llegue. Codigo: "&amp;A1302&amp;". Ubicacion: "&amp;"https://www.google.com/maps/search/?api=1&amp;query="&amp;SUBSTITUTE(F1302," ",""))),"")</f>
        <v/>
      </c>
      <c r="M1302" s="8">
        <f>IF(B1302&lt;&gt;"",TODAY(),"")</f>
        <v/>
      </c>
      <c r="N1302" s="8">
        <f>IF(F1302&lt;&gt;"",IFERROR(IF(AND(REGEXMATCH(SUBSTITUTE(TRIM(F1302)," ",""),"^-?\d+(\.\d+)?,-?\d+(\.\d+)?$"),VALUE(REGEXEXTRACT(SUBSTITUTE(TRIM(F1302)," ",""),"^-?\d+(\.\d+)?"))&gt;=-90,VALUE(REGEXEXTRACT(SUBSTITUTE(TRIM(F1302)," ",""),"^-?\d+(\.\d+)?"))&lt;=90,VALUE(REGEXEXTRACT(SUBSTITUTE(TRIM(F1302)," ",""),"-?\d+(\.\d+)?$"))&gt;=-180,VALUE(REGEXEXTRACT(SUBSTITUTE(TRIM(F1302)," ",""),"-?\d+(\.\d+)?$"))&lt;=180),"OK","REVISAR"),"REVISAR"),"")</f>
        <v/>
      </c>
      <c r="O1302">
        <f>IF(A1302&lt;&gt;"","https://direcciones507.github.io/direcciones507/panel.html?codigo="&amp;A1302&amp;"&amp;nombre="&amp;ENCODEURL(B1302)&amp;"&amp;telefono="&amp;SUBSTITUTE(C1302,"-","")&amp;"&amp;referencia="&amp;ENCODEURL(E1302)&amp;"&amp;lat="&amp;IZQUIERDA(SUBSTITUTE(F1302," ",""),ENCONTRAR(",",SUBSTITUTE(F1302," ",""))-1)&amp;"&amp;lng="&amp;DERECHA(SUBSTITUTE(F1302," ",""),LARGO(SUBSTITUTE(F1302," ",""))-ENCONTRAR(",",SUBSTITUTE(F1302," ",""))),"")</f>
        <v/>
      </c>
    </row>
    <row r="1303" ht="15.75" customHeight="1" s="10">
      <c r="A1303" s="8">
        <f>CONCAT("AD507-",TEXT(ROW()-2,"0000"))</f>
        <v/>
      </c>
      <c r="C1303" s="8" t="n"/>
      <c r="F1303" s="8" t="n"/>
      <c r="G1303" s="8">
        <f>IF(F1303&lt;&gt;"",HYPERLINK("https://www.google.com/maps/search/?api=1&amp;query="&amp;SUBSTITUTE(F1303," ",""),"🗺 Google Maps"),"")</f>
        <v/>
      </c>
      <c r="H1303" s="8">
        <f>IF(F1303&lt;&gt;"",HYPERLINK("https://waze.com/ul?ll="&amp;SUBSTITUTE(F1303," ","")&amp;"&amp;navigate=yes","🚗 Waze"),"")</f>
        <v/>
      </c>
      <c r="I1303" s="8">
        <f>IF(F1303&lt;&gt;"",HYPERLINK("https://m.uber.com/ul/?action=setPickup&amp;pickup=my_location&amp;dropoff[latitude]="&amp;LEFT(SUBSTITUTE(F1303," ",""),FIND(",",SUBSTITUTE(F1303," ",""))-1)&amp;"&amp;dropoff[longitude]="&amp;MID(SUBSTITUTE(F1303," ",""),FIND(",",SUBSTITUTE(F1303," ",""))+1,99),"🚕 Uber"),"")</f>
        <v/>
      </c>
      <c r="J1303" s="8">
        <f>IF(F1303&lt;&gt;"","https://api.qrserver.com/v1/create-qr-code/?size=200x200&amp;data="&amp;ENCODEURL("https://www.google.com/maps/search/?api=1&amp;query="&amp;SUBSTITUTE(F1303," ","")),"")</f>
        <v/>
      </c>
      <c r="K1303" s="8">
        <f>IF(C1303&lt;&gt;"",HYPERLINK("https://wa.me/507"&amp;REGEXREPLACE(C1303,"[^0-9]","")&amp;"?text="&amp;ENCODEURL("Ya llegue. Codigo: "&amp;A1303&amp;". Ubicacion: "&amp;"https://www.google.com/maps/search/?api=1&amp;query="&amp;SUBSTITUTE(F1303," ","")),"📲 Avisar al cliente"),"")</f>
        <v/>
      </c>
      <c r="L1303" s="8">
        <f>IF(C1303&lt;&gt;"","https://api.qrserver.com/v1/create-qr-code/?size=200x200&amp;data="&amp;ENCODEURL("https://wa.me/507"&amp;REGEXREPLACE(C1303,"[^0-9]","")&amp;"?text="&amp;ENCODEURL("Ya llegue. Codigo: "&amp;A1303&amp;". Ubicacion: "&amp;"https://www.google.com/maps/search/?api=1&amp;query="&amp;SUBSTITUTE(F1303," ",""))),"")</f>
        <v/>
      </c>
      <c r="M1303" s="8">
        <f>IF(B1303&lt;&gt;"",TODAY(),"")</f>
        <v/>
      </c>
      <c r="N1303" s="8">
        <f>IF(F1303&lt;&gt;"",IFERROR(IF(AND(REGEXMATCH(SUBSTITUTE(TRIM(F1303)," ",""),"^-?\d+(\.\d+)?,-?\d+(\.\d+)?$"),VALUE(REGEXEXTRACT(SUBSTITUTE(TRIM(F1303)," ",""),"^-?\d+(\.\d+)?"))&gt;=-90,VALUE(REGEXEXTRACT(SUBSTITUTE(TRIM(F1303)," ",""),"^-?\d+(\.\d+)?"))&lt;=90,VALUE(REGEXEXTRACT(SUBSTITUTE(TRIM(F1303)," ",""),"-?\d+(\.\d+)?$"))&gt;=-180,VALUE(REGEXEXTRACT(SUBSTITUTE(TRIM(F1303)," ",""),"-?\d+(\.\d+)?$"))&lt;=180),"OK","REVISAR"),"REVISAR"),"")</f>
        <v/>
      </c>
      <c r="O1303">
        <f>IF(A1303&lt;&gt;"","https://direcciones507.github.io/direcciones507/panel.html?codigo="&amp;A1303&amp;"&amp;nombre="&amp;ENCODEURL(B1303)&amp;"&amp;telefono="&amp;SUBSTITUTE(C1303,"-","")&amp;"&amp;referencia="&amp;ENCODEURL(E1303)&amp;"&amp;lat="&amp;IZQUIERDA(SUBSTITUTE(F1303," ",""),ENCONTRAR(",",SUBSTITUTE(F1303," ",""))-1)&amp;"&amp;lng="&amp;DERECHA(SUBSTITUTE(F1303," ",""),LARGO(SUBSTITUTE(F1303," ",""))-ENCONTRAR(",",SUBSTITUTE(F1303," ",""))),"")</f>
        <v/>
      </c>
    </row>
    <row r="1304" ht="15.75" customHeight="1" s="10">
      <c r="A1304" s="8">
        <f>CONCAT("AD507-",TEXT(ROW()-2,"0000"))</f>
        <v/>
      </c>
      <c r="C1304" s="8" t="n"/>
      <c r="F1304" s="8" t="n"/>
      <c r="G1304" s="8">
        <f>IF(F1304&lt;&gt;"",HYPERLINK("https://www.google.com/maps/search/?api=1&amp;query="&amp;SUBSTITUTE(F1304," ",""),"🗺 Google Maps"),"")</f>
        <v/>
      </c>
      <c r="H1304" s="8">
        <f>IF(F1304&lt;&gt;"",HYPERLINK("https://waze.com/ul?ll="&amp;SUBSTITUTE(F1304," ","")&amp;"&amp;navigate=yes","🚗 Waze"),"")</f>
        <v/>
      </c>
      <c r="I1304" s="8">
        <f>IF(F1304&lt;&gt;"",HYPERLINK("https://m.uber.com/ul/?action=setPickup&amp;pickup=my_location&amp;dropoff[latitude]="&amp;LEFT(SUBSTITUTE(F1304," ",""),FIND(",",SUBSTITUTE(F1304," ",""))-1)&amp;"&amp;dropoff[longitude]="&amp;MID(SUBSTITUTE(F1304," ",""),FIND(",",SUBSTITUTE(F1304," ",""))+1,99),"🚕 Uber"),"")</f>
        <v/>
      </c>
      <c r="J1304" s="8">
        <f>IF(F1304&lt;&gt;"","https://api.qrserver.com/v1/create-qr-code/?size=200x200&amp;data="&amp;ENCODEURL("https://www.google.com/maps/search/?api=1&amp;query="&amp;SUBSTITUTE(F1304," ","")),"")</f>
        <v/>
      </c>
      <c r="K1304" s="8">
        <f>IF(C1304&lt;&gt;"",HYPERLINK("https://wa.me/507"&amp;REGEXREPLACE(C1304,"[^0-9]","")&amp;"?text="&amp;ENCODEURL("Ya llegue. Codigo: "&amp;A1304&amp;". Ubicacion: "&amp;"https://www.google.com/maps/search/?api=1&amp;query="&amp;SUBSTITUTE(F1304," ","")),"📲 Avisar al cliente"),"")</f>
        <v/>
      </c>
      <c r="L1304" s="8">
        <f>IF(C1304&lt;&gt;"","https://api.qrserver.com/v1/create-qr-code/?size=200x200&amp;data="&amp;ENCODEURL("https://wa.me/507"&amp;REGEXREPLACE(C1304,"[^0-9]","")&amp;"?text="&amp;ENCODEURL("Ya llegue. Codigo: "&amp;A1304&amp;". Ubicacion: "&amp;"https://www.google.com/maps/search/?api=1&amp;query="&amp;SUBSTITUTE(F1304," ",""))),"")</f>
        <v/>
      </c>
      <c r="M1304" s="8">
        <f>IF(B1304&lt;&gt;"",TODAY(),"")</f>
        <v/>
      </c>
      <c r="N1304" s="8">
        <f>IF(F1304&lt;&gt;"",IFERROR(IF(AND(REGEXMATCH(SUBSTITUTE(TRIM(F1304)," ",""),"^-?\d+(\.\d+)?,-?\d+(\.\d+)?$"),VALUE(REGEXEXTRACT(SUBSTITUTE(TRIM(F1304)," ",""),"^-?\d+(\.\d+)?"))&gt;=-90,VALUE(REGEXEXTRACT(SUBSTITUTE(TRIM(F1304)," ",""),"^-?\d+(\.\d+)?"))&lt;=90,VALUE(REGEXEXTRACT(SUBSTITUTE(TRIM(F1304)," ",""),"-?\d+(\.\d+)?$"))&gt;=-180,VALUE(REGEXEXTRACT(SUBSTITUTE(TRIM(F1304)," ",""),"-?\d+(\.\d+)?$"))&lt;=180),"OK","REVISAR"),"REVISAR"),"")</f>
        <v/>
      </c>
      <c r="O1304">
        <f>IF(A1304&lt;&gt;"","https://direcciones507.github.io/direcciones507/panel.html?codigo="&amp;A1304&amp;"&amp;nombre="&amp;ENCODEURL(B1304)&amp;"&amp;telefono="&amp;SUBSTITUTE(C1304,"-","")&amp;"&amp;referencia="&amp;ENCODEURL(E1304)&amp;"&amp;lat="&amp;IZQUIERDA(SUBSTITUTE(F1304," ",""),ENCONTRAR(",",SUBSTITUTE(F1304," ",""))-1)&amp;"&amp;lng="&amp;DERECHA(SUBSTITUTE(F1304," ",""),LARGO(SUBSTITUTE(F1304," ",""))-ENCONTRAR(",",SUBSTITUTE(F1304," ",""))),"")</f>
        <v/>
      </c>
    </row>
    <row r="1305" ht="15.75" customHeight="1" s="10">
      <c r="A1305" s="8">
        <f>CONCAT("AD507-",TEXT(ROW()-2,"0000"))</f>
        <v/>
      </c>
      <c r="C1305" s="8" t="n"/>
      <c r="F1305" s="8" t="n"/>
      <c r="G1305" s="8">
        <f>IF(F1305&lt;&gt;"",HYPERLINK("https://www.google.com/maps/search/?api=1&amp;query="&amp;SUBSTITUTE(F1305," ",""),"🗺 Google Maps"),"")</f>
        <v/>
      </c>
      <c r="H1305" s="8">
        <f>IF(F1305&lt;&gt;"",HYPERLINK("https://waze.com/ul?ll="&amp;SUBSTITUTE(F1305," ","")&amp;"&amp;navigate=yes","🚗 Waze"),"")</f>
        <v/>
      </c>
      <c r="I1305" s="8">
        <f>IF(F1305&lt;&gt;"",HYPERLINK("https://m.uber.com/ul/?action=setPickup&amp;pickup=my_location&amp;dropoff[latitude]="&amp;LEFT(SUBSTITUTE(F1305," ",""),FIND(",",SUBSTITUTE(F1305," ",""))-1)&amp;"&amp;dropoff[longitude]="&amp;MID(SUBSTITUTE(F1305," ",""),FIND(",",SUBSTITUTE(F1305," ",""))+1,99),"🚕 Uber"),"")</f>
        <v/>
      </c>
      <c r="J1305" s="8">
        <f>IF(F1305&lt;&gt;"","https://api.qrserver.com/v1/create-qr-code/?size=200x200&amp;data="&amp;ENCODEURL("https://www.google.com/maps/search/?api=1&amp;query="&amp;SUBSTITUTE(F1305," ","")),"")</f>
        <v/>
      </c>
      <c r="K1305" s="8">
        <f>IF(C1305&lt;&gt;"",HYPERLINK("https://wa.me/507"&amp;REGEXREPLACE(C1305,"[^0-9]","")&amp;"?text="&amp;ENCODEURL("Ya llegue. Codigo: "&amp;A1305&amp;". Ubicacion: "&amp;"https://www.google.com/maps/search/?api=1&amp;query="&amp;SUBSTITUTE(F1305," ","")),"📲 Avisar al cliente"),"")</f>
        <v/>
      </c>
      <c r="L1305" s="8">
        <f>IF(C1305&lt;&gt;"","https://api.qrserver.com/v1/create-qr-code/?size=200x200&amp;data="&amp;ENCODEURL("https://wa.me/507"&amp;REGEXREPLACE(C1305,"[^0-9]","")&amp;"?text="&amp;ENCODEURL("Ya llegue. Codigo: "&amp;A1305&amp;". Ubicacion: "&amp;"https://www.google.com/maps/search/?api=1&amp;query="&amp;SUBSTITUTE(F1305," ",""))),"")</f>
        <v/>
      </c>
      <c r="M1305" s="8">
        <f>IF(B1305&lt;&gt;"",TODAY(),"")</f>
        <v/>
      </c>
      <c r="N1305" s="8">
        <f>IF(F1305&lt;&gt;"",IFERROR(IF(AND(REGEXMATCH(SUBSTITUTE(TRIM(F1305)," ",""),"^-?\d+(\.\d+)?,-?\d+(\.\d+)?$"),VALUE(REGEXEXTRACT(SUBSTITUTE(TRIM(F1305)," ",""),"^-?\d+(\.\d+)?"))&gt;=-90,VALUE(REGEXEXTRACT(SUBSTITUTE(TRIM(F1305)," ",""),"^-?\d+(\.\d+)?"))&lt;=90,VALUE(REGEXEXTRACT(SUBSTITUTE(TRIM(F1305)," ",""),"-?\d+(\.\d+)?$"))&gt;=-180,VALUE(REGEXEXTRACT(SUBSTITUTE(TRIM(F1305)," ",""),"-?\d+(\.\d+)?$"))&lt;=180),"OK","REVISAR"),"REVISAR"),"")</f>
        <v/>
      </c>
      <c r="O1305">
        <f>IF(A1305&lt;&gt;"","https://direcciones507.github.io/direcciones507/panel.html?codigo="&amp;A1305&amp;"&amp;nombre="&amp;ENCODEURL(B1305)&amp;"&amp;telefono="&amp;SUBSTITUTE(C1305,"-","")&amp;"&amp;referencia="&amp;ENCODEURL(E1305)&amp;"&amp;lat="&amp;IZQUIERDA(SUBSTITUTE(F1305," ",""),ENCONTRAR(",",SUBSTITUTE(F1305," ",""))-1)&amp;"&amp;lng="&amp;DERECHA(SUBSTITUTE(F1305," ",""),LARGO(SUBSTITUTE(F1305," ",""))-ENCONTRAR(",",SUBSTITUTE(F1305," ",""))),"")</f>
        <v/>
      </c>
    </row>
    <row r="1306" ht="15.75" customHeight="1" s="10">
      <c r="A1306" s="8">
        <f>CONCAT("AD507-",TEXT(ROW()-2,"0000"))</f>
        <v/>
      </c>
      <c r="C1306" s="8" t="n"/>
      <c r="F1306" s="8" t="n"/>
      <c r="G1306" s="8">
        <f>IF(F1306&lt;&gt;"",HYPERLINK("https://www.google.com/maps/search/?api=1&amp;query="&amp;SUBSTITUTE(F1306," ",""),"🗺 Google Maps"),"")</f>
        <v/>
      </c>
      <c r="H1306" s="8">
        <f>IF(F1306&lt;&gt;"",HYPERLINK("https://waze.com/ul?ll="&amp;SUBSTITUTE(F1306," ","")&amp;"&amp;navigate=yes","🚗 Waze"),"")</f>
        <v/>
      </c>
      <c r="I1306" s="8">
        <f>IF(F1306&lt;&gt;"",HYPERLINK("https://m.uber.com/ul/?action=setPickup&amp;pickup=my_location&amp;dropoff[latitude]="&amp;LEFT(SUBSTITUTE(F1306," ",""),FIND(",",SUBSTITUTE(F1306," ",""))-1)&amp;"&amp;dropoff[longitude]="&amp;MID(SUBSTITUTE(F1306," ",""),FIND(",",SUBSTITUTE(F1306," ",""))+1,99),"🚕 Uber"),"")</f>
        <v/>
      </c>
      <c r="J1306" s="8">
        <f>IF(F1306&lt;&gt;"","https://api.qrserver.com/v1/create-qr-code/?size=200x200&amp;data="&amp;ENCODEURL("https://www.google.com/maps/search/?api=1&amp;query="&amp;SUBSTITUTE(F1306," ","")),"")</f>
        <v/>
      </c>
      <c r="K1306" s="8">
        <f>IF(C1306&lt;&gt;"",HYPERLINK("https://wa.me/507"&amp;REGEXREPLACE(C1306,"[^0-9]","")&amp;"?text="&amp;ENCODEURL("Ya llegue. Codigo: "&amp;A1306&amp;". Ubicacion: "&amp;"https://www.google.com/maps/search/?api=1&amp;query="&amp;SUBSTITUTE(F1306," ","")),"📲 Avisar al cliente"),"")</f>
        <v/>
      </c>
      <c r="L1306" s="8">
        <f>IF(C1306&lt;&gt;"","https://api.qrserver.com/v1/create-qr-code/?size=200x200&amp;data="&amp;ENCODEURL("https://wa.me/507"&amp;REGEXREPLACE(C1306,"[^0-9]","")&amp;"?text="&amp;ENCODEURL("Ya llegue. Codigo: "&amp;A1306&amp;". Ubicacion: "&amp;"https://www.google.com/maps/search/?api=1&amp;query="&amp;SUBSTITUTE(F1306," ",""))),"")</f>
        <v/>
      </c>
      <c r="M1306" s="8">
        <f>IF(B1306&lt;&gt;"",TODAY(),"")</f>
        <v/>
      </c>
      <c r="N1306" s="8">
        <f>IF(F1306&lt;&gt;"",IFERROR(IF(AND(REGEXMATCH(SUBSTITUTE(TRIM(F1306)," ",""),"^-?\d+(\.\d+)?,-?\d+(\.\d+)?$"),VALUE(REGEXEXTRACT(SUBSTITUTE(TRIM(F1306)," ",""),"^-?\d+(\.\d+)?"))&gt;=-90,VALUE(REGEXEXTRACT(SUBSTITUTE(TRIM(F1306)," ",""),"^-?\d+(\.\d+)?"))&lt;=90,VALUE(REGEXEXTRACT(SUBSTITUTE(TRIM(F1306)," ",""),"-?\d+(\.\d+)?$"))&gt;=-180,VALUE(REGEXEXTRACT(SUBSTITUTE(TRIM(F1306)," ",""),"-?\d+(\.\d+)?$"))&lt;=180),"OK","REVISAR"),"REVISAR"),"")</f>
        <v/>
      </c>
      <c r="O1306">
        <f>IF(A1306&lt;&gt;"","https://direcciones507.github.io/direcciones507/panel.html?codigo="&amp;A1306&amp;"&amp;nombre="&amp;ENCODEURL(B1306)&amp;"&amp;telefono="&amp;SUBSTITUTE(C1306,"-","")&amp;"&amp;referencia="&amp;ENCODEURL(E1306)&amp;"&amp;lat="&amp;IZQUIERDA(SUBSTITUTE(F1306," ",""),ENCONTRAR(",",SUBSTITUTE(F1306," ",""))-1)&amp;"&amp;lng="&amp;DERECHA(SUBSTITUTE(F1306," ",""),LARGO(SUBSTITUTE(F1306," ",""))-ENCONTRAR(",",SUBSTITUTE(F1306," ",""))),"")</f>
        <v/>
      </c>
    </row>
    <row r="1307" ht="15.75" customHeight="1" s="10">
      <c r="A1307" s="8">
        <f>CONCAT("AD507-",TEXT(ROW()-2,"0000"))</f>
        <v/>
      </c>
      <c r="C1307" s="8" t="n"/>
      <c r="F1307" s="8" t="n"/>
      <c r="G1307" s="8">
        <f>IF(F1307&lt;&gt;"",HYPERLINK("https://www.google.com/maps/search/?api=1&amp;query="&amp;SUBSTITUTE(F1307," ",""),"🗺 Google Maps"),"")</f>
        <v/>
      </c>
      <c r="H1307" s="8">
        <f>IF(F1307&lt;&gt;"",HYPERLINK("https://waze.com/ul?ll="&amp;SUBSTITUTE(F1307," ","")&amp;"&amp;navigate=yes","🚗 Waze"),"")</f>
        <v/>
      </c>
      <c r="I1307" s="8">
        <f>IF(F1307&lt;&gt;"",HYPERLINK("https://m.uber.com/ul/?action=setPickup&amp;pickup=my_location&amp;dropoff[latitude]="&amp;LEFT(SUBSTITUTE(F1307," ",""),FIND(",",SUBSTITUTE(F1307," ",""))-1)&amp;"&amp;dropoff[longitude]="&amp;MID(SUBSTITUTE(F1307," ",""),FIND(",",SUBSTITUTE(F1307," ",""))+1,99),"🚕 Uber"),"")</f>
        <v/>
      </c>
      <c r="J1307" s="8">
        <f>IF(F1307&lt;&gt;"","https://api.qrserver.com/v1/create-qr-code/?size=200x200&amp;data="&amp;ENCODEURL("https://www.google.com/maps/search/?api=1&amp;query="&amp;SUBSTITUTE(F1307," ","")),"")</f>
        <v/>
      </c>
      <c r="K1307" s="8">
        <f>IF(C1307&lt;&gt;"",HYPERLINK("https://wa.me/507"&amp;REGEXREPLACE(C1307,"[^0-9]","")&amp;"?text="&amp;ENCODEURL("Ya llegue. Codigo: "&amp;A1307&amp;". Ubicacion: "&amp;"https://www.google.com/maps/search/?api=1&amp;query="&amp;SUBSTITUTE(F1307," ","")),"📲 Avisar al cliente"),"")</f>
        <v/>
      </c>
      <c r="L1307" s="8">
        <f>IF(C1307&lt;&gt;"","https://api.qrserver.com/v1/create-qr-code/?size=200x200&amp;data="&amp;ENCODEURL("https://wa.me/507"&amp;REGEXREPLACE(C1307,"[^0-9]","")&amp;"?text="&amp;ENCODEURL("Ya llegue. Codigo: "&amp;A1307&amp;". Ubicacion: "&amp;"https://www.google.com/maps/search/?api=1&amp;query="&amp;SUBSTITUTE(F1307," ",""))),"")</f>
        <v/>
      </c>
      <c r="M1307" s="8">
        <f>IF(B1307&lt;&gt;"",TODAY(),"")</f>
        <v/>
      </c>
      <c r="N1307" s="8">
        <f>IF(F1307&lt;&gt;"",IFERROR(IF(AND(REGEXMATCH(SUBSTITUTE(TRIM(F1307)," ",""),"^-?\d+(\.\d+)?,-?\d+(\.\d+)?$"),VALUE(REGEXEXTRACT(SUBSTITUTE(TRIM(F1307)," ",""),"^-?\d+(\.\d+)?"))&gt;=-90,VALUE(REGEXEXTRACT(SUBSTITUTE(TRIM(F1307)," ",""),"^-?\d+(\.\d+)?"))&lt;=90,VALUE(REGEXEXTRACT(SUBSTITUTE(TRIM(F1307)," ",""),"-?\d+(\.\d+)?$"))&gt;=-180,VALUE(REGEXEXTRACT(SUBSTITUTE(TRIM(F1307)," ",""),"-?\d+(\.\d+)?$"))&lt;=180),"OK","REVISAR"),"REVISAR"),"")</f>
        <v/>
      </c>
      <c r="O1307">
        <f>IF(A1307&lt;&gt;"","https://direcciones507.github.io/direcciones507/panel.html?codigo="&amp;A1307&amp;"&amp;nombre="&amp;ENCODEURL(B1307)&amp;"&amp;telefono="&amp;SUBSTITUTE(C1307,"-","")&amp;"&amp;referencia="&amp;ENCODEURL(E1307)&amp;"&amp;lat="&amp;IZQUIERDA(SUBSTITUTE(F1307," ",""),ENCONTRAR(",",SUBSTITUTE(F1307," ",""))-1)&amp;"&amp;lng="&amp;DERECHA(SUBSTITUTE(F1307," ",""),LARGO(SUBSTITUTE(F1307," ",""))-ENCONTRAR(",",SUBSTITUTE(F1307," ",""))),"")</f>
        <v/>
      </c>
    </row>
    <row r="1308" ht="15.75" customHeight="1" s="10">
      <c r="A1308" s="8">
        <f>CONCAT("AD507-",TEXT(ROW()-2,"0000"))</f>
        <v/>
      </c>
      <c r="C1308" s="8" t="n"/>
      <c r="F1308" s="8" t="n"/>
      <c r="G1308" s="8">
        <f>IF(F1308&lt;&gt;"",HYPERLINK("https://www.google.com/maps/search/?api=1&amp;query="&amp;SUBSTITUTE(F1308," ",""),"🗺 Google Maps"),"")</f>
        <v/>
      </c>
      <c r="H1308" s="8">
        <f>IF(F1308&lt;&gt;"",HYPERLINK("https://waze.com/ul?ll="&amp;SUBSTITUTE(F1308," ","")&amp;"&amp;navigate=yes","🚗 Waze"),"")</f>
        <v/>
      </c>
      <c r="I1308" s="8">
        <f>IF(F1308&lt;&gt;"",HYPERLINK("https://m.uber.com/ul/?action=setPickup&amp;pickup=my_location&amp;dropoff[latitude]="&amp;LEFT(SUBSTITUTE(F1308," ",""),FIND(",",SUBSTITUTE(F1308," ",""))-1)&amp;"&amp;dropoff[longitude]="&amp;MID(SUBSTITUTE(F1308," ",""),FIND(",",SUBSTITUTE(F1308," ",""))+1,99),"🚕 Uber"),"")</f>
        <v/>
      </c>
      <c r="J1308" s="8">
        <f>IF(F1308&lt;&gt;"","https://api.qrserver.com/v1/create-qr-code/?size=200x200&amp;data="&amp;ENCODEURL("https://www.google.com/maps/search/?api=1&amp;query="&amp;SUBSTITUTE(F1308," ","")),"")</f>
        <v/>
      </c>
      <c r="K1308" s="8">
        <f>IF(C1308&lt;&gt;"",HYPERLINK("https://wa.me/507"&amp;REGEXREPLACE(C1308,"[^0-9]","")&amp;"?text="&amp;ENCODEURL("Ya llegue. Codigo: "&amp;A1308&amp;". Ubicacion: "&amp;"https://www.google.com/maps/search/?api=1&amp;query="&amp;SUBSTITUTE(F1308," ","")),"📲 Avisar al cliente"),"")</f>
        <v/>
      </c>
      <c r="L1308" s="8">
        <f>IF(C1308&lt;&gt;"","https://api.qrserver.com/v1/create-qr-code/?size=200x200&amp;data="&amp;ENCODEURL("https://wa.me/507"&amp;REGEXREPLACE(C1308,"[^0-9]","")&amp;"?text="&amp;ENCODEURL("Ya llegue. Codigo: "&amp;A1308&amp;". Ubicacion: "&amp;"https://www.google.com/maps/search/?api=1&amp;query="&amp;SUBSTITUTE(F1308," ",""))),"")</f>
        <v/>
      </c>
      <c r="M1308" s="8">
        <f>IF(B1308&lt;&gt;"",TODAY(),"")</f>
        <v/>
      </c>
      <c r="N1308" s="8">
        <f>IF(F1308&lt;&gt;"",IFERROR(IF(AND(REGEXMATCH(SUBSTITUTE(TRIM(F1308)," ",""),"^-?\d+(\.\d+)?,-?\d+(\.\d+)?$"),VALUE(REGEXEXTRACT(SUBSTITUTE(TRIM(F1308)," ",""),"^-?\d+(\.\d+)?"))&gt;=-90,VALUE(REGEXEXTRACT(SUBSTITUTE(TRIM(F1308)," ",""),"^-?\d+(\.\d+)?"))&lt;=90,VALUE(REGEXEXTRACT(SUBSTITUTE(TRIM(F1308)," ",""),"-?\d+(\.\d+)?$"))&gt;=-180,VALUE(REGEXEXTRACT(SUBSTITUTE(TRIM(F1308)," ",""),"-?\d+(\.\d+)?$"))&lt;=180),"OK","REVISAR"),"REVISAR"),"")</f>
        <v/>
      </c>
      <c r="O1308">
        <f>IF(A1308&lt;&gt;"","https://direcciones507.github.io/direcciones507/panel.html?codigo="&amp;A1308&amp;"&amp;nombre="&amp;ENCODEURL(B1308)&amp;"&amp;telefono="&amp;SUBSTITUTE(C1308,"-","")&amp;"&amp;referencia="&amp;ENCODEURL(E1308)&amp;"&amp;lat="&amp;IZQUIERDA(SUBSTITUTE(F1308," ",""),ENCONTRAR(",",SUBSTITUTE(F1308," ",""))-1)&amp;"&amp;lng="&amp;DERECHA(SUBSTITUTE(F1308," ",""),LARGO(SUBSTITUTE(F1308," ",""))-ENCONTRAR(",",SUBSTITUTE(F1308," ",""))),"")</f>
        <v/>
      </c>
    </row>
    <row r="1309" ht="15.75" customHeight="1" s="10">
      <c r="A1309" s="8">
        <f>CONCAT("AD507-",TEXT(ROW()-2,"0000"))</f>
        <v/>
      </c>
      <c r="C1309" s="8" t="n"/>
      <c r="F1309" s="8" t="n"/>
      <c r="G1309" s="8">
        <f>IF(F1309&lt;&gt;"",HYPERLINK("https://www.google.com/maps/search/?api=1&amp;query="&amp;SUBSTITUTE(F1309," ",""),"🗺 Google Maps"),"")</f>
        <v/>
      </c>
      <c r="H1309" s="8">
        <f>IF(F1309&lt;&gt;"",HYPERLINK("https://waze.com/ul?ll="&amp;SUBSTITUTE(F1309," ","")&amp;"&amp;navigate=yes","🚗 Waze"),"")</f>
        <v/>
      </c>
      <c r="I1309" s="8">
        <f>IF(F1309&lt;&gt;"",HYPERLINK("https://m.uber.com/ul/?action=setPickup&amp;pickup=my_location&amp;dropoff[latitude]="&amp;LEFT(SUBSTITUTE(F1309," ",""),FIND(",",SUBSTITUTE(F1309," ",""))-1)&amp;"&amp;dropoff[longitude]="&amp;MID(SUBSTITUTE(F1309," ",""),FIND(",",SUBSTITUTE(F1309," ",""))+1,99),"🚕 Uber"),"")</f>
        <v/>
      </c>
      <c r="J1309" s="8">
        <f>IF(F1309&lt;&gt;"","https://api.qrserver.com/v1/create-qr-code/?size=200x200&amp;data="&amp;ENCODEURL("https://www.google.com/maps/search/?api=1&amp;query="&amp;SUBSTITUTE(F1309," ","")),"")</f>
        <v/>
      </c>
      <c r="K1309" s="8">
        <f>IF(C1309&lt;&gt;"",HYPERLINK("https://wa.me/507"&amp;REGEXREPLACE(C1309,"[^0-9]","")&amp;"?text="&amp;ENCODEURL("Ya llegue. Codigo: "&amp;A1309&amp;". Ubicacion: "&amp;"https://www.google.com/maps/search/?api=1&amp;query="&amp;SUBSTITUTE(F1309," ","")),"📲 Avisar al cliente"),"")</f>
        <v/>
      </c>
      <c r="L1309" s="8">
        <f>IF(C1309&lt;&gt;"","https://api.qrserver.com/v1/create-qr-code/?size=200x200&amp;data="&amp;ENCODEURL("https://wa.me/507"&amp;REGEXREPLACE(C1309,"[^0-9]","")&amp;"?text="&amp;ENCODEURL("Ya llegue. Codigo: "&amp;A1309&amp;". Ubicacion: "&amp;"https://www.google.com/maps/search/?api=1&amp;query="&amp;SUBSTITUTE(F1309," ",""))),"")</f>
        <v/>
      </c>
      <c r="M1309" s="8">
        <f>IF(B1309&lt;&gt;"",TODAY(),"")</f>
        <v/>
      </c>
      <c r="N1309" s="8">
        <f>IF(F1309&lt;&gt;"",IFERROR(IF(AND(REGEXMATCH(SUBSTITUTE(TRIM(F1309)," ",""),"^-?\d+(\.\d+)?,-?\d+(\.\d+)?$"),VALUE(REGEXEXTRACT(SUBSTITUTE(TRIM(F1309)," ",""),"^-?\d+(\.\d+)?"))&gt;=-90,VALUE(REGEXEXTRACT(SUBSTITUTE(TRIM(F1309)," ",""),"^-?\d+(\.\d+)?"))&lt;=90,VALUE(REGEXEXTRACT(SUBSTITUTE(TRIM(F1309)," ",""),"-?\d+(\.\d+)?$"))&gt;=-180,VALUE(REGEXEXTRACT(SUBSTITUTE(TRIM(F1309)," ",""),"-?\d+(\.\d+)?$"))&lt;=180),"OK","REVISAR"),"REVISAR"),"")</f>
        <v/>
      </c>
      <c r="O1309">
        <f>IF(A1309&lt;&gt;"","https://direcciones507.github.io/direcciones507/panel.html?codigo="&amp;A1309&amp;"&amp;nombre="&amp;ENCODEURL(B1309)&amp;"&amp;telefono="&amp;SUBSTITUTE(C1309,"-","")&amp;"&amp;referencia="&amp;ENCODEURL(E1309)&amp;"&amp;lat="&amp;IZQUIERDA(SUBSTITUTE(F1309," ",""),ENCONTRAR(",",SUBSTITUTE(F1309," ",""))-1)&amp;"&amp;lng="&amp;DERECHA(SUBSTITUTE(F1309," ",""),LARGO(SUBSTITUTE(F1309," ",""))-ENCONTRAR(",",SUBSTITUTE(F1309," ",""))),"")</f>
        <v/>
      </c>
    </row>
    <row r="1310" ht="15.75" customHeight="1" s="10">
      <c r="A1310" s="8">
        <f>CONCAT("AD507-",TEXT(ROW()-2,"0000"))</f>
        <v/>
      </c>
      <c r="C1310" s="8" t="n"/>
      <c r="F1310" s="8" t="n"/>
      <c r="G1310" s="8">
        <f>IF(F1310&lt;&gt;"",HYPERLINK("https://www.google.com/maps/search/?api=1&amp;query="&amp;SUBSTITUTE(F1310," ",""),"🗺 Google Maps"),"")</f>
        <v/>
      </c>
      <c r="H1310" s="8">
        <f>IF(F1310&lt;&gt;"",HYPERLINK("https://waze.com/ul?ll="&amp;SUBSTITUTE(F1310," ","")&amp;"&amp;navigate=yes","🚗 Waze"),"")</f>
        <v/>
      </c>
      <c r="I1310" s="8">
        <f>IF(F1310&lt;&gt;"",HYPERLINK("https://m.uber.com/ul/?action=setPickup&amp;pickup=my_location&amp;dropoff[latitude]="&amp;LEFT(SUBSTITUTE(F1310," ",""),FIND(",",SUBSTITUTE(F1310," ",""))-1)&amp;"&amp;dropoff[longitude]="&amp;MID(SUBSTITUTE(F1310," ",""),FIND(",",SUBSTITUTE(F1310," ",""))+1,99),"🚕 Uber"),"")</f>
        <v/>
      </c>
      <c r="J1310" s="8">
        <f>IF(F1310&lt;&gt;"","https://api.qrserver.com/v1/create-qr-code/?size=200x200&amp;data="&amp;ENCODEURL("https://www.google.com/maps/search/?api=1&amp;query="&amp;SUBSTITUTE(F1310," ","")),"")</f>
        <v/>
      </c>
      <c r="K1310" s="8">
        <f>IF(C1310&lt;&gt;"",HYPERLINK("https://wa.me/507"&amp;REGEXREPLACE(C1310,"[^0-9]","")&amp;"?text="&amp;ENCODEURL("Ya llegue. Codigo: "&amp;A1310&amp;". Ubicacion: "&amp;"https://www.google.com/maps/search/?api=1&amp;query="&amp;SUBSTITUTE(F1310," ","")),"📲 Avisar al cliente"),"")</f>
        <v/>
      </c>
      <c r="L1310" s="8">
        <f>IF(C1310&lt;&gt;"","https://api.qrserver.com/v1/create-qr-code/?size=200x200&amp;data="&amp;ENCODEURL("https://wa.me/507"&amp;REGEXREPLACE(C1310,"[^0-9]","")&amp;"?text="&amp;ENCODEURL("Ya llegue. Codigo: "&amp;A1310&amp;". Ubicacion: "&amp;"https://www.google.com/maps/search/?api=1&amp;query="&amp;SUBSTITUTE(F1310," ",""))),"")</f>
        <v/>
      </c>
      <c r="M1310" s="8">
        <f>IF(B1310&lt;&gt;"",TODAY(),"")</f>
        <v/>
      </c>
      <c r="N1310" s="8">
        <f>IF(F1310&lt;&gt;"",IFERROR(IF(AND(REGEXMATCH(SUBSTITUTE(TRIM(F1310)," ",""),"^-?\d+(\.\d+)?,-?\d+(\.\d+)?$"),VALUE(REGEXEXTRACT(SUBSTITUTE(TRIM(F1310)," ",""),"^-?\d+(\.\d+)?"))&gt;=-90,VALUE(REGEXEXTRACT(SUBSTITUTE(TRIM(F1310)," ",""),"^-?\d+(\.\d+)?"))&lt;=90,VALUE(REGEXEXTRACT(SUBSTITUTE(TRIM(F1310)," ",""),"-?\d+(\.\d+)?$"))&gt;=-180,VALUE(REGEXEXTRACT(SUBSTITUTE(TRIM(F1310)," ",""),"-?\d+(\.\d+)?$"))&lt;=180),"OK","REVISAR"),"REVISAR"),"")</f>
        <v/>
      </c>
      <c r="O1310">
        <f>IF(A1310&lt;&gt;"","https://direcciones507.github.io/direcciones507/panel.html?codigo="&amp;A1310&amp;"&amp;nombre="&amp;ENCODEURL(B1310)&amp;"&amp;telefono="&amp;SUBSTITUTE(C1310,"-","")&amp;"&amp;referencia="&amp;ENCODEURL(E1310)&amp;"&amp;lat="&amp;IZQUIERDA(SUBSTITUTE(F1310," ",""),ENCONTRAR(",",SUBSTITUTE(F1310," ",""))-1)&amp;"&amp;lng="&amp;DERECHA(SUBSTITUTE(F1310," ",""),LARGO(SUBSTITUTE(F1310," ",""))-ENCONTRAR(",",SUBSTITUTE(F1310," ",""))),"")</f>
        <v/>
      </c>
    </row>
    <row r="1311" ht="15.75" customHeight="1" s="10">
      <c r="A1311" s="8">
        <f>CONCAT("AD507-",TEXT(ROW()-2,"0000"))</f>
        <v/>
      </c>
      <c r="C1311" s="8" t="n"/>
      <c r="F1311" s="8" t="n"/>
      <c r="G1311" s="8">
        <f>IF(F1311&lt;&gt;"",HYPERLINK("https://www.google.com/maps/search/?api=1&amp;query="&amp;SUBSTITUTE(F1311," ",""),"🗺 Google Maps"),"")</f>
        <v/>
      </c>
      <c r="H1311" s="8">
        <f>IF(F1311&lt;&gt;"",HYPERLINK("https://waze.com/ul?ll="&amp;SUBSTITUTE(F1311," ","")&amp;"&amp;navigate=yes","🚗 Waze"),"")</f>
        <v/>
      </c>
      <c r="I1311" s="8">
        <f>IF(F1311&lt;&gt;"",HYPERLINK("https://m.uber.com/ul/?action=setPickup&amp;pickup=my_location&amp;dropoff[latitude]="&amp;LEFT(SUBSTITUTE(F1311," ",""),FIND(",",SUBSTITUTE(F1311," ",""))-1)&amp;"&amp;dropoff[longitude]="&amp;MID(SUBSTITUTE(F1311," ",""),FIND(",",SUBSTITUTE(F1311," ",""))+1,99),"🚕 Uber"),"")</f>
        <v/>
      </c>
      <c r="J1311" s="8">
        <f>IF(F1311&lt;&gt;"","https://api.qrserver.com/v1/create-qr-code/?size=200x200&amp;data="&amp;ENCODEURL("https://www.google.com/maps/search/?api=1&amp;query="&amp;SUBSTITUTE(F1311," ","")),"")</f>
        <v/>
      </c>
      <c r="K1311" s="8">
        <f>IF(C1311&lt;&gt;"",HYPERLINK("https://wa.me/507"&amp;REGEXREPLACE(C1311,"[^0-9]","")&amp;"?text="&amp;ENCODEURL("Ya llegue. Codigo: "&amp;A1311&amp;". Ubicacion: "&amp;"https://www.google.com/maps/search/?api=1&amp;query="&amp;SUBSTITUTE(F1311," ","")),"📲 Avisar al cliente"),"")</f>
        <v/>
      </c>
      <c r="L1311" s="8">
        <f>IF(C1311&lt;&gt;"","https://api.qrserver.com/v1/create-qr-code/?size=200x200&amp;data="&amp;ENCODEURL("https://wa.me/507"&amp;REGEXREPLACE(C1311,"[^0-9]","")&amp;"?text="&amp;ENCODEURL("Ya llegue. Codigo: "&amp;A1311&amp;". Ubicacion: "&amp;"https://www.google.com/maps/search/?api=1&amp;query="&amp;SUBSTITUTE(F1311," ",""))),"")</f>
        <v/>
      </c>
      <c r="M1311" s="8">
        <f>IF(B1311&lt;&gt;"",TODAY(),"")</f>
        <v/>
      </c>
      <c r="N1311" s="8">
        <f>IF(F1311&lt;&gt;"",IFERROR(IF(AND(REGEXMATCH(SUBSTITUTE(TRIM(F1311)," ",""),"^-?\d+(\.\d+)?,-?\d+(\.\d+)?$"),VALUE(REGEXEXTRACT(SUBSTITUTE(TRIM(F1311)," ",""),"^-?\d+(\.\d+)?"))&gt;=-90,VALUE(REGEXEXTRACT(SUBSTITUTE(TRIM(F1311)," ",""),"^-?\d+(\.\d+)?"))&lt;=90,VALUE(REGEXEXTRACT(SUBSTITUTE(TRIM(F1311)," ",""),"-?\d+(\.\d+)?$"))&gt;=-180,VALUE(REGEXEXTRACT(SUBSTITUTE(TRIM(F1311)," ",""),"-?\d+(\.\d+)?$"))&lt;=180),"OK","REVISAR"),"REVISAR"),"")</f>
        <v/>
      </c>
      <c r="O1311">
        <f>IF(A1311&lt;&gt;"","https://direcciones507.github.io/direcciones507/panel.html?codigo="&amp;A1311&amp;"&amp;nombre="&amp;ENCODEURL(B1311)&amp;"&amp;telefono="&amp;SUBSTITUTE(C1311,"-","")&amp;"&amp;referencia="&amp;ENCODEURL(E1311)&amp;"&amp;lat="&amp;IZQUIERDA(SUBSTITUTE(F1311," ",""),ENCONTRAR(",",SUBSTITUTE(F1311," ",""))-1)&amp;"&amp;lng="&amp;DERECHA(SUBSTITUTE(F1311," ",""),LARGO(SUBSTITUTE(F1311," ",""))-ENCONTRAR(",",SUBSTITUTE(F1311," ",""))),"")</f>
        <v/>
      </c>
    </row>
    <row r="1312" ht="15.75" customHeight="1" s="10">
      <c r="A1312" s="8">
        <f>CONCAT("AD507-",TEXT(ROW()-2,"0000"))</f>
        <v/>
      </c>
      <c r="C1312" s="8" t="n"/>
      <c r="F1312" s="8" t="n"/>
      <c r="G1312" s="8">
        <f>IF(F1312&lt;&gt;"",HYPERLINK("https://www.google.com/maps/search/?api=1&amp;query="&amp;SUBSTITUTE(F1312," ",""),"🗺 Google Maps"),"")</f>
        <v/>
      </c>
      <c r="H1312" s="8">
        <f>IF(F1312&lt;&gt;"",HYPERLINK("https://waze.com/ul?ll="&amp;SUBSTITUTE(F1312," ","")&amp;"&amp;navigate=yes","🚗 Waze"),"")</f>
        <v/>
      </c>
      <c r="I1312" s="8">
        <f>IF(F1312&lt;&gt;"",HYPERLINK("https://m.uber.com/ul/?action=setPickup&amp;pickup=my_location&amp;dropoff[latitude]="&amp;LEFT(SUBSTITUTE(F1312," ",""),FIND(",",SUBSTITUTE(F1312," ",""))-1)&amp;"&amp;dropoff[longitude]="&amp;MID(SUBSTITUTE(F1312," ",""),FIND(",",SUBSTITUTE(F1312," ",""))+1,99),"🚕 Uber"),"")</f>
        <v/>
      </c>
      <c r="J1312" s="8">
        <f>IF(F1312&lt;&gt;"","https://api.qrserver.com/v1/create-qr-code/?size=200x200&amp;data="&amp;ENCODEURL("https://www.google.com/maps/search/?api=1&amp;query="&amp;SUBSTITUTE(F1312," ","")),"")</f>
        <v/>
      </c>
      <c r="K1312" s="8">
        <f>IF(C1312&lt;&gt;"",HYPERLINK("https://wa.me/507"&amp;REGEXREPLACE(C1312,"[^0-9]","")&amp;"?text="&amp;ENCODEURL("Ya llegue. Codigo: "&amp;A1312&amp;". Ubicacion: "&amp;"https://www.google.com/maps/search/?api=1&amp;query="&amp;SUBSTITUTE(F1312," ","")),"📲 Avisar al cliente"),"")</f>
        <v/>
      </c>
      <c r="L1312" s="8">
        <f>IF(C1312&lt;&gt;"","https://api.qrserver.com/v1/create-qr-code/?size=200x200&amp;data="&amp;ENCODEURL("https://wa.me/507"&amp;REGEXREPLACE(C1312,"[^0-9]","")&amp;"?text="&amp;ENCODEURL("Ya llegue. Codigo: "&amp;A1312&amp;". Ubicacion: "&amp;"https://www.google.com/maps/search/?api=1&amp;query="&amp;SUBSTITUTE(F1312," ",""))),"")</f>
        <v/>
      </c>
      <c r="M1312" s="8">
        <f>IF(B1312&lt;&gt;"",TODAY(),"")</f>
        <v/>
      </c>
      <c r="N1312" s="8">
        <f>IF(F1312&lt;&gt;"",IFERROR(IF(AND(REGEXMATCH(SUBSTITUTE(TRIM(F1312)," ",""),"^-?\d+(\.\d+)?,-?\d+(\.\d+)?$"),VALUE(REGEXEXTRACT(SUBSTITUTE(TRIM(F1312)," ",""),"^-?\d+(\.\d+)?"))&gt;=-90,VALUE(REGEXEXTRACT(SUBSTITUTE(TRIM(F1312)," ",""),"^-?\d+(\.\d+)?"))&lt;=90,VALUE(REGEXEXTRACT(SUBSTITUTE(TRIM(F1312)," ",""),"-?\d+(\.\d+)?$"))&gt;=-180,VALUE(REGEXEXTRACT(SUBSTITUTE(TRIM(F1312)," ",""),"-?\d+(\.\d+)?$"))&lt;=180),"OK","REVISAR"),"REVISAR"),"")</f>
        <v/>
      </c>
      <c r="O1312">
        <f>IF(A1312&lt;&gt;"","https://direcciones507.github.io/direcciones507/panel.html?codigo="&amp;A1312&amp;"&amp;nombre="&amp;ENCODEURL(B1312)&amp;"&amp;telefono="&amp;SUBSTITUTE(C1312,"-","")&amp;"&amp;referencia="&amp;ENCODEURL(E1312)&amp;"&amp;lat="&amp;IZQUIERDA(SUBSTITUTE(F1312," ",""),ENCONTRAR(",",SUBSTITUTE(F1312," ",""))-1)&amp;"&amp;lng="&amp;DERECHA(SUBSTITUTE(F1312," ",""),LARGO(SUBSTITUTE(F1312," ",""))-ENCONTRAR(",",SUBSTITUTE(F1312," ",""))),"")</f>
        <v/>
      </c>
    </row>
    <row r="1313" ht="15.75" customHeight="1" s="10">
      <c r="A1313" s="8">
        <f>CONCAT("AD507-",TEXT(ROW()-2,"0000"))</f>
        <v/>
      </c>
      <c r="C1313" s="8" t="n"/>
      <c r="F1313" s="8" t="n"/>
      <c r="G1313" s="8">
        <f>IF(F1313&lt;&gt;"",HYPERLINK("https://www.google.com/maps/search/?api=1&amp;query="&amp;SUBSTITUTE(F1313," ",""),"🗺 Google Maps"),"")</f>
        <v/>
      </c>
      <c r="H1313" s="8">
        <f>IF(F1313&lt;&gt;"",HYPERLINK("https://waze.com/ul?ll="&amp;SUBSTITUTE(F1313," ","")&amp;"&amp;navigate=yes","🚗 Waze"),"")</f>
        <v/>
      </c>
      <c r="I1313" s="8">
        <f>IF(F1313&lt;&gt;"",HYPERLINK("https://m.uber.com/ul/?action=setPickup&amp;pickup=my_location&amp;dropoff[latitude]="&amp;LEFT(SUBSTITUTE(F1313," ",""),FIND(",",SUBSTITUTE(F1313," ",""))-1)&amp;"&amp;dropoff[longitude]="&amp;MID(SUBSTITUTE(F1313," ",""),FIND(",",SUBSTITUTE(F1313," ",""))+1,99),"🚕 Uber"),"")</f>
        <v/>
      </c>
      <c r="J1313" s="8">
        <f>IF(F1313&lt;&gt;"","https://api.qrserver.com/v1/create-qr-code/?size=200x200&amp;data="&amp;ENCODEURL("https://www.google.com/maps/search/?api=1&amp;query="&amp;SUBSTITUTE(F1313," ","")),"")</f>
        <v/>
      </c>
      <c r="K1313" s="8">
        <f>IF(C1313&lt;&gt;"",HYPERLINK("https://wa.me/507"&amp;REGEXREPLACE(C1313,"[^0-9]","")&amp;"?text="&amp;ENCODEURL("Ya llegue. Codigo: "&amp;A1313&amp;". Ubicacion: "&amp;"https://www.google.com/maps/search/?api=1&amp;query="&amp;SUBSTITUTE(F1313," ","")),"📲 Avisar al cliente"),"")</f>
        <v/>
      </c>
      <c r="L1313" s="8">
        <f>IF(C1313&lt;&gt;"","https://api.qrserver.com/v1/create-qr-code/?size=200x200&amp;data="&amp;ENCODEURL("https://wa.me/507"&amp;REGEXREPLACE(C1313,"[^0-9]","")&amp;"?text="&amp;ENCODEURL("Ya llegue. Codigo: "&amp;A1313&amp;". Ubicacion: "&amp;"https://www.google.com/maps/search/?api=1&amp;query="&amp;SUBSTITUTE(F1313," ",""))),"")</f>
        <v/>
      </c>
      <c r="M1313" s="8">
        <f>IF(B1313&lt;&gt;"",TODAY(),"")</f>
        <v/>
      </c>
      <c r="N1313" s="8">
        <f>IF(F1313&lt;&gt;"",IFERROR(IF(AND(REGEXMATCH(SUBSTITUTE(TRIM(F1313)," ",""),"^-?\d+(\.\d+)?,-?\d+(\.\d+)?$"),VALUE(REGEXEXTRACT(SUBSTITUTE(TRIM(F1313)," ",""),"^-?\d+(\.\d+)?"))&gt;=-90,VALUE(REGEXEXTRACT(SUBSTITUTE(TRIM(F1313)," ",""),"^-?\d+(\.\d+)?"))&lt;=90,VALUE(REGEXEXTRACT(SUBSTITUTE(TRIM(F1313)," ",""),"-?\d+(\.\d+)?$"))&gt;=-180,VALUE(REGEXEXTRACT(SUBSTITUTE(TRIM(F1313)," ",""),"-?\d+(\.\d+)?$"))&lt;=180),"OK","REVISAR"),"REVISAR"),"")</f>
        <v/>
      </c>
      <c r="O1313">
        <f>IF(A1313&lt;&gt;"","https://direcciones507.github.io/direcciones507/panel.html?codigo="&amp;A1313&amp;"&amp;nombre="&amp;ENCODEURL(B1313)&amp;"&amp;telefono="&amp;SUBSTITUTE(C1313,"-","")&amp;"&amp;referencia="&amp;ENCODEURL(E1313)&amp;"&amp;lat="&amp;IZQUIERDA(SUBSTITUTE(F1313," ",""),ENCONTRAR(",",SUBSTITUTE(F1313," ",""))-1)&amp;"&amp;lng="&amp;DERECHA(SUBSTITUTE(F1313," ",""),LARGO(SUBSTITUTE(F1313," ",""))-ENCONTRAR(",",SUBSTITUTE(F1313," ",""))),"")</f>
        <v/>
      </c>
    </row>
    <row r="1314" ht="15.75" customHeight="1" s="10">
      <c r="A1314" s="8">
        <f>CONCAT("AD507-",TEXT(ROW()-2,"0000"))</f>
        <v/>
      </c>
      <c r="C1314" s="8" t="n"/>
      <c r="F1314" s="8" t="n"/>
      <c r="G1314" s="8">
        <f>IF(F1314&lt;&gt;"",HYPERLINK("https://www.google.com/maps/search/?api=1&amp;query="&amp;SUBSTITUTE(F1314," ",""),"🗺 Google Maps"),"")</f>
        <v/>
      </c>
      <c r="H1314" s="8">
        <f>IF(F1314&lt;&gt;"",HYPERLINK("https://waze.com/ul?ll="&amp;SUBSTITUTE(F1314," ","")&amp;"&amp;navigate=yes","🚗 Waze"),"")</f>
        <v/>
      </c>
      <c r="I1314" s="8">
        <f>IF(F1314&lt;&gt;"",HYPERLINK("https://m.uber.com/ul/?action=setPickup&amp;pickup=my_location&amp;dropoff[latitude]="&amp;LEFT(SUBSTITUTE(F1314," ",""),FIND(",",SUBSTITUTE(F1314," ",""))-1)&amp;"&amp;dropoff[longitude]="&amp;MID(SUBSTITUTE(F1314," ",""),FIND(",",SUBSTITUTE(F1314," ",""))+1,99),"🚕 Uber"),"")</f>
        <v/>
      </c>
      <c r="J1314" s="8">
        <f>IF(F1314&lt;&gt;"","https://api.qrserver.com/v1/create-qr-code/?size=200x200&amp;data="&amp;ENCODEURL("https://www.google.com/maps/search/?api=1&amp;query="&amp;SUBSTITUTE(F1314," ","")),"")</f>
        <v/>
      </c>
      <c r="K1314" s="8">
        <f>IF(C1314&lt;&gt;"",HYPERLINK("https://wa.me/507"&amp;REGEXREPLACE(C1314,"[^0-9]","")&amp;"?text="&amp;ENCODEURL("Ya llegue. Codigo: "&amp;A1314&amp;". Ubicacion: "&amp;"https://www.google.com/maps/search/?api=1&amp;query="&amp;SUBSTITUTE(F1314," ","")),"📲 Avisar al cliente"),"")</f>
        <v/>
      </c>
      <c r="L1314" s="8">
        <f>IF(C1314&lt;&gt;"","https://api.qrserver.com/v1/create-qr-code/?size=200x200&amp;data="&amp;ENCODEURL("https://wa.me/507"&amp;REGEXREPLACE(C1314,"[^0-9]","")&amp;"?text="&amp;ENCODEURL("Ya llegue. Codigo: "&amp;A1314&amp;". Ubicacion: "&amp;"https://www.google.com/maps/search/?api=1&amp;query="&amp;SUBSTITUTE(F1314," ",""))),"")</f>
        <v/>
      </c>
      <c r="M1314" s="8">
        <f>IF(B1314&lt;&gt;"",TODAY(),"")</f>
        <v/>
      </c>
      <c r="N1314" s="8">
        <f>IF(F1314&lt;&gt;"",IFERROR(IF(AND(REGEXMATCH(SUBSTITUTE(TRIM(F1314)," ",""),"^-?\d+(\.\d+)?,-?\d+(\.\d+)?$"),VALUE(REGEXEXTRACT(SUBSTITUTE(TRIM(F1314)," ",""),"^-?\d+(\.\d+)?"))&gt;=-90,VALUE(REGEXEXTRACT(SUBSTITUTE(TRIM(F1314)," ",""),"^-?\d+(\.\d+)?"))&lt;=90,VALUE(REGEXEXTRACT(SUBSTITUTE(TRIM(F1314)," ",""),"-?\d+(\.\d+)?$"))&gt;=-180,VALUE(REGEXEXTRACT(SUBSTITUTE(TRIM(F1314)," ",""),"-?\d+(\.\d+)?$"))&lt;=180),"OK","REVISAR"),"REVISAR"),"")</f>
        <v/>
      </c>
      <c r="O1314">
        <f>IF(A1314&lt;&gt;"","https://direcciones507.github.io/direcciones507/panel.html?codigo="&amp;A1314&amp;"&amp;nombre="&amp;ENCODEURL(B1314)&amp;"&amp;telefono="&amp;SUBSTITUTE(C1314,"-","")&amp;"&amp;referencia="&amp;ENCODEURL(E1314)&amp;"&amp;lat="&amp;IZQUIERDA(SUBSTITUTE(F1314," ",""),ENCONTRAR(",",SUBSTITUTE(F1314," ",""))-1)&amp;"&amp;lng="&amp;DERECHA(SUBSTITUTE(F1314," ",""),LARGO(SUBSTITUTE(F1314," ",""))-ENCONTRAR(",",SUBSTITUTE(F1314," ",""))),"")</f>
        <v/>
      </c>
    </row>
    <row r="1315" ht="15.75" customHeight="1" s="10">
      <c r="A1315" s="8">
        <f>CONCAT("AD507-",TEXT(ROW()-2,"0000"))</f>
        <v/>
      </c>
      <c r="C1315" s="8" t="n"/>
      <c r="F1315" s="8" t="n"/>
      <c r="G1315" s="8">
        <f>IF(F1315&lt;&gt;"",HYPERLINK("https://www.google.com/maps/search/?api=1&amp;query="&amp;SUBSTITUTE(F1315," ",""),"🗺 Google Maps"),"")</f>
        <v/>
      </c>
      <c r="H1315" s="8">
        <f>IF(F1315&lt;&gt;"",HYPERLINK("https://waze.com/ul?ll="&amp;SUBSTITUTE(F1315," ","")&amp;"&amp;navigate=yes","🚗 Waze"),"")</f>
        <v/>
      </c>
      <c r="I1315" s="8">
        <f>IF(F1315&lt;&gt;"",HYPERLINK("https://m.uber.com/ul/?action=setPickup&amp;pickup=my_location&amp;dropoff[latitude]="&amp;LEFT(SUBSTITUTE(F1315," ",""),FIND(",",SUBSTITUTE(F1315," ",""))-1)&amp;"&amp;dropoff[longitude]="&amp;MID(SUBSTITUTE(F1315," ",""),FIND(",",SUBSTITUTE(F1315," ",""))+1,99),"🚕 Uber"),"")</f>
        <v/>
      </c>
      <c r="J1315" s="8">
        <f>IF(F1315&lt;&gt;"","https://api.qrserver.com/v1/create-qr-code/?size=200x200&amp;data="&amp;ENCODEURL("https://www.google.com/maps/search/?api=1&amp;query="&amp;SUBSTITUTE(F1315," ","")),"")</f>
        <v/>
      </c>
      <c r="K1315" s="8">
        <f>IF(C1315&lt;&gt;"",HYPERLINK("https://wa.me/507"&amp;REGEXREPLACE(C1315,"[^0-9]","")&amp;"?text="&amp;ENCODEURL("Ya llegue. Codigo: "&amp;A1315&amp;". Ubicacion: "&amp;"https://www.google.com/maps/search/?api=1&amp;query="&amp;SUBSTITUTE(F1315," ","")),"📲 Avisar al cliente"),"")</f>
        <v/>
      </c>
      <c r="L1315" s="8">
        <f>IF(C1315&lt;&gt;"","https://api.qrserver.com/v1/create-qr-code/?size=200x200&amp;data="&amp;ENCODEURL("https://wa.me/507"&amp;REGEXREPLACE(C1315,"[^0-9]","")&amp;"?text="&amp;ENCODEURL("Ya llegue. Codigo: "&amp;A1315&amp;". Ubicacion: "&amp;"https://www.google.com/maps/search/?api=1&amp;query="&amp;SUBSTITUTE(F1315," ",""))),"")</f>
        <v/>
      </c>
      <c r="M1315" s="8">
        <f>IF(B1315&lt;&gt;"",TODAY(),"")</f>
        <v/>
      </c>
      <c r="N1315" s="8">
        <f>IF(F1315&lt;&gt;"",IFERROR(IF(AND(REGEXMATCH(SUBSTITUTE(TRIM(F1315)," ",""),"^-?\d+(\.\d+)?,-?\d+(\.\d+)?$"),VALUE(REGEXEXTRACT(SUBSTITUTE(TRIM(F1315)," ",""),"^-?\d+(\.\d+)?"))&gt;=-90,VALUE(REGEXEXTRACT(SUBSTITUTE(TRIM(F1315)," ",""),"^-?\d+(\.\d+)?"))&lt;=90,VALUE(REGEXEXTRACT(SUBSTITUTE(TRIM(F1315)," ",""),"-?\d+(\.\d+)?$"))&gt;=-180,VALUE(REGEXEXTRACT(SUBSTITUTE(TRIM(F1315)," ",""),"-?\d+(\.\d+)?$"))&lt;=180),"OK","REVISAR"),"REVISAR"),"")</f>
        <v/>
      </c>
      <c r="O1315">
        <f>IF(A1315&lt;&gt;"","https://direcciones507.github.io/direcciones507/panel.html?codigo="&amp;A1315&amp;"&amp;nombre="&amp;ENCODEURL(B1315)&amp;"&amp;telefono="&amp;SUBSTITUTE(C1315,"-","")&amp;"&amp;referencia="&amp;ENCODEURL(E1315)&amp;"&amp;lat="&amp;IZQUIERDA(SUBSTITUTE(F1315," ",""),ENCONTRAR(",",SUBSTITUTE(F1315," ",""))-1)&amp;"&amp;lng="&amp;DERECHA(SUBSTITUTE(F1315," ",""),LARGO(SUBSTITUTE(F1315," ",""))-ENCONTRAR(",",SUBSTITUTE(F1315," ",""))),"")</f>
        <v/>
      </c>
    </row>
    <row r="1316" ht="15.75" customHeight="1" s="10">
      <c r="A1316" s="8">
        <f>CONCAT("AD507-",TEXT(ROW()-2,"0000"))</f>
        <v/>
      </c>
      <c r="C1316" s="8" t="n"/>
      <c r="F1316" s="8" t="n"/>
      <c r="G1316" s="8">
        <f>IF(F1316&lt;&gt;"",HYPERLINK("https://www.google.com/maps/search/?api=1&amp;query="&amp;SUBSTITUTE(F1316," ",""),"🗺 Google Maps"),"")</f>
        <v/>
      </c>
      <c r="H1316" s="8">
        <f>IF(F1316&lt;&gt;"",HYPERLINK("https://waze.com/ul?ll="&amp;SUBSTITUTE(F1316," ","")&amp;"&amp;navigate=yes","🚗 Waze"),"")</f>
        <v/>
      </c>
      <c r="I1316" s="8">
        <f>IF(F1316&lt;&gt;"",HYPERLINK("https://m.uber.com/ul/?action=setPickup&amp;pickup=my_location&amp;dropoff[latitude]="&amp;LEFT(SUBSTITUTE(F1316," ",""),FIND(",",SUBSTITUTE(F1316," ",""))-1)&amp;"&amp;dropoff[longitude]="&amp;MID(SUBSTITUTE(F1316," ",""),FIND(",",SUBSTITUTE(F1316," ",""))+1,99),"🚕 Uber"),"")</f>
        <v/>
      </c>
      <c r="J1316" s="8">
        <f>IF(F1316&lt;&gt;"","https://api.qrserver.com/v1/create-qr-code/?size=200x200&amp;data="&amp;ENCODEURL("https://www.google.com/maps/search/?api=1&amp;query="&amp;SUBSTITUTE(F1316," ","")),"")</f>
        <v/>
      </c>
      <c r="K1316" s="8">
        <f>IF(C1316&lt;&gt;"",HYPERLINK("https://wa.me/507"&amp;REGEXREPLACE(C1316,"[^0-9]","")&amp;"?text="&amp;ENCODEURL("Ya llegue. Codigo: "&amp;A1316&amp;". Ubicacion: "&amp;"https://www.google.com/maps/search/?api=1&amp;query="&amp;SUBSTITUTE(F1316," ","")),"📲 Avisar al cliente"),"")</f>
        <v/>
      </c>
      <c r="L1316" s="8">
        <f>IF(C1316&lt;&gt;"","https://api.qrserver.com/v1/create-qr-code/?size=200x200&amp;data="&amp;ENCODEURL("https://wa.me/507"&amp;REGEXREPLACE(C1316,"[^0-9]","")&amp;"?text="&amp;ENCODEURL("Ya llegue. Codigo: "&amp;A1316&amp;". Ubicacion: "&amp;"https://www.google.com/maps/search/?api=1&amp;query="&amp;SUBSTITUTE(F1316," ",""))),"")</f>
        <v/>
      </c>
      <c r="M1316" s="8">
        <f>IF(B1316&lt;&gt;"",TODAY(),"")</f>
        <v/>
      </c>
      <c r="N1316" s="8">
        <f>IF(F1316&lt;&gt;"",IFERROR(IF(AND(REGEXMATCH(SUBSTITUTE(TRIM(F1316)," ",""),"^-?\d+(\.\d+)?,-?\d+(\.\d+)?$"),VALUE(REGEXEXTRACT(SUBSTITUTE(TRIM(F1316)," ",""),"^-?\d+(\.\d+)?"))&gt;=-90,VALUE(REGEXEXTRACT(SUBSTITUTE(TRIM(F1316)," ",""),"^-?\d+(\.\d+)?"))&lt;=90,VALUE(REGEXEXTRACT(SUBSTITUTE(TRIM(F1316)," ",""),"-?\d+(\.\d+)?$"))&gt;=-180,VALUE(REGEXEXTRACT(SUBSTITUTE(TRIM(F1316)," ",""),"-?\d+(\.\d+)?$"))&lt;=180),"OK","REVISAR"),"REVISAR"),"")</f>
        <v/>
      </c>
      <c r="O1316">
        <f>IF(A1316&lt;&gt;"","https://direcciones507.github.io/direcciones507/panel.html?codigo="&amp;A1316&amp;"&amp;nombre="&amp;ENCODEURL(B1316)&amp;"&amp;telefono="&amp;SUBSTITUTE(C1316,"-","")&amp;"&amp;referencia="&amp;ENCODEURL(E1316)&amp;"&amp;lat="&amp;IZQUIERDA(SUBSTITUTE(F1316," ",""),ENCONTRAR(",",SUBSTITUTE(F1316," ",""))-1)&amp;"&amp;lng="&amp;DERECHA(SUBSTITUTE(F1316," ",""),LARGO(SUBSTITUTE(F1316," ",""))-ENCONTRAR(",",SUBSTITUTE(F1316," ",""))),"")</f>
        <v/>
      </c>
    </row>
    <row r="1317" ht="15.75" customHeight="1" s="10">
      <c r="A1317" s="8">
        <f>CONCAT("AD507-",TEXT(ROW()-2,"0000"))</f>
        <v/>
      </c>
      <c r="C1317" s="8" t="n"/>
      <c r="F1317" s="8" t="n"/>
      <c r="G1317" s="8">
        <f>IF(F1317&lt;&gt;"",HYPERLINK("https://www.google.com/maps/search/?api=1&amp;query="&amp;SUBSTITUTE(F1317," ",""),"🗺 Google Maps"),"")</f>
        <v/>
      </c>
      <c r="H1317" s="8">
        <f>IF(F1317&lt;&gt;"",HYPERLINK("https://waze.com/ul?ll="&amp;SUBSTITUTE(F1317," ","")&amp;"&amp;navigate=yes","🚗 Waze"),"")</f>
        <v/>
      </c>
      <c r="I1317" s="8">
        <f>IF(F1317&lt;&gt;"",HYPERLINK("https://m.uber.com/ul/?action=setPickup&amp;pickup=my_location&amp;dropoff[latitude]="&amp;LEFT(SUBSTITUTE(F1317," ",""),FIND(",",SUBSTITUTE(F1317," ",""))-1)&amp;"&amp;dropoff[longitude]="&amp;MID(SUBSTITUTE(F1317," ",""),FIND(",",SUBSTITUTE(F1317," ",""))+1,99),"🚕 Uber"),"")</f>
        <v/>
      </c>
      <c r="J1317" s="8">
        <f>IF(F1317&lt;&gt;"","https://api.qrserver.com/v1/create-qr-code/?size=200x200&amp;data="&amp;ENCODEURL("https://www.google.com/maps/search/?api=1&amp;query="&amp;SUBSTITUTE(F1317," ","")),"")</f>
        <v/>
      </c>
      <c r="K1317" s="8">
        <f>IF(C1317&lt;&gt;"",HYPERLINK("https://wa.me/507"&amp;REGEXREPLACE(C1317,"[^0-9]","")&amp;"?text="&amp;ENCODEURL("Ya llegue. Codigo: "&amp;A1317&amp;". Ubicacion: "&amp;"https://www.google.com/maps/search/?api=1&amp;query="&amp;SUBSTITUTE(F1317," ","")),"📲 Avisar al cliente"),"")</f>
        <v/>
      </c>
      <c r="L1317" s="8">
        <f>IF(C1317&lt;&gt;"","https://api.qrserver.com/v1/create-qr-code/?size=200x200&amp;data="&amp;ENCODEURL("https://wa.me/507"&amp;REGEXREPLACE(C1317,"[^0-9]","")&amp;"?text="&amp;ENCODEURL("Ya llegue. Codigo: "&amp;A1317&amp;". Ubicacion: "&amp;"https://www.google.com/maps/search/?api=1&amp;query="&amp;SUBSTITUTE(F1317," ",""))),"")</f>
        <v/>
      </c>
      <c r="M1317" s="8">
        <f>IF(B1317&lt;&gt;"",TODAY(),"")</f>
        <v/>
      </c>
      <c r="N1317" s="8">
        <f>IF(F1317&lt;&gt;"",IFERROR(IF(AND(REGEXMATCH(SUBSTITUTE(TRIM(F1317)," ",""),"^-?\d+(\.\d+)?,-?\d+(\.\d+)?$"),VALUE(REGEXEXTRACT(SUBSTITUTE(TRIM(F1317)," ",""),"^-?\d+(\.\d+)?"))&gt;=-90,VALUE(REGEXEXTRACT(SUBSTITUTE(TRIM(F1317)," ",""),"^-?\d+(\.\d+)?"))&lt;=90,VALUE(REGEXEXTRACT(SUBSTITUTE(TRIM(F1317)," ",""),"-?\d+(\.\d+)?$"))&gt;=-180,VALUE(REGEXEXTRACT(SUBSTITUTE(TRIM(F1317)," ",""),"-?\d+(\.\d+)?$"))&lt;=180),"OK","REVISAR"),"REVISAR"),"")</f>
        <v/>
      </c>
      <c r="O1317">
        <f>IF(A1317&lt;&gt;"","https://direcciones507.github.io/direcciones507/panel.html?codigo="&amp;A1317&amp;"&amp;nombre="&amp;ENCODEURL(B1317)&amp;"&amp;telefono="&amp;SUBSTITUTE(C1317,"-","")&amp;"&amp;referencia="&amp;ENCODEURL(E1317)&amp;"&amp;lat="&amp;IZQUIERDA(SUBSTITUTE(F1317," ",""),ENCONTRAR(",",SUBSTITUTE(F1317," ",""))-1)&amp;"&amp;lng="&amp;DERECHA(SUBSTITUTE(F1317," ",""),LARGO(SUBSTITUTE(F1317," ",""))-ENCONTRAR(",",SUBSTITUTE(F1317," ",""))),"")</f>
        <v/>
      </c>
    </row>
    <row r="1318" ht="15.75" customHeight="1" s="10">
      <c r="A1318" s="8">
        <f>CONCAT("AD507-",TEXT(ROW()-2,"0000"))</f>
        <v/>
      </c>
      <c r="C1318" s="8" t="n"/>
      <c r="F1318" s="8" t="n"/>
      <c r="G1318" s="8">
        <f>IF(F1318&lt;&gt;"",HYPERLINK("https://www.google.com/maps/search/?api=1&amp;query="&amp;SUBSTITUTE(F1318," ",""),"🗺 Google Maps"),"")</f>
        <v/>
      </c>
      <c r="H1318" s="8">
        <f>IF(F1318&lt;&gt;"",HYPERLINK("https://waze.com/ul?ll="&amp;SUBSTITUTE(F1318," ","")&amp;"&amp;navigate=yes","🚗 Waze"),"")</f>
        <v/>
      </c>
      <c r="I1318" s="8">
        <f>IF(F1318&lt;&gt;"",HYPERLINK("https://m.uber.com/ul/?action=setPickup&amp;pickup=my_location&amp;dropoff[latitude]="&amp;LEFT(SUBSTITUTE(F1318," ",""),FIND(",",SUBSTITUTE(F1318," ",""))-1)&amp;"&amp;dropoff[longitude]="&amp;MID(SUBSTITUTE(F1318," ",""),FIND(",",SUBSTITUTE(F1318," ",""))+1,99),"🚕 Uber"),"")</f>
        <v/>
      </c>
      <c r="J1318" s="8">
        <f>IF(F1318&lt;&gt;"","https://api.qrserver.com/v1/create-qr-code/?size=200x200&amp;data="&amp;ENCODEURL("https://www.google.com/maps/search/?api=1&amp;query="&amp;SUBSTITUTE(F1318," ","")),"")</f>
        <v/>
      </c>
      <c r="K1318" s="8">
        <f>IF(C1318&lt;&gt;"",HYPERLINK("https://wa.me/507"&amp;REGEXREPLACE(C1318,"[^0-9]","")&amp;"?text="&amp;ENCODEURL("Ya llegue. Codigo: "&amp;A1318&amp;". Ubicacion: "&amp;"https://www.google.com/maps/search/?api=1&amp;query="&amp;SUBSTITUTE(F1318," ","")),"📲 Avisar al cliente"),"")</f>
        <v/>
      </c>
      <c r="L1318" s="8">
        <f>IF(C1318&lt;&gt;"","https://api.qrserver.com/v1/create-qr-code/?size=200x200&amp;data="&amp;ENCODEURL("https://wa.me/507"&amp;REGEXREPLACE(C1318,"[^0-9]","")&amp;"?text="&amp;ENCODEURL("Ya llegue. Codigo: "&amp;A1318&amp;". Ubicacion: "&amp;"https://www.google.com/maps/search/?api=1&amp;query="&amp;SUBSTITUTE(F1318," ",""))),"")</f>
        <v/>
      </c>
      <c r="M1318" s="8">
        <f>IF(B1318&lt;&gt;"",TODAY(),"")</f>
        <v/>
      </c>
      <c r="N1318" s="8">
        <f>IF(F1318&lt;&gt;"",IFERROR(IF(AND(REGEXMATCH(SUBSTITUTE(TRIM(F1318)," ",""),"^-?\d+(\.\d+)?,-?\d+(\.\d+)?$"),VALUE(REGEXEXTRACT(SUBSTITUTE(TRIM(F1318)," ",""),"^-?\d+(\.\d+)?"))&gt;=-90,VALUE(REGEXEXTRACT(SUBSTITUTE(TRIM(F1318)," ",""),"^-?\d+(\.\d+)?"))&lt;=90,VALUE(REGEXEXTRACT(SUBSTITUTE(TRIM(F1318)," ",""),"-?\d+(\.\d+)?$"))&gt;=-180,VALUE(REGEXEXTRACT(SUBSTITUTE(TRIM(F1318)," ",""),"-?\d+(\.\d+)?$"))&lt;=180),"OK","REVISAR"),"REVISAR"),"")</f>
        <v/>
      </c>
      <c r="O1318">
        <f>IF(A1318&lt;&gt;"","https://direcciones507.github.io/direcciones507/panel.html?codigo="&amp;A1318&amp;"&amp;nombre="&amp;ENCODEURL(B1318)&amp;"&amp;telefono="&amp;SUBSTITUTE(C1318,"-","")&amp;"&amp;referencia="&amp;ENCODEURL(E1318)&amp;"&amp;lat="&amp;IZQUIERDA(SUBSTITUTE(F1318," ",""),ENCONTRAR(",",SUBSTITUTE(F1318," ",""))-1)&amp;"&amp;lng="&amp;DERECHA(SUBSTITUTE(F1318," ",""),LARGO(SUBSTITUTE(F1318," ",""))-ENCONTRAR(",",SUBSTITUTE(F1318," ",""))),"")</f>
        <v/>
      </c>
    </row>
    <row r="1319" ht="15.75" customHeight="1" s="10">
      <c r="A1319" s="8">
        <f>CONCAT("AD507-",TEXT(ROW()-2,"0000"))</f>
        <v/>
      </c>
      <c r="C1319" s="8" t="n"/>
      <c r="F1319" s="8" t="n"/>
      <c r="G1319" s="8">
        <f>IF(F1319&lt;&gt;"",HYPERLINK("https://www.google.com/maps/search/?api=1&amp;query="&amp;SUBSTITUTE(F1319," ",""),"🗺 Google Maps"),"")</f>
        <v/>
      </c>
      <c r="H1319" s="8">
        <f>IF(F1319&lt;&gt;"",HYPERLINK("https://waze.com/ul?ll="&amp;SUBSTITUTE(F1319," ","")&amp;"&amp;navigate=yes","🚗 Waze"),"")</f>
        <v/>
      </c>
      <c r="I1319" s="8">
        <f>IF(F1319&lt;&gt;"",HYPERLINK("https://m.uber.com/ul/?action=setPickup&amp;pickup=my_location&amp;dropoff[latitude]="&amp;LEFT(SUBSTITUTE(F1319," ",""),FIND(",",SUBSTITUTE(F1319," ",""))-1)&amp;"&amp;dropoff[longitude]="&amp;MID(SUBSTITUTE(F1319," ",""),FIND(",",SUBSTITUTE(F1319," ",""))+1,99),"🚕 Uber"),"")</f>
        <v/>
      </c>
      <c r="J1319" s="8">
        <f>IF(F1319&lt;&gt;"","https://api.qrserver.com/v1/create-qr-code/?size=200x200&amp;data="&amp;ENCODEURL("https://www.google.com/maps/search/?api=1&amp;query="&amp;SUBSTITUTE(F1319," ","")),"")</f>
        <v/>
      </c>
      <c r="K1319" s="8">
        <f>IF(C1319&lt;&gt;"",HYPERLINK("https://wa.me/507"&amp;REGEXREPLACE(C1319,"[^0-9]","")&amp;"?text="&amp;ENCODEURL("Ya llegue. Codigo: "&amp;A1319&amp;". Ubicacion: "&amp;"https://www.google.com/maps/search/?api=1&amp;query="&amp;SUBSTITUTE(F1319," ","")),"📲 Avisar al cliente"),"")</f>
        <v/>
      </c>
      <c r="L1319" s="8">
        <f>IF(C1319&lt;&gt;"","https://api.qrserver.com/v1/create-qr-code/?size=200x200&amp;data="&amp;ENCODEURL("https://wa.me/507"&amp;REGEXREPLACE(C1319,"[^0-9]","")&amp;"?text="&amp;ENCODEURL("Ya llegue. Codigo: "&amp;A1319&amp;". Ubicacion: "&amp;"https://www.google.com/maps/search/?api=1&amp;query="&amp;SUBSTITUTE(F1319," ",""))),"")</f>
        <v/>
      </c>
      <c r="M1319" s="8">
        <f>IF(B1319&lt;&gt;"",TODAY(),"")</f>
        <v/>
      </c>
      <c r="N1319" s="8">
        <f>IF(F1319&lt;&gt;"",IFERROR(IF(AND(REGEXMATCH(SUBSTITUTE(TRIM(F1319)," ",""),"^-?\d+(\.\d+)?,-?\d+(\.\d+)?$"),VALUE(REGEXEXTRACT(SUBSTITUTE(TRIM(F1319)," ",""),"^-?\d+(\.\d+)?"))&gt;=-90,VALUE(REGEXEXTRACT(SUBSTITUTE(TRIM(F1319)," ",""),"^-?\d+(\.\d+)?"))&lt;=90,VALUE(REGEXEXTRACT(SUBSTITUTE(TRIM(F1319)," ",""),"-?\d+(\.\d+)?$"))&gt;=-180,VALUE(REGEXEXTRACT(SUBSTITUTE(TRIM(F1319)," ",""),"-?\d+(\.\d+)?$"))&lt;=180),"OK","REVISAR"),"REVISAR"),"")</f>
        <v/>
      </c>
      <c r="O1319">
        <f>IF(A1319&lt;&gt;"","https://direcciones507.github.io/direcciones507/panel.html?codigo="&amp;A1319&amp;"&amp;nombre="&amp;ENCODEURL(B1319)&amp;"&amp;telefono="&amp;SUBSTITUTE(C1319,"-","")&amp;"&amp;referencia="&amp;ENCODEURL(E1319)&amp;"&amp;lat="&amp;IZQUIERDA(SUBSTITUTE(F1319," ",""),ENCONTRAR(",",SUBSTITUTE(F1319," ",""))-1)&amp;"&amp;lng="&amp;DERECHA(SUBSTITUTE(F1319," ",""),LARGO(SUBSTITUTE(F1319," ",""))-ENCONTRAR(",",SUBSTITUTE(F1319," ",""))),"")</f>
        <v/>
      </c>
    </row>
    <row r="1320" ht="15.75" customHeight="1" s="10">
      <c r="A1320" s="8">
        <f>CONCAT("AD507-",TEXT(ROW()-2,"0000"))</f>
        <v/>
      </c>
      <c r="C1320" s="8" t="n"/>
      <c r="F1320" s="8" t="n"/>
      <c r="G1320" s="8">
        <f>IF(F1320&lt;&gt;"",HYPERLINK("https://www.google.com/maps/search/?api=1&amp;query="&amp;SUBSTITUTE(F1320," ",""),"🗺 Google Maps"),"")</f>
        <v/>
      </c>
      <c r="H1320" s="8">
        <f>IF(F1320&lt;&gt;"",HYPERLINK("https://waze.com/ul?ll="&amp;SUBSTITUTE(F1320," ","")&amp;"&amp;navigate=yes","🚗 Waze"),"")</f>
        <v/>
      </c>
      <c r="I1320" s="8">
        <f>IF(F1320&lt;&gt;"",HYPERLINK("https://m.uber.com/ul/?action=setPickup&amp;pickup=my_location&amp;dropoff[latitude]="&amp;LEFT(SUBSTITUTE(F1320," ",""),FIND(",",SUBSTITUTE(F1320," ",""))-1)&amp;"&amp;dropoff[longitude]="&amp;MID(SUBSTITUTE(F1320," ",""),FIND(",",SUBSTITUTE(F1320," ",""))+1,99),"🚕 Uber"),"")</f>
        <v/>
      </c>
      <c r="J1320" s="8">
        <f>IF(F1320&lt;&gt;"","https://api.qrserver.com/v1/create-qr-code/?size=200x200&amp;data="&amp;ENCODEURL("https://www.google.com/maps/search/?api=1&amp;query="&amp;SUBSTITUTE(F1320," ","")),"")</f>
        <v/>
      </c>
      <c r="K1320" s="8">
        <f>IF(C1320&lt;&gt;"",HYPERLINK("https://wa.me/507"&amp;REGEXREPLACE(C1320,"[^0-9]","")&amp;"?text="&amp;ENCODEURL("Ya llegue. Codigo: "&amp;A1320&amp;". Ubicacion: "&amp;"https://www.google.com/maps/search/?api=1&amp;query="&amp;SUBSTITUTE(F1320," ","")),"📲 Avisar al cliente"),"")</f>
        <v/>
      </c>
      <c r="L1320" s="8">
        <f>IF(C1320&lt;&gt;"","https://api.qrserver.com/v1/create-qr-code/?size=200x200&amp;data="&amp;ENCODEURL("https://wa.me/507"&amp;REGEXREPLACE(C1320,"[^0-9]","")&amp;"?text="&amp;ENCODEURL("Ya llegue. Codigo: "&amp;A1320&amp;". Ubicacion: "&amp;"https://www.google.com/maps/search/?api=1&amp;query="&amp;SUBSTITUTE(F1320," ",""))),"")</f>
        <v/>
      </c>
      <c r="M1320" s="8">
        <f>IF(B1320&lt;&gt;"",TODAY(),"")</f>
        <v/>
      </c>
      <c r="N1320" s="8">
        <f>IF(F1320&lt;&gt;"",IFERROR(IF(AND(REGEXMATCH(SUBSTITUTE(TRIM(F1320)," ",""),"^-?\d+(\.\d+)?,-?\d+(\.\d+)?$"),VALUE(REGEXEXTRACT(SUBSTITUTE(TRIM(F1320)," ",""),"^-?\d+(\.\d+)?"))&gt;=-90,VALUE(REGEXEXTRACT(SUBSTITUTE(TRIM(F1320)," ",""),"^-?\d+(\.\d+)?"))&lt;=90,VALUE(REGEXEXTRACT(SUBSTITUTE(TRIM(F1320)," ",""),"-?\d+(\.\d+)?$"))&gt;=-180,VALUE(REGEXEXTRACT(SUBSTITUTE(TRIM(F1320)," ",""),"-?\d+(\.\d+)?$"))&lt;=180),"OK","REVISAR"),"REVISAR"),"")</f>
        <v/>
      </c>
      <c r="O1320">
        <f>IF(A1320&lt;&gt;"","https://direcciones507.github.io/direcciones507/panel.html?codigo="&amp;A1320&amp;"&amp;nombre="&amp;ENCODEURL(B1320)&amp;"&amp;telefono="&amp;SUBSTITUTE(C1320,"-","")&amp;"&amp;referencia="&amp;ENCODEURL(E1320)&amp;"&amp;lat="&amp;IZQUIERDA(SUBSTITUTE(F1320," ",""),ENCONTRAR(",",SUBSTITUTE(F1320," ",""))-1)&amp;"&amp;lng="&amp;DERECHA(SUBSTITUTE(F1320," ",""),LARGO(SUBSTITUTE(F1320," ",""))-ENCONTRAR(",",SUBSTITUTE(F1320," ",""))),"")</f>
        <v/>
      </c>
    </row>
    <row r="1321" ht="15.75" customHeight="1" s="10">
      <c r="A1321" s="8">
        <f>CONCAT("AD507-",TEXT(ROW()-2,"0000"))</f>
        <v/>
      </c>
      <c r="C1321" s="8" t="n"/>
      <c r="F1321" s="8" t="n"/>
      <c r="G1321" s="8">
        <f>IF(F1321&lt;&gt;"",HYPERLINK("https://www.google.com/maps/search/?api=1&amp;query="&amp;SUBSTITUTE(F1321," ",""),"🗺 Google Maps"),"")</f>
        <v/>
      </c>
      <c r="H1321" s="8">
        <f>IF(F1321&lt;&gt;"",HYPERLINK("https://waze.com/ul?ll="&amp;SUBSTITUTE(F1321," ","")&amp;"&amp;navigate=yes","🚗 Waze"),"")</f>
        <v/>
      </c>
      <c r="I1321" s="8">
        <f>IF(F1321&lt;&gt;"",HYPERLINK("https://m.uber.com/ul/?action=setPickup&amp;pickup=my_location&amp;dropoff[latitude]="&amp;LEFT(SUBSTITUTE(F1321," ",""),FIND(",",SUBSTITUTE(F1321," ",""))-1)&amp;"&amp;dropoff[longitude]="&amp;MID(SUBSTITUTE(F1321," ",""),FIND(",",SUBSTITUTE(F1321," ",""))+1,99),"🚕 Uber"),"")</f>
        <v/>
      </c>
      <c r="J1321" s="8">
        <f>IF(F1321&lt;&gt;"","https://api.qrserver.com/v1/create-qr-code/?size=200x200&amp;data="&amp;ENCODEURL("https://www.google.com/maps/search/?api=1&amp;query="&amp;SUBSTITUTE(F1321," ","")),"")</f>
        <v/>
      </c>
      <c r="K1321" s="8">
        <f>IF(C1321&lt;&gt;"",HYPERLINK("https://wa.me/507"&amp;REGEXREPLACE(C1321,"[^0-9]","")&amp;"?text="&amp;ENCODEURL("Ya llegue. Codigo: "&amp;A1321&amp;". Ubicacion: "&amp;"https://www.google.com/maps/search/?api=1&amp;query="&amp;SUBSTITUTE(F1321," ","")),"📲 Avisar al cliente"),"")</f>
        <v/>
      </c>
      <c r="L1321" s="8">
        <f>IF(C1321&lt;&gt;"","https://api.qrserver.com/v1/create-qr-code/?size=200x200&amp;data="&amp;ENCODEURL("https://wa.me/507"&amp;REGEXREPLACE(C1321,"[^0-9]","")&amp;"?text="&amp;ENCODEURL("Ya llegue. Codigo: "&amp;A1321&amp;". Ubicacion: "&amp;"https://www.google.com/maps/search/?api=1&amp;query="&amp;SUBSTITUTE(F1321," ",""))),"")</f>
        <v/>
      </c>
      <c r="M1321" s="8">
        <f>IF(B1321&lt;&gt;"",TODAY(),"")</f>
        <v/>
      </c>
      <c r="N1321" s="8">
        <f>IF(F1321&lt;&gt;"",IFERROR(IF(AND(REGEXMATCH(SUBSTITUTE(TRIM(F1321)," ",""),"^-?\d+(\.\d+)?,-?\d+(\.\d+)?$"),VALUE(REGEXEXTRACT(SUBSTITUTE(TRIM(F1321)," ",""),"^-?\d+(\.\d+)?"))&gt;=-90,VALUE(REGEXEXTRACT(SUBSTITUTE(TRIM(F1321)," ",""),"^-?\d+(\.\d+)?"))&lt;=90,VALUE(REGEXEXTRACT(SUBSTITUTE(TRIM(F1321)," ",""),"-?\d+(\.\d+)?$"))&gt;=-180,VALUE(REGEXEXTRACT(SUBSTITUTE(TRIM(F1321)," ",""),"-?\d+(\.\d+)?$"))&lt;=180),"OK","REVISAR"),"REVISAR"),"")</f>
        <v/>
      </c>
      <c r="O1321">
        <f>IF(A1321&lt;&gt;"","https://direcciones507.github.io/direcciones507/panel.html?codigo="&amp;A1321&amp;"&amp;nombre="&amp;ENCODEURL(B1321)&amp;"&amp;telefono="&amp;SUBSTITUTE(C1321,"-","")&amp;"&amp;referencia="&amp;ENCODEURL(E1321)&amp;"&amp;lat="&amp;IZQUIERDA(SUBSTITUTE(F1321," ",""),ENCONTRAR(",",SUBSTITUTE(F1321," ",""))-1)&amp;"&amp;lng="&amp;DERECHA(SUBSTITUTE(F1321," ",""),LARGO(SUBSTITUTE(F1321," ",""))-ENCONTRAR(",",SUBSTITUTE(F1321," ",""))),"")</f>
        <v/>
      </c>
    </row>
    <row r="1322" ht="15.75" customHeight="1" s="10">
      <c r="A1322" s="8">
        <f>CONCAT("AD507-",TEXT(ROW()-2,"0000"))</f>
        <v/>
      </c>
      <c r="C1322" s="8" t="n"/>
      <c r="F1322" s="8" t="n"/>
      <c r="G1322" s="8">
        <f>IF(F1322&lt;&gt;"",HYPERLINK("https://www.google.com/maps/search/?api=1&amp;query="&amp;SUBSTITUTE(F1322," ",""),"🗺 Google Maps"),"")</f>
        <v/>
      </c>
      <c r="H1322" s="8">
        <f>IF(F1322&lt;&gt;"",HYPERLINK("https://waze.com/ul?ll="&amp;SUBSTITUTE(F1322," ","")&amp;"&amp;navigate=yes","🚗 Waze"),"")</f>
        <v/>
      </c>
      <c r="I1322" s="8">
        <f>IF(F1322&lt;&gt;"",HYPERLINK("https://m.uber.com/ul/?action=setPickup&amp;pickup=my_location&amp;dropoff[latitude]="&amp;LEFT(SUBSTITUTE(F1322," ",""),FIND(",",SUBSTITUTE(F1322," ",""))-1)&amp;"&amp;dropoff[longitude]="&amp;MID(SUBSTITUTE(F1322," ",""),FIND(",",SUBSTITUTE(F1322," ",""))+1,99),"🚕 Uber"),"")</f>
        <v/>
      </c>
      <c r="J1322" s="8">
        <f>IF(F1322&lt;&gt;"","https://api.qrserver.com/v1/create-qr-code/?size=200x200&amp;data="&amp;ENCODEURL("https://www.google.com/maps/search/?api=1&amp;query="&amp;SUBSTITUTE(F1322," ","")),"")</f>
        <v/>
      </c>
      <c r="K1322" s="8">
        <f>IF(C1322&lt;&gt;"",HYPERLINK("https://wa.me/507"&amp;REGEXREPLACE(C1322,"[^0-9]","")&amp;"?text="&amp;ENCODEURL("Ya llegue. Codigo: "&amp;A1322&amp;". Ubicacion: "&amp;"https://www.google.com/maps/search/?api=1&amp;query="&amp;SUBSTITUTE(F1322," ","")),"📲 Avisar al cliente"),"")</f>
        <v/>
      </c>
      <c r="L1322" s="8">
        <f>IF(C1322&lt;&gt;"","https://api.qrserver.com/v1/create-qr-code/?size=200x200&amp;data="&amp;ENCODEURL("https://wa.me/507"&amp;REGEXREPLACE(C1322,"[^0-9]","")&amp;"?text="&amp;ENCODEURL("Ya llegue. Codigo: "&amp;A1322&amp;". Ubicacion: "&amp;"https://www.google.com/maps/search/?api=1&amp;query="&amp;SUBSTITUTE(F1322," ",""))),"")</f>
        <v/>
      </c>
      <c r="M1322" s="8">
        <f>IF(B1322&lt;&gt;"",TODAY(),"")</f>
        <v/>
      </c>
      <c r="N1322" s="8">
        <f>IF(F1322&lt;&gt;"",IFERROR(IF(AND(REGEXMATCH(SUBSTITUTE(TRIM(F1322)," ",""),"^-?\d+(\.\d+)?,-?\d+(\.\d+)?$"),VALUE(REGEXEXTRACT(SUBSTITUTE(TRIM(F1322)," ",""),"^-?\d+(\.\d+)?"))&gt;=-90,VALUE(REGEXEXTRACT(SUBSTITUTE(TRIM(F1322)," ",""),"^-?\d+(\.\d+)?"))&lt;=90,VALUE(REGEXEXTRACT(SUBSTITUTE(TRIM(F1322)," ",""),"-?\d+(\.\d+)?$"))&gt;=-180,VALUE(REGEXEXTRACT(SUBSTITUTE(TRIM(F1322)," ",""),"-?\d+(\.\d+)?$"))&lt;=180),"OK","REVISAR"),"REVISAR"),"")</f>
        <v/>
      </c>
      <c r="O1322">
        <f>IF(A1322&lt;&gt;"","https://direcciones507.github.io/direcciones507/panel.html?codigo="&amp;A1322&amp;"&amp;nombre="&amp;ENCODEURL(B1322)&amp;"&amp;telefono="&amp;SUBSTITUTE(C1322,"-","")&amp;"&amp;referencia="&amp;ENCODEURL(E1322)&amp;"&amp;lat="&amp;IZQUIERDA(SUBSTITUTE(F1322," ",""),ENCONTRAR(",",SUBSTITUTE(F1322," ",""))-1)&amp;"&amp;lng="&amp;DERECHA(SUBSTITUTE(F1322," ",""),LARGO(SUBSTITUTE(F1322," ",""))-ENCONTRAR(",",SUBSTITUTE(F1322," ",""))),"")</f>
        <v/>
      </c>
    </row>
    <row r="1323" ht="15.75" customHeight="1" s="10">
      <c r="A1323" s="8">
        <f>CONCAT("AD507-",TEXT(ROW()-2,"0000"))</f>
        <v/>
      </c>
      <c r="C1323" s="8" t="n"/>
      <c r="F1323" s="8" t="n"/>
      <c r="G1323" s="8">
        <f>IF(F1323&lt;&gt;"",HYPERLINK("https://www.google.com/maps/search/?api=1&amp;query="&amp;SUBSTITUTE(F1323," ",""),"🗺 Google Maps"),"")</f>
        <v/>
      </c>
      <c r="H1323" s="8">
        <f>IF(F1323&lt;&gt;"",HYPERLINK("https://waze.com/ul?ll="&amp;SUBSTITUTE(F1323," ","")&amp;"&amp;navigate=yes","🚗 Waze"),"")</f>
        <v/>
      </c>
      <c r="I1323" s="8">
        <f>IF(F1323&lt;&gt;"",HYPERLINK("https://m.uber.com/ul/?action=setPickup&amp;pickup=my_location&amp;dropoff[latitude]="&amp;LEFT(SUBSTITUTE(F1323," ",""),FIND(",",SUBSTITUTE(F1323," ",""))-1)&amp;"&amp;dropoff[longitude]="&amp;MID(SUBSTITUTE(F1323," ",""),FIND(",",SUBSTITUTE(F1323," ",""))+1,99),"🚕 Uber"),"")</f>
        <v/>
      </c>
      <c r="J1323" s="8">
        <f>IF(F1323&lt;&gt;"","https://api.qrserver.com/v1/create-qr-code/?size=200x200&amp;data="&amp;ENCODEURL("https://www.google.com/maps/search/?api=1&amp;query="&amp;SUBSTITUTE(F1323," ","")),"")</f>
        <v/>
      </c>
      <c r="K1323" s="8">
        <f>IF(C1323&lt;&gt;"",HYPERLINK("https://wa.me/507"&amp;REGEXREPLACE(C1323,"[^0-9]","")&amp;"?text="&amp;ENCODEURL("Ya llegue. Codigo: "&amp;A1323&amp;". Ubicacion: "&amp;"https://www.google.com/maps/search/?api=1&amp;query="&amp;SUBSTITUTE(F1323," ","")),"📲 Avisar al cliente"),"")</f>
        <v/>
      </c>
      <c r="L1323" s="8">
        <f>IF(C1323&lt;&gt;"","https://api.qrserver.com/v1/create-qr-code/?size=200x200&amp;data="&amp;ENCODEURL("https://wa.me/507"&amp;REGEXREPLACE(C1323,"[^0-9]","")&amp;"?text="&amp;ENCODEURL("Ya llegue. Codigo: "&amp;A1323&amp;". Ubicacion: "&amp;"https://www.google.com/maps/search/?api=1&amp;query="&amp;SUBSTITUTE(F1323," ",""))),"")</f>
        <v/>
      </c>
      <c r="M1323" s="8">
        <f>IF(B1323&lt;&gt;"",TODAY(),"")</f>
        <v/>
      </c>
      <c r="N1323" s="8">
        <f>IF(F1323&lt;&gt;"",IFERROR(IF(AND(REGEXMATCH(SUBSTITUTE(TRIM(F1323)," ",""),"^-?\d+(\.\d+)?,-?\d+(\.\d+)?$"),VALUE(REGEXEXTRACT(SUBSTITUTE(TRIM(F1323)," ",""),"^-?\d+(\.\d+)?"))&gt;=-90,VALUE(REGEXEXTRACT(SUBSTITUTE(TRIM(F1323)," ",""),"^-?\d+(\.\d+)?"))&lt;=90,VALUE(REGEXEXTRACT(SUBSTITUTE(TRIM(F1323)," ",""),"-?\d+(\.\d+)?$"))&gt;=-180,VALUE(REGEXEXTRACT(SUBSTITUTE(TRIM(F1323)," ",""),"-?\d+(\.\d+)?$"))&lt;=180),"OK","REVISAR"),"REVISAR"),"")</f>
        <v/>
      </c>
      <c r="O1323">
        <f>IF(A1323&lt;&gt;"","https://direcciones507.github.io/direcciones507/panel.html?codigo="&amp;A1323&amp;"&amp;nombre="&amp;ENCODEURL(B1323)&amp;"&amp;telefono="&amp;SUBSTITUTE(C1323,"-","")&amp;"&amp;referencia="&amp;ENCODEURL(E1323)&amp;"&amp;lat="&amp;IZQUIERDA(SUBSTITUTE(F1323," ",""),ENCONTRAR(",",SUBSTITUTE(F1323," ",""))-1)&amp;"&amp;lng="&amp;DERECHA(SUBSTITUTE(F1323," ",""),LARGO(SUBSTITUTE(F1323," ",""))-ENCONTRAR(",",SUBSTITUTE(F1323," ",""))),"")</f>
        <v/>
      </c>
    </row>
    <row r="1324" ht="15.75" customHeight="1" s="10">
      <c r="A1324" s="8">
        <f>CONCAT("AD507-",TEXT(ROW()-2,"0000"))</f>
        <v/>
      </c>
      <c r="C1324" s="8" t="n"/>
      <c r="F1324" s="8" t="n"/>
      <c r="G1324" s="8">
        <f>IF(F1324&lt;&gt;"",HYPERLINK("https://www.google.com/maps/search/?api=1&amp;query="&amp;SUBSTITUTE(F1324," ",""),"🗺 Google Maps"),"")</f>
        <v/>
      </c>
      <c r="H1324" s="8">
        <f>IF(F1324&lt;&gt;"",HYPERLINK("https://waze.com/ul?ll="&amp;SUBSTITUTE(F1324," ","")&amp;"&amp;navigate=yes","🚗 Waze"),"")</f>
        <v/>
      </c>
      <c r="I1324" s="8">
        <f>IF(F1324&lt;&gt;"",HYPERLINK("https://m.uber.com/ul/?action=setPickup&amp;pickup=my_location&amp;dropoff[latitude]="&amp;LEFT(SUBSTITUTE(F1324," ",""),FIND(",",SUBSTITUTE(F1324," ",""))-1)&amp;"&amp;dropoff[longitude]="&amp;MID(SUBSTITUTE(F1324," ",""),FIND(",",SUBSTITUTE(F1324," ",""))+1,99),"🚕 Uber"),"")</f>
        <v/>
      </c>
      <c r="J1324" s="8">
        <f>IF(F1324&lt;&gt;"","https://api.qrserver.com/v1/create-qr-code/?size=200x200&amp;data="&amp;ENCODEURL("https://www.google.com/maps/search/?api=1&amp;query="&amp;SUBSTITUTE(F1324," ","")),"")</f>
        <v/>
      </c>
      <c r="K1324" s="8">
        <f>IF(C1324&lt;&gt;"",HYPERLINK("https://wa.me/507"&amp;REGEXREPLACE(C1324,"[^0-9]","")&amp;"?text="&amp;ENCODEURL("Ya llegue. Codigo: "&amp;A1324&amp;". Ubicacion: "&amp;"https://www.google.com/maps/search/?api=1&amp;query="&amp;SUBSTITUTE(F1324," ","")),"📲 Avisar al cliente"),"")</f>
        <v/>
      </c>
      <c r="L1324" s="8">
        <f>IF(C1324&lt;&gt;"","https://api.qrserver.com/v1/create-qr-code/?size=200x200&amp;data="&amp;ENCODEURL("https://wa.me/507"&amp;REGEXREPLACE(C1324,"[^0-9]","")&amp;"?text="&amp;ENCODEURL("Ya llegue. Codigo: "&amp;A1324&amp;". Ubicacion: "&amp;"https://www.google.com/maps/search/?api=1&amp;query="&amp;SUBSTITUTE(F1324," ",""))),"")</f>
        <v/>
      </c>
      <c r="M1324" s="8">
        <f>IF(B1324&lt;&gt;"",TODAY(),"")</f>
        <v/>
      </c>
      <c r="N1324" s="8">
        <f>IF(F1324&lt;&gt;"",IFERROR(IF(AND(REGEXMATCH(SUBSTITUTE(TRIM(F1324)," ",""),"^-?\d+(\.\d+)?,-?\d+(\.\d+)?$"),VALUE(REGEXEXTRACT(SUBSTITUTE(TRIM(F1324)," ",""),"^-?\d+(\.\d+)?"))&gt;=-90,VALUE(REGEXEXTRACT(SUBSTITUTE(TRIM(F1324)," ",""),"^-?\d+(\.\d+)?"))&lt;=90,VALUE(REGEXEXTRACT(SUBSTITUTE(TRIM(F1324)," ",""),"-?\d+(\.\d+)?$"))&gt;=-180,VALUE(REGEXEXTRACT(SUBSTITUTE(TRIM(F1324)," ",""),"-?\d+(\.\d+)?$"))&lt;=180),"OK","REVISAR"),"REVISAR"),"")</f>
        <v/>
      </c>
      <c r="O1324">
        <f>IF(A1324&lt;&gt;"","https://direcciones507.github.io/direcciones507/panel.html?codigo="&amp;A1324&amp;"&amp;nombre="&amp;ENCODEURL(B1324)&amp;"&amp;telefono="&amp;SUBSTITUTE(C1324,"-","")&amp;"&amp;referencia="&amp;ENCODEURL(E1324)&amp;"&amp;lat="&amp;IZQUIERDA(SUBSTITUTE(F1324," ",""),ENCONTRAR(",",SUBSTITUTE(F1324," ",""))-1)&amp;"&amp;lng="&amp;DERECHA(SUBSTITUTE(F1324," ",""),LARGO(SUBSTITUTE(F1324," ",""))-ENCONTRAR(",",SUBSTITUTE(F1324," ",""))),"")</f>
        <v/>
      </c>
    </row>
    <row r="1325" ht="15.75" customHeight="1" s="10">
      <c r="A1325" s="8">
        <f>CONCAT("AD507-",TEXT(ROW()-2,"0000"))</f>
        <v/>
      </c>
      <c r="C1325" s="8" t="n"/>
      <c r="F1325" s="8" t="n"/>
      <c r="G1325" s="8">
        <f>IF(F1325&lt;&gt;"",HYPERLINK("https://www.google.com/maps/search/?api=1&amp;query="&amp;SUBSTITUTE(F1325," ",""),"🗺 Google Maps"),"")</f>
        <v/>
      </c>
      <c r="H1325" s="8">
        <f>IF(F1325&lt;&gt;"",HYPERLINK("https://waze.com/ul?ll="&amp;SUBSTITUTE(F1325," ","")&amp;"&amp;navigate=yes","🚗 Waze"),"")</f>
        <v/>
      </c>
      <c r="I1325" s="8">
        <f>IF(F1325&lt;&gt;"",HYPERLINK("https://m.uber.com/ul/?action=setPickup&amp;pickup=my_location&amp;dropoff[latitude]="&amp;LEFT(SUBSTITUTE(F1325," ",""),FIND(",",SUBSTITUTE(F1325," ",""))-1)&amp;"&amp;dropoff[longitude]="&amp;MID(SUBSTITUTE(F1325," ",""),FIND(",",SUBSTITUTE(F1325," ",""))+1,99),"🚕 Uber"),"")</f>
        <v/>
      </c>
      <c r="J1325" s="8">
        <f>IF(F1325&lt;&gt;"","https://api.qrserver.com/v1/create-qr-code/?size=200x200&amp;data="&amp;ENCODEURL("https://www.google.com/maps/search/?api=1&amp;query="&amp;SUBSTITUTE(F1325," ","")),"")</f>
        <v/>
      </c>
      <c r="K1325" s="8">
        <f>IF(C1325&lt;&gt;"",HYPERLINK("https://wa.me/507"&amp;REGEXREPLACE(C1325,"[^0-9]","")&amp;"?text="&amp;ENCODEURL("Ya llegue. Codigo: "&amp;A1325&amp;". Ubicacion: "&amp;"https://www.google.com/maps/search/?api=1&amp;query="&amp;SUBSTITUTE(F1325," ","")),"📲 Avisar al cliente"),"")</f>
        <v/>
      </c>
      <c r="L1325" s="8">
        <f>IF(C1325&lt;&gt;"","https://api.qrserver.com/v1/create-qr-code/?size=200x200&amp;data="&amp;ENCODEURL("https://wa.me/507"&amp;REGEXREPLACE(C1325,"[^0-9]","")&amp;"?text="&amp;ENCODEURL("Ya llegue. Codigo: "&amp;A1325&amp;". Ubicacion: "&amp;"https://www.google.com/maps/search/?api=1&amp;query="&amp;SUBSTITUTE(F1325," ",""))),"")</f>
        <v/>
      </c>
      <c r="M1325" s="8">
        <f>IF(B1325&lt;&gt;"",TODAY(),"")</f>
        <v/>
      </c>
      <c r="N1325" s="8">
        <f>IF(F1325&lt;&gt;"",IFERROR(IF(AND(REGEXMATCH(SUBSTITUTE(TRIM(F1325)," ",""),"^-?\d+(\.\d+)?,-?\d+(\.\d+)?$"),VALUE(REGEXEXTRACT(SUBSTITUTE(TRIM(F1325)," ",""),"^-?\d+(\.\d+)?"))&gt;=-90,VALUE(REGEXEXTRACT(SUBSTITUTE(TRIM(F1325)," ",""),"^-?\d+(\.\d+)?"))&lt;=90,VALUE(REGEXEXTRACT(SUBSTITUTE(TRIM(F1325)," ",""),"-?\d+(\.\d+)?$"))&gt;=-180,VALUE(REGEXEXTRACT(SUBSTITUTE(TRIM(F1325)," ",""),"-?\d+(\.\d+)?$"))&lt;=180),"OK","REVISAR"),"REVISAR"),"")</f>
        <v/>
      </c>
      <c r="O1325">
        <f>IF(A1325&lt;&gt;"","https://direcciones507.github.io/direcciones507/panel.html?codigo="&amp;A1325&amp;"&amp;nombre="&amp;ENCODEURL(B1325)&amp;"&amp;telefono="&amp;SUBSTITUTE(C1325,"-","")&amp;"&amp;referencia="&amp;ENCODEURL(E1325)&amp;"&amp;lat="&amp;IZQUIERDA(SUBSTITUTE(F1325," ",""),ENCONTRAR(",",SUBSTITUTE(F1325," ",""))-1)&amp;"&amp;lng="&amp;DERECHA(SUBSTITUTE(F1325," ",""),LARGO(SUBSTITUTE(F1325," ",""))-ENCONTRAR(",",SUBSTITUTE(F1325," ",""))),"")</f>
        <v/>
      </c>
    </row>
    <row r="1326" ht="15.75" customHeight="1" s="10">
      <c r="A1326" s="8">
        <f>CONCAT("AD507-",TEXT(ROW()-2,"0000"))</f>
        <v/>
      </c>
      <c r="C1326" s="8" t="n"/>
      <c r="F1326" s="8" t="n"/>
      <c r="G1326" s="8">
        <f>IF(F1326&lt;&gt;"",HYPERLINK("https://www.google.com/maps/search/?api=1&amp;query="&amp;SUBSTITUTE(F1326," ",""),"🗺 Google Maps"),"")</f>
        <v/>
      </c>
      <c r="H1326" s="8">
        <f>IF(F1326&lt;&gt;"",HYPERLINK("https://waze.com/ul?ll="&amp;SUBSTITUTE(F1326," ","")&amp;"&amp;navigate=yes","🚗 Waze"),"")</f>
        <v/>
      </c>
      <c r="I1326" s="8">
        <f>IF(F1326&lt;&gt;"",HYPERLINK("https://m.uber.com/ul/?action=setPickup&amp;pickup=my_location&amp;dropoff[latitude]="&amp;LEFT(SUBSTITUTE(F1326," ",""),FIND(",",SUBSTITUTE(F1326," ",""))-1)&amp;"&amp;dropoff[longitude]="&amp;MID(SUBSTITUTE(F1326," ",""),FIND(",",SUBSTITUTE(F1326," ",""))+1,99),"🚕 Uber"),"")</f>
        <v/>
      </c>
      <c r="J1326" s="8">
        <f>IF(F1326&lt;&gt;"","https://api.qrserver.com/v1/create-qr-code/?size=200x200&amp;data="&amp;ENCODEURL("https://www.google.com/maps/search/?api=1&amp;query="&amp;SUBSTITUTE(F1326," ","")),"")</f>
        <v/>
      </c>
      <c r="K1326" s="8">
        <f>IF(C1326&lt;&gt;"",HYPERLINK("https://wa.me/507"&amp;REGEXREPLACE(C1326,"[^0-9]","")&amp;"?text="&amp;ENCODEURL("Ya llegue. Codigo: "&amp;A1326&amp;". Ubicacion: "&amp;"https://www.google.com/maps/search/?api=1&amp;query="&amp;SUBSTITUTE(F1326," ","")),"📲 Avisar al cliente"),"")</f>
        <v/>
      </c>
      <c r="L1326" s="8">
        <f>IF(C1326&lt;&gt;"","https://api.qrserver.com/v1/create-qr-code/?size=200x200&amp;data="&amp;ENCODEURL("https://wa.me/507"&amp;REGEXREPLACE(C1326,"[^0-9]","")&amp;"?text="&amp;ENCODEURL("Ya llegue. Codigo: "&amp;A1326&amp;". Ubicacion: "&amp;"https://www.google.com/maps/search/?api=1&amp;query="&amp;SUBSTITUTE(F1326," ",""))),"")</f>
        <v/>
      </c>
      <c r="M1326" s="8">
        <f>IF(B1326&lt;&gt;"",TODAY(),"")</f>
        <v/>
      </c>
      <c r="N1326" s="8">
        <f>IF(F1326&lt;&gt;"",IFERROR(IF(AND(REGEXMATCH(SUBSTITUTE(TRIM(F1326)," ",""),"^-?\d+(\.\d+)?,-?\d+(\.\d+)?$"),VALUE(REGEXEXTRACT(SUBSTITUTE(TRIM(F1326)," ",""),"^-?\d+(\.\d+)?"))&gt;=-90,VALUE(REGEXEXTRACT(SUBSTITUTE(TRIM(F1326)," ",""),"^-?\d+(\.\d+)?"))&lt;=90,VALUE(REGEXEXTRACT(SUBSTITUTE(TRIM(F1326)," ",""),"-?\d+(\.\d+)?$"))&gt;=-180,VALUE(REGEXEXTRACT(SUBSTITUTE(TRIM(F1326)," ",""),"-?\d+(\.\d+)?$"))&lt;=180),"OK","REVISAR"),"REVISAR"),"")</f>
        <v/>
      </c>
      <c r="O1326">
        <f>IF(A1326&lt;&gt;"","https://direcciones507.github.io/direcciones507/panel.html?codigo="&amp;A1326&amp;"&amp;nombre="&amp;ENCODEURL(B1326)&amp;"&amp;telefono="&amp;SUBSTITUTE(C1326,"-","")&amp;"&amp;referencia="&amp;ENCODEURL(E1326)&amp;"&amp;lat="&amp;IZQUIERDA(SUBSTITUTE(F1326," ",""),ENCONTRAR(",",SUBSTITUTE(F1326," ",""))-1)&amp;"&amp;lng="&amp;DERECHA(SUBSTITUTE(F1326," ",""),LARGO(SUBSTITUTE(F1326," ",""))-ENCONTRAR(",",SUBSTITUTE(F1326," ",""))),"")</f>
        <v/>
      </c>
    </row>
    <row r="1327" ht="15.75" customHeight="1" s="10">
      <c r="A1327" s="8">
        <f>CONCAT("AD507-",TEXT(ROW()-2,"0000"))</f>
        <v/>
      </c>
      <c r="C1327" s="8" t="n"/>
      <c r="F1327" s="8" t="n"/>
      <c r="G1327" s="8">
        <f>IF(F1327&lt;&gt;"",HYPERLINK("https://www.google.com/maps/search/?api=1&amp;query="&amp;SUBSTITUTE(F1327," ",""),"🗺 Google Maps"),"")</f>
        <v/>
      </c>
      <c r="H1327" s="8">
        <f>IF(F1327&lt;&gt;"",HYPERLINK("https://waze.com/ul?ll="&amp;SUBSTITUTE(F1327," ","")&amp;"&amp;navigate=yes","🚗 Waze"),"")</f>
        <v/>
      </c>
      <c r="I1327" s="8">
        <f>IF(F1327&lt;&gt;"",HYPERLINK("https://m.uber.com/ul/?action=setPickup&amp;pickup=my_location&amp;dropoff[latitude]="&amp;LEFT(SUBSTITUTE(F1327," ",""),FIND(",",SUBSTITUTE(F1327," ",""))-1)&amp;"&amp;dropoff[longitude]="&amp;MID(SUBSTITUTE(F1327," ",""),FIND(",",SUBSTITUTE(F1327," ",""))+1,99),"🚕 Uber"),"")</f>
        <v/>
      </c>
      <c r="J1327" s="8">
        <f>IF(F1327&lt;&gt;"","https://api.qrserver.com/v1/create-qr-code/?size=200x200&amp;data="&amp;ENCODEURL("https://www.google.com/maps/search/?api=1&amp;query="&amp;SUBSTITUTE(F1327," ","")),"")</f>
        <v/>
      </c>
      <c r="K1327" s="8">
        <f>IF(C1327&lt;&gt;"",HYPERLINK("https://wa.me/507"&amp;REGEXREPLACE(C1327,"[^0-9]","")&amp;"?text="&amp;ENCODEURL("Ya llegue. Codigo: "&amp;A1327&amp;". Ubicacion: "&amp;"https://www.google.com/maps/search/?api=1&amp;query="&amp;SUBSTITUTE(F1327," ","")),"📲 Avisar al cliente"),"")</f>
        <v/>
      </c>
      <c r="L1327" s="8">
        <f>IF(C1327&lt;&gt;"","https://api.qrserver.com/v1/create-qr-code/?size=200x200&amp;data="&amp;ENCODEURL("https://wa.me/507"&amp;REGEXREPLACE(C1327,"[^0-9]","")&amp;"?text="&amp;ENCODEURL("Ya llegue. Codigo: "&amp;A1327&amp;". Ubicacion: "&amp;"https://www.google.com/maps/search/?api=1&amp;query="&amp;SUBSTITUTE(F1327," ",""))),"")</f>
        <v/>
      </c>
      <c r="M1327" s="8">
        <f>IF(B1327&lt;&gt;"",TODAY(),"")</f>
        <v/>
      </c>
      <c r="N1327" s="8">
        <f>IF(F1327&lt;&gt;"",IFERROR(IF(AND(REGEXMATCH(SUBSTITUTE(TRIM(F1327)," ",""),"^-?\d+(\.\d+)?,-?\d+(\.\d+)?$"),VALUE(REGEXEXTRACT(SUBSTITUTE(TRIM(F1327)," ",""),"^-?\d+(\.\d+)?"))&gt;=-90,VALUE(REGEXEXTRACT(SUBSTITUTE(TRIM(F1327)," ",""),"^-?\d+(\.\d+)?"))&lt;=90,VALUE(REGEXEXTRACT(SUBSTITUTE(TRIM(F1327)," ",""),"-?\d+(\.\d+)?$"))&gt;=-180,VALUE(REGEXEXTRACT(SUBSTITUTE(TRIM(F1327)," ",""),"-?\d+(\.\d+)?$"))&lt;=180),"OK","REVISAR"),"REVISAR"),"")</f>
        <v/>
      </c>
      <c r="O1327">
        <f>IF(A1327&lt;&gt;"","https://direcciones507.github.io/direcciones507/panel.html?codigo="&amp;A1327&amp;"&amp;nombre="&amp;ENCODEURL(B1327)&amp;"&amp;telefono="&amp;SUBSTITUTE(C1327,"-","")&amp;"&amp;referencia="&amp;ENCODEURL(E1327)&amp;"&amp;lat="&amp;IZQUIERDA(SUBSTITUTE(F1327," ",""),ENCONTRAR(",",SUBSTITUTE(F1327," ",""))-1)&amp;"&amp;lng="&amp;DERECHA(SUBSTITUTE(F1327," ",""),LARGO(SUBSTITUTE(F1327," ",""))-ENCONTRAR(",",SUBSTITUTE(F1327," ",""))),"")</f>
        <v/>
      </c>
    </row>
    <row r="1328" ht="15.75" customHeight="1" s="10">
      <c r="A1328" s="8">
        <f>CONCAT("AD507-",TEXT(ROW()-2,"0000"))</f>
        <v/>
      </c>
      <c r="C1328" s="8" t="n"/>
      <c r="F1328" s="8" t="n"/>
      <c r="G1328" s="8">
        <f>IF(F1328&lt;&gt;"",HYPERLINK("https://www.google.com/maps/search/?api=1&amp;query="&amp;SUBSTITUTE(F1328," ",""),"🗺 Google Maps"),"")</f>
        <v/>
      </c>
      <c r="H1328" s="8">
        <f>IF(F1328&lt;&gt;"",HYPERLINK("https://waze.com/ul?ll="&amp;SUBSTITUTE(F1328," ","")&amp;"&amp;navigate=yes","🚗 Waze"),"")</f>
        <v/>
      </c>
      <c r="I1328" s="8">
        <f>IF(F1328&lt;&gt;"",HYPERLINK("https://m.uber.com/ul/?action=setPickup&amp;pickup=my_location&amp;dropoff[latitude]="&amp;LEFT(SUBSTITUTE(F1328," ",""),FIND(",",SUBSTITUTE(F1328," ",""))-1)&amp;"&amp;dropoff[longitude]="&amp;MID(SUBSTITUTE(F1328," ",""),FIND(",",SUBSTITUTE(F1328," ",""))+1,99),"🚕 Uber"),"")</f>
        <v/>
      </c>
      <c r="J1328" s="8">
        <f>IF(F1328&lt;&gt;"","https://api.qrserver.com/v1/create-qr-code/?size=200x200&amp;data="&amp;ENCODEURL("https://www.google.com/maps/search/?api=1&amp;query="&amp;SUBSTITUTE(F1328," ","")),"")</f>
        <v/>
      </c>
      <c r="K1328" s="8">
        <f>IF(C1328&lt;&gt;"",HYPERLINK("https://wa.me/507"&amp;REGEXREPLACE(C1328,"[^0-9]","")&amp;"?text="&amp;ENCODEURL("Ya llegue. Codigo: "&amp;A1328&amp;". Ubicacion: "&amp;"https://www.google.com/maps/search/?api=1&amp;query="&amp;SUBSTITUTE(F1328," ","")),"📲 Avisar al cliente"),"")</f>
        <v/>
      </c>
      <c r="L1328" s="8">
        <f>IF(C1328&lt;&gt;"","https://api.qrserver.com/v1/create-qr-code/?size=200x200&amp;data="&amp;ENCODEURL("https://wa.me/507"&amp;REGEXREPLACE(C1328,"[^0-9]","")&amp;"?text="&amp;ENCODEURL("Ya llegue. Codigo: "&amp;A1328&amp;". Ubicacion: "&amp;"https://www.google.com/maps/search/?api=1&amp;query="&amp;SUBSTITUTE(F1328," ",""))),"")</f>
        <v/>
      </c>
      <c r="M1328" s="8">
        <f>IF(B1328&lt;&gt;"",TODAY(),"")</f>
        <v/>
      </c>
      <c r="N1328" s="8">
        <f>IF(F1328&lt;&gt;"",IFERROR(IF(AND(REGEXMATCH(SUBSTITUTE(TRIM(F1328)," ",""),"^-?\d+(\.\d+)?,-?\d+(\.\d+)?$"),VALUE(REGEXEXTRACT(SUBSTITUTE(TRIM(F1328)," ",""),"^-?\d+(\.\d+)?"))&gt;=-90,VALUE(REGEXEXTRACT(SUBSTITUTE(TRIM(F1328)," ",""),"^-?\d+(\.\d+)?"))&lt;=90,VALUE(REGEXEXTRACT(SUBSTITUTE(TRIM(F1328)," ",""),"-?\d+(\.\d+)?$"))&gt;=-180,VALUE(REGEXEXTRACT(SUBSTITUTE(TRIM(F1328)," ",""),"-?\d+(\.\d+)?$"))&lt;=180),"OK","REVISAR"),"REVISAR"),"")</f>
        <v/>
      </c>
      <c r="O1328">
        <f>IF(A1328&lt;&gt;"","https://direcciones507.github.io/direcciones507/panel.html?codigo="&amp;A1328&amp;"&amp;nombre="&amp;ENCODEURL(B1328)&amp;"&amp;telefono="&amp;SUBSTITUTE(C1328,"-","")&amp;"&amp;referencia="&amp;ENCODEURL(E1328)&amp;"&amp;lat="&amp;IZQUIERDA(SUBSTITUTE(F1328," ",""),ENCONTRAR(",",SUBSTITUTE(F1328," ",""))-1)&amp;"&amp;lng="&amp;DERECHA(SUBSTITUTE(F1328," ",""),LARGO(SUBSTITUTE(F1328," ",""))-ENCONTRAR(",",SUBSTITUTE(F1328," ",""))),"")</f>
        <v/>
      </c>
    </row>
    <row r="1329" ht="15.75" customHeight="1" s="10">
      <c r="A1329" s="8">
        <f>CONCAT("AD507-",TEXT(ROW()-2,"0000"))</f>
        <v/>
      </c>
      <c r="C1329" s="8" t="n"/>
      <c r="F1329" s="8" t="n"/>
      <c r="G1329" s="8">
        <f>IF(F1329&lt;&gt;"",HYPERLINK("https://www.google.com/maps/search/?api=1&amp;query="&amp;SUBSTITUTE(F1329," ",""),"🗺 Google Maps"),"")</f>
        <v/>
      </c>
      <c r="H1329" s="8">
        <f>IF(F1329&lt;&gt;"",HYPERLINK("https://waze.com/ul?ll="&amp;SUBSTITUTE(F1329," ","")&amp;"&amp;navigate=yes","🚗 Waze"),"")</f>
        <v/>
      </c>
      <c r="I1329" s="8">
        <f>IF(F1329&lt;&gt;"",HYPERLINK("https://m.uber.com/ul/?action=setPickup&amp;pickup=my_location&amp;dropoff[latitude]="&amp;LEFT(SUBSTITUTE(F1329," ",""),FIND(",",SUBSTITUTE(F1329," ",""))-1)&amp;"&amp;dropoff[longitude]="&amp;MID(SUBSTITUTE(F1329," ",""),FIND(",",SUBSTITUTE(F1329," ",""))+1,99),"🚕 Uber"),"")</f>
        <v/>
      </c>
      <c r="J1329" s="8">
        <f>IF(F1329&lt;&gt;"","https://api.qrserver.com/v1/create-qr-code/?size=200x200&amp;data="&amp;ENCODEURL("https://www.google.com/maps/search/?api=1&amp;query="&amp;SUBSTITUTE(F1329," ","")),"")</f>
        <v/>
      </c>
      <c r="K1329" s="8">
        <f>IF(C1329&lt;&gt;"",HYPERLINK("https://wa.me/507"&amp;REGEXREPLACE(C1329,"[^0-9]","")&amp;"?text="&amp;ENCODEURL("Ya llegue. Codigo: "&amp;A1329&amp;". Ubicacion: "&amp;"https://www.google.com/maps/search/?api=1&amp;query="&amp;SUBSTITUTE(F1329," ","")),"📲 Avisar al cliente"),"")</f>
        <v/>
      </c>
      <c r="L1329" s="8">
        <f>IF(C1329&lt;&gt;"","https://api.qrserver.com/v1/create-qr-code/?size=200x200&amp;data="&amp;ENCODEURL("https://wa.me/507"&amp;REGEXREPLACE(C1329,"[^0-9]","")&amp;"?text="&amp;ENCODEURL("Ya llegue. Codigo: "&amp;A1329&amp;". Ubicacion: "&amp;"https://www.google.com/maps/search/?api=1&amp;query="&amp;SUBSTITUTE(F1329," ",""))),"")</f>
        <v/>
      </c>
      <c r="M1329" s="8">
        <f>IF(B1329&lt;&gt;"",TODAY(),"")</f>
        <v/>
      </c>
      <c r="N1329" s="8">
        <f>IF(F1329&lt;&gt;"",IFERROR(IF(AND(REGEXMATCH(SUBSTITUTE(TRIM(F1329)," ",""),"^-?\d+(\.\d+)?,-?\d+(\.\d+)?$"),VALUE(REGEXEXTRACT(SUBSTITUTE(TRIM(F1329)," ",""),"^-?\d+(\.\d+)?"))&gt;=-90,VALUE(REGEXEXTRACT(SUBSTITUTE(TRIM(F1329)," ",""),"^-?\d+(\.\d+)?"))&lt;=90,VALUE(REGEXEXTRACT(SUBSTITUTE(TRIM(F1329)," ",""),"-?\d+(\.\d+)?$"))&gt;=-180,VALUE(REGEXEXTRACT(SUBSTITUTE(TRIM(F1329)," ",""),"-?\d+(\.\d+)?$"))&lt;=180),"OK","REVISAR"),"REVISAR"),"")</f>
        <v/>
      </c>
      <c r="O1329">
        <f>IF(A1329&lt;&gt;"","https://direcciones507.github.io/direcciones507/panel.html?codigo="&amp;A1329&amp;"&amp;nombre="&amp;ENCODEURL(B1329)&amp;"&amp;telefono="&amp;SUBSTITUTE(C1329,"-","")&amp;"&amp;referencia="&amp;ENCODEURL(E1329)&amp;"&amp;lat="&amp;IZQUIERDA(SUBSTITUTE(F1329," ",""),ENCONTRAR(",",SUBSTITUTE(F1329," ",""))-1)&amp;"&amp;lng="&amp;DERECHA(SUBSTITUTE(F1329," ",""),LARGO(SUBSTITUTE(F1329," ",""))-ENCONTRAR(",",SUBSTITUTE(F1329," ",""))),"")</f>
        <v/>
      </c>
    </row>
    <row r="1330" ht="15.75" customHeight="1" s="10">
      <c r="A1330" s="8">
        <f>CONCAT("AD507-",TEXT(ROW()-2,"0000"))</f>
        <v/>
      </c>
      <c r="C1330" s="8" t="n"/>
      <c r="F1330" s="8" t="n"/>
      <c r="G1330" s="8">
        <f>IF(F1330&lt;&gt;"",HYPERLINK("https://www.google.com/maps/search/?api=1&amp;query="&amp;SUBSTITUTE(F1330," ",""),"🗺 Google Maps"),"")</f>
        <v/>
      </c>
      <c r="H1330" s="8">
        <f>IF(F1330&lt;&gt;"",HYPERLINK("https://waze.com/ul?ll="&amp;SUBSTITUTE(F1330," ","")&amp;"&amp;navigate=yes","🚗 Waze"),"")</f>
        <v/>
      </c>
      <c r="I1330" s="8">
        <f>IF(F1330&lt;&gt;"",HYPERLINK("https://m.uber.com/ul/?action=setPickup&amp;pickup=my_location&amp;dropoff[latitude]="&amp;LEFT(SUBSTITUTE(F1330," ",""),FIND(",",SUBSTITUTE(F1330," ",""))-1)&amp;"&amp;dropoff[longitude]="&amp;MID(SUBSTITUTE(F1330," ",""),FIND(",",SUBSTITUTE(F1330," ",""))+1,99),"🚕 Uber"),"")</f>
        <v/>
      </c>
      <c r="J1330" s="8">
        <f>IF(F1330&lt;&gt;"","https://api.qrserver.com/v1/create-qr-code/?size=200x200&amp;data="&amp;ENCODEURL("https://www.google.com/maps/search/?api=1&amp;query="&amp;SUBSTITUTE(F1330," ","")),"")</f>
        <v/>
      </c>
      <c r="K1330" s="8">
        <f>IF(C1330&lt;&gt;"",HYPERLINK("https://wa.me/507"&amp;REGEXREPLACE(C1330,"[^0-9]","")&amp;"?text="&amp;ENCODEURL("Ya llegue. Codigo: "&amp;A1330&amp;". Ubicacion: "&amp;"https://www.google.com/maps/search/?api=1&amp;query="&amp;SUBSTITUTE(F1330," ","")),"📲 Avisar al cliente"),"")</f>
        <v/>
      </c>
      <c r="L1330" s="8">
        <f>IF(C1330&lt;&gt;"","https://api.qrserver.com/v1/create-qr-code/?size=200x200&amp;data="&amp;ENCODEURL("https://wa.me/507"&amp;REGEXREPLACE(C1330,"[^0-9]","")&amp;"?text="&amp;ENCODEURL("Ya llegue. Codigo: "&amp;A1330&amp;". Ubicacion: "&amp;"https://www.google.com/maps/search/?api=1&amp;query="&amp;SUBSTITUTE(F1330," ",""))),"")</f>
        <v/>
      </c>
      <c r="M1330" s="8">
        <f>IF(B1330&lt;&gt;"",TODAY(),"")</f>
        <v/>
      </c>
      <c r="N1330" s="8">
        <f>IF(F1330&lt;&gt;"",IFERROR(IF(AND(REGEXMATCH(SUBSTITUTE(TRIM(F1330)," ",""),"^-?\d+(\.\d+)?,-?\d+(\.\d+)?$"),VALUE(REGEXEXTRACT(SUBSTITUTE(TRIM(F1330)," ",""),"^-?\d+(\.\d+)?"))&gt;=-90,VALUE(REGEXEXTRACT(SUBSTITUTE(TRIM(F1330)," ",""),"^-?\d+(\.\d+)?"))&lt;=90,VALUE(REGEXEXTRACT(SUBSTITUTE(TRIM(F1330)," ",""),"-?\d+(\.\d+)?$"))&gt;=-180,VALUE(REGEXEXTRACT(SUBSTITUTE(TRIM(F1330)," ",""),"-?\d+(\.\d+)?$"))&lt;=180),"OK","REVISAR"),"REVISAR"),"")</f>
        <v/>
      </c>
      <c r="O1330">
        <f>IF(A1330&lt;&gt;"","https://direcciones507.github.io/direcciones507/panel.html?codigo="&amp;A1330&amp;"&amp;nombre="&amp;ENCODEURL(B1330)&amp;"&amp;telefono="&amp;SUBSTITUTE(C1330,"-","")&amp;"&amp;referencia="&amp;ENCODEURL(E1330)&amp;"&amp;lat="&amp;IZQUIERDA(SUBSTITUTE(F1330," ",""),ENCONTRAR(",",SUBSTITUTE(F1330," ",""))-1)&amp;"&amp;lng="&amp;DERECHA(SUBSTITUTE(F1330," ",""),LARGO(SUBSTITUTE(F1330," ",""))-ENCONTRAR(",",SUBSTITUTE(F1330," ",""))),"")</f>
        <v/>
      </c>
    </row>
    <row r="1331" ht="15.75" customHeight="1" s="10">
      <c r="A1331" s="8">
        <f>CONCAT("AD507-",TEXT(ROW()-2,"0000"))</f>
        <v/>
      </c>
      <c r="C1331" s="8" t="n"/>
      <c r="F1331" s="8" t="n"/>
      <c r="G1331" s="8">
        <f>IF(F1331&lt;&gt;"",HYPERLINK("https://www.google.com/maps/search/?api=1&amp;query="&amp;SUBSTITUTE(F1331," ",""),"🗺 Google Maps"),"")</f>
        <v/>
      </c>
      <c r="H1331" s="8">
        <f>IF(F1331&lt;&gt;"",HYPERLINK("https://waze.com/ul?ll="&amp;SUBSTITUTE(F1331," ","")&amp;"&amp;navigate=yes","🚗 Waze"),"")</f>
        <v/>
      </c>
      <c r="I1331" s="8">
        <f>IF(F1331&lt;&gt;"",HYPERLINK("https://m.uber.com/ul/?action=setPickup&amp;pickup=my_location&amp;dropoff[latitude]="&amp;LEFT(SUBSTITUTE(F1331," ",""),FIND(",",SUBSTITUTE(F1331," ",""))-1)&amp;"&amp;dropoff[longitude]="&amp;MID(SUBSTITUTE(F1331," ",""),FIND(",",SUBSTITUTE(F1331," ",""))+1,99),"🚕 Uber"),"")</f>
        <v/>
      </c>
      <c r="J1331" s="8">
        <f>IF(F1331&lt;&gt;"","https://api.qrserver.com/v1/create-qr-code/?size=200x200&amp;data="&amp;ENCODEURL("https://www.google.com/maps/search/?api=1&amp;query="&amp;SUBSTITUTE(F1331," ","")),"")</f>
        <v/>
      </c>
      <c r="K1331" s="8">
        <f>IF(C1331&lt;&gt;"",HYPERLINK("https://wa.me/507"&amp;REGEXREPLACE(C1331,"[^0-9]","")&amp;"?text="&amp;ENCODEURL("Ya llegue. Codigo: "&amp;A1331&amp;". Ubicacion: "&amp;"https://www.google.com/maps/search/?api=1&amp;query="&amp;SUBSTITUTE(F1331," ","")),"📲 Avisar al cliente"),"")</f>
        <v/>
      </c>
      <c r="L1331" s="8">
        <f>IF(C1331&lt;&gt;"","https://api.qrserver.com/v1/create-qr-code/?size=200x200&amp;data="&amp;ENCODEURL("https://wa.me/507"&amp;REGEXREPLACE(C1331,"[^0-9]","")&amp;"?text="&amp;ENCODEURL("Ya llegue. Codigo: "&amp;A1331&amp;". Ubicacion: "&amp;"https://www.google.com/maps/search/?api=1&amp;query="&amp;SUBSTITUTE(F1331," ",""))),"")</f>
        <v/>
      </c>
      <c r="M1331" s="8">
        <f>IF(B1331&lt;&gt;"",TODAY(),"")</f>
        <v/>
      </c>
      <c r="N1331" s="8">
        <f>IF(F1331&lt;&gt;"",IFERROR(IF(AND(REGEXMATCH(SUBSTITUTE(TRIM(F1331)," ",""),"^-?\d+(\.\d+)?,-?\d+(\.\d+)?$"),VALUE(REGEXEXTRACT(SUBSTITUTE(TRIM(F1331)," ",""),"^-?\d+(\.\d+)?"))&gt;=-90,VALUE(REGEXEXTRACT(SUBSTITUTE(TRIM(F1331)," ",""),"^-?\d+(\.\d+)?"))&lt;=90,VALUE(REGEXEXTRACT(SUBSTITUTE(TRIM(F1331)," ",""),"-?\d+(\.\d+)?$"))&gt;=-180,VALUE(REGEXEXTRACT(SUBSTITUTE(TRIM(F1331)," ",""),"-?\d+(\.\d+)?$"))&lt;=180),"OK","REVISAR"),"REVISAR"),"")</f>
        <v/>
      </c>
      <c r="O1331">
        <f>IF(A1331&lt;&gt;"","https://direcciones507.github.io/direcciones507/panel.html?codigo="&amp;A1331&amp;"&amp;nombre="&amp;ENCODEURL(B1331)&amp;"&amp;telefono="&amp;SUBSTITUTE(C1331,"-","")&amp;"&amp;referencia="&amp;ENCODEURL(E1331)&amp;"&amp;lat="&amp;IZQUIERDA(SUBSTITUTE(F1331," ",""),ENCONTRAR(",",SUBSTITUTE(F1331," ",""))-1)&amp;"&amp;lng="&amp;DERECHA(SUBSTITUTE(F1331," ",""),LARGO(SUBSTITUTE(F1331," ",""))-ENCONTRAR(",",SUBSTITUTE(F1331," ",""))),"")</f>
        <v/>
      </c>
    </row>
    <row r="1332" ht="15.75" customHeight="1" s="10">
      <c r="A1332" s="8">
        <f>CONCAT("AD507-",TEXT(ROW()-2,"0000"))</f>
        <v/>
      </c>
      <c r="C1332" s="8" t="n"/>
      <c r="F1332" s="8" t="n"/>
      <c r="G1332" s="8">
        <f>IF(F1332&lt;&gt;"",HYPERLINK("https://www.google.com/maps/search/?api=1&amp;query="&amp;SUBSTITUTE(F1332," ",""),"🗺 Google Maps"),"")</f>
        <v/>
      </c>
      <c r="H1332" s="8">
        <f>IF(F1332&lt;&gt;"",HYPERLINK("https://waze.com/ul?ll="&amp;SUBSTITUTE(F1332," ","")&amp;"&amp;navigate=yes","🚗 Waze"),"")</f>
        <v/>
      </c>
      <c r="I1332" s="8">
        <f>IF(F1332&lt;&gt;"",HYPERLINK("https://m.uber.com/ul/?action=setPickup&amp;pickup=my_location&amp;dropoff[latitude]="&amp;LEFT(SUBSTITUTE(F1332," ",""),FIND(",",SUBSTITUTE(F1332," ",""))-1)&amp;"&amp;dropoff[longitude]="&amp;MID(SUBSTITUTE(F1332," ",""),FIND(",",SUBSTITUTE(F1332," ",""))+1,99),"🚕 Uber"),"")</f>
        <v/>
      </c>
      <c r="J1332" s="8">
        <f>IF(F1332&lt;&gt;"","https://api.qrserver.com/v1/create-qr-code/?size=200x200&amp;data="&amp;ENCODEURL("https://www.google.com/maps/search/?api=1&amp;query="&amp;SUBSTITUTE(F1332," ","")),"")</f>
        <v/>
      </c>
      <c r="K1332" s="8">
        <f>IF(C1332&lt;&gt;"",HYPERLINK("https://wa.me/507"&amp;REGEXREPLACE(C1332,"[^0-9]","")&amp;"?text="&amp;ENCODEURL("Ya llegue. Codigo: "&amp;A1332&amp;". Ubicacion: "&amp;"https://www.google.com/maps/search/?api=1&amp;query="&amp;SUBSTITUTE(F1332," ","")),"📲 Avisar al cliente"),"")</f>
        <v/>
      </c>
      <c r="L1332" s="8">
        <f>IF(C1332&lt;&gt;"","https://api.qrserver.com/v1/create-qr-code/?size=200x200&amp;data="&amp;ENCODEURL("https://wa.me/507"&amp;REGEXREPLACE(C1332,"[^0-9]","")&amp;"?text="&amp;ENCODEURL("Ya llegue. Codigo: "&amp;A1332&amp;". Ubicacion: "&amp;"https://www.google.com/maps/search/?api=1&amp;query="&amp;SUBSTITUTE(F1332," ",""))),"")</f>
        <v/>
      </c>
      <c r="M1332" s="8">
        <f>IF(B1332&lt;&gt;"",TODAY(),"")</f>
        <v/>
      </c>
      <c r="N1332" s="8">
        <f>IF(F1332&lt;&gt;"",IFERROR(IF(AND(REGEXMATCH(SUBSTITUTE(TRIM(F1332)," ",""),"^-?\d+(\.\d+)?,-?\d+(\.\d+)?$"),VALUE(REGEXEXTRACT(SUBSTITUTE(TRIM(F1332)," ",""),"^-?\d+(\.\d+)?"))&gt;=-90,VALUE(REGEXEXTRACT(SUBSTITUTE(TRIM(F1332)," ",""),"^-?\d+(\.\d+)?"))&lt;=90,VALUE(REGEXEXTRACT(SUBSTITUTE(TRIM(F1332)," ",""),"-?\d+(\.\d+)?$"))&gt;=-180,VALUE(REGEXEXTRACT(SUBSTITUTE(TRIM(F1332)," ",""),"-?\d+(\.\d+)?$"))&lt;=180),"OK","REVISAR"),"REVISAR"),"")</f>
        <v/>
      </c>
      <c r="O1332">
        <f>IF(A1332&lt;&gt;"","https://direcciones507.github.io/direcciones507/panel.html?codigo="&amp;A1332&amp;"&amp;nombre="&amp;ENCODEURL(B1332)&amp;"&amp;telefono="&amp;SUBSTITUTE(C1332,"-","")&amp;"&amp;referencia="&amp;ENCODEURL(E1332)&amp;"&amp;lat="&amp;IZQUIERDA(SUBSTITUTE(F1332," ",""),ENCONTRAR(",",SUBSTITUTE(F1332," ",""))-1)&amp;"&amp;lng="&amp;DERECHA(SUBSTITUTE(F1332," ",""),LARGO(SUBSTITUTE(F1332," ",""))-ENCONTRAR(",",SUBSTITUTE(F1332," ",""))),"")</f>
        <v/>
      </c>
    </row>
    <row r="1333" ht="15.75" customHeight="1" s="10">
      <c r="A1333" s="8">
        <f>CONCAT("AD507-",TEXT(ROW()-2,"0000"))</f>
        <v/>
      </c>
      <c r="C1333" s="8" t="n"/>
      <c r="F1333" s="8" t="n"/>
      <c r="G1333" s="8">
        <f>IF(F1333&lt;&gt;"",HYPERLINK("https://www.google.com/maps/search/?api=1&amp;query="&amp;SUBSTITUTE(F1333," ",""),"🗺 Google Maps"),"")</f>
        <v/>
      </c>
      <c r="H1333" s="8">
        <f>IF(F1333&lt;&gt;"",HYPERLINK("https://waze.com/ul?ll="&amp;SUBSTITUTE(F1333," ","")&amp;"&amp;navigate=yes","🚗 Waze"),"")</f>
        <v/>
      </c>
      <c r="I1333" s="8">
        <f>IF(F1333&lt;&gt;"",HYPERLINK("https://m.uber.com/ul/?action=setPickup&amp;pickup=my_location&amp;dropoff[latitude]="&amp;LEFT(SUBSTITUTE(F1333," ",""),FIND(",",SUBSTITUTE(F1333," ",""))-1)&amp;"&amp;dropoff[longitude]="&amp;MID(SUBSTITUTE(F1333," ",""),FIND(",",SUBSTITUTE(F1333," ",""))+1,99),"🚕 Uber"),"")</f>
        <v/>
      </c>
      <c r="J1333" s="8">
        <f>IF(F1333&lt;&gt;"","https://api.qrserver.com/v1/create-qr-code/?size=200x200&amp;data="&amp;ENCODEURL("https://www.google.com/maps/search/?api=1&amp;query="&amp;SUBSTITUTE(F1333," ","")),"")</f>
        <v/>
      </c>
      <c r="K1333" s="8">
        <f>IF(C1333&lt;&gt;"",HYPERLINK("https://wa.me/507"&amp;REGEXREPLACE(C1333,"[^0-9]","")&amp;"?text="&amp;ENCODEURL("Ya llegue. Codigo: "&amp;A1333&amp;". Ubicacion: "&amp;"https://www.google.com/maps/search/?api=1&amp;query="&amp;SUBSTITUTE(F1333," ","")),"📲 Avisar al cliente"),"")</f>
        <v/>
      </c>
      <c r="L1333" s="8">
        <f>IF(C1333&lt;&gt;"","https://api.qrserver.com/v1/create-qr-code/?size=200x200&amp;data="&amp;ENCODEURL("https://wa.me/507"&amp;REGEXREPLACE(C1333,"[^0-9]","")&amp;"?text="&amp;ENCODEURL("Ya llegue. Codigo: "&amp;A1333&amp;". Ubicacion: "&amp;"https://www.google.com/maps/search/?api=1&amp;query="&amp;SUBSTITUTE(F1333," ",""))),"")</f>
        <v/>
      </c>
      <c r="M1333" s="8">
        <f>IF(B1333&lt;&gt;"",TODAY(),"")</f>
        <v/>
      </c>
      <c r="N1333" s="8">
        <f>IF(F1333&lt;&gt;"",IFERROR(IF(AND(REGEXMATCH(SUBSTITUTE(TRIM(F1333)," ",""),"^-?\d+(\.\d+)?,-?\d+(\.\d+)?$"),VALUE(REGEXEXTRACT(SUBSTITUTE(TRIM(F1333)," ",""),"^-?\d+(\.\d+)?"))&gt;=-90,VALUE(REGEXEXTRACT(SUBSTITUTE(TRIM(F1333)," ",""),"^-?\d+(\.\d+)?"))&lt;=90,VALUE(REGEXEXTRACT(SUBSTITUTE(TRIM(F1333)," ",""),"-?\d+(\.\d+)?$"))&gt;=-180,VALUE(REGEXEXTRACT(SUBSTITUTE(TRIM(F1333)," ",""),"-?\d+(\.\d+)?$"))&lt;=180),"OK","REVISAR"),"REVISAR"),"")</f>
        <v/>
      </c>
      <c r="O1333">
        <f>IF(A1333&lt;&gt;"","https://direcciones507.github.io/direcciones507/panel.html?codigo="&amp;A1333&amp;"&amp;nombre="&amp;ENCODEURL(B1333)&amp;"&amp;telefono="&amp;SUBSTITUTE(C1333,"-","")&amp;"&amp;referencia="&amp;ENCODEURL(E1333)&amp;"&amp;lat="&amp;IZQUIERDA(SUBSTITUTE(F1333," ",""),ENCONTRAR(",",SUBSTITUTE(F1333," ",""))-1)&amp;"&amp;lng="&amp;DERECHA(SUBSTITUTE(F1333," ",""),LARGO(SUBSTITUTE(F1333," ",""))-ENCONTRAR(",",SUBSTITUTE(F1333," ",""))),"")</f>
        <v/>
      </c>
    </row>
    <row r="1334" ht="15.75" customHeight="1" s="10">
      <c r="A1334" s="8">
        <f>CONCAT("AD507-",TEXT(ROW()-2,"0000"))</f>
        <v/>
      </c>
      <c r="C1334" s="8" t="n"/>
      <c r="F1334" s="8" t="n"/>
      <c r="G1334" s="8">
        <f>IF(F1334&lt;&gt;"",HYPERLINK("https://www.google.com/maps/search/?api=1&amp;query="&amp;SUBSTITUTE(F1334," ",""),"🗺 Google Maps"),"")</f>
        <v/>
      </c>
      <c r="H1334" s="8">
        <f>IF(F1334&lt;&gt;"",HYPERLINK("https://waze.com/ul?ll="&amp;SUBSTITUTE(F1334," ","")&amp;"&amp;navigate=yes","🚗 Waze"),"")</f>
        <v/>
      </c>
      <c r="I1334" s="8">
        <f>IF(F1334&lt;&gt;"",HYPERLINK("https://m.uber.com/ul/?action=setPickup&amp;pickup=my_location&amp;dropoff[latitude]="&amp;LEFT(SUBSTITUTE(F1334," ",""),FIND(",",SUBSTITUTE(F1334," ",""))-1)&amp;"&amp;dropoff[longitude]="&amp;MID(SUBSTITUTE(F1334," ",""),FIND(",",SUBSTITUTE(F1334," ",""))+1,99),"🚕 Uber"),"")</f>
        <v/>
      </c>
      <c r="J1334" s="8">
        <f>IF(F1334&lt;&gt;"","https://api.qrserver.com/v1/create-qr-code/?size=200x200&amp;data="&amp;ENCODEURL("https://www.google.com/maps/search/?api=1&amp;query="&amp;SUBSTITUTE(F1334," ","")),"")</f>
        <v/>
      </c>
      <c r="K1334" s="8">
        <f>IF(C1334&lt;&gt;"",HYPERLINK("https://wa.me/507"&amp;REGEXREPLACE(C1334,"[^0-9]","")&amp;"?text="&amp;ENCODEURL("Ya llegue. Codigo: "&amp;A1334&amp;". Ubicacion: "&amp;"https://www.google.com/maps/search/?api=1&amp;query="&amp;SUBSTITUTE(F1334," ","")),"📲 Avisar al cliente"),"")</f>
        <v/>
      </c>
      <c r="L1334" s="8">
        <f>IF(C1334&lt;&gt;"","https://api.qrserver.com/v1/create-qr-code/?size=200x200&amp;data="&amp;ENCODEURL("https://wa.me/507"&amp;REGEXREPLACE(C1334,"[^0-9]","")&amp;"?text="&amp;ENCODEURL("Ya llegue. Codigo: "&amp;A1334&amp;". Ubicacion: "&amp;"https://www.google.com/maps/search/?api=1&amp;query="&amp;SUBSTITUTE(F1334," ",""))),"")</f>
        <v/>
      </c>
      <c r="M1334" s="8">
        <f>IF(B1334&lt;&gt;"",TODAY(),"")</f>
        <v/>
      </c>
      <c r="N1334" s="8">
        <f>IF(F1334&lt;&gt;"",IFERROR(IF(AND(REGEXMATCH(SUBSTITUTE(TRIM(F1334)," ",""),"^-?\d+(\.\d+)?,-?\d+(\.\d+)?$"),VALUE(REGEXEXTRACT(SUBSTITUTE(TRIM(F1334)," ",""),"^-?\d+(\.\d+)?"))&gt;=-90,VALUE(REGEXEXTRACT(SUBSTITUTE(TRIM(F1334)," ",""),"^-?\d+(\.\d+)?"))&lt;=90,VALUE(REGEXEXTRACT(SUBSTITUTE(TRIM(F1334)," ",""),"-?\d+(\.\d+)?$"))&gt;=-180,VALUE(REGEXEXTRACT(SUBSTITUTE(TRIM(F1334)," ",""),"-?\d+(\.\d+)?$"))&lt;=180),"OK","REVISAR"),"REVISAR"),"")</f>
        <v/>
      </c>
      <c r="O1334">
        <f>IF(A1334&lt;&gt;"","https://direcciones507.github.io/direcciones507/panel.html?codigo="&amp;A1334&amp;"&amp;nombre="&amp;ENCODEURL(B1334)&amp;"&amp;telefono="&amp;SUBSTITUTE(C1334,"-","")&amp;"&amp;referencia="&amp;ENCODEURL(E1334)&amp;"&amp;lat="&amp;IZQUIERDA(SUBSTITUTE(F1334," ",""),ENCONTRAR(",",SUBSTITUTE(F1334," ",""))-1)&amp;"&amp;lng="&amp;DERECHA(SUBSTITUTE(F1334," ",""),LARGO(SUBSTITUTE(F1334," ",""))-ENCONTRAR(",",SUBSTITUTE(F1334," ",""))),"")</f>
        <v/>
      </c>
    </row>
    <row r="1335" ht="15.75" customHeight="1" s="10">
      <c r="A1335" s="8">
        <f>CONCAT("AD507-",TEXT(ROW()-2,"0000"))</f>
        <v/>
      </c>
      <c r="C1335" s="8" t="n"/>
      <c r="F1335" s="8" t="n"/>
      <c r="G1335" s="8">
        <f>IF(F1335&lt;&gt;"",HYPERLINK("https://www.google.com/maps/search/?api=1&amp;query="&amp;SUBSTITUTE(F1335," ",""),"🗺 Google Maps"),"")</f>
        <v/>
      </c>
      <c r="H1335" s="8">
        <f>IF(F1335&lt;&gt;"",HYPERLINK("https://waze.com/ul?ll="&amp;SUBSTITUTE(F1335," ","")&amp;"&amp;navigate=yes","🚗 Waze"),"")</f>
        <v/>
      </c>
      <c r="I1335" s="8">
        <f>IF(F1335&lt;&gt;"",HYPERLINK("https://m.uber.com/ul/?action=setPickup&amp;pickup=my_location&amp;dropoff[latitude]="&amp;LEFT(SUBSTITUTE(F1335," ",""),FIND(",",SUBSTITUTE(F1335," ",""))-1)&amp;"&amp;dropoff[longitude]="&amp;MID(SUBSTITUTE(F1335," ",""),FIND(",",SUBSTITUTE(F1335," ",""))+1,99),"🚕 Uber"),"")</f>
        <v/>
      </c>
      <c r="J1335" s="8">
        <f>IF(F1335&lt;&gt;"","https://api.qrserver.com/v1/create-qr-code/?size=200x200&amp;data="&amp;ENCODEURL("https://www.google.com/maps/search/?api=1&amp;query="&amp;SUBSTITUTE(F1335," ","")),"")</f>
        <v/>
      </c>
      <c r="K1335" s="8">
        <f>IF(C1335&lt;&gt;"",HYPERLINK("https://wa.me/507"&amp;REGEXREPLACE(C1335,"[^0-9]","")&amp;"?text="&amp;ENCODEURL("Ya llegue. Codigo: "&amp;A1335&amp;". Ubicacion: "&amp;"https://www.google.com/maps/search/?api=1&amp;query="&amp;SUBSTITUTE(F1335," ","")),"📲 Avisar al cliente"),"")</f>
        <v/>
      </c>
      <c r="L1335" s="8">
        <f>IF(C1335&lt;&gt;"","https://api.qrserver.com/v1/create-qr-code/?size=200x200&amp;data="&amp;ENCODEURL("https://wa.me/507"&amp;REGEXREPLACE(C1335,"[^0-9]","")&amp;"?text="&amp;ENCODEURL("Ya llegue. Codigo: "&amp;A1335&amp;". Ubicacion: "&amp;"https://www.google.com/maps/search/?api=1&amp;query="&amp;SUBSTITUTE(F1335," ",""))),"")</f>
        <v/>
      </c>
      <c r="M1335" s="8">
        <f>IF(B1335&lt;&gt;"",TODAY(),"")</f>
        <v/>
      </c>
      <c r="N1335" s="8">
        <f>IF(F1335&lt;&gt;"",IFERROR(IF(AND(REGEXMATCH(SUBSTITUTE(TRIM(F1335)," ",""),"^-?\d+(\.\d+)?,-?\d+(\.\d+)?$"),VALUE(REGEXEXTRACT(SUBSTITUTE(TRIM(F1335)," ",""),"^-?\d+(\.\d+)?"))&gt;=-90,VALUE(REGEXEXTRACT(SUBSTITUTE(TRIM(F1335)," ",""),"^-?\d+(\.\d+)?"))&lt;=90,VALUE(REGEXEXTRACT(SUBSTITUTE(TRIM(F1335)," ",""),"-?\d+(\.\d+)?$"))&gt;=-180,VALUE(REGEXEXTRACT(SUBSTITUTE(TRIM(F1335)," ",""),"-?\d+(\.\d+)?$"))&lt;=180),"OK","REVISAR"),"REVISAR"),"")</f>
        <v/>
      </c>
      <c r="O1335">
        <f>IF(A1335&lt;&gt;"","https://direcciones507.github.io/direcciones507/panel.html?codigo="&amp;A1335&amp;"&amp;nombre="&amp;ENCODEURL(B1335)&amp;"&amp;telefono="&amp;SUBSTITUTE(C1335,"-","")&amp;"&amp;referencia="&amp;ENCODEURL(E1335)&amp;"&amp;lat="&amp;IZQUIERDA(SUBSTITUTE(F1335," ",""),ENCONTRAR(",",SUBSTITUTE(F1335," ",""))-1)&amp;"&amp;lng="&amp;DERECHA(SUBSTITUTE(F1335," ",""),LARGO(SUBSTITUTE(F1335," ",""))-ENCONTRAR(",",SUBSTITUTE(F1335," ",""))),"")</f>
        <v/>
      </c>
    </row>
    <row r="1336" ht="15.75" customHeight="1" s="10">
      <c r="A1336" s="8">
        <f>CONCAT("AD507-",TEXT(ROW()-2,"0000"))</f>
        <v/>
      </c>
      <c r="C1336" s="8" t="n"/>
      <c r="F1336" s="8" t="n"/>
      <c r="G1336" s="8">
        <f>IF(F1336&lt;&gt;"",HYPERLINK("https://www.google.com/maps/search/?api=1&amp;query="&amp;SUBSTITUTE(F1336," ",""),"🗺 Google Maps"),"")</f>
        <v/>
      </c>
      <c r="H1336" s="8">
        <f>IF(F1336&lt;&gt;"",HYPERLINK("https://waze.com/ul?ll="&amp;SUBSTITUTE(F1336," ","")&amp;"&amp;navigate=yes","🚗 Waze"),"")</f>
        <v/>
      </c>
      <c r="I1336" s="8">
        <f>IF(F1336&lt;&gt;"",HYPERLINK("https://m.uber.com/ul/?action=setPickup&amp;pickup=my_location&amp;dropoff[latitude]="&amp;LEFT(SUBSTITUTE(F1336," ",""),FIND(",",SUBSTITUTE(F1336," ",""))-1)&amp;"&amp;dropoff[longitude]="&amp;MID(SUBSTITUTE(F1336," ",""),FIND(",",SUBSTITUTE(F1336," ",""))+1,99),"🚕 Uber"),"")</f>
        <v/>
      </c>
      <c r="J1336" s="8">
        <f>IF(F1336&lt;&gt;"","https://api.qrserver.com/v1/create-qr-code/?size=200x200&amp;data="&amp;ENCODEURL("https://www.google.com/maps/search/?api=1&amp;query="&amp;SUBSTITUTE(F1336," ","")),"")</f>
        <v/>
      </c>
      <c r="K1336" s="8">
        <f>IF(C1336&lt;&gt;"",HYPERLINK("https://wa.me/507"&amp;REGEXREPLACE(C1336,"[^0-9]","")&amp;"?text="&amp;ENCODEURL("Ya llegue. Codigo: "&amp;A1336&amp;". Ubicacion: "&amp;"https://www.google.com/maps/search/?api=1&amp;query="&amp;SUBSTITUTE(F1336," ","")),"📲 Avisar al cliente"),"")</f>
        <v/>
      </c>
      <c r="L1336" s="8">
        <f>IF(C1336&lt;&gt;"","https://api.qrserver.com/v1/create-qr-code/?size=200x200&amp;data="&amp;ENCODEURL("https://wa.me/507"&amp;REGEXREPLACE(C1336,"[^0-9]","")&amp;"?text="&amp;ENCODEURL("Ya llegue. Codigo: "&amp;A1336&amp;". Ubicacion: "&amp;"https://www.google.com/maps/search/?api=1&amp;query="&amp;SUBSTITUTE(F1336," ",""))),"")</f>
        <v/>
      </c>
      <c r="M1336" s="8">
        <f>IF(B1336&lt;&gt;"",TODAY(),"")</f>
        <v/>
      </c>
      <c r="N1336" s="8">
        <f>IF(F1336&lt;&gt;"",IFERROR(IF(AND(REGEXMATCH(SUBSTITUTE(TRIM(F1336)," ",""),"^-?\d+(\.\d+)?,-?\d+(\.\d+)?$"),VALUE(REGEXEXTRACT(SUBSTITUTE(TRIM(F1336)," ",""),"^-?\d+(\.\d+)?"))&gt;=-90,VALUE(REGEXEXTRACT(SUBSTITUTE(TRIM(F1336)," ",""),"^-?\d+(\.\d+)?"))&lt;=90,VALUE(REGEXEXTRACT(SUBSTITUTE(TRIM(F1336)," ",""),"-?\d+(\.\d+)?$"))&gt;=-180,VALUE(REGEXEXTRACT(SUBSTITUTE(TRIM(F1336)," ",""),"-?\d+(\.\d+)?$"))&lt;=180),"OK","REVISAR"),"REVISAR"),"")</f>
        <v/>
      </c>
      <c r="O1336">
        <f>IF(A1336&lt;&gt;"","https://direcciones507.github.io/direcciones507/panel.html?codigo="&amp;A1336&amp;"&amp;nombre="&amp;ENCODEURL(B1336)&amp;"&amp;telefono="&amp;SUBSTITUTE(C1336,"-","")&amp;"&amp;referencia="&amp;ENCODEURL(E1336)&amp;"&amp;lat="&amp;IZQUIERDA(SUBSTITUTE(F1336," ",""),ENCONTRAR(",",SUBSTITUTE(F1336," ",""))-1)&amp;"&amp;lng="&amp;DERECHA(SUBSTITUTE(F1336," ",""),LARGO(SUBSTITUTE(F1336," ",""))-ENCONTRAR(",",SUBSTITUTE(F1336," ",""))),"")</f>
        <v/>
      </c>
    </row>
    <row r="1337" ht="15.75" customHeight="1" s="10">
      <c r="A1337" s="8">
        <f>CONCAT("AD507-",TEXT(ROW()-2,"0000"))</f>
        <v/>
      </c>
      <c r="C1337" s="8" t="n"/>
      <c r="F1337" s="8" t="n"/>
      <c r="G1337" s="8">
        <f>IF(F1337&lt;&gt;"",HYPERLINK("https://www.google.com/maps/search/?api=1&amp;query="&amp;SUBSTITUTE(F1337," ",""),"🗺 Google Maps"),"")</f>
        <v/>
      </c>
      <c r="H1337" s="8">
        <f>IF(F1337&lt;&gt;"",HYPERLINK("https://waze.com/ul?ll="&amp;SUBSTITUTE(F1337," ","")&amp;"&amp;navigate=yes","🚗 Waze"),"")</f>
        <v/>
      </c>
      <c r="I1337" s="8">
        <f>IF(F1337&lt;&gt;"",HYPERLINK("https://m.uber.com/ul/?action=setPickup&amp;pickup=my_location&amp;dropoff[latitude]="&amp;LEFT(SUBSTITUTE(F1337," ",""),FIND(",",SUBSTITUTE(F1337," ",""))-1)&amp;"&amp;dropoff[longitude]="&amp;MID(SUBSTITUTE(F1337," ",""),FIND(",",SUBSTITUTE(F1337," ",""))+1,99),"🚕 Uber"),"")</f>
        <v/>
      </c>
      <c r="J1337" s="8">
        <f>IF(F1337&lt;&gt;"","https://api.qrserver.com/v1/create-qr-code/?size=200x200&amp;data="&amp;ENCODEURL("https://www.google.com/maps/search/?api=1&amp;query="&amp;SUBSTITUTE(F1337," ","")),"")</f>
        <v/>
      </c>
      <c r="K1337" s="8">
        <f>IF(C1337&lt;&gt;"",HYPERLINK("https://wa.me/507"&amp;REGEXREPLACE(C1337,"[^0-9]","")&amp;"?text="&amp;ENCODEURL("Ya llegue. Codigo: "&amp;A1337&amp;". Ubicacion: "&amp;"https://www.google.com/maps/search/?api=1&amp;query="&amp;SUBSTITUTE(F1337," ","")),"📲 Avisar al cliente"),"")</f>
        <v/>
      </c>
      <c r="L1337" s="8">
        <f>IF(C1337&lt;&gt;"","https://api.qrserver.com/v1/create-qr-code/?size=200x200&amp;data="&amp;ENCODEURL("https://wa.me/507"&amp;REGEXREPLACE(C1337,"[^0-9]","")&amp;"?text="&amp;ENCODEURL("Ya llegue. Codigo: "&amp;A1337&amp;". Ubicacion: "&amp;"https://www.google.com/maps/search/?api=1&amp;query="&amp;SUBSTITUTE(F1337," ",""))),"")</f>
        <v/>
      </c>
      <c r="M1337" s="8">
        <f>IF(B1337&lt;&gt;"",TODAY(),"")</f>
        <v/>
      </c>
      <c r="N1337" s="8">
        <f>IF(F1337&lt;&gt;"",IFERROR(IF(AND(REGEXMATCH(SUBSTITUTE(TRIM(F1337)," ",""),"^-?\d+(\.\d+)?,-?\d+(\.\d+)?$"),VALUE(REGEXEXTRACT(SUBSTITUTE(TRIM(F1337)," ",""),"^-?\d+(\.\d+)?"))&gt;=-90,VALUE(REGEXEXTRACT(SUBSTITUTE(TRIM(F1337)," ",""),"^-?\d+(\.\d+)?"))&lt;=90,VALUE(REGEXEXTRACT(SUBSTITUTE(TRIM(F1337)," ",""),"-?\d+(\.\d+)?$"))&gt;=-180,VALUE(REGEXEXTRACT(SUBSTITUTE(TRIM(F1337)," ",""),"-?\d+(\.\d+)?$"))&lt;=180),"OK","REVISAR"),"REVISAR"),"")</f>
        <v/>
      </c>
      <c r="O1337">
        <f>IF(A1337&lt;&gt;"","https://direcciones507.github.io/direcciones507/panel.html?codigo="&amp;A1337&amp;"&amp;nombre="&amp;ENCODEURL(B1337)&amp;"&amp;telefono="&amp;SUBSTITUTE(C1337,"-","")&amp;"&amp;referencia="&amp;ENCODEURL(E1337)&amp;"&amp;lat="&amp;IZQUIERDA(SUBSTITUTE(F1337," ",""),ENCONTRAR(",",SUBSTITUTE(F1337," ",""))-1)&amp;"&amp;lng="&amp;DERECHA(SUBSTITUTE(F1337," ",""),LARGO(SUBSTITUTE(F1337," ",""))-ENCONTRAR(",",SUBSTITUTE(F1337," ",""))),"")</f>
        <v/>
      </c>
    </row>
    <row r="1338" ht="15.75" customHeight="1" s="10">
      <c r="A1338" s="8">
        <f>CONCAT("AD507-",TEXT(ROW()-2,"0000"))</f>
        <v/>
      </c>
      <c r="C1338" s="8" t="n"/>
      <c r="F1338" s="8" t="n"/>
      <c r="G1338" s="8">
        <f>IF(F1338&lt;&gt;"",HYPERLINK("https://www.google.com/maps/search/?api=1&amp;query="&amp;SUBSTITUTE(F1338," ",""),"🗺 Google Maps"),"")</f>
        <v/>
      </c>
      <c r="H1338" s="8">
        <f>IF(F1338&lt;&gt;"",HYPERLINK("https://waze.com/ul?ll="&amp;SUBSTITUTE(F1338," ","")&amp;"&amp;navigate=yes","🚗 Waze"),"")</f>
        <v/>
      </c>
      <c r="I1338" s="8">
        <f>IF(F1338&lt;&gt;"",HYPERLINK("https://m.uber.com/ul/?action=setPickup&amp;pickup=my_location&amp;dropoff[latitude]="&amp;LEFT(SUBSTITUTE(F1338," ",""),FIND(",",SUBSTITUTE(F1338," ",""))-1)&amp;"&amp;dropoff[longitude]="&amp;MID(SUBSTITUTE(F1338," ",""),FIND(",",SUBSTITUTE(F1338," ",""))+1,99),"🚕 Uber"),"")</f>
        <v/>
      </c>
      <c r="J1338" s="8">
        <f>IF(F1338&lt;&gt;"","https://api.qrserver.com/v1/create-qr-code/?size=200x200&amp;data="&amp;ENCODEURL("https://www.google.com/maps/search/?api=1&amp;query="&amp;SUBSTITUTE(F1338," ","")),"")</f>
        <v/>
      </c>
      <c r="K1338" s="8">
        <f>IF(C1338&lt;&gt;"",HYPERLINK("https://wa.me/507"&amp;REGEXREPLACE(C1338,"[^0-9]","")&amp;"?text="&amp;ENCODEURL("Ya llegue. Codigo: "&amp;A1338&amp;". Ubicacion: "&amp;"https://www.google.com/maps/search/?api=1&amp;query="&amp;SUBSTITUTE(F1338," ","")),"📲 Avisar al cliente"),"")</f>
        <v/>
      </c>
      <c r="L1338" s="8">
        <f>IF(C1338&lt;&gt;"","https://api.qrserver.com/v1/create-qr-code/?size=200x200&amp;data="&amp;ENCODEURL("https://wa.me/507"&amp;REGEXREPLACE(C1338,"[^0-9]","")&amp;"?text="&amp;ENCODEURL("Ya llegue. Codigo: "&amp;A1338&amp;". Ubicacion: "&amp;"https://www.google.com/maps/search/?api=1&amp;query="&amp;SUBSTITUTE(F1338," ",""))),"")</f>
        <v/>
      </c>
      <c r="M1338" s="8">
        <f>IF(B1338&lt;&gt;"",TODAY(),"")</f>
        <v/>
      </c>
      <c r="N1338" s="8">
        <f>IF(F1338&lt;&gt;"",IFERROR(IF(AND(REGEXMATCH(SUBSTITUTE(TRIM(F1338)," ",""),"^-?\d+(\.\d+)?,-?\d+(\.\d+)?$"),VALUE(REGEXEXTRACT(SUBSTITUTE(TRIM(F1338)," ",""),"^-?\d+(\.\d+)?"))&gt;=-90,VALUE(REGEXEXTRACT(SUBSTITUTE(TRIM(F1338)," ",""),"^-?\d+(\.\d+)?"))&lt;=90,VALUE(REGEXEXTRACT(SUBSTITUTE(TRIM(F1338)," ",""),"-?\d+(\.\d+)?$"))&gt;=-180,VALUE(REGEXEXTRACT(SUBSTITUTE(TRIM(F1338)," ",""),"-?\d+(\.\d+)?$"))&lt;=180),"OK","REVISAR"),"REVISAR"),"")</f>
        <v/>
      </c>
      <c r="O1338">
        <f>IF(A1338&lt;&gt;"","https://direcciones507.github.io/direcciones507/panel.html?codigo="&amp;A1338&amp;"&amp;nombre="&amp;ENCODEURL(B1338)&amp;"&amp;telefono="&amp;SUBSTITUTE(C1338,"-","")&amp;"&amp;referencia="&amp;ENCODEURL(E1338)&amp;"&amp;lat="&amp;IZQUIERDA(SUBSTITUTE(F1338," ",""),ENCONTRAR(",",SUBSTITUTE(F1338," ",""))-1)&amp;"&amp;lng="&amp;DERECHA(SUBSTITUTE(F1338," ",""),LARGO(SUBSTITUTE(F1338," ",""))-ENCONTRAR(",",SUBSTITUTE(F1338," ",""))),"")</f>
        <v/>
      </c>
    </row>
    <row r="1339" ht="15.75" customHeight="1" s="10">
      <c r="A1339" s="8">
        <f>CONCAT("AD507-",TEXT(ROW()-2,"0000"))</f>
        <v/>
      </c>
      <c r="C1339" s="8" t="n"/>
      <c r="F1339" s="8" t="n"/>
      <c r="G1339" s="8">
        <f>IF(F1339&lt;&gt;"",HYPERLINK("https://www.google.com/maps/search/?api=1&amp;query="&amp;SUBSTITUTE(F1339," ",""),"🗺 Google Maps"),"")</f>
        <v/>
      </c>
      <c r="H1339" s="8">
        <f>IF(F1339&lt;&gt;"",HYPERLINK("https://waze.com/ul?ll="&amp;SUBSTITUTE(F1339," ","")&amp;"&amp;navigate=yes","🚗 Waze"),"")</f>
        <v/>
      </c>
      <c r="I1339" s="8">
        <f>IF(F1339&lt;&gt;"",HYPERLINK("https://m.uber.com/ul/?action=setPickup&amp;pickup=my_location&amp;dropoff[latitude]="&amp;LEFT(SUBSTITUTE(F1339," ",""),FIND(",",SUBSTITUTE(F1339," ",""))-1)&amp;"&amp;dropoff[longitude]="&amp;MID(SUBSTITUTE(F1339," ",""),FIND(",",SUBSTITUTE(F1339," ",""))+1,99),"🚕 Uber"),"")</f>
        <v/>
      </c>
      <c r="J1339" s="8">
        <f>IF(F1339&lt;&gt;"","https://api.qrserver.com/v1/create-qr-code/?size=200x200&amp;data="&amp;ENCODEURL("https://www.google.com/maps/search/?api=1&amp;query="&amp;SUBSTITUTE(F1339," ","")),"")</f>
        <v/>
      </c>
      <c r="K1339" s="8">
        <f>IF(C1339&lt;&gt;"",HYPERLINK("https://wa.me/507"&amp;REGEXREPLACE(C1339,"[^0-9]","")&amp;"?text="&amp;ENCODEURL("Ya llegue. Codigo: "&amp;A1339&amp;". Ubicacion: "&amp;"https://www.google.com/maps/search/?api=1&amp;query="&amp;SUBSTITUTE(F1339," ","")),"📲 Avisar al cliente"),"")</f>
        <v/>
      </c>
      <c r="L1339" s="8">
        <f>IF(C1339&lt;&gt;"","https://api.qrserver.com/v1/create-qr-code/?size=200x200&amp;data="&amp;ENCODEURL("https://wa.me/507"&amp;REGEXREPLACE(C1339,"[^0-9]","")&amp;"?text="&amp;ENCODEURL("Ya llegue. Codigo: "&amp;A1339&amp;". Ubicacion: "&amp;"https://www.google.com/maps/search/?api=1&amp;query="&amp;SUBSTITUTE(F1339," ",""))),"")</f>
        <v/>
      </c>
      <c r="M1339" s="8">
        <f>IF(B1339&lt;&gt;"",TODAY(),"")</f>
        <v/>
      </c>
      <c r="N1339" s="8">
        <f>IF(F1339&lt;&gt;"",IFERROR(IF(AND(REGEXMATCH(SUBSTITUTE(TRIM(F1339)," ",""),"^-?\d+(\.\d+)?,-?\d+(\.\d+)?$"),VALUE(REGEXEXTRACT(SUBSTITUTE(TRIM(F1339)," ",""),"^-?\d+(\.\d+)?"))&gt;=-90,VALUE(REGEXEXTRACT(SUBSTITUTE(TRIM(F1339)," ",""),"^-?\d+(\.\d+)?"))&lt;=90,VALUE(REGEXEXTRACT(SUBSTITUTE(TRIM(F1339)," ",""),"-?\d+(\.\d+)?$"))&gt;=-180,VALUE(REGEXEXTRACT(SUBSTITUTE(TRIM(F1339)," ",""),"-?\d+(\.\d+)?$"))&lt;=180),"OK","REVISAR"),"REVISAR"),"")</f>
        <v/>
      </c>
      <c r="O1339">
        <f>IF(A1339&lt;&gt;"","https://direcciones507.github.io/direcciones507/panel.html?codigo="&amp;A1339&amp;"&amp;nombre="&amp;ENCODEURL(B1339)&amp;"&amp;telefono="&amp;SUBSTITUTE(C1339,"-","")&amp;"&amp;referencia="&amp;ENCODEURL(E1339)&amp;"&amp;lat="&amp;IZQUIERDA(SUBSTITUTE(F1339," ",""),ENCONTRAR(",",SUBSTITUTE(F1339," ",""))-1)&amp;"&amp;lng="&amp;DERECHA(SUBSTITUTE(F1339," ",""),LARGO(SUBSTITUTE(F1339," ",""))-ENCONTRAR(",",SUBSTITUTE(F1339," ",""))),"")</f>
        <v/>
      </c>
    </row>
    <row r="1340" ht="15.75" customHeight="1" s="10">
      <c r="A1340" s="8">
        <f>CONCAT("AD507-",TEXT(ROW()-2,"0000"))</f>
        <v/>
      </c>
      <c r="C1340" s="8" t="n"/>
      <c r="F1340" s="8" t="n"/>
      <c r="G1340" s="8">
        <f>IF(F1340&lt;&gt;"",HYPERLINK("https://www.google.com/maps/search/?api=1&amp;query="&amp;SUBSTITUTE(F1340," ",""),"🗺 Google Maps"),"")</f>
        <v/>
      </c>
      <c r="H1340" s="8">
        <f>IF(F1340&lt;&gt;"",HYPERLINK("https://waze.com/ul?ll="&amp;SUBSTITUTE(F1340," ","")&amp;"&amp;navigate=yes","🚗 Waze"),"")</f>
        <v/>
      </c>
      <c r="I1340" s="8">
        <f>IF(F1340&lt;&gt;"",HYPERLINK("https://m.uber.com/ul/?action=setPickup&amp;pickup=my_location&amp;dropoff[latitude]="&amp;LEFT(SUBSTITUTE(F1340," ",""),FIND(",",SUBSTITUTE(F1340," ",""))-1)&amp;"&amp;dropoff[longitude]="&amp;MID(SUBSTITUTE(F1340," ",""),FIND(",",SUBSTITUTE(F1340," ",""))+1,99),"🚕 Uber"),"")</f>
        <v/>
      </c>
      <c r="J1340" s="8">
        <f>IF(F1340&lt;&gt;"","https://api.qrserver.com/v1/create-qr-code/?size=200x200&amp;data="&amp;ENCODEURL("https://www.google.com/maps/search/?api=1&amp;query="&amp;SUBSTITUTE(F1340," ","")),"")</f>
        <v/>
      </c>
      <c r="K1340" s="8">
        <f>IF(C1340&lt;&gt;"",HYPERLINK("https://wa.me/507"&amp;REGEXREPLACE(C1340,"[^0-9]","")&amp;"?text="&amp;ENCODEURL("Ya llegue. Codigo: "&amp;A1340&amp;". Ubicacion: "&amp;"https://www.google.com/maps/search/?api=1&amp;query="&amp;SUBSTITUTE(F1340," ","")),"📲 Avisar al cliente"),"")</f>
        <v/>
      </c>
      <c r="L1340" s="8">
        <f>IF(C1340&lt;&gt;"","https://api.qrserver.com/v1/create-qr-code/?size=200x200&amp;data="&amp;ENCODEURL("https://wa.me/507"&amp;REGEXREPLACE(C1340,"[^0-9]","")&amp;"?text="&amp;ENCODEURL("Ya llegue. Codigo: "&amp;A1340&amp;". Ubicacion: "&amp;"https://www.google.com/maps/search/?api=1&amp;query="&amp;SUBSTITUTE(F1340," ",""))),"")</f>
        <v/>
      </c>
      <c r="M1340" s="8">
        <f>IF(B1340&lt;&gt;"",TODAY(),"")</f>
        <v/>
      </c>
      <c r="N1340" s="8">
        <f>IF(F1340&lt;&gt;"",IFERROR(IF(AND(REGEXMATCH(SUBSTITUTE(TRIM(F1340)," ",""),"^-?\d+(\.\d+)?,-?\d+(\.\d+)?$"),VALUE(REGEXEXTRACT(SUBSTITUTE(TRIM(F1340)," ",""),"^-?\d+(\.\d+)?"))&gt;=-90,VALUE(REGEXEXTRACT(SUBSTITUTE(TRIM(F1340)," ",""),"^-?\d+(\.\d+)?"))&lt;=90,VALUE(REGEXEXTRACT(SUBSTITUTE(TRIM(F1340)," ",""),"-?\d+(\.\d+)?$"))&gt;=-180,VALUE(REGEXEXTRACT(SUBSTITUTE(TRIM(F1340)," ",""),"-?\d+(\.\d+)?$"))&lt;=180),"OK","REVISAR"),"REVISAR"),"")</f>
        <v/>
      </c>
      <c r="O1340">
        <f>IF(A1340&lt;&gt;"","https://direcciones507.github.io/direcciones507/panel.html?codigo="&amp;A1340&amp;"&amp;nombre="&amp;ENCODEURL(B1340)&amp;"&amp;telefono="&amp;SUBSTITUTE(C1340,"-","")&amp;"&amp;referencia="&amp;ENCODEURL(E1340)&amp;"&amp;lat="&amp;IZQUIERDA(SUBSTITUTE(F1340," ",""),ENCONTRAR(",",SUBSTITUTE(F1340," ",""))-1)&amp;"&amp;lng="&amp;DERECHA(SUBSTITUTE(F1340," ",""),LARGO(SUBSTITUTE(F1340," ",""))-ENCONTRAR(",",SUBSTITUTE(F1340," ",""))),"")</f>
        <v/>
      </c>
    </row>
    <row r="1341" ht="15.75" customHeight="1" s="10">
      <c r="A1341" s="8">
        <f>CONCAT("AD507-",TEXT(ROW()-2,"0000"))</f>
        <v/>
      </c>
      <c r="C1341" s="8" t="n"/>
      <c r="F1341" s="8" t="n"/>
      <c r="G1341" s="8">
        <f>IF(F1341&lt;&gt;"",HYPERLINK("https://www.google.com/maps/search/?api=1&amp;query="&amp;SUBSTITUTE(F1341," ",""),"🗺 Google Maps"),"")</f>
        <v/>
      </c>
      <c r="H1341" s="8">
        <f>IF(F1341&lt;&gt;"",HYPERLINK("https://waze.com/ul?ll="&amp;SUBSTITUTE(F1341," ","")&amp;"&amp;navigate=yes","🚗 Waze"),"")</f>
        <v/>
      </c>
      <c r="I1341" s="8">
        <f>IF(F1341&lt;&gt;"",HYPERLINK("https://m.uber.com/ul/?action=setPickup&amp;pickup=my_location&amp;dropoff[latitude]="&amp;LEFT(SUBSTITUTE(F1341," ",""),FIND(",",SUBSTITUTE(F1341," ",""))-1)&amp;"&amp;dropoff[longitude]="&amp;MID(SUBSTITUTE(F1341," ",""),FIND(",",SUBSTITUTE(F1341," ",""))+1,99),"🚕 Uber"),"")</f>
        <v/>
      </c>
      <c r="J1341" s="8">
        <f>IF(F1341&lt;&gt;"","https://api.qrserver.com/v1/create-qr-code/?size=200x200&amp;data="&amp;ENCODEURL("https://www.google.com/maps/search/?api=1&amp;query="&amp;SUBSTITUTE(F1341," ","")),"")</f>
        <v/>
      </c>
      <c r="K1341" s="8">
        <f>IF(C1341&lt;&gt;"",HYPERLINK("https://wa.me/507"&amp;REGEXREPLACE(C1341,"[^0-9]","")&amp;"?text="&amp;ENCODEURL("Ya llegue. Codigo: "&amp;A1341&amp;". Ubicacion: "&amp;"https://www.google.com/maps/search/?api=1&amp;query="&amp;SUBSTITUTE(F1341," ","")),"📲 Avisar al cliente"),"")</f>
        <v/>
      </c>
      <c r="L1341" s="8">
        <f>IF(C1341&lt;&gt;"","https://api.qrserver.com/v1/create-qr-code/?size=200x200&amp;data="&amp;ENCODEURL("https://wa.me/507"&amp;REGEXREPLACE(C1341,"[^0-9]","")&amp;"?text="&amp;ENCODEURL("Ya llegue. Codigo: "&amp;A1341&amp;". Ubicacion: "&amp;"https://www.google.com/maps/search/?api=1&amp;query="&amp;SUBSTITUTE(F1341," ",""))),"")</f>
        <v/>
      </c>
      <c r="M1341" s="8">
        <f>IF(B1341&lt;&gt;"",TODAY(),"")</f>
        <v/>
      </c>
      <c r="N1341" s="8">
        <f>IF(F1341&lt;&gt;"",IFERROR(IF(AND(REGEXMATCH(SUBSTITUTE(TRIM(F1341)," ",""),"^-?\d+(\.\d+)?,-?\d+(\.\d+)?$"),VALUE(REGEXEXTRACT(SUBSTITUTE(TRIM(F1341)," ",""),"^-?\d+(\.\d+)?"))&gt;=-90,VALUE(REGEXEXTRACT(SUBSTITUTE(TRIM(F1341)," ",""),"^-?\d+(\.\d+)?"))&lt;=90,VALUE(REGEXEXTRACT(SUBSTITUTE(TRIM(F1341)," ",""),"-?\d+(\.\d+)?$"))&gt;=-180,VALUE(REGEXEXTRACT(SUBSTITUTE(TRIM(F1341)," ",""),"-?\d+(\.\d+)?$"))&lt;=180),"OK","REVISAR"),"REVISAR"),"")</f>
        <v/>
      </c>
      <c r="O1341">
        <f>IF(A1341&lt;&gt;"","https://direcciones507.github.io/direcciones507/panel.html?codigo="&amp;A1341&amp;"&amp;nombre="&amp;ENCODEURL(B1341)&amp;"&amp;telefono="&amp;SUBSTITUTE(C1341,"-","")&amp;"&amp;referencia="&amp;ENCODEURL(E1341)&amp;"&amp;lat="&amp;IZQUIERDA(SUBSTITUTE(F1341," ",""),ENCONTRAR(",",SUBSTITUTE(F1341," ",""))-1)&amp;"&amp;lng="&amp;DERECHA(SUBSTITUTE(F1341," ",""),LARGO(SUBSTITUTE(F1341," ",""))-ENCONTRAR(",",SUBSTITUTE(F1341," ",""))),"")</f>
        <v/>
      </c>
    </row>
    <row r="1342" ht="15.75" customHeight="1" s="10">
      <c r="A1342" s="8">
        <f>CONCAT("AD507-",TEXT(ROW()-2,"0000"))</f>
        <v/>
      </c>
      <c r="C1342" s="8" t="n"/>
      <c r="F1342" s="8" t="n"/>
      <c r="G1342" s="8">
        <f>IF(F1342&lt;&gt;"",HYPERLINK("https://www.google.com/maps/search/?api=1&amp;query="&amp;SUBSTITUTE(F1342," ",""),"🗺 Google Maps"),"")</f>
        <v/>
      </c>
      <c r="H1342" s="8">
        <f>IF(F1342&lt;&gt;"",HYPERLINK("https://waze.com/ul?ll="&amp;SUBSTITUTE(F1342," ","")&amp;"&amp;navigate=yes","🚗 Waze"),"")</f>
        <v/>
      </c>
      <c r="I1342" s="8">
        <f>IF(F1342&lt;&gt;"",HYPERLINK("https://m.uber.com/ul/?action=setPickup&amp;pickup=my_location&amp;dropoff[latitude]="&amp;LEFT(SUBSTITUTE(F1342," ",""),FIND(",",SUBSTITUTE(F1342," ",""))-1)&amp;"&amp;dropoff[longitude]="&amp;MID(SUBSTITUTE(F1342," ",""),FIND(",",SUBSTITUTE(F1342," ",""))+1,99),"🚕 Uber"),"")</f>
        <v/>
      </c>
      <c r="J1342" s="8">
        <f>IF(F1342&lt;&gt;"","https://api.qrserver.com/v1/create-qr-code/?size=200x200&amp;data="&amp;ENCODEURL("https://www.google.com/maps/search/?api=1&amp;query="&amp;SUBSTITUTE(F1342," ","")),"")</f>
        <v/>
      </c>
      <c r="K1342" s="8">
        <f>IF(C1342&lt;&gt;"",HYPERLINK("https://wa.me/507"&amp;REGEXREPLACE(C1342,"[^0-9]","")&amp;"?text="&amp;ENCODEURL("Ya llegue. Codigo: "&amp;A1342&amp;". Ubicacion: "&amp;"https://www.google.com/maps/search/?api=1&amp;query="&amp;SUBSTITUTE(F1342," ","")),"📲 Avisar al cliente"),"")</f>
        <v/>
      </c>
      <c r="L1342" s="8">
        <f>IF(C1342&lt;&gt;"","https://api.qrserver.com/v1/create-qr-code/?size=200x200&amp;data="&amp;ENCODEURL("https://wa.me/507"&amp;REGEXREPLACE(C1342,"[^0-9]","")&amp;"?text="&amp;ENCODEURL("Ya llegue. Codigo: "&amp;A1342&amp;". Ubicacion: "&amp;"https://www.google.com/maps/search/?api=1&amp;query="&amp;SUBSTITUTE(F1342," ",""))),"")</f>
        <v/>
      </c>
      <c r="M1342" s="8">
        <f>IF(B1342&lt;&gt;"",TODAY(),"")</f>
        <v/>
      </c>
      <c r="N1342" s="8">
        <f>IF(F1342&lt;&gt;"",IFERROR(IF(AND(REGEXMATCH(SUBSTITUTE(TRIM(F1342)," ",""),"^-?\d+(\.\d+)?,-?\d+(\.\d+)?$"),VALUE(REGEXEXTRACT(SUBSTITUTE(TRIM(F1342)," ",""),"^-?\d+(\.\d+)?"))&gt;=-90,VALUE(REGEXEXTRACT(SUBSTITUTE(TRIM(F1342)," ",""),"^-?\d+(\.\d+)?"))&lt;=90,VALUE(REGEXEXTRACT(SUBSTITUTE(TRIM(F1342)," ",""),"-?\d+(\.\d+)?$"))&gt;=-180,VALUE(REGEXEXTRACT(SUBSTITUTE(TRIM(F1342)," ",""),"-?\d+(\.\d+)?$"))&lt;=180),"OK","REVISAR"),"REVISAR"),"")</f>
        <v/>
      </c>
      <c r="O1342">
        <f>IF(A1342&lt;&gt;"","https://direcciones507.github.io/direcciones507/panel.html?codigo="&amp;A1342&amp;"&amp;nombre="&amp;ENCODEURL(B1342)&amp;"&amp;telefono="&amp;SUBSTITUTE(C1342,"-","")&amp;"&amp;referencia="&amp;ENCODEURL(E1342)&amp;"&amp;lat="&amp;IZQUIERDA(SUBSTITUTE(F1342," ",""),ENCONTRAR(",",SUBSTITUTE(F1342," ",""))-1)&amp;"&amp;lng="&amp;DERECHA(SUBSTITUTE(F1342," ",""),LARGO(SUBSTITUTE(F1342," ",""))-ENCONTRAR(",",SUBSTITUTE(F1342," ",""))),"")</f>
        <v/>
      </c>
    </row>
    <row r="1343" ht="15.75" customHeight="1" s="10">
      <c r="A1343" s="8">
        <f>CONCAT("AD507-",TEXT(ROW()-2,"0000"))</f>
        <v/>
      </c>
      <c r="C1343" s="8" t="n"/>
      <c r="F1343" s="8" t="n"/>
      <c r="G1343" s="8">
        <f>IF(F1343&lt;&gt;"",HYPERLINK("https://www.google.com/maps/search/?api=1&amp;query="&amp;SUBSTITUTE(F1343," ",""),"🗺 Google Maps"),"")</f>
        <v/>
      </c>
      <c r="H1343" s="8">
        <f>IF(F1343&lt;&gt;"",HYPERLINK("https://waze.com/ul?ll="&amp;SUBSTITUTE(F1343," ","")&amp;"&amp;navigate=yes","🚗 Waze"),"")</f>
        <v/>
      </c>
      <c r="I1343" s="8">
        <f>IF(F1343&lt;&gt;"",HYPERLINK("https://m.uber.com/ul/?action=setPickup&amp;pickup=my_location&amp;dropoff[latitude]="&amp;LEFT(SUBSTITUTE(F1343," ",""),FIND(",",SUBSTITUTE(F1343," ",""))-1)&amp;"&amp;dropoff[longitude]="&amp;MID(SUBSTITUTE(F1343," ",""),FIND(",",SUBSTITUTE(F1343," ",""))+1,99),"🚕 Uber"),"")</f>
        <v/>
      </c>
      <c r="J1343" s="8">
        <f>IF(F1343&lt;&gt;"","https://api.qrserver.com/v1/create-qr-code/?size=200x200&amp;data="&amp;ENCODEURL("https://www.google.com/maps/search/?api=1&amp;query="&amp;SUBSTITUTE(F1343," ","")),"")</f>
        <v/>
      </c>
      <c r="K1343" s="8">
        <f>IF(C1343&lt;&gt;"",HYPERLINK("https://wa.me/507"&amp;REGEXREPLACE(C1343,"[^0-9]","")&amp;"?text="&amp;ENCODEURL("Ya llegue. Codigo: "&amp;A1343&amp;". Ubicacion: "&amp;"https://www.google.com/maps/search/?api=1&amp;query="&amp;SUBSTITUTE(F1343," ","")),"📲 Avisar al cliente"),"")</f>
        <v/>
      </c>
      <c r="L1343" s="8">
        <f>IF(C1343&lt;&gt;"","https://api.qrserver.com/v1/create-qr-code/?size=200x200&amp;data="&amp;ENCODEURL("https://wa.me/507"&amp;REGEXREPLACE(C1343,"[^0-9]","")&amp;"?text="&amp;ENCODEURL("Ya llegue. Codigo: "&amp;A1343&amp;". Ubicacion: "&amp;"https://www.google.com/maps/search/?api=1&amp;query="&amp;SUBSTITUTE(F1343," ",""))),"")</f>
        <v/>
      </c>
      <c r="M1343" s="8">
        <f>IF(B1343&lt;&gt;"",TODAY(),"")</f>
        <v/>
      </c>
      <c r="N1343" s="8">
        <f>IF(F1343&lt;&gt;"",IFERROR(IF(AND(REGEXMATCH(SUBSTITUTE(TRIM(F1343)," ",""),"^-?\d+(\.\d+)?,-?\d+(\.\d+)?$"),VALUE(REGEXEXTRACT(SUBSTITUTE(TRIM(F1343)," ",""),"^-?\d+(\.\d+)?"))&gt;=-90,VALUE(REGEXEXTRACT(SUBSTITUTE(TRIM(F1343)," ",""),"^-?\d+(\.\d+)?"))&lt;=90,VALUE(REGEXEXTRACT(SUBSTITUTE(TRIM(F1343)," ",""),"-?\d+(\.\d+)?$"))&gt;=-180,VALUE(REGEXEXTRACT(SUBSTITUTE(TRIM(F1343)," ",""),"-?\d+(\.\d+)?$"))&lt;=180),"OK","REVISAR"),"REVISAR"),"")</f>
        <v/>
      </c>
      <c r="O1343">
        <f>IF(A1343&lt;&gt;"","https://direcciones507.github.io/direcciones507/panel.html?codigo="&amp;A1343&amp;"&amp;nombre="&amp;ENCODEURL(B1343)&amp;"&amp;telefono="&amp;SUBSTITUTE(C1343,"-","")&amp;"&amp;referencia="&amp;ENCODEURL(E1343)&amp;"&amp;lat="&amp;IZQUIERDA(SUBSTITUTE(F1343," ",""),ENCONTRAR(",",SUBSTITUTE(F1343," ",""))-1)&amp;"&amp;lng="&amp;DERECHA(SUBSTITUTE(F1343," ",""),LARGO(SUBSTITUTE(F1343," ",""))-ENCONTRAR(",",SUBSTITUTE(F1343," ",""))),"")</f>
        <v/>
      </c>
    </row>
    <row r="1344" ht="15.75" customHeight="1" s="10">
      <c r="A1344" s="8">
        <f>CONCAT("AD507-",TEXT(ROW()-2,"0000"))</f>
        <v/>
      </c>
      <c r="C1344" s="8" t="n"/>
      <c r="F1344" s="8" t="n"/>
      <c r="G1344" s="8">
        <f>IF(F1344&lt;&gt;"",HYPERLINK("https://www.google.com/maps/search/?api=1&amp;query="&amp;SUBSTITUTE(F1344," ",""),"🗺 Google Maps"),"")</f>
        <v/>
      </c>
      <c r="H1344" s="8">
        <f>IF(F1344&lt;&gt;"",HYPERLINK("https://waze.com/ul?ll="&amp;SUBSTITUTE(F1344," ","")&amp;"&amp;navigate=yes","🚗 Waze"),"")</f>
        <v/>
      </c>
      <c r="I1344" s="8">
        <f>IF(F1344&lt;&gt;"",HYPERLINK("https://m.uber.com/ul/?action=setPickup&amp;pickup=my_location&amp;dropoff[latitude]="&amp;LEFT(SUBSTITUTE(F1344," ",""),FIND(",",SUBSTITUTE(F1344," ",""))-1)&amp;"&amp;dropoff[longitude]="&amp;MID(SUBSTITUTE(F1344," ",""),FIND(",",SUBSTITUTE(F1344," ",""))+1,99),"🚕 Uber"),"")</f>
        <v/>
      </c>
      <c r="J1344" s="8">
        <f>IF(F1344&lt;&gt;"","https://api.qrserver.com/v1/create-qr-code/?size=200x200&amp;data="&amp;ENCODEURL("https://www.google.com/maps/search/?api=1&amp;query="&amp;SUBSTITUTE(F1344," ","")),"")</f>
        <v/>
      </c>
      <c r="K1344" s="8">
        <f>IF(C1344&lt;&gt;"",HYPERLINK("https://wa.me/507"&amp;REGEXREPLACE(C1344,"[^0-9]","")&amp;"?text="&amp;ENCODEURL("Ya llegue. Codigo: "&amp;A1344&amp;". Ubicacion: "&amp;"https://www.google.com/maps/search/?api=1&amp;query="&amp;SUBSTITUTE(F1344," ","")),"📲 Avisar al cliente"),"")</f>
        <v/>
      </c>
      <c r="L1344" s="8">
        <f>IF(C1344&lt;&gt;"","https://api.qrserver.com/v1/create-qr-code/?size=200x200&amp;data="&amp;ENCODEURL("https://wa.me/507"&amp;REGEXREPLACE(C1344,"[^0-9]","")&amp;"?text="&amp;ENCODEURL("Ya llegue. Codigo: "&amp;A1344&amp;". Ubicacion: "&amp;"https://www.google.com/maps/search/?api=1&amp;query="&amp;SUBSTITUTE(F1344," ",""))),"")</f>
        <v/>
      </c>
      <c r="M1344" s="8">
        <f>IF(B1344&lt;&gt;"",TODAY(),"")</f>
        <v/>
      </c>
      <c r="N1344" s="8">
        <f>IF(F1344&lt;&gt;"",IFERROR(IF(AND(REGEXMATCH(SUBSTITUTE(TRIM(F1344)," ",""),"^-?\d+(\.\d+)?,-?\d+(\.\d+)?$"),VALUE(REGEXEXTRACT(SUBSTITUTE(TRIM(F1344)," ",""),"^-?\d+(\.\d+)?"))&gt;=-90,VALUE(REGEXEXTRACT(SUBSTITUTE(TRIM(F1344)," ",""),"^-?\d+(\.\d+)?"))&lt;=90,VALUE(REGEXEXTRACT(SUBSTITUTE(TRIM(F1344)," ",""),"-?\d+(\.\d+)?$"))&gt;=-180,VALUE(REGEXEXTRACT(SUBSTITUTE(TRIM(F1344)," ",""),"-?\d+(\.\d+)?$"))&lt;=180),"OK","REVISAR"),"REVISAR"),"")</f>
        <v/>
      </c>
      <c r="O1344">
        <f>IF(A1344&lt;&gt;"","https://direcciones507.github.io/direcciones507/panel.html?codigo="&amp;A1344&amp;"&amp;nombre="&amp;ENCODEURL(B1344)&amp;"&amp;telefono="&amp;SUBSTITUTE(C1344,"-","")&amp;"&amp;referencia="&amp;ENCODEURL(E1344)&amp;"&amp;lat="&amp;IZQUIERDA(SUBSTITUTE(F1344," ",""),ENCONTRAR(",",SUBSTITUTE(F1344," ",""))-1)&amp;"&amp;lng="&amp;DERECHA(SUBSTITUTE(F1344," ",""),LARGO(SUBSTITUTE(F1344," ",""))-ENCONTRAR(",",SUBSTITUTE(F1344," ",""))),"")</f>
        <v/>
      </c>
    </row>
    <row r="1345" ht="15.75" customHeight="1" s="10">
      <c r="A1345" s="8">
        <f>CONCAT("AD507-",TEXT(ROW()-2,"0000"))</f>
        <v/>
      </c>
      <c r="C1345" s="8" t="n"/>
      <c r="F1345" s="8" t="n"/>
      <c r="G1345" s="8">
        <f>IF(F1345&lt;&gt;"",HYPERLINK("https://www.google.com/maps/search/?api=1&amp;query="&amp;SUBSTITUTE(F1345," ",""),"🗺 Google Maps"),"")</f>
        <v/>
      </c>
      <c r="H1345" s="8">
        <f>IF(F1345&lt;&gt;"",HYPERLINK("https://waze.com/ul?ll="&amp;SUBSTITUTE(F1345," ","")&amp;"&amp;navigate=yes","🚗 Waze"),"")</f>
        <v/>
      </c>
      <c r="I1345" s="8">
        <f>IF(F1345&lt;&gt;"",HYPERLINK("https://m.uber.com/ul/?action=setPickup&amp;pickup=my_location&amp;dropoff[latitude]="&amp;LEFT(SUBSTITUTE(F1345," ",""),FIND(",",SUBSTITUTE(F1345," ",""))-1)&amp;"&amp;dropoff[longitude]="&amp;MID(SUBSTITUTE(F1345," ",""),FIND(",",SUBSTITUTE(F1345," ",""))+1,99),"🚕 Uber"),"")</f>
        <v/>
      </c>
      <c r="J1345" s="8">
        <f>IF(F1345&lt;&gt;"","https://api.qrserver.com/v1/create-qr-code/?size=200x200&amp;data="&amp;ENCODEURL("https://www.google.com/maps/search/?api=1&amp;query="&amp;SUBSTITUTE(F1345," ","")),"")</f>
        <v/>
      </c>
      <c r="K1345" s="8">
        <f>IF(C1345&lt;&gt;"",HYPERLINK("https://wa.me/507"&amp;REGEXREPLACE(C1345,"[^0-9]","")&amp;"?text="&amp;ENCODEURL("Ya llegue. Codigo: "&amp;A1345&amp;". Ubicacion: "&amp;"https://www.google.com/maps/search/?api=1&amp;query="&amp;SUBSTITUTE(F1345," ","")),"📲 Avisar al cliente"),"")</f>
        <v/>
      </c>
      <c r="L1345" s="8">
        <f>IF(C1345&lt;&gt;"","https://api.qrserver.com/v1/create-qr-code/?size=200x200&amp;data="&amp;ENCODEURL("https://wa.me/507"&amp;REGEXREPLACE(C1345,"[^0-9]","")&amp;"?text="&amp;ENCODEURL("Ya llegue. Codigo: "&amp;A1345&amp;". Ubicacion: "&amp;"https://www.google.com/maps/search/?api=1&amp;query="&amp;SUBSTITUTE(F1345," ",""))),"")</f>
        <v/>
      </c>
      <c r="M1345" s="8">
        <f>IF(B1345&lt;&gt;"",TODAY(),"")</f>
        <v/>
      </c>
      <c r="N1345" s="8">
        <f>IF(F1345&lt;&gt;"",IFERROR(IF(AND(REGEXMATCH(SUBSTITUTE(TRIM(F1345)," ",""),"^-?\d+(\.\d+)?,-?\d+(\.\d+)?$"),VALUE(REGEXEXTRACT(SUBSTITUTE(TRIM(F1345)," ",""),"^-?\d+(\.\d+)?"))&gt;=-90,VALUE(REGEXEXTRACT(SUBSTITUTE(TRIM(F1345)," ",""),"^-?\d+(\.\d+)?"))&lt;=90,VALUE(REGEXEXTRACT(SUBSTITUTE(TRIM(F1345)," ",""),"-?\d+(\.\d+)?$"))&gt;=-180,VALUE(REGEXEXTRACT(SUBSTITUTE(TRIM(F1345)," ",""),"-?\d+(\.\d+)?$"))&lt;=180),"OK","REVISAR"),"REVISAR"),"")</f>
        <v/>
      </c>
      <c r="O1345">
        <f>IF(A1345&lt;&gt;"","https://direcciones507.github.io/direcciones507/panel.html?codigo="&amp;A1345&amp;"&amp;nombre="&amp;ENCODEURL(B1345)&amp;"&amp;telefono="&amp;SUBSTITUTE(C1345,"-","")&amp;"&amp;referencia="&amp;ENCODEURL(E1345)&amp;"&amp;lat="&amp;IZQUIERDA(SUBSTITUTE(F1345," ",""),ENCONTRAR(",",SUBSTITUTE(F1345," ",""))-1)&amp;"&amp;lng="&amp;DERECHA(SUBSTITUTE(F1345," ",""),LARGO(SUBSTITUTE(F1345," ",""))-ENCONTRAR(",",SUBSTITUTE(F1345," ",""))),"")</f>
        <v/>
      </c>
    </row>
    <row r="1346" ht="15.75" customHeight="1" s="10">
      <c r="A1346" s="8">
        <f>CONCAT("AD507-",TEXT(ROW()-2,"0000"))</f>
        <v/>
      </c>
      <c r="C1346" s="8" t="n"/>
      <c r="F1346" s="8" t="n"/>
      <c r="G1346" s="8">
        <f>IF(F1346&lt;&gt;"",HYPERLINK("https://www.google.com/maps/search/?api=1&amp;query="&amp;SUBSTITUTE(F1346," ",""),"🗺 Google Maps"),"")</f>
        <v/>
      </c>
      <c r="H1346" s="8">
        <f>IF(F1346&lt;&gt;"",HYPERLINK("https://waze.com/ul?ll="&amp;SUBSTITUTE(F1346," ","")&amp;"&amp;navigate=yes","🚗 Waze"),"")</f>
        <v/>
      </c>
      <c r="I1346" s="8">
        <f>IF(F1346&lt;&gt;"",HYPERLINK("https://m.uber.com/ul/?action=setPickup&amp;pickup=my_location&amp;dropoff[latitude]="&amp;LEFT(SUBSTITUTE(F1346," ",""),FIND(",",SUBSTITUTE(F1346," ",""))-1)&amp;"&amp;dropoff[longitude]="&amp;MID(SUBSTITUTE(F1346," ",""),FIND(",",SUBSTITUTE(F1346," ",""))+1,99),"🚕 Uber"),"")</f>
        <v/>
      </c>
      <c r="J1346" s="8">
        <f>IF(F1346&lt;&gt;"","https://api.qrserver.com/v1/create-qr-code/?size=200x200&amp;data="&amp;ENCODEURL("https://www.google.com/maps/search/?api=1&amp;query="&amp;SUBSTITUTE(F1346," ","")),"")</f>
        <v/>
      </c>
      <c r="K1346" s="8">
        <f>IF(C1346&lt;&gt;"",HYPERLINK("https://wa.me/507"&amp;REGEXREPLACE(C1346,"[^0-9]","")&amp;"?text="&amp;ENCODEURL("Ya llegue. Codigo: "&amp;A1346&amp;". Ubicacion: "&amp;"https://www.google.com/maps/search/?api=1&amp;query="&amp;SUBSTITUTE(F1346," ","")),"📲 Avisar al cliente"),"")</f>
        <v/>
      </c>
      <c r="L1346" s="8">
        <f>IF(C1346&lt;&gt;"","https://api.qrserver.com/v1/create-qr-code/?size=200x200&amp;data="&amp;ENCODEURL("https://wa.me/507"&amp;REGEXREPLACE(C1346,"[^0-9]","")&amp;"?text="&amp;ENCODEURL("Ya llegue. Codigo: "&amp;A1346&amp;". Ubicacion: "&amp;"https://www.google.com/maps/search/?api=1&amp;query="&amp;SUBSTITUTE(F1346," ",""))),"")</f>
        <v/>
      </c>
      <c r="M1346" s="8">
        <f>IF(B1346&lt;&gt;"",TODAY(),"")</f>
        <v/>
      </c>
      <c r="N1346" s="8">
        <f>IF(F1346&lt;&gt;"",IFERROR(IF(AND(REGEXMATCH(SUBSTITUTE(TRIM(F1346)," ",""),"^-?\d+(\.\d+)?,-?\d+(\.\d+)?$"),VALUE(REGEXEXTRACT(SUBSTITUTE(TRIM(F1346)," ",""),"^-?\d+(\.\d+)?"))&gt;=-90,VALUE(REGEXEXTRACT(SUBSTITUTE(TRIM(F1346)," ",""),"^-?\d+(\.\d+)?"))&lt;=90,VALUE(REGEXEXTRACT(SUBSTITUTE(TRIM(F1346)," ",""),"-?\d+(\.\d+)?$"))&gt;=-180,VALUE(REGEXEXTRACT(SUBSTITUTE(TRIM(F1346)," ",""),"-?\d+(\.\d+)?$"))&lt;=180),"OK","REVISAR"),"REVISAR"),"")</f>
        <v/>
      </c>
      <c r="O1346">
        <f>IF(A1346&lt;&gt;"","https://direcciones507.github.io/direcciones507/panel.html?codigo="&amp;A1346&amp;"&amp;nombre="&amp;ENCODEURL(B1346)&amp;"&amp;telefono="&amp;SUBSTITUTE(C1346,"-","")&amp;"&amp;referencia="&amp;ENCODEURL(E1346)&amp;"&amp;lat="&amp;IZQUIERDA(SUBSTITUTE(F1346," ",""),ENCONTRAR(",",SUBSTITUTE(F1346," ",""))-1)&amp;"&amp;lng="&amp;DERECHA(SUBSTITUTE(F1346," ",""),LARGO(SUBSTITUTE(F1346," ",""))-ENCONTRAR(",",SUBSTITUTE(F1346," ",""))),"")</f>
        <v/>
      </c>
    </row>
    <row r="1347" ht="15.75" customHeight="1" s="10">
      <c r="A1347" s="8">
        <f>CONCAT("AD507-",TEXT(ROW()-2,"0000"))</f>
        <v/>
      </c>
      <c r="C1347" s="8" t="n"/>
      <c r="F1347" s="8" t="n"/>
      <c r="G1347" s="8">
        <f>IF(F1347&lt;&gt;"",HYPERLINK("https://www.google.com/maps/search/?api=1&amp;query="&amp;SUBSTITUTE(F1347," ",""),"🗺 Google Maps"),"")</f>
        <v/>
      </c>
      <c r="H1347" s="8">
        <f>IF(F1347&lt;&gt;"",HYPERLINK("https://waze.com/ul?ll="&amp;SUBSTITUTE(F1347," ","")&amp;"&amp;navigate=yes","🚗 Waze"),"")</f>
        <v/>
      </c>
      <c r="I1347" s="8">
        <f>IF(F1347&lt;&gt;"",HYPERLINK("https://m.uber.com/ul/?action=setPickup&amp;pickup=my_location&amp;dropoff[latitude]="&amp;LEFT(SUBSTITUTE(F1347," ",""),FIND(",",SUBSTITUTE(F1347," ",""))-1)&amp;"&amp;dropoff[longitude]="&amp;MID(SUBSTITUTE(F1347," ",""),FIND(",",SUBSTITUTE(F1347," ",""))+1,99),"🚕 Uber"),"")</f>
        <v/>
      </c>
      <c r="J1347" s="8">
        <f>IF(F1347&lt;&gt;"","https://api.qrserver.com/v1/create-qr-code/?size=200x200&amp;data="&amp;ENCODEURL("https://www.google.com/maps/search/?api=1&amp;query="&amp;SUBSTITUTE(F1347," ","")),"")</f>
        <v/>
      </c>
      <c r="K1347" s="8">
        <f>IF(C1347&lt;&gt;"",HYPERLINK("https://wa.me/507"&amp;REGEXREPLACE(C1347,"[^0-9]","")&amp;"?text="&amp;ENCODEURL("Ya llegue. Codigo: "&amp;A1347&amp;". Ubicacion: "&amp;"https://www.google.com/maps/search/?api=1&amp;query="&amp;SUBSTITUTE(F1347," ","")),"📲 Avisar al cliente"),"")</f>
        <v/>
      </c>
      <c r="L1347" s="8">
        <f>IF(C1347&lt;&gt;"","https://api.qrserver.com/v1/create-qr-code/?size=200x200&amp;data="&amp;ENCODEURL("https://wa.me/507"&amp;REGEXREPLACE(C1347,"[^0-9]","")&amp;"?text="&amp;ENCODEURL("Ya llegue. Codigo: "&amp;A1347&amp;". Ubicacion: "&amp;"https://www.google.com/maps/search/?api=1&amp;query="&amp;SUBSTITUTE(F1347," ",""))),"")</f>
        <v/>
      </c>
      <c r="M1347" s="8">
        <f>IF(B1347&lt;&gt;"",TODAY(),"")</f>
        <v/>
      </c>
      <c r="N1347" s="8">
        <f>IF(F1347&lt;&gt;"",IFERROR(IF(AND(REGEXMATCH(SUBSTITUTE(TRIM(F1347)," ",""),"^-?\d+(\.\d+)?,-?\d+(\.\d+)?$"),VALUE(REGEXEXTRACT(SUBSTITUTE(TRIM(F1347)," ",""),"^-?\d+(\.\d+)?"))&gt;=-90,VALUE(REGEXEXTRACT(SUBSTITUTE(TRIM(F1347)," ",""),"^-?\d+(\.\d+)?"))&lt;=90,VALUE(REGEXEXTRACT(SUBSTITUTE(TRIM(F1347)," ",""),"-?\d+(\.\d+)?$"))&gt;=-180,VALUE(REGEXEXTRACT(SUBSTITUTE(TRIM(F1347)," ",""),"-?\d+(\.\d+)?$"))&lt;=180),"OK","REVISAR"),"REVISAR"),"")</f>
        <v/>
      </c>
      <c r="O1347">
        <f>IF(A1347&lt;&gt;"","https://direcciones507.github.io/direcciones507/panel.html?codigo="&amp;A1347&amp;"&amp;nombre="&amp;ENCODEURL(B1347)&amp;"&amp;telefono="&amp;SUBSTITUTE(C1347,"-","")&amp;"&amp;referencia="&amp;ENCODEURL(E1347)&amp;"&amp;lat="&amp;IZQUIERDA(SUBSTITUTE(F1347," ",""),ENCONTRAR(",",SUBSTITUTE(F1347," ",""))-1)&amp;"&amp;lng="&amp;DERECHA(SUBSTITUTE(F1347," ",""),LARGO(SUBSTITUTE(F1347," ",""))-ENCONTRAR(",",SUBSTITUTE(F1347," ",""))),"")</f>
        <v/>
      </c>
    </row>
    <row r="1348" ht="15.75" customHeight="1" s="10">
      <c r="A1348" s="8">
        <f>CONCAT("AD507-",TEXT(ROW()-2,"0000"))</f>
        <v/>
      </c>
      <c r="C1348" s="8" t="n"/>
      <c r="F1348" s="8" t="n"/>
      <c r="G1348" s="8">
        <f>IF(F1348&lt;&gt;"",HYPERLINK("https://www.google.com/maps/search/?api=1&amp;query="&amp;SUBSTITUTE(F1348," ",""),"🗺 Google Maps"),"")</f>
        <v/>
      </c>
      <c r="H1348" s="8">
        <f>IF(F1348&lt;&gt;"",HYPERLINK("https://waze.com/ul?ll="&amp;SUBSTITUTE(F1348," ","")&amp;"&amp;navigate=yes","🚗 Waze"),"")</f>
        <v/>
      </c>
      <c r="I1348" s="8">
        <f>IF(F1348&lt;&gt;"",HYPERLINK("https://m.uber.com/ul/?action=setPickup&amp;pickup=my_location&amp;dropoff[latitude]="&amp;LEFT(SUBSTITUTE(F1348," ",""),FIND(",",SUBSTITUTE(F1348," ",""))-1)&amp;"&amp;dropoff[longitude]="&amp;MID(SUBSTITUTE(F1348," ",""),FIND(",",SUBSTITUTE(F1348," ",""))+1,99),"🚕 Uber"),"")</f>
        <v/>
      </c>
      <c r="J1348" s="8">
        <f>IF(F1348&lt;&gt;"","https://api.qrserver.com/v1/create-qr-code/?size=200x200&amp;data="&amp;ENCODEURL("https://www.google.com/maps/search/?api=1&amp;query="&amp;SUBSTITUTE(F1348," ","")),"")</f>
        <v/>
      </c>
      <c r="K1348" s="8">
        <f>IF(C1348&lt;&gt;"",HYPERLINK("https://wa.me/507"&amp;REGEXREPLACE(C1348,"[^0-9]","")&amp;"?text="&amp;ENCODEURL("Ya llegue. Codigo: "&amp;A1348&amp;". Ubicacion: "&amp;"https://www.google.com/maps/search/?api=1&amp;query="&amp;SUBSTITUTE(F1348," ","")),"📲 Avisar al cliente"),"")</f>
        <v/>
      </c>
      <c r="L1348" s="8">
        <f>IF(C1348&lt;&gt;"","https://api.qrserver.com/v1/create-qr-code/?size=200x200&amp;data="&amp;ENCODEURL("https://wa.me/507"&amp;REGEXREPLACE(C1348,"[^0-9]","")&amp;"?text="&amp;ENCODEURL("Ya llegue. Codigo: "&amp;A1348&amp;". Ubicacion: "&amp;"https://www.google.com/maps/search/?api=1&amp;query="&amp;SUBSTITUTE(F1348," ",""))),"")</f>
        <v/>
      </c>
      <c r="M1348" s="8">
        <f>IF(B1348&lt;&gt;"",TODAY(),"")</f>
        <v/>
      </c>
      <c r="N1348" s="8">
        <f>IF(F1348&lt;&gt;"",IFERROR(IF(AND(REGEXMATCH(SUBSTITUTE(TRIM(F1348)," ",""),"^-?\d+(\.\d+)?,-?\d+(\.\d+)?$"),VALUE(REGEXEXTRACT(SUBSTITUTE(TRIM(F1348)," ",""),"^-?\d+(\.\d+)?"))&gt;=-90,VALUE(REGEXEXTRACT(SUBSTITUTE(TRIM(F1348)," ",""),"^-?\d+(\.\d+)?"))&lt;=90,VALUE(REGEXEXTRACT(SUBSTITUTE(TRIM(F1348)," ",""),"-?\d+(\.\d+)?$"))&gt;=-180,VALUE(REGEXEXTRACT(SUBSTITUTE(TRIM(F1348)," ",""),"-?\d+(\.\d+)?$"))&lt;=180),"OK","REVISAR"),"REVISAR"),"")</f>
        <v/>
      </c>
      <c r="O1348">
        <f>IF(A1348&lt;&gt;"","https://direcciones507.github.io/direcciones507/panel.html?codigo="&amp;A1348&amp;"&amp;nombre="&amp;ENCODEURL(B1348)&amp;"&amp;telefono="&amp;SUBSTITUTE(C1348,"-","")&amp;"&amp;referencia="&amp;ENCODEURL(E1348)&amp;"&amp;lat="&amp;IZQUIERDA(SUBSTITUTE(F1348," ",""),ENCONTRAR(",",SUBSTITUTE(F1348," ",""))-1)&amp;"&amp;lng="&amp;DERECHA(SUBSTITUTE(F1348," ",""),LARGO(SUBSTITUTE(F1348," ",""))-ENCONTRAR(",",SUBSTITUTE(F1348," ",""))),"")</f>
        <v/>
      </c>
    </row>
    <row r="1349" ht="15.75" customHeight="1" s="10">
      <c r="A1349" s="8">
        <f>CONCAT("AD507-",TEXT(ROW()-2,"0000"))</f>
        <v/>
      </c>
      <c r="C1349" s="8" t="n"/>
      <c r="F1349" s="8" t="n"/>
      <c r="G1349" s="8">
        <f>IF(F1349&lt;&gt;"",HYPERLINK("https://www.google.com/maps/search/?api=1&amp;query="&amp;SUBSTITUTE(F1349," ",""),"🗺 Google Maps"),"")</f>
        <v/>
      </c>
      <c r="H1349" s="8">
        <f>IF(F1349&lt;&gt;"",HYPERLINK("https://waze.com/ul?ll="&amp;SUBSTITUTE(F1349," ","")&amp;"&amp;navigate=yes","🚗 Waze"),"")</f>
        <v/>
      </c>
      <c r="I1349" s="8">
        <f>IF(F1349&lt;&gt;"",HYPERLINK("https://m.uber.com/ul/?action=setPickup&amp;pickup=my_location&amp;dropoff[latitude]="&amp;LEFT(SUBSTITUTE(F1349," ",""),FIND(",",SUBSTITUTE(F1349," ",""))-1)&amp;"&amp;dropoff[longitude]="&amp;MID(SUBSTITUTE(F1349," ",""),FIND(",",SUBSTITUTE(F1349," ",""))+1,99),"🚕 Uber"),"")</f>
        <v/>
      </c>
      <c r="J1349" s="8">
        <f>IF(F1349&lt;&gt;"","https://api.qrserver.com/v1/create-qr-code/?size=200x200&amp;data="&amp;ENCODEURL("https://www.google.com/maps/search/?api=1&amp;query="&amp;SUBSTITUTE(F1349," ","")),"")</f>
        <v/>
      </c>
      <c r="K1349" s="8">
        <f>IF(C1349&lt;&gt;"",HYPERLINK("https://wa.me/507"&amp;REGEXREPLACE(C1349,"[^0-9]","")&amp;"?text="&amp;ENCODEURL("Ya llegue. Codigo: "&amp;A1349&amp;". Ubicacion: "&amp;"https://www.google.com/maps/search/?api=1&amp;query="&amp;SUBSTITUTE(F1349," ","")),"📲 Avisar al cliente"),"")</f>
        <v/>
      </c>
      <c r="L1349" s="8">
        <f>IF(C1349&lt;&gt;"","https://api.qrserver.com/v1/create-qr-code/?size=200x200&amp;data="&amp;ENCODEURL("https://wa.me/507"&amp;REGEXREPLACE(C1349,"[^0-9]","")&amp;"?text="&amp;ENCODEURL("Ya llegue. Codigo: "&amp;A1349&amp;". Ubicacion: "&amp;"https://www.google.com/maps/search/?api=1&amp;query="&amp;SUBSTITUTE(F1349," ",""))),"")</f>
        <v/>
      </c>
      <c r="M1349" s="8">
        <f>IF(B1349&lt;&gt;"",TODAY(),"")</f>
        <v/>
      </c>
      <c r="N1349" s="8">
        <f>IF(F1349&lt;&gt;"",IFERROR(IF(AND(REGEXMATCH(SUBSTITUTE(TRIM(F1349)," ",""),"^-?\d+(\.\d+)?,-?\d+(\.\d+)?$"),VALUE(REGEXEXTRACT(SUBSTITUTE(TRIM(F1349)," ",""),"^-?\d+(\.\d+)?"))&gt;=-90,VALUE(REGEXEXTRACT(SUBSTITUTE(TRIM(F1349)," ",""),"^-?\d+(\.\d+)?"))&lt;=90,VALUE(REGEXEXTRACT(SUBSTITUTE(TRIM(F1349)," ",""),"-?\d+(\.\d+)?$"))&gt;=-180,VALUE(REGEXEXTRACT(SUBSTITUTE(TRIM(F1349)," ",""),"-?\d+(\.\d+)?$"))&lt;=180),"OK","REVISAR"),"REVISAR"),"")</f>
        <v/>
      </c>
      <c r="O1349">
        <f>IF(A1349&lt;&gt;"","https://direcciones507.github.io/direcciones507/panel.html?codigo="&amp;A1349&amp;"&amp;nombre="&amp;ENCODEURL(B1349)&amp;"&amp;telefono="&amp;SUBSTITUTE(C1349,"-","")&amp;"&amp;referencia="&amp;ENCODEURL(E1349)&amp;"&amp;lat="&amp;IZQUIERDA(SUBSTITUTE(F1349," ",""),ENCONTRAR(",",SUBSTITUTE(F1349," ",""))-1)&amp;"&amp;lng="&amp;DERECHA(SUBSTITUTE(F1349," ",""),LARGO(SUBSTITUTE(F1349," ",""))-ENCONTRAR(",",SUBSTITUTE(F1349," ",""))),"")</f>
        <v/>
      </c>
    </row>
    <row r="1350" ht="15.75" customHeight="1" s="10">
      <c r="A1350" s="8">
        <f>CONCAT("AD507-",TEXT(ROW()-2,"0000"))</f>
        <v/>
      </c>
      <c r="C1350" s="8" t="n"/>
      <c r="F1350" s="8" t="n"/>
      <c r="G1350" s="8">
        <f>IF(F1350&lt;&gt;"",HYPERLINK("https://www.google.com/maps/search/?api=1&amp;query="&amp;SUBSTITUTE(F1350," ",""),"🗺 Google Maps"),"")</f>
        <v/>
      </c>
      <c r="H1350" s="8">
        <f>IF(F1350&lt;&gt;"",HYPERLINK("https://waze.com/ul?ll="&amp;SUBSTITUTE(F1350," ","")&amp;"&amp;navigate=yes","🚗 Waze"),"")</f>
        <v/>
      </c>
      <c r="I1350" s="8">
        <f>IF(F1350&lt;&gt;"",HYPERLINK("https://m.uber.com/ul/?action=setPickup&amp;pickup=my_location&amp;dropoff[latitude]="&amp;LEFT(SUBSTITUTE(F1350," ",""),FIND(",",SUBSTITUTE(F1350," ",""))-1)&amp;"&amp;dropoff[longitude]="&amp;MID(SUBSTITUTE(F1350," ",""),FIND(",",SUBSTITUTE(F1350," ",""))+1,99),"🚕 Uber"),"")</f>
        <v/>
      </c>
      <c r="J1350" s="8">
        <f>IF(F1350&lt;&gt;"","https://api.qrserver.com/v1/create-qr-code/?size=200x200&amp;data="&amp;ENCODEURL("https://www.google.com/maps/search/?api=1&amp;query="&amp;SUBSTITUTE(F1350," ","")),"")</f>
        <v/>
      </c>
      <c r="K1350" s="8">
        <f>IF(C1350&lt;&gt;"",HYPERLINK("https://wa.me/507"&amp;REGEXREPLACE(C1350,"[^0-9]","")&amp;"?text="&amp;ENCODEURL("Ya llegue. Codigo: "&amp;A1350&amp;". Ubicacion: "&amp;"https://www.google.com/maps/search/?api=1&amp;query="&amp;SUBSTITUTE(F1350," ","")),"📲 Avisar al cliente"),"")</f>
        <v/>
      </c>
      <c r="L1350" s="8">
        <f>IF(C1350&lt;&gt;"","https://api.qrserver.com/v1/create-qr-code/?size=200x200&amp;data="&amp;ENCODEURL("https://wa.me/507"&amp;REGEXREPLACE(C1350,"[^0-9]","")&amp;"?text="&amp;ENCODEURL("Ya llegue. Codigo: "&amp;A1350&amp;". Ubicacion: "&amp;"https://www.google.com/maps/search/?api=1&amp;query="&amp;SUBSTITUTE(F1350," ",""))),"")</f>
        <v/>
      </c>
      <c r="M1350" s="8">
        <f>IF(B1350&lt;&gt;"",TODAY(),"")</f>
        <v/>
      </c>
      <c r="N1350" s="8">
        <f>IF(F1350&lt;&gt;"",IFERROR(IF(AND(REGEXMATCH(SUBSTITUTE(TRIM(F1350)," ",""),"^-?\d+(\.\d+)?,-?\d+(\.\d+)?$"),VALUE(REGEXEXTRACT(SUBSTITUTE(TRIM(F1350)," ",""),"^-?\d+(\.\d+)?"))&gt;=-90,VALUE(REGEXEXTRACT(SUBSTITUTE(TRIM(F1350)," ",""),"^-?\d+(\.\d+)?"))&lt;=90,VALUE(REGEXEXTRACT(SUBSTITUTE(TRIM(F1350)," ",""),"-?\d+(\.\d+)?$"))&gt;=-180,VALUE(REGEXEXTRACT(SUBSTITUTE(TRIM(F1350)," ",""),"-?\d+(\.\d+)?$"))&lt;=180),"OK","REVISAR"),"REVISAR"),"")</f>
        <v/>
      </c>
      <c r="O1350">
        <f>IF(A1350&lt;&gt;"","https://direcciones507.github.io/direcciones507/panel.html?codigo="&amp;A1350&amp;"&amp;nombre="&amp;ENCODEURL(B1350)&amp;"&amp;telefono="&amp;SUBSTITUTE(C1350,"-","")&amp;"&amp;referencia="&amp;ENCODEURL(E1350)&amp;"&amp;lat="&amp;IZQUIERDA(SUBSTITUTE(F1350," ",""),ENCONTRAR(",",SUBSTITUTE(F1350," ",""))-1)&amp;"&amp;lng="&amp;DERECHA(SUBSTITUTE(F1350," ",""),LARGO(SUBSTITUTE(F1350," ",""))-ENCONTRAR(",",SUBSTITUTE(F1350," ",""))),"")</f>
        <v/>
      </c>
    </row>
    <row r="1351" ht="15.75" customHeight="1" s="10">
      <c r="A1351" s="8">
        <f>CONCAT("AD507-",TEXT(ROW()-2,"0000"))</f>
        <v/>
      </c>
      <c r="C1351" s="8" t="n"/>
      <c r="F1351" s="8" t="n"/>
      <c r="G1351" s="8">
        <f>IF(F1351&lt;&gt;"",HYPERLINK("https://www.google.com/maps/search/?api=1&amp;query="&amp;SUBSTITUTE(F1351," ",""),"🗺 Google Maps"),"")</f>
        <v/>
      </c>
      <c r="H1351" s="8">
        <f>IF(F1351&lt;&gt;"",HYPERLINK("https://waze.com/ul?ll="&amp;SUBSTITUTE(F1351," ","")&amp;"&amp;navigate=yes","🚗 Waze"),"")</f>
        <v/>
      </c>
      <c r="I1351" s="8">
        <f>IF(F1351&lt;&gt;"",HYPERLINK("https://m.uber.com/ul/?action=setPickup&amp;pickup=my_location&amp;dropoff[latitude]="&amp;LEFT(SUBSTITUTE(F1351," ",""),FIND(",",SUBSTITUTE(F1351," ",""))-1)&amp;"&amp;dropoff[longitude]="&amp;MID(SUBSTITUTE(F1351," ",""),FIND(",",SUBSTITUTE(F1351," ",""))+1,99),"🚕 Uber"),"")</f>
        <v/>
      </c>
      <c r="J1351" s="8">
        <f>IF(F1351&lt;&gt;"","https://api.qrserver.com/v1/create-qr-code/?size=200x200&amp;data="&amp;ENCODEURL("https://www.google.com/maps/search/?api=1&amp;query="&amp;SUBSTITUTE(F1351," ","")),"")</f>
        <v/>
      </c>
      <c r="K1351" s="8">
        <f>IF(C1351&lt;&gt;"",HYPERLINK("https://wa.me/507"&amp;REGEXREPLACE(C1351,"[^0-9]","")&amp;"?text="&amp;ENCODEURL("Ya llegue. Codigo: "&amp;A1351&amp;". Ubicacion: "&amp;"https://www.google.com/maps/search/?api=1&amp;query="&amp;SUBSTITUTE(F1351," ","")),"📲 Avisar al cliente"),"")</f>
        <v/>
      </c>
      <c r="L1351" s="8">
        <f>IF(C1351&lt;&gt;"","https://api.qrserver.com/v1/create-qr-code/?size=200x200&amp;data="&amp;ENCODEURL("https://wa.me/507"&amp;REGEXREPLACE(C1351,"[^0-9]","")&amp;"?text="&amp;ENCODEURL("Ya llegue. Codigo: "&amp;A1351&amp;". Ubicacion: "&amp;"https://www.google.com/maps/search/?api=1&amp;query="&amp;SUBSTITUTE(F1351," ",""))),"")</f>
        <v/>
      </c>
      <c r="M1351" s="8">
        <f>IF(B1351&lt;&gt;"",TODAY(),"")</f>
        <v/>
      </c>
      <c r="N1351" s="8">
        <f>IF(F1351&lt;&gt;"",IFERROR(IF(AND(REGEXMATCH(SUBSTITUTE(TRIM(F1351)," ",""),"^-?\d+(\.\d+)?,-?\d+(\.\d+)?$"),VALUE(REGEXEXTRACT(SUBSTITUTE(TRIM(F1351)," ",""),"^-?\d+(\.\d+)?"))&gt;=-90,VALUE(REGEXEXTRACT(SUBSTITUTE(TRIM(F1351)," ",""),"^-?\d+(\.\d+)?"))&lt;=90,VALUE(REGEXEXTRACT(SUBSTITUTE(TRIM(F1351)," ",""),"-?\d+(\.\d+)?$"))&gt;=-180,VALUE(REGEXEXTRACT(SUBSTITUTE(TRIM(F1351)," ",""),"-?\d+(\.\d+)?$"))&lt;=180),"OK","REVISAR"),"REVISAR"),"")</f>
        <v/>
      </c>
      <c r="O1351">
        <f>IF(A1351&lt;&gt;"","https://direcciones507.github.io/direcciones507/panel.html?codigo="&amp;A1351&amp;"&amp;nombre="&amp;ENCODEURL(B1351)&amp;"&amp;telefono="&amp;SUBSTITUTE(C1351,"-","")&amp;"&amp;referencia="&amp;ENCODEURL(E1351)&amp;"&amp;lat="&amp;IZQUIERDA(SUBSTITUTE(F1351," ",""),ENCONTRAR(",",SUBSTITUTE(F1351," ",""))-1)&amp;"&amp;lng="&amp;DERECHA(SUBSTITUTE(F1351," ",""),LARGO(SUBSTITUTE(F1351," ",""))-ENCONTRAR(",",SUBSTITUTE(F1351," ",""))),"")</f>
        <v/>
      </c>
    </row>
    <row r="1352" ht="15.75" customHeight="1" s="10">
      <c r="A1352" s="8">
        <f>CONCAT("AD507-",TEXT(ROW()-2,"0000"))</f>
        <v/>
      </c>
      <c r="C1352" s="8" t="n"/>
      <c r="F1352" s="8" t="n"/>
      <c r="G1352" s="8">
        <f>IF(F1352&lt;&gt;"",HYPERLINK("https://www.google.com/maps/search/?api=1&amp;query="&amp;SUBSTITUTE(F1352," ",""),"🗺 Google Maps"),"")</f>
        <v/>
      </c>
      <c r="H1352" s="8">
        <f>IF(F1352&lt;&gt;"",HYPERLINK("https://waze.com/ul?ll="&amp;SUBSTITUTE(F1352," ","")&amp;"&amp;navigate=yes","🚗 Waze"),"")</f>
        <v/>
      </c>
      <c r="I1352" s="8">
        <f>IF(F1352&lt;&gt;"",HYPERLINK("https://m.uber.com/ul/?action=setPickup&amp;pickup=my_location&amp;dropoff[latitude]="&amp;LEFT(SUBSTITUTE(F1352," ",""),FIND(",",SUBSTITUTE(F1352," ",""))-1)&amp;"&amp;dropoff[longitude]="&amp;MID(SUBSTITUTE(F1352," ",""),FIND(",",SUBSTITUTE(F1352," ",""))+1,99),"🚕 Uber"),"")</f>
        <v/>
      </c>
      <c r="J1352" s="8">
        <f>IF(F1352&lt;&gt;"","https://api.qrserver.com/v1/create-qr-code/?size=200x200&amp;data="&amp;ENCODEURL("https://www.google.com/maps/search/?api=1&amp;query="&amp;SUBSTITUTE(F1352," ","")),"")</f>
        <v/>
      </c>
      <c r="K1352" s="8">
        <f>IF(C1352&lt;&gt;"",HYPERLINK("https://wa.me/507"&amp;REGEXREPLACE(C1352,"[^0-9]","")&amp;"?text="&amp;ENCODEURL("Ya llegue. Codigo: "&amp;A1352&amp;". Ubicacion: "&amp;"https://www.google.com/maps/search/?api=1&amp;query="&amp;SUBSTITUTE(F1352," ","")),"📲 Avisar al cliente"),"")</f>
        <v/>
      </c>
      <c r="L1352" s="8">
        <f>IF(C1352&lt;&gt;"","https://api.qrserver.com/v1/create-qr-code/?size=200x200&amp;data="&amp;ENCODEURL("https://wa.me/507"&amp;REGEXREPLACE(C1352,"[^0-9]","")&amp;"?text="&amp;ENCODEURL("Ya llegue. Codigo: "&amp;A1352&amp;". Ubicacion: "&amp;"https://www.google.com/maps/search/?api=1&amp;query="&amp;SUBSTITUTE(F1352," ",""))),"")</f>
        <v/>
      </c>
      <c r="M1352" s="8">
        <f>IF(B1352&lt;&gt;"",TODAY(),"")</f>
        <v/>
      </c>
      <c r="N1352" s="8">
        <f>IF(F1352&lt;&gt;"",IFERROR(IF(AND(REGEXMATCH(SUBSTITUTE(TRIM(F1352)," ",""),"^-?\d+(\.\d+)?,-?\d+(\.\d+)?$"),VALUE(REGEXEXTRACT(SUBSTITUTE(TRIM(F1352)," ",""),"^-?\d+(\.\d+)?"))&gt;=-90,VALUE(REGEXEXTRACT(SUBSTITUTE(TRIM(F1352)," ",""),"^-?\d+(\.\d+)?"))&lt;=90,VALUE(REGEXEXTRACT(SUBSTITUTE(TRIM(F1352)," ",""),"-?\d+(\.\d+)?$"))&gt;=-180,VALUE(REGEXEXTRACT(SUBSTITUTE(TRIM(F1352)," ",""),"-?\d+(\.\d+)?$"))&lt;=180),"OK","REVISAR"),"REVISAR"),"")</f>
        <v/>
      </c>
      <c r="O1352">
        <f>IF(A1352&lt;&gt;"","https://direcciones507.github.io/direcciones507/panel.html?codigo="&amp;A1352&amp;"&amp;nombre="&amp;ENCODEURL(B1352)&amp;"&amp;telefono="&amp;SUBSTITUTE(C1352,"-","")&amp;"&amp;referencia="&amp;ENCODEURL(E1352)&amp;"&amp;lat="&amp;IZQUIERDA(SUBSTITUTE(F1352," ",""),ENCONTRAR(",",SUBSTITUTE(F1352," ",""))-1)&amp;"&amp;lng="&amp;DERECHA(SUBSTITUTE(F1352," ",""),LARGO(SUBSTITUTE(F1352," ",""))-ENCONTRAR(",",SUBSTITUTE(F1352," ",""))),"")</f>
        <v/>
      </c>
    </row>
    <row r="1353" ht="15.75" customHeight="1" s="10">
      <c r="A1353" s="8">
        <f>CONCAT("AD507-",TEXT(ROW()-2,"0000"))</f>
        <v/>
      </c>
      <c r="C1353" s="8" t="n"/>
      <c r="F1353" s="8" t="n"/>
      <c r="G1353" s="8">
        <f>IF(F1353&lt;&gt;"",HYPERLINK("https://www.google.com/maps/search/?api=1&amp;query="&amp;SUBSTITUTE(F1353," ",""),"🗺 Google Maps"),"")</f>
        <v/>
      </c>
      <c r="H1353" s="8">
        <f>IF(F1353&lt;&gt;"",HYPERLINK("https://waze.com/ul?ll="&amp;SUBSTITUTE(F1353," ","")&amp;"&amp;navigate=yes","🚗 Waze"),"")</f>
        <v/>
      </c>
      <c r="I1353" s="8">
        <f>IF(F1353&lt;&gt;"",HYPERLINK("https://m.uber.com/ul/?action=setPickup&amp;pickup=my_location&amp;dropoff[latitude]="&amp;LEFT(SUBSTITUTE(F1353," ",""),FIND(",",SUBSTITUTE(F1353," ",""))-1)&amp;"&amp;dropoff[longitude]="&amp;MID(SUBSTITUTE(F1353," ",""),FIND(",",SUBSTITUTE(F1353," ",""))+1,99),"🚕 Uber"),"")</f>
        <v/>
      </c>
      <c r="J1353" s="8">
        <f>IF(F1353&lt;&gt;"","https://api.qrserver.com/v1/create-qr-code/?size=200x200&amp;data="&amp;ENCODEURL("https://www.google.com/maps/search/?api=1&amp;query="&amp;SUBSTITUTE(F1353," ","")),"")</f>
        <v/>
      </c>
      <c r="K1353" s="8">
        <f>IF(C1353&lt;&gt;"",HYPERLINK("https://wa.me/507"&amp;REGEXREPLACE(C1353,"[^0-9]","")&amp;"?text="&amp;ENCODEURL("Ya llegue. Codigo: "&amp;A1353&amp;". Ubicacion: "&amp;"https://www.google.com/maps/search/?api=1&amp;query="&amp;SUBSTITUTE(F1353," ","")),"📲 Avisar al cliente"),"")</f>
        <v/>
      </c>
      <c r="L1353" s="8">
        <f>IF(C1353&lt;&gt;"","https://api.qrserver.com/v1/create-qr-code/?size=200x200&amp;data="&amp;ENCODEURL("https://wa.me/507"&amp;REGEXREPLACE(C1353,"[^0-9]","")&amp;"?text="&amp;ENCODEURL("Ya llegue. Codigo: "&amp;A1353&amp;". Ubicacion: "&amp;"https://www.google.com/maps/search/?api=1&amp;query="&amp;SUBSTITUTE(F1353," ",""))),"")</f>
        <v/>
      </c>
      <c r="M1353" s="8">
        <f>IF(B1353&lt;&gt;"",TODAY(),"")</f>
        <v/>
      </c>
      <c r="N1353" s="8">
        <f>IF(F1353&lt;&gt;"",IFERROR(IF(AND(REGEXMATCH(SUBSTITUTE(TRIM(F1353)," ",""),"^-?\d+(\.\d+)?,-?\d+(\.\d+)?$"),VALUE(REGEXEXTRACT(SUBSTITUTE(TRIM(F1353)," ",""),"^-?\d+(\.\d+)?"))&gt;=-90,VALUE(REGEXEXTRACT(SUBSTITUTE(TRIM(F1353)," ",""),"^-?\d+(\.\d+)?"))&lt;=90,VALUE(REGEXEXTRACT(SUBSTITUTE(TRIM(F1353)," ",""),"-?\d+(\.\d+)?$"))&gt;=-180,VALUE(REGEXEXTRACT(SUBSTITUTE(TRIM(F1353)," ",""),"-?\d+(\.\d+)?$"))&lt;=180),"OK","REVISAR"),"REVISAR"),"")</f>
        <v/>
      </c>
      <c r="O1353">
        <f>IF(A1353&lt;&gt;"","https://direcciones507.github.io/direcciones507/panel.html?codigo="&amp;A1353&amp;"&amp;nombre="&amp;ENCODEURL(B1353)&amp;"&amp;telefono="&amp;SUBSTITUTE(C1353,"-","")&amp;"&amp;referencia="&amp;ENCODEURL(E1353)&amp;"&amp;lat="&amp;IZQUIERDA(SUBSTITUTE(F1353," ",""),ENCONTRAR(",",SUBSTITUTE(F1353," ",""))-1)&amp;"&amp;lng="&amp;DERECHA(SUBSTITUTE(F1353," ",""),LARGO(SUBSTITUTE(F1353," ",""))-ENCONTRAR(",",SUBSTITUTE(F1353," ",""))),"")</f>
        <v/>
      </c>
    </row>
    <row r="1354" ht="15.75" customHeight="1" s="10">
      <c r="A1354" s="8">
        <f>CONCAT("AD507-",TEXT(ROW()-2,"0000"))</f>
        <v/>
      </c>
      <c r="C1354" s="8" t="n"/>
      <c r="F1354" s="8" t="n"/>
      <c r="G1354" s="8">
        <f>IF(F1354&lt;&gt;"",HYPERLINK("https://www.google.com/maps/search/?api=1&amp;query="&amp;SUBSTITUTE(F1354," ",""),"🗺 Google Maps"),"")</f>
        <v/>
      </c>
      <c r="H1354" s="8">
        <f>IF(F1354&lt;&gt;"",HYPERLINK("https://waze.com/ul?ll="&amp;SUBSTITUTE(F1354," ","")&amp;"&amp;navigate=yes","🚗 Waze"),"")</f>
        <v/>
      </c>
      <c r="I1354" s="8">
        <f>IF(F1354&lt;&gt;"",HYPERLINK("https://m.uber.com/ul/?action=setPickup&amp;pickup=my_location&amp;dropoff[latitude]="&amp;LEFT(SUBSTITUTE(F1354," ",""),FIND(",",SUBSTITUTE(F1354," ",""))-1)&amp;"&amp;dropoff[longitude]="&amp;MID(SUBSTITUTE(F1354," ",""),FIND(",",SUBSTITUTE(F1354," ",""))+1,99),"🚕 Uber"),"")</f>
        <v/>
      </c>
      <c r="J1354" s="8">
        <f>IF(F1354&lt;&gt;"","https://api.qrserver.com/v1/create-qr-code/?size=200x200&amp;data="&amp;ENCODEURL("https://www.google.com/maps/search/?api=1&amp;query="&amp;SUBSTITUTE(F1354," ","")),"")</f>
        <v/>
      </c>
      <c r="K1354" s="8">
        <f>IF(C1354&lt;&gt;"",HYPERLINK("https://wa.me/507"&amp;REGEXREPLACE(C1354,"[^0-9]","")&amp;"?text="&amp;ENCODEURL("Ya llegue. Codigo: "&amp;A1354&amp;". Ubicacion: "&amp;"https://www.google.com/maps/search/?api=1&amp;query="&amp;SUBSTITUTE(F1354," ","")),"📲 Avisar al cliente"),"")</f>
        <v/>
      </c>
      <c r="L1354" s="8">
        <f>IF(C1354&lt;&gt;"","https://api.qrserver.com/v1/create-qr-code/?size=200x200&amp;data="&amp;ENCODEURL("https://wa.me/507"&amp;REGEXREPLACE(C1354,"[^0-9]","")&amp;"?text="&amp;ENCODEURL("Ya llegue. Codigo: "&amp;A1354&amp;". Ubicacion: "&amp;"https://www.google.com/maps/search/?api=1&amp;query="&amp;SUBSTITUTE(F1354," ",""))),"")</f>
        <v/>
      </c>
      <c r="M1354" s="8">
        <f>IF(B1354&lt;&gt;"",TODAY(),"")</f>
        <v/>
      </c>
      <c r="N1354" s="8">
        <f>IF(F1354&lt;&gt;"",IFERROR(IF(AND(REGEXMATCH(SUBSTITUTE(TRIM(F1354)," ",""),"^-?\d+(\.\d+)?,-?\d+(\.\d+)?$"),VALUE(REGEXEXTRACT(SUBSTITUTE(TRIM(F1354)," ",""),"^-?\d+(\.\d+)?"))&gt;=-90,VALUE(REGEXEXTRACT(SUBSTITUTE(TRIM(F1354)," ",""),"^-?\d+(\.\d+)?"))&lt;=90,VALUE(REGEXEXTRACT(SUBSTITUTE(TRIM(F1354)," ",""),"-?\d+(\.\d+)?$"))&gt;=-180,VALUE(REGEXEXTRACT(SUBSTITUTE(TRIM(F1354)," ",""),"-?\d+(\.\d+)?$"))&lt;=180),"OK","REVISAR"),"REVISAR"),"")</f>
        <v/>
      </c>
      <c r="O1354">
        <f>IF(A1354&lt;&gt;"","https://direcciones507.github.io/direcciones507/panel.html?codigo="&amp;A1354&amp;"&amp;nombre="&amp;ENCODEURL(B1354)&amp;"&amp;telefono="&amp;SUBSTITUTE(C1354,"-","")&amp;"&amp;referencia="&amp;ENCODEURL(E1354)&amp;"&amp;lat="&amp;IZQUIERDA(SUBSTITUTE(F1354," ",""),ENCONTRAR(",",SUBSTITUTE(F1354," ",""))-1)&amp;"&amp;lng="&amp;DERECHA(SUBSTITUTE(F1354," ",""),LARGO(SUBSTITUTE(F1354," ",""))-ENCONTRAR(",",SUBSTITUTE(F1354," ",""))),"")</f>
        <v/>
      </c>
    </row>
    <row r="1355" ht="15.75" customHeight="1" s="10">
      <c r="A1355" s="8">
        <f>CONCAT("AD507-",TEXT(ROW()-2,"0000"))</f>
        <v/>
      </c>
      <c r="C1355" s="8" t="n"/>
      <c r="F1355" s="8" t="n"/>
      <c r="G1355" s="8">
        <f>IF(F1355&lt;&gt;"",HYPERLINK("https://www.google.com/maps/search/?api=1&amp;query="&amp;SUBSTITUTE(F1355," ",""),"🗺 Google Maps"),"")</f>
        <v/>
      </c>
      <c r="H1355" s="8">
        <f>IF(F1355&lt;&gt;"",HYPERLINK("https://waze.com/ul?ll="&amp;SUBSTITUTE(F1355," ","")&amp;"&amp;navigate=yes","🚗 Waze"),"")</f>
        <v/>
      </c>
      <c r="I1355" s="8">
        <f>IF(F1355&lt;&gt;"",HYPERLINK("https://m.uber.com/ul/?action=setPickup&amp;pickup=my_location&amp;dropoff[latitude]="&amp;LEFT(SUBSTITUTE(F1355," ",""),FIND(",",SUBSTITUTE(F1355," ",""))-1)&amp;"&amp;dropoff[longitude]="&amp;MID(SUBSTITUTE(F1355," ",""),FIND(",",SUBSTITUTE(F1355," ",""))+1,99),"🚕 Uber"),"")</f>
        <v/>
      </c>
      <c r="J1355" s="8">
        <f>IF(F1355&lt;&gt;"","https://api.qrserver.com/v1/create-qr-code/?size=200x200&amp;data="&amp;ENCODEURL("https://www.google.com/maps/search/?api=1&amp;query="&amp;SUBSTITUTE(F1355," ","")),"")</f>
        <v/>
      </c>
      <c r="K1355" s="8">
        <f>IF(C1355&lt;&gt;"",HYPERLINK("https://wa.me/507"&amp;REGEXREPLACE(C1355,"[^0-9]","")&amp;"?text="&amp;ENCODEURL("Ya llegue. Codigo: "&amp;A1355&amp;". Ubicacion: "&amp;"https://www.google.com/maps/search/?api=1&amp;query="&amp;SUBSTITUTE(F1355," ","")),"📲 Avisar al cliente"),"")</f>
        <v/>
      </c>
      <c r="L1355" s="8">
        <f>IF(C1355&lt;&gt;"","https://api.qrserver.com/v1/create-qr-code/?size=200x200&amp;data="&amp;ENCODEURL("https://wa.me/507"&amp;REGEXREPLACE(C1355,"[^0-9]","")&amp;"?text="&amp;ENCODEURL("Ya llegue. Codigo: "&amp;A1355&amp;". Ubicacion: "&amp;"https://www.google.com/maps/search/?api=1&amp;query="&amp;SUBSTITUTE(F1355," ",""))),"")</f>
        <v/>
      </c>
      <c r="M1355" s="8">
        <f>IF(B1355&lt;&gt;"",TODAY(),"")</f>
        <v/>
      </c>
      <c r="N1355" s="8">
        <f>IF(F1355&lt;&gt;"",IFERROR(IF(AND(REGEXMATCH(SUBSTITUTE(TRIM(F1355)," ",""),"^-?\d+(\.\d+)?,-?\d+(\.\d+)?$"),VALUE(REGEXEXTRACT(SUBSTITUTE(TRIM(F1355)," ",""),"^-?\d+(\.\d+)?"))&gt;=-90,VALUE(REGEXEXTRACT(SUBSTITUTE(TRIM(F1355)," ",""),"^-?\d+(\.\d+)?"))&lt;=90,VALUE(REGEXEXTRACT(SUBSTITUTE(TRIM(F1355)," ",""),"-?\d+(\.\d+)?$"))&gt;=-180,VALUE(REGEXEXTRACT(SUBSTITUTE(TRIM(F1355)," ",""),"-?\d+(\.\d+)?$"))&lt;=180),"OK","REVISAR"),"REVISAR"),"")</f>
        <v/>
      </c>
      <c r="O1355">
        <f>IF(A1355&lt;&gt;"","https://direcciones507.github.io/direcciones507/panel.html?codigo="&amp;A1355&amp;"&amp;nombre="&amp;ENCODEURL(B1355)&amp;"&amp;telefono="&amp;SUBSTITUTE(C1355,"-","")&amp;"&amp;referencia="&amp;ENCODEURL(E1355)&amp;"&amp;lat="&amp;IZQUIERDA(SUBSTITUTE(F1355," ",""),ENCONTRAR(",",SUBSTITUTE(F1355," ",""))-1)&amp;"&amp;lng="&amp;DERECHA(SUBSTITUTE(F1355," ",""),LARGO(SUBSTITUTE(F1355," ",""))-ENCONTRAR(",",SUBSTITUTE(F1355," ",""))),"")</f>
        <v/>
      </c>
    </row>
    <row r="1356" ht="15.75" customHeight="1" s="10">
      <c r="A1356" s="8">
        <f>CONCAT("AD507-",TEXT(ROW()-2,"0000"))</f>
        <v/>
      </c>
      <c r="C1356" s="8" t="n"/>
      <c r="F1356" s="8" t="n"/>
      <c r="G1356" s="8">
        <f>IF(F1356&lt;&gt;"",HYPERLINK("https://www.google.com/maps/search/?api=1&amp;query="&amp;SUBSTITUTE(F1356," ",""),"🗺 Google Maps"),"")</f>
        <v/>
      </c>
      <c r="H1356" s="8">
        <f>IF(F1356&lt;&gt;"",HYPERLINK("https://waze.com/ul?ll="&amp;SUBSTITUTE(F1356," ","")&amp;"&amp;navigate=yes","🚗 Waze"),"")</f>
        <v/>
      </c>
      <c r="I1356" s="8">
        <f>IF(F1356&lt;&gt;"",HYPERLINK("https://m.uber.com/ul/?action=setPickup&amp;pickup=my_location&amp;dropoff[latitude]="&amp;LEFT(SUBSTITUTE(F1356," ",""),FIND(",",SUBSTITUTE(F1356," ",""))-1)&amp;"&amp;dropoff[longitude]="&amp;MID(SUBSTITUTE(F1356," ",""),FIND(",",SUBSTITUTE(F1356," ",""))+1,99),"🚕 Uber"),"")</f>
        <v/>
      </c>
      <c r="J1356" s="8">
        <f>IF(F1356&lt;&gt;"","https://api.qrserver.com/v1/create-qr-code/?size=200x200&amp;data="&amp;ENCODEURL("https://www.google.com/maps/search/?api=1&amp;query="&amp;SUBSTITUTE(F1356," ","")),"")</f>
        <v/>
      </c>
      <c r="K1356" s="8">
        <f>IF(C1356&lt;&gt;"",HYPERLINK("https://wa.me/507"&amp;REGEXREPLACE(C1356,"[^0-9]","")&amp;"?text="&amp;ENCODEURL("Ya llegue. Codigo: "&amp;A1356&amp;". Ubicacion: "&amp;"https://www.google.com/maps/search/?api=1&amp;query="&amp;SUBSTITUTE(F1356," ","")),"📲 Avisar al cliente"),"")</f>
        <v/>
      </c>
      <c r="L1356" s="8">
        <f>IF(C1356&lt;&gt;"","https://api.qrserver.com/v1/create-qr-code/?size=200x200&amp;data="&amp;ENCODEURL("https://wa.me/507"&amp;REGEXREPLACE(C1356,"[^0-9]","")&amp;"?text="&amp;ENCODEURL("Ya llegue. Codigo: "&amp;A1356&amp;". Ubicacion: "&amp;"https://www.google.com/maps/search/?api=1&amp;query="&amp;SUBSTITUTE(F1356," ",""))),"")</f>
        <v/>
      </c>
      <c r="M1356" s="8">
        <f>IF(B1356&lt;&gt;"",TODAY(),"")</f>
        <v/>
      </c>
      <c r="N1356" s="8">
        <f>IF(F1356&lt;&gt;"",IFERROR(IF(AND(REGEXMATCH(SUBSTITUTE(TRIM(F1356)," ",""),"^-?\d+(\.\d+)?,-?\d+(\.\d+)?$"),VALUE(REGEXEXTRACT(SUBSTITUTE(TRIM(F1356)," ",""),"^-?\d+(\.\d+)?"))&gt;=-90,VALUE(REGEXEXTRACT(SUBSTITUTE(TRIM(F1356)," ",""),"^-?\d+(\.\d+)?"))&lt;=90,VALUE(REGEXEXTRACT(SUBSTITUTE(TRIM(F1356)," ",""),"-?\d+(\.\d+)?$"))&gt;=-180,VALUE(REGEXEXTRACT(SUBSTITUTE(TRIM(F1356)," ",""),"-?\d+(\.\d+)?$"))&lt;=180),"OK","REVISAR"),"REVISAR"),"")</f>
        <v/>
      </c>
      <c r="O1356">
        <f>IF(A1356&lt;&gt;"","https://direcciones507.github.io/direcciones507/panel.html?codigo="&amp;A1356&amp;"&amp;nombre="&amp;ENCODEURL(B1356)&amp;"&amp;telefono="&amp;SUBSTITUTE(C1356,"-","")&amp;"&amp;referencia="&amp;ENCODEURL(E1356)&amp;"&amp;lat="&amp;IZQUIERDA(SUBSTITUTE(F1356," ",""),ENCONTRAR(",",SUBSTITUTE(F1356," ",""))-1)&amp;"&amp;lng="&amp;DERECHA(SUBSTITUTE(F1356," ",""),LARGO(SUBSTITUTE(F1356," ",""))-ENCONTRAR(",",SUBSTITUTE(F1356," ",""))),"")</f>
        <v/>
      </c>
    </row>
    <row r="1357" ht="15.75" customHeight="1" s="10">
      <c r="A1357" s="8">
        <f>CONCAT("AD507-",TEXT(ROW()-2,"0000"))</f>
        <v/>
      </c>
      <c r="C1357" s="8" t="n"/>
      <c r="F1357" s="8" t="n"/>
      <c r="G1357" s="8">
        <f>IF(F1357&lt;&gt;"",HYPERLINK("https://www.google.com/maps/search/?api=1&amp;query="&amp;SUBSTITUTE(F1357," ",""),"🗺 Google Maps"),"")</f>
        <v/>
      </c>
      <c r="H1357" s="8">
        <f>IF(F1357&lt;&gt;"",HYPERLINK("https://waze.com/ul?ll="&amp;SUBSTITUTE(F1357," ","")&amp;"&amp;navigate=yes","🚗 Waze"),"")</f>
        <v/>
      </c>
      <c r="I1357" s="8">
        <f>IF(F1357&lt;&gt;"",HYPERLINK("https://m.uber.com/ul/?action=setPickup&amp;pickup=my_location&amp;dropoff[latitude]="&amp;LEFT(SUBSTITUTE(F1357," ",""),FIND(",",SUBSTITUTE(F1357," ",""))-1)&amp;"&amp;dropoff[longitude]="&amp;MID(SUBSTITUTE(F1357," ",""),FIND(",",SUBSTITUTE(F1357," ",""))+1,99),"🚕 Uber"),"")</f>
        <v/>
      </c>
      <c r="J1357" s="8">
        <f>IF(F1357&lt;&gt;"","https://api.qrserver.com/v1/create-qr-code/?size=200x200&amp;data="&amp;ENCODEURL("https://www.google.com/maps/search/?api=1&amp;query="&amp;SUBSTITUTE(F1357," ","")),"")</f>
        <v/>
      </c>
      <c r="K1357" s="8">
        <f>IF(C1357&lt;&gt;"",HYPERLINK("https://wa.me/507"&amp;REGEXREPLACE(C1357,"[^0-9]","")&amp;"?text="&amp;ENCODEURL("Ya llegue. Codigo: "&amp;A1357&amp;". Ubicacion: "&amp;"https://www.google.com/maps/search/?api=1&amp;query="&amp;SUBSTITUTE(F1357," ","")),"📲 Avisar al cliente"),"")</f>
        <v/>
      </c>
      <c r="L1357" s="8">
        <f>IF(C1357&lt;&gt;"","https://api.qrserver.com/v1/create-qr-code/?size=200x200&amp;data="&amp;ENCODEURL("https://wa.me/507"&amp;REGEXREPLACE(C1357,"[^0-9]","")&amp;"?text="&amp;ENCODEURL("Ya llegue. Codigo: "&amp;A1357&amp;". Ubicacion: "&amp;"https://www.google.com/maps/search/?api=1&amp;query="&amp;SUBSTITUTE(F1357," ",""))),"")</f>
        <v/>
      </c>
      <c r="M1357" s="8">
        <f>IF(B1357&lt;&gt;"",TODAY(),"")</f>
        <v/>
      </c>
      <c r="N1357" s="8">
        <f>IF(F1357&lt;&gt;"",IFERROR(IF(AND(REGEXMATCH(SUBSTITUTE(TRIM(F1357)," ",""),"^-?\d+(\.\d+)?,-?\d+(\.\d+)?$"),VALUE(REGEXEXTRACT(SUBSTITUTE(TRIM(F1357)," ",""),"^-?\d+(\.\d+)?"))&gt;=-90,VALUE(REGEXEXTRACT(SUBSTITUTE(TRIM(F1357)," ",""),"^-?\d+(\.\d+)?"))&lt;=90,VALUE(REGEXEXTRACT(SUBSTITUTE(TRIM(F1357)," ",""),"-?\d+(\.\d+)?$"))&gt;=-180,VALUE(REGEXEXTRACT(SUBSTITUTE(TRIM(F1357)," ",""),"-?\d+(\.\d+)?$"))&lt;=180),"OK","REVISAR"),"REVISAR"),"")</f>
        <v/>
      </c>
      <c r="O1357">
        <f>IF(A1357&lt;&gt;"","https://direcciones507.github.io/direcciones507/panel.html?codigo="&amp;A1357&amp;"&amp;nombre="&amp;ENCODEURL(B1357)&amp;"&amp;telefono="&amp;SUBSTITUTE(C1357,"-","")&amp;"&amp;referencia="&amp;ENCODEURL(E1357)&amp;"&amp;lat="&amp;IZQUIERDA(SUBSTITUTE(F1357," ",""),ENCONTRAR(",",SUBSTITUTE(F1357," ",""))-1)&amp;"&amp;lng="&amp;DERECHA(SUBSTITUTE(F1357," ",""),LARGO(SUBSTITUTE(F1357," ",""))-ENCONTRAR(",",SUBSTITUTE(F1357," ",""))),"")</f>
        <v/>
      </c>
    </row>
    <row r="1358" ht="15.75" customHeight="1" s="10">
      <c r="A1358" s="8">
        <f>CONCAT("AD507-",TEXT(ROW()-2,"0000"))</f>
        <v/>
      </c>
      <c r="C1358" s="8" t="n"/>
      <c r="F1358" s="8" t="n"/>
      <c r="G1358" s="8">
        <f>IF(F1358&lt;&gt;"",HYPERLINK("https://www.google.com/maps/search/?api=1&amp;query="&amp;SUBSTITUTE(F1358," ",""),"🗺 Google Maps"),"")</f>
        <v/>
      </c>
      <c r="H1358" s="8">
        <f>IF(F1358&lt;&gt;"",HYPERLINK("https://waze.com/ul?ll="&amp;SUBSTITUTE(F1358," ","")&amp;"&amp;navigate=yes","🚗 Waze"),"")</f>
        <v/>
      </c>
      <c r="I1358" s="8">
        <f>IF(F1358&lt;&gt;"",HYPERLINK("https://m.uber.com/ul/?action=setPickup&amp;pickup=my_location&amp;dropoff[latitude]="&amp;LEFT(SUBSTITUTE(F1358," ",""),FIND(",",SUBSTITUTE(F1358," ",""))-1)&amp;"&amp;dropoff[longitude]="&amp;MID(SUBSTITUTE(F1358," ",""),FIND(",",SUBSTITUTE(F1358," ",""))+1,99),"🚕 Uber"),"")</f>
        <v/>
      </c>
      <c r="J1358" s="8">
        <f>IF(F1358&lt;&gt;"","https://api.qrserver.com/v1/create-qr-code/?size=200x200&amp;data="&amp;ENCODEURL("https://www.google.com/maps/search/?api=1&amp;query="&amp;SUBSTITUTE(F1358," ","")),"")</f>
        <v/>
      </c>
      <c r="K1358" s="8">
        <f>IF(C1358&lt;&gt;"",HYPERLINK("https://wa.me/507"&amp;REGEXREPLACE(C1358,"[^0-9]","")&amp;"?text="&amp;ENCODEURL("Ya llegue. Codigo: "&amp;A1358&amp;". Ubicacion: "&amp;"https://www.google.com/maps/search/?api=1&amp;query="&amp;SUBSTITUTE(F1358," ","")),"📲 Avisar al cliente"),"")</f>
        <v/>
      </c>
      <c r="L1358" s="8">
        <f>IF(C1358&lt;&gt;"","https://api.qrserver.com/v1/create-qr-code/?size=200x200&amp;data="&amp;ENCODEURL("https://wa.me/507"&amp;REGEXREPLACE(C1358,"[^0-9]","")&amp;"?text="&amp;ENCODEURL("Ya llegue. Codigo: "&amp;A1358&amp;". Ubicacion: "&amp;"https://www.google.com/maps/search/?api=1&amp;query="&amp;SUBSTITUTE(F1358," ",""))),"")</f>
        <v/>
      </c>
      <c r="M1358" s="8">
        <f>IF(B1358&lt;&gt;"",TODAY(),"")</f>
        <v/>
      </c>
      <c r="N1358" s="8">
        <f>IF(F1358&lt;&gt;"",IFERROR(IF(AND(REGEXMATCH(SUBSTITUTE(TRIM(F1358)," ",""),"^-?\d+(\.\d+)?,-?\d+(\.\d+)?$"),VALUE(REGEXEXTRACT(SUBSTITUTE(TRIM(F1358)," ",""),"^-?\d+(\.\d+)?"))&gt;=-90,VALUE(REGEXEXTRACT(SUBSTITUTE(TRIM(F1358)," ",""),"^-?\d+(\.\d+)?"))&lt;=90,VALUE(REGEXEXTRACT(SUBSTITUTE(TRIM(F1358)," ",""),"-?\d+(\.\d+)?$"))&gt;=-180,VALUE(REGEXEXTRACT(SUBSTITUTE(TRIM(F1358)," ",""),"-?\d+(\.\d+)?$"))&lt;=180),"OK","REVISAR"),"REVISAR"),"")</f>
        <v/>
      </c>
      <c r="O1358">
        <f>IF(A1358&lt;&gt;"","https://direcciones507.github.io/direcciones507/panel.html?codigo="&amp;A1358&amp;"&amp;nombre="&amp;ENCODEURL(B1358)&amp;"&amp;telefono="&amp;SUBSTITUTE(C1358,"-","")&amp;"&amp;referencia="&amp;ENCODEURL(E1358)&amp;"&amp;lat="&amp;IZQUIERDA(SUBSTITUTE(F1358," ",""),ENCONTRAR(",",SUBSTITUTE(F1358," ",""))-1)&amp;"&amp;lng="&amp;DERECHA(SUBSTITUTE(F1358," ",""),LARGO(SUBSTITUTE(F1358," ",""))-ENCONTRAR(",",SUBSTITUTE(F1358," ",""))),"")</f>
        <v/>
      </c>
    </row>
    <row r="1359" ht="15.75" customHeight="1" s="10">
      <c r="A1359" s="8">
        <f>CONCAT("AD507-",TEXT(ROW()-2,"0000"))</f>
        <v/>
      </c>
      <c r="C1359" s="8" t="n"/>
      <c r="F1359" s="8" t="n"/>
      <c r="G1359" s="8">
        <f>IF(F1359&lt;&gt;"",HYPERLINK("https://www.google.com/maps/search/?api=1&amp;query="&amp;SUBSTITUTE(F1359," ",""),"🗺 Google Maps"),"")</f>
        <v/>
      </c>
      <c r="H1359" s="8">
        <f>IF(F1359&lt;&gt;"",HYPERLINK("https://waze.com/ul?ll="&amp;SUBSTITUTE(F1359," ","")&amp;"&amp;navigate=yes","🚗 Waze"),"")</f>
        <v/>
      </c>
      <c r="I1359" s="8">
        <f>IF(F1359&lt;&gt;"",HYPERLINK("https://m.uber.com/ul/?action=setPickup&amp;pickup=my_location&amp;dropoff[latitude]="&amp;LEFT(SUBSTITUTE(F1359," ",""),FIND(",",SUBSTITUTE(F1359," ",""))-1)&amp;"&amp;dropoff[longitude]="&amp;MID(SUBSTITUTE(F1359," ",""),FIND(",",SUBSTITUTE(F1359," ",""))+1,99),"🚕 Uber"),"")</f>
        <v/>
      </c>
      <c r="J1359" s="8">
        <f>IF(F1359&lt;&gt;"","https://api.qrserver.com/v1/create-qr-code/?size=200x200&amp;data="&amp;ENCODEURL("https://www.google.com/maps/search/?api=1&amp;query="&amp;SUBSTITUTE(F1359," ","")),"")</f>
        <v/>
      </c>
      <c r="K1359" s="8">
        <f>IF(C1359&lt;&gt;"",HYPERLINK("https://wa.me/507"&amp;REGEXREPLACE(C1359,"[^0-9]","")&amp;"?text="&amp;ENCODEURL("Ya llegue. Codigo: "&amp;A1359&amp;". Ubicacion: "&amp;"https://www.google.com/maps/search/?api=1&amp;query="&amp;SUBSTITUTE(F1359," ","")),"📲 Avisar al cliente"),"")</f>
        <v/>
      </c>
      <c r="L1359" s="8">
        <f>IF(C1359&lt;&gt;"","https://api.qrserver.com/v1/create-qr-code/?size=200x200&amp;data="&amp;ENCODEURL("https://wa.me/507"&amp;REGEXREPLACE(C1359,"[^0-9]","")&amp;"?text="&amp;ENCODEURL("Ya llegue. Codigo: "&amp;A1359&amp;". Ubicacion: "&amp;"https://www.google.com/maps/search/?api=1&amp;query="&amp;SUBSTITUTE(F1359," ",""))),"")</f>
        <v/>
      </c>
      <c r="M1359" s="8">
        <f>IF(B1359&lt;&gt;"",TODAY(),"")</f>
        <v/>
      </c>
      <c r="N1359" s="8">
        <f>IF(F1359&lt;&gt;"",IFERROR(IF(AND(REGEXMATCH(SUBSTITUTE(TRIM(F1359)," ",""),"^-?\d+(\.\d+)?,-?\d+(\.\d+)?$"),VALUE(REGEXEXTRACT(SUBSTITUTE(TRIM(F1359)," ",""),"^-?\d+(\.\d+)?"))&gt;=-90,VALUE(REGEXEXTRACT(SUBSTITUTE(TRIM(F1359)," ",""),"^-?\d+(\.\d+)?"))&lt;=90,VALUE(REGEXEXTRACT(SUBSTITUTE(TRIM(F1359)," ",""),"-?\d+(\.\d+)?$"))&gt;=-180,VALUE(REGEXEXTRACT(SUBSTITUTE(TRIM(F1359)," ",""),"-?\d+(\.\d+)?$"))&lt;=180),"OK","REVISAR"),"REVISAR"),"")</f>
        <v/>
      </c>
      <c r="O1359">
        <f>IF(A1359&lt;&gt;"","https://direcciones507.github.io/direcciones507/panel.html?codigo="&amp;A1359&amp;"&amp;nombre="&amp;ENCODEURL(B1359)&amp;"&amp;telefono="&amp;SUBSTITUTE(C1359,"-","")&amp;"&amp;referencia="&amp;ENCODEURL(E1359)&amp;"&amp;lat="&amp;IZQUIERDA(SUBSTITUTE(F1359," ",""),ENCONTRAR(",",SUBSTITUTE(F1359," ",""))-1)&amp;"&amp;lng="&amp;DERECHA(SUBSTITUTE(F1359," ",""),LARGO(SUBSTITUTE(F1359," ",""))-ENCONTRAR(",",SUBSTITUTE(F1359," ",""))),"")</f>
        <v/>
      </c>
    </row>
    <row r="1360" ht="15.75" customHeight="1" s="10">
      <c r="A1360" s="8">
        <f>CONCAT("AD507-",TEXT(ROW()-2,"0000"))</f>
        <v/>
      </c>
      <c r="C1360" s="8" t="n"/>
      <c r="F1360" s="8" t="n"/>
      <c r="G1360" s="8">
        <f>IF(F1360&lt;&gt;"",HYPERLINK("https://www.google.com/maps/search/?api=1&amp;query="&amp;SUBSTITUTE(F1360," ",""),"🗺 Google Maps"),"")</f>
        <v/>
      </c>
      <c r="H1360" s="8">
        <f>IF(F1360&lt;&gt;"",HYPERLINK("https://waze.com/ul?ll="&amp;SUBSTITUTE(F1360," ","")&amp;"&amp;navigate=yes","🚗 Waze"),"")</f>
        <v/>
      </c>
      <c r="I1360" s="8">
        <f>IF(F1360&lt;&gt;"",HYPERLINK("https://m.uber.com/ul/?action=setPickup&amp;pickup=my_location&amp;dropoff[latitude]="&amp;LEFT(SUBSTITUTE(F1360," ",""),FIND(",",SUBSTITUTE(F1360," ",""))-1)&amp;"&amp;dropoff[longitude]="&amp;MID(SUBSTITUTE(F1360," ",""),FIND(",",SUBSTITUTE(F1360," ",""))+1,99),"🚕 Uber"),"")</f>
        <v/>
      </c>
      <c r="J1360" s="8">
        <f>IF(F1360&lt;&gt;"","https://api.qrserver.com/v1/create-qr-code/?size=200x200&amp;data="&amp;ENCODEURL("https://www.google.com/maps/search/?api=1&amp;query="&amp;SUBSTITUTE(F1360," ","")),"")</f>
        <v/>
      </c>
      <c r="K1360" s="8">
        <f>IF(C1360&lt;&gt;"",HYPERLINK("https://wa.me/507"&amp;REGEXREPLACE(C1360,"[^0-9]","")&amp;"?text="&amp;ENCODEURL("Ya llegue. Codigo: "&amp;A1360&amp;". Ubicacion: "&amp;"https://www.google.com/maps/search/?api=1&amp;query="&amp;SUBSTITUTE(F1360," ","")),"📲 Avisar al cliente"),"")</f>
        <v/>
      </c>
      <c r="L1360" s="8">
        <f>IF(C1360&lt;&gt;"","https://api.qrserver.com/v1/create-qr-code/?size=200x200&amp;data="&amp;ENCODEURL("https://wa.me/507"&amp;REGEXREPLACE(C1360,"[^0-9]","")&amp;"?text="&amp;ENCODEURL("Ya llegue. Codigo: "&amp;A1360&amp;". Ubicacion: "&amp;"https://www.google.com/maps/search/?api=1&amp;query="&amp;SUBSTITUTE(F1360," ",""))),"")</f>
        <v/>
      </c>
      <c r="M1360" s="8">
        <f>IF(B1360&lt;&gt;"",TODAY(),"")</f>
        <v/>
      </c>
      <c r="N1360" s="8">
        <f>IF(F1360&lt;&gt;"",IFERROR(IF(AND(REGEXMATCH(SUBSTITUTE(TRIM(F1360)," ",""),"^-?\d+(\.\d+)?,-?\d+(\.\d+)?$"),VALUE(REGEXEXTRACT(SUBSTITUTE(TRIM(F1360)," ",""),"^-?\d+(\.\d+)?"))&gt;=-90,VALUE(REGEXEXTRACT(SUBSTITUTE(TRIM(F1360)," ",""),"^-?\d+(\.\d+)?"))&lt;=90,VALUE(REGEXEXTRACT(SUBSTITUTE(TRIM(F1360)," ",""),"-?\d+(\.\d+)?$"))&gt;=-180,VALUE(REGEXEXTRACT(SUBSTITUTE(TRIM(F1360)," ",""),"-?\d+(\.\d+)?$"))&lt;=180),"OK","REVISAR"),"REVISAR"),"")</f>
        <v/>
      </c>
      <c r="O1360">
        <f>IF(A1360&lt;&gt;"","https://direcciones507.github.io/direcciones507/panel.html?codigo="&amp;A1360&amp;"&amp;nombre="&amp;ENCODEURL(B1360)&amp;"&amp;telefono="&amp;SUBSTITUTE(C1360,"-","")&amp;"&amp;referencia="&amp;ENCODEURL(E1360)&amp;"&amp;lat="&amp;IZQUIERDA(SUBSTITUTE(F1360," ",""),ENCONTRAR(",",SUBSTITUTE(F1360," ",""))-1)&amp;"&amp;lng="&amp;DERECHA(SUBSTITUTE(F1360," ",""),LARGO(SUBSTITUTE(F1360," ",""))-ENCONTRAR(",",SUBSTITUTE(F1360," ",""))),"")</f>
        <v/>
      </c>
    </row>
    <row r="1361" ht="15.75" customHeight="1" s="10">
      <c r="A1361" s="8">
        <f>CONCAT("AD507-",TEXT(ROW()-2,"0000"))</f>
        <v/>
      </c>
      <c r="C1361" s="8" t="n"/>
      <c r="F1361" s="8" t="n"/>
      <c r="G1361" s="8">
        <f>IF(F1361&lt;&gt;"",HYPERLINK("https://www.google.com/maps/search/?api=1&amp;query="&amp;SUBSTITUTE(F1361," ",""),"🗺 Google Maps"),"")</f>
        <v/>
      </c>
      <c r="H1361" s="8">
        <f>IF(F1361&lt;&gt;"",HYPERLINK("https://waze.com/ul?ll="&amp;SUBSTITUTE(F1361," ","")&amp;"&amp;navigate=yes","🚗 Waze"),"")</f>
        <v/>
      </c>
      <c r="I1361" s="8">
        <f>IF(F1361&lt;&gt;"",HYPERLINK("https://m.uber.com/ul/?action=setPickup&amp;pickup=my_location&amp;dropoff[latitude]="&amp;LEFT(SUBSTITUTE(F1361," ",""),FIND(",",SUBSTITUTE(F1361," ",""))-1)&amp;"&amp;dropoff[longitude]="&amp;MID(SUBSTITUTE(F1361," ",""),FIND(",",SUBSTITUTE(F1361," ",""))+1,99),"🚕 Uber"),"")</f>
        <v/>
      </c>
      <c r="J1361" s="8">
        <f>IF(F1361&lt;&gt;"","https://api.qrserver.com/v1/create-qr-code/?size=200x200&amp;data="&amp;ENCODEURL("https://www.google.com/maps/search/?api=1&amp;query="&amp;SUBSTITUTE(F1361," ","")),"")</f>
        <v/>
      </c>
      <c r="K1361" s="8">
        <f>IF(C1361&lt;&gt;"",HYPERLINK("https://wa.me/507"&amp;REGEXREPLACE(C1361,"[^0-9]","")&amp;"?text="&amp;ENCODEURL("Ya llegue. Codigo: "&amp;A1361&amp;". Ubicacion: "&amp;"https://www.google.com/maps/search/?api=1&amp;query="&amp;SUBSTITUTE(F1361," ","")),"📲 Avisar al cliente"),"")</f>
        <v/>
      </c>
      <c r="L1361" s="8">
        <f>IF(C1361&lt;&gt;"","https://api.qrserver.com/v1/create-qr-code/?size=200x200&amp;data="&amp;ENCODEURL("https://wa.me/507"&amp;REGEXREPLACE(C1361,"[^0-9]","")&amp;"?text="&amp;ENCODEURL("Ya llegue. Codigo: "&amp;A1361&amp;". Ubicacion: "&amp;"https://www.google.com/maps/search/?api=1&amp;query="&amp;SUBSTITUTE(F1361," ",""))),"")</f>
        <v/>
      </c>
      <c r="M1361" s="8">
        <f>IF(B1361&lt;&gt;"",TODAY(),"")</f>
        <v/>
      </c>
      <c r="N1361" s="8">
        <f>IF(F1361&lt;&gt;"",IFERROR(IF(AND(REGEXMATCH(SUBSTITUTE(TRIM(F1361)," ",""),"^-?\d+(\.\d+)?,-?\d+(\.\d+)?$"),VALUE(REGEXEXTRACT(SUBSTITUTE(TRIM(F1361)," ",""),"^-?\d+(\.\d+)?"))&gt;=-90,VALUE(REGEXEXTRACT(SUBSTITUTE(TRIM(F1361)," ",""),"^-?\d+(\.\d+)?"))&lt;=90,VALUE(REGEXEXTRACT(SUBSTITUTE(TRIM(F1361)," ",""),"-?\d+(\.\d+)?$"))&gt;=-180,VALUE(REGEXEXTRACT(SUBSTITUTE(TRIM(F1361)," ",""),"-?\d+(\.\d+)?$"))&lt;=180),"OK","REVISAR"),"REVISAR"),"")</f>
        <v/>
      </c>
      <c r="O1361">
        <f>IF(A1361&lt;&gt;"","https://direcciones507.github.io/direcciones507/panel.html?codigo="&amp;A1361&amp;"&amp;nombre="&amp;ENCODEURL(B1361)&amp;"&amp;telefono="&amp;SUBSTITUTE(C1361,"-","")&amp;"&amp;referencia="&amp;ENCODEURL(E1361)&amp;"&amp;lat="&amp;IZQUIERDA(SUBSTITUTE(F1361," ",""),ENCONTRAR(",",SUBSTITUTE(F1361," ",""))-1)&amp;"&amp;lng="&amp;DERECHA(SUBSTITUTE(F1361," ",""),LARGO(SUBSTITUTE(F1361," ",""))-ENCONTRAR(",",SUBSTITUTE(F1361," ",""))),"")</f>
        <v/>
      </c>
    </row>
    <row r="1362" ht="15.75" customHeight="1" s="10">
      <c r="A1362" s="8">
        <f>CONCAT("AD507-",TEXT(ROW()-2,"0000"))</f>
        <v/>
      </c>
      <c r="C1362" s="8" t="n"/>
      <c r="F1362" s="8" t="n"/>
      <c r="G1362" s="8">
        <f>IF(F1362&lt;&gt;"",HYPERLINK("https://www.google.com/maps/search/?api=1&amp;query="&amp;SUBSTITUTE(F1362," ",""),"🗺 Google Maps"),"")</f>
        <v/>
      </c>
      <c r="H1362" s="8">
        <f>IF(F1362&lt;&gt;"",HYPERLINK("https://waze.com/ul?ll="&amp;SUBSTITUTE(F1362," ","")&amp;"&amp;navigate=yes","🚗 Waze"),"")</f>
        <v/>
      </c>
      <c r="I1362" s="8">
        <f>IF(F1362&lt;&gt;"",HYPERLINK("https://m.uber.com/ul/?action=setPickup&amp;pickup=my_location&amp;dropoff[latitude]="&amp;LEFT(SUBSTITUTE(F1362," ",""),FIND(",",SUBSTITUTE(F1362," ",""))-1)&amp;"&amp;dropoff[longitude]="&amp;MID(SUBSTITUTE(F1362," ",""),FIND(",",SUBSTITUTE(F1362," ",""))+1,99),"🚕 Uber"),"")</f>
        <v/>
      </c>
      <c r="J1362" s="8">
        <f>IF(F1362&lt;&gt;"","https://api.qrserver.com/v1/create-qr-code/?size=200x200&amp;data="&amp;ENCODEURL("https://www.google.com/maps/search/?api=1&amp;query="&amp;SUBSTITUTE(F1362," ","")),"")</f>
        <v/>
      </c>
      <c r="K1362" s="8">
        <f>IF(C1362&lt;&gt;"",HYPERLINK("https://wa.me/507"&amp;REGEXREPLACE(C1362,"[^0-9]","")&amp;"?text="&amp;ENCODEURL("Ya llegue. Codigo: "&amp;A1362&amp;". Ubicacion: "&amp;"https://www.google.com/maps/search/?api=1&amp;query="&amp;SUBSTITUTE(F1362," ","")),"📲 Avisar al cliente"),"")</f>
        <v/>
      </c>
      <c r="L1362" s="8">
        <f>IF(C1362&lt;&gt;"","https://api.qrserver.com/v1/create-qr-code/?size=200x200&amp;data="&amp;ENCODEURL("https://wa.me/507"&amp;REGEXREPLACE(C1362,"[^0-9]","")&amp;"?text="&amp;ENCODEURL("Ya llegue. Codigo: "&amp;A1362&amp;". Ubicacion: "&amp;"https://www.google.com/maps/search/?api=1&amp;query="&amp;SUBSTITUTE(F1362," ",""))),"")</f>
        <v/>
      </c>
      <c r="M1362" s="8">
        <f>IF(B1362&lt;&gt;"",TODAY(),"")</f>
        <v/>
      </c>
      <c r="N1362" s="8">
        <f>IF(F1362&lt;&gt;"",IFERROR(IF(AND(REGEXMATCH(SUBSTITUTE(TRIM(F1362)," ",""),"^-?\d+(\.\d+)?,-?\d+(\.\d+)?$"),VALUE(REGEXEXTRACT(SUBSTITUTE(TRIM(F1362)," ",""),"^-?\d+(\.\d+)?"))&gt;=-90,VALUE(REGEXEXTRACT(SUBSTITUTE(TRIM(F1362)," ",""),"^-?\d+(\.\d+)?"))&lt;=90,VALUE(REGEXEXTRACT(SUBSTITUTE(TRIM(F1362)," ",""),"-?\d+(\.\d+)?$"))&gt;=-180,VALUE(REGEXEXTRACT(SUBSTITUTE(TRIM(F1362)," ",""),"-?\d+(\.\d+)?$"))&lt;=180),"OK","REVISAR"),"REVISAR"),"")</f>
        <v/>
      </c>
      <c r="O1362">
        <f>IF(A1362&lt;&gt;"","https://direcciones507.github.io/direcciones507/panel.html?codigo="&amp;A1362&amp;"&amp;nombre="&amp;ENCODEURL(B1362)&amp;"&amp;telefono="&amp;SUBSTITUTE(C1362,"-","")&amp;"&amp;referencia="&amp;ENCODEURL(E1362)&amp;"&amp;lat="&amp;IZQUIERDA(SUBSTITUTE(F1362," ",""),ENCONTRAR(",",SUBSTITUTE(F1362," ",""))-1)&amp;"&amp;lng="&amp;DERECHA(SUBSTITUTE(F1362," ",""),LARGO(SUBSTITUTE(F1362," ",""))-ENCONTRAR(",",SUBSTITUTE(F1362," ",""))),"")</f>
        <v/>
      </c>
    </row>
    <row r="1363" ht="15.75" customHeight="1" s="10">
      <c r="A1363" s="8">
        <f>CONCAT("AD507-",TEXT(ROW()-2,"0000"))</f>
        <v/>
      </c>
      <c r="C1363" s="8" t="n"/>
      <c r="F1363" s="8" t="n"/>
      <c r="G1363" s="8">
        <f>IF(F1363&lt;&gt;"",HYPERLINK("https://www.google.com/maps/search/?api=1&amp;query="&amp;SUBSTITUTE(F1363," ",""),"🗺 Google Maps"),"")</f>
        <v/>
      </c>
      <c r="H1363" s="8">
        <f>IF(F1363&lt;&gt;"",HYPERLINK("https://waze.com/ul?ll="&amp;SUBSTITUTE(F1363," ","")&amp;"&amp;navigate=yes","🚗 Waze"),"")</f>
        <v/>
      </c>
      <c r="I1363" s="8">
        <f>IF(F1363&lt;&gt;"",HYPERLINK("https://m.uber.com/ul/?action=setPickup&amp;pickup=my_location&amp;dropoff[latitude]="&amp;LEFT(SUBSTITUTE(F1363," ",""),FIND(",",SUBSTITUTE(F1363," ",""))-1)&amp;"&amp;dropoff[longitude]="&amp;MID(SUBSTITUTE(F1363," ",""),FIND(",",SUBSTITUTE(F1363," ",""))+1,99),"🚕 Uber"),"")</f>
        <v/>
      </c>
      <c r="J1363" s="8">
        <f>IF(F1363&lt;&gt;"","https://api.qrserver.com/v1/create-qr-code/?size=200x200&amp;data="&amp;ENCODEURL("https://www.google.com/maps/search/?api=1&amp;query="&amp;SUBSTITUTE(F1363," ","")),"")</f>
        <v/>
      </c>
      <c r="K1363" s="8">
        <f>IF(C1363&lt;&gt;"",HYPERLINK("https://wa.me/507"&amp;REGEXREPLACE(C1363,"[^0-9]","")&amp;"?text="&amp;ENCODEURL("Ya llegue. Codigo: "&amp;A1363&amp;". Ubicacion: "&amp;"https://www.google.com/maps/search/?api=1&amp;query="&amp;SUBSTITUTE(F1363," ","")),"📲 Avisar al cliente"),"")</f>
        <v/>
      </c>
      <c r="L1363" s="8">
        <f>IF(C1363&lt;&gt;"","https://api.qrserver.com/v1/create-qr-code/?size=200x200&amp;data="&amp;ENCODEURL("https://wa.me/507"&amp;REGEXREPLACE(C1363,"[^0-9]","")&amp;"?text="&amp;ENCODEURL("Ya llegue. Codigo: "&amp;A1363&amp;". Ubicacion: "&amp;"https://www.google.com/maps/search/?api=1&amp;query="&amp;SUBSTITUTE(F1363," ",""))),"")</f>
        <v/>
      </c>
      <c r="M1363" s="8">
        <f>IF(B1363&lt;&gt;"",TODAY(),"")</f>
        <v/>
      </c>
      <c r="N1363" s="8">
        <f>IF(F1363&lt;&gt;"",IFERROR(IF(AND(REGEXMATCH(SUBSTITUTE(TRIM(F1363)," ",""),"^-?\d+(\.\d+)?,-?\d+(\.\d+)?$"),VALUE(REGEXEXTRACT(SUBSTITUTE(TRIM(F1363)," ",""),"^-?\d+(\.\d+)?"))&gt;=-90,VALUE(REGEXEXTRACT(SUBSTITUTE(TRIM(F1363)," ",""),"^-?\d+(\.\d+)?"))&lt;=90,VALUE(REGEXEXTRACT(SUBSTITUTE(TRIM(F1363)," ",""),"-?\d+(\.\d+)?$"))&gt;=-180,VALUE(REGEXEXTRACT(SUBSTITUTE(TRIM(F1363)," ",""),"-?\d+(\.\d+)?$"))&lt;=180),"OK","REVISAR"),"REVISAR"),"")</f>
        <v/>
      </c>
      <c r="O1363">
        <f>IF(A1363&lt;&gt;"","https://direcciones507.github.io/direcciones507/panel.html?codigo="&amp;A1363&amp;"&amp;nombre="&amp;ENCODEURL(B1363)&amp;"&amp;telefono="&amp;SUBSTITUTE(C1363,"-","")&amp;"&amp;referencia="&amp;ENCODEURL(E1363)&amp;"&amp;lat="&amp;IZQUIERDA(SUBSTITUTE(F1363," ",""),ENCONTRAR(",",SUBSTITUTE(F1363," ",""))-1)&amp;"&amp;lng="&amp;DERECHA(SUBSTITUTE(F1363," ",""),LARGO(SUBSTITUTE(F1363," ",""))-ENCONTRAR(",",SUBSTITUTE(F1363," ",""))),"")</f>
        <v/>
      </c>
    </row>
    <row r="1364" ht="15.75" customHeight="1" s="10">
      <c r="A1364" s="8">
        <f>CONCAT("AD507-",TEXT(ROW()-2,"0000"))</f>
        <v/>
      </c>
      <c r="C1364" s="8" t="n"/>
      <c r="F1364" s="8" t="n"/>
      <c r="G1364" s="8">
        <f>IF(F1364&lt;&gt;"",HYPERLINK("https://www.google.com/maps/search/?api=1&amp;query="&amp;SUBSTITUTE(F1364," ",""),"🗺 Google Maps"),"")</f>
        <v/>
      </c>
      <c r="H1364" s="8">
        <f>IF(F1364&lt;&gt;"",HYPERLINK("https://waze.com/ul?ll="&amp;SUBSTITUTE(F1364," ","")&amp;"&amp;navigate=yes","🚗 Waze"),"")</f>
        <v/>
      </c>
      <c r="I1364" s="8">
        <f>IF(F1364&lt;&gt;"",HYPERLINK("https://m.uber.com/ul/?action=setPickup&amp;pickup=my_location&amp;dropoff[latitude]="&amp;LEFT(SUBSTITUTE(F1364," ",""),FIND(",",SUBSTITUTE(F1364," ",""))-1)&amp;"&amp;dropoff[longitude]="&amp;MID(SUBSTITUTE(F1364," ",""),FIND(",",SUBSTITUTE(F1364," ",""))+1,99),"🚕 Uber"),"")</f>
        <v/>
      </c>
      <c r="J1364" s="8">
        <f>IF(F1364&lt;&gt;"","https://api.qrserver.com/v1/create-qr-code/?size=200x200&amp;data="&amp;ENCODEURL("https://www.google.com/maps/search/?api=1&amp;query="&amp;SUBSTITUTE(F1364," ","")),"")</f>
        <v/>
      </c>
      <c r="K1364" s="8">
        <f>IF(C1364&lt;&gt;"",HYPERLINK("https://wa.me/507"&amp;REGEXREPLACE(C1364,"[^0-9]","")&amp;"?text="&amp;ENCODEURL("Ya llegue. Codigo: "&amp;A1364&amp;". Ubicacion: "&amp;"https://www.google.com/maps/search/?api=1&amp;query="&amp;SUBSTITUTE(F1364," ","")),"📲 Avisar al cliente"),"")</f>
        <v/>
      </c>
      <c r="L1364" s="8">
        <f>IF(C1364&lt;&gt;"","https://api.qrserver.com/v1/create-qr-code/?size=200x200&amp;data="&amp;ENCODEURL("https://wa.me/507"&amp;REGEXREPLACE(C1364,"[^0-9]","")&amp;"?text="&amp;ENCODEURL("Ya llegue. Codigo: "&amp;A1364&amp;". Ubicacion: "&amp;"https://www.google.com/maps/search/?api=1&amp;query="&amp;SUBSTITUTE(F1364," ",""))),"")</f>
        <v/>
      </c>
      <c r="M1364" s="8">
        <f>IF(B1364&lt;&gt;"",TODAY(),"")</f>
        <v/>
      </c>
      <c r="N1364" s="8">
        <f>IF(F1364&lt;&gt;"",IFERROR(IF(AND(REGEXMATCH(SUBSTITUTE(TRIM(F1364)," ",""),"^-?\d+(\.\d+)?,-?\d+(\.\d+)?$"),VALUE(REGEXEXTRACT(SUBSTITUTE(TRIM(F1364)," ",""),"^-?\d+(\.\d+)?"))&gt;=-90,VALUE(REGEXEXTRACT(SUBSTITUTE(TRIM(F1364)," ",""),"^-?\d+(\.\d+)?"))&lt;=90,VALUE(REGEXEXTRACT(SUBSTITUTE(TRIM(F1364)," ",""),"-?\d+(\.\d+)?$"))&gt;=-180,VALUE(REGEXEXTRACT(SUBSTITUTE(TRIM(F1364)," ",""),"-?\d+(\.\d+)?$"))&lt;=180),"OK","REVISAR"),"REVISAR"),"")</f>
        <v/>
      </c>
      <c r="O1364">
        <f>IF(A1364&lt;&gt;"","https://direcciones507.github.io/direcciones507/panel.html?codigo="&amp;A1364&amp;"&amp;nombre="&amp;ENCODEURL(B1364)&amp;"&amp;telefono="&amp;SUBSTITUTE(C1364,"-","")&amp;"&amp;referencia="&amp;ENCODEURL(E1364)&amp;"&amp;lat="&amp;IZQUIERDA(SUBSTITUTE(F1364," ",""),ENCONTRAR(",",SUBSTITUTE(F1364," ",""))-1)&amp;"&amp;lng="&amp;DERECHA(SUBSTITUTE(F1364," ",""),LARGO(SUBSTITUTE(F1364," ",""))-ENCONTRAR(",",SUBSTITUTE(F1364," ",""))),"")</f>
        <v/>
      </c>
    </row>
    <row r="1365" ht="15.75" customHeight="1" s="10">
      <c r="A1365" s="8">
        <f>CONCAT("AD507-",TEXT(ROW()-2,"0000"))</f>
        <v/>
      </c>
      <c r="C1365" s="8" t="n"/>
      <c r="F1365" s="8" t="n"/>
      <c r="G1365" s="8">
        <f>IF(F1365&lt;&gt;"",HYPERLINK("https://www.google.com/maps/search/?api=1&amp;query="&amp;SUBSTITUTE(F1365," ",""),"🗺 Google Maps"),"")</f>
        <v/>
      </c>
      <c r="H1365" s="8">
        <f>IF(F1365&lt;&gt;"",HYPERLINK("https://waze.com/ul?ll="&amp;SUBSTITUTE(F1365," ","")&amp;"&amp;navigate=yes","🚗 Waze"),"")</f>
        <v/>
      </c>
      <c r="I1365" s="8">
        <f>IF(F1365&lt;&gt;"",HYPERLINK("https://m.uber.com/ul/?action=setPickup&amp;pickup=my_location&amp;dropoff[latitude]="&amp;LEFT(SUBSTITUTE(F1365," ",""),FIND(",",SUBSTITUTE(F1365," ",""))-1)&amp;"&amp;dropoff[longitude]="&amp;MID(SUBSTITUTE(F1365," ",""),FIND(",",SUBSTITUTE(F1365," ",""))+1,99),"🚕 Uber"),"")</f>
        <v/>
      </c>
      <c r="J1365" s="8">
        <f>IF(F1365&lt;&gt;"","https://api.qrserver.com/v1/create-qr-code/?size=200x200&amp;data="&amp;ENCODEURL("https://www.google.com/maps/search/?api=1&amp;query="&amp;SUBSTITUTE(F1365," ","")),"")</f>
        <v/>
      </c>
      <c r="K1365" s="8">
        <f>IF(C1365&lt;&gt;"",HYPERLINK("https://wa.me/507"&amp;REGEXREPLACE(C1365,"[^0-9]","")&amp;"?text="&amp;ENCODEURL("Ya llegue. Codigo: "&amp;A1365&amp;". Ubicacion: "&amp;"https://www.google.com/maps/search/?api=1&amp;query="&amp;SUBSTITUTE(F1365," ","")),"📲 Avisar al cliente"),"")</f>
        <v/>
      </c>
      <c r="L1365" s="8">
        <f>IF(C1365&lt;&gt;"","https://api.qrserver.com/v1/create-qr-code/?size=200x200&amp;data="&amp;ENCODEURL("https://wa.me/507"&amp;REGEXREPLACE(C1365,"[^0-9]","")&amp;"?text="&amp;ENCODEURL("Ya llegue. Codigo: "&amp;A1365&amp;". Ubicacion: "&amp;"https://www.google.com/maps/search/?api=1&amp;query="&amp;SUBSTITUTE(F1365," ",""))),"")</f>
        <v/>
      </c>
      <c r="M1365" s="8">
        <f>IF(B1365&lt;&gt;"",TODAY(),"")</f>
        <v/>
      </c>
      <c r="N1365" s="8">
        <f>IF(F1365&lt;&gt;"",IFERROR(IF(AND(REGEXMATCH(SUBSTITUTE(TRIM(F1365)," ",""),"^-?\d+(\.\d+)?,-?\d+(\.\d+)?$"),VALUE(REGEXEXTRACT(SUBSTITUTE(TRIM(F1365)," ",""),"^-?\d+(\.\d+)?"))&gt;=-90,VALUE(REGEXEXTRACT(SUBSTITUTE(TRIM(F1365)," ",""),"^-?\d+(\.\d+)?"))&lt;=90,VALUE(REGEXEXTRACT(SUBSTITUTE(TRIM(F1365)," ",""),"-?\d+(\.\d+)?$"))&gt;=-180,VALUE(REGEXEXTRACT(SUBSTITUTE(TRIM(F1365)," ",""),"-?\d+(\.\d+)?$"))&lt;=180),"OK","REVISAR"),"REVISAR"),"")</f>
        <v/>
      </c>
      <c r="O1365">
        <f>IF(A1365&lt;&gt;"","https://direcciones507.github.io/direcciones507/panel.html?codigo="&amp;A1365&amp;"&amp;nombre="&amp;ENCODEURL(B1365)&amp;"&amp;telefono="&amp;SUBSTITUTE(C1365,"-","")&amp;"&amp;referencia="&amp;ENCODEURL(E1365)&amp;"&amp;lat="&amp;IZQUIERDA(SUBSTITUTE(F1365," ",""),ENCONTRAR(",",SUBSTITUTE(F1365," ",""))-1)&amp;"&amp;lng="&amp;DERECHA(SUBSTITUTE(F1365," ",""),LARGO(SUBSTITUTE(F1365," ",""))-ENCONTRAR(",",SUBSTITUTE(F1365," ",""))),"")</f>
        <v/>
      </c>
    </row>
    <row r="1366" ht="15.75" customHeight="1" s="10">
      <c r="A1366" s="8">
        <f>CONCAT("AD507-",TEXT(ROW()-2,"0000"))</f>
        <v/>
      </c>
      <c r="C1366" s="8" t="n"/>
      <c r="F1366" s="8" t="n"/>
      <c r="G1366" s="8">
        <f>IF(F1366&lt;&gt;"",HYPERLINK("https://www.google.com/maps/search/?api=1&amp;query="&amp;SUBSTITUTE(F1366," ",""),"🗺 Google Maps"),"")</f>
        <v/>
      </c>
      <c r="H1366" s="8">
        <f>IF(F1366&lt;&gt;"",HYPERLINK("https://waze.com/ul?ll="&amp;SUBSTITUTE(F1366," ","")&amp;"&amp;navigate=yes","🚗 Waze"),"")</f>
        <v/>
      </c>
      <c r="I1366" s="8">
        <f>IF(F1366&lt;&gt;"",HYPERLINK("https://m.uber.com/ul/?action=setPickup&amp;pickup=my_location&amp;dropoff[latitude]="&amp;LEFT(SUBSTITUTE(F1366," ",""),FIND(",",SUBSTITUTE(F1366," ",""))-1)&amp;"&amp;dropoff[longitude]="&amp;MID(SUBSTITUTE(F1366," ",""),FIND(",",SUBSTITUTE(F1366," ",""))+1,99),"🚕 Uber"),"")</f>
        <v/>
      </c>
      <c r="J1366" s="8">
        <f>IF(F1366&lt;&gt;"","https://api.qrserver.com/v1/create-qr-code/?size=200x200&amp;data="&amp;ENCODEURL("https://www.google.com/maps/search/?api=1&amp;query="&amp;SUBSTITUTE(F1366," ","")),"")</f>
        <v/>
      </c>
      <c r="K1366" s="8">
        <f>IF(C1366&lt;&gt;"",HYPERLINK("https://wa.me/507"&amp;REGEXREPLACE(C1366,"[^0-9]","")&amp;"?text="&amp;ENCODEURL("Ya llegue. Codigo: "&amp;A1366&amp;". Ubicacion: "&amp;"https://www.google.com/maps/search/?api=1&amp;query="&amp;SUBSTITUTE(F1366," ","")),"📲 Avisar al cliente"),"")</f>
        <v/>
      </c>
      <c r="L1366" s="8">
        <f>IF(C1366&lt;&gt;"","https://api.qrserver.com/v1/create-qr-code/?size=200x200&amp;data="&amp;ENCODEURL("https://wa.me/507"&amp;REGEXREPLACE(C1366,"[^0-9]","")&amp;"?text="&amp;ENCODEURL("Ya llegue. Codigo: "&amp;A1366&amp;". Ubicacion: "&amp;"https://www.google.com/maps/search/?api=1&amp;query="&amp;SUBSTITUTE(F1366," ",""))),"")</f>
        <v/>
      </c>
      <c r="M1366" s="8">
        <f>IF(B1366&lt;&gt;"",TODAY(),"")</f>
        <v/>
      </c>
      <c r="N1366" s="8">
        <f>IF(F1366&lt;&gt;"",IFERROR(IF(AND(REGEXMATCH(SUBSTITUTE(TRIM(F1366)," ",""),"^-?\d+(\.\d+)?,-?\d+(\.\d+)?$"),VALUE(REGEXEXTRACT(SUBSTITUTE(TRIM(F1366)," ",""),"^-?\d+(\.\d+)?"))&gt;=-90,VALUE(REGEXEXTRACT(SUBSTITUTE(TRIM(F1366)," ",""),"^-?\d+(\.\d+)?"))&lt;=90,VALUE(REGEXEXTRACT(SUBSTITUTE(TRIM(F1366)," ",""),"-?\d+(\.\d+)?$"))&gt;=-180,VALUE(REGEXEXTRACT(SUBSTITUTE(TRIM(F1366)," ",""),"-?\d+(\.\d+)?$"))&lt;=180),"OK","REVISAR"),"REVISAR"),"")</f>
        <v/>
      </c>
      <c r="O1366">
        <f>IF(A1366&lt;&gt;"","https://direcciones507.github.io/direcciones507/panel.html?codigo="&amp;A1366&amp;"&amp;nombre="&amp;ENCODEURL(B1366)&amp;"&amp;telefono="&amp;SUBSTITUTE(C1366,"-","")&amp;"&amp;referencia="&amp;ENCODEURL(E1366)&amp;"&amp;lat="&amp;IZQUIERDA(SUBSTITUTE(F1366," ",""),ENCONTRAR(",",SUBSTITUTE(F1366," ",""))-1)&amp;"&amp;lng="&amp;DERECHA(SUBSTITUTE(F1366," ",""),LARGO(SUBSTITUTE(F1366," ",""))-ENCONTRAR(",",SUBSTITUTE(F1366," ",""))),"")</f>
        <v/>
      </c>
    </row>
    <row r="1367" ht="15.75" customHeight="1" s="10">
      <c r="A1367" s="8">
        <f>CONCAT("AD507-",TEXT(ROW()-2,"0000"))</f>
        <v/>
      </c>
      <c r="C1367" s="8" t="n"/>
      <c r="F1367" s="8" t="n"/>
      <c r="G1367" s="8">
        <f>IF(F1367&lt;&gt;"",HYPERLINK("https://www.google.com/maps/search/?api=1&amp;query="&amp;SUBSTITUTE(F1367," ",""),"🗺 Google Maps"),"")</f>
        <v/>
      </c>
      <c r="H1367" s="8">
        <f>IF(F1367&lt;&gt;"",HYPERLINK("https://waze.com/ul?ll="&amp;SUBSTITUTE(F1367," ","")&amp;"&amp;navigate=yes","🚗 Waze"),"")</f>
        <v/>
      </c>
      <c r="I1367" s="8">
        <f>IF(F1367&lt;&gt;"",HYPERLINK("https://m.uber.com/ul/?action=setPickup&amp;pickup=my_location&amp;dropoff[latitude]="&amp;LEFT(SUBSTITUTE(F1367," ",""),FIND(",",SUBSTITUTE(F1367," ",""))-1)&amp;"&amp;dropoff[longitude]="&amp;MID(SUBSTITUTE(F1367," ",""),FIND(",",SUBSTITUTE(F1367," ",""))+1,99),"🚕 Uber"),"")</f>
        <v/>
      </c>
      <c r="J1367" s="8">
        <f>IF(F1367&lt;&gt;"","https://api.qrserver.com/v1/create-qr-code/?size=200x200&amp;data="&amp;ENCODEURL("https://www.google.com/maps/search/?api=1&amp;query="&amp;SUBSTITUTE(F1367," ","")),"")</f>
        <v/>
      </c>
      <c r="K1367" s="8">
        <f>IF(C1367&lt;&gt;"",HYPERLINK("https://wa.me/507"&amp;REGEXREPLACE(C1367,"[^0-9]","")&amp;"?text="&amp;ENCODEURL("Ya llegue. Codigo: "&amp;A1367&amp;". Ubicacion: "&amp;"https://www.google.com/maps/search/?api=1&amp;query="&amp;SUBSTITUTE(F1367," ","")),"📲 Avisar al cliente"),"")</f>
        <v/>
      </c>
      <c r="L1367" s="8">
        <f>IF(C1367&lt;&gt;"","https://api.qrserver.com/v1/create-qr-code/?size=200x200&amp;data="&amp;ENCODEURL("https://wa.me/507"&amp;REGEXREPLACE(C1367,"[^0-9]","")&amp;"?text="&amp;ENCODEURL("Ya llegue. Codigo: "&amp;A1367&amp;". Ubicacion: "&amp;"https://www.google.com/maps/search/?api=1&amp;query="&amp;SUBSTITUTE(F1367," ",""))),"")</f>
        <v/>
      </c>
      <c r="M1367" s="8">
        <f>IF(B1367&lt;&gt;"",TODAY(),"")</f>
        <v/>
      </c>
      <c r="N1367" s="8">
        <f>IF(F1367&lt;&gt;"",IFERROR(IF(AND(REGEXMATCH(SUBSTITUTE(TRIM(F1367)," ",""),"^-?\d+(\.\d+)?,-?\d+(\.\d+)?$"),VALUE(REGEXEXTRACT(SUBSTITUTE(TRIM(F1367)," ",""),"^-?\d+(\.\d+)?"))&gt;=-90,VALUE(REGEXEXTRACT(SUBSTITUTE(TRIM(F1367)," ",""),"^-?\d+(\.\d+)?"))&lt;=90,VALUE(REGEXEXTRACT(SUBSTITUTE(TRIM(F1367)," ",""),"-?\d+(\.\d+)?$"))&gt;=-180,VALUE(REGEXEXTRACT(SUBSTITUTE(TRIM(F1367)," ",""),"-?\d+(\.\d+)?$"))&lt;=180),"OK","REVISAR"),"REVISAR"),"")</f>
        <v/>
      </c>
      <c r="O1367">
        <f>IF(A1367&lt;&gt;"","https://direcciones507.github.io/direcciones507/panel.html?codigo="&amp;A1367&amp;"&amp;nombre="&amp;ENCODEURL(B1367)&amp;"&amp;telefono="&amp;SUBSTITUTE(C1367,"-","")&amp;"&amp;referencia="&amp;ENCODEURL(E1367)&amp;"&amp;lat="&amp;IZQUIERDA(SUBSTITUTE(F1367," ",""),ENCONTRAR(",",SUBSTITUTE(F1367," ",""))-1)&amp;"&amp;lng="&amp;DERECHA(SUBSTITUTE(F1367," ",""),LARGO(SUBSTITUTE(F1367," ",""))-ENCONTRAR(",",SUBSTITUTE(F1367," ",""))),"")</f>
        <v/>
      </c>
    </row>
    <row r="1368" ht="15.75" customHeight="1" s="10">
      <c r="A1368" s="8">
        <f>CONCAT("AD507-",TEXT(ROW()-2,"0000"))</f>
        <v/>
      </c>
      <c r="C1368" s="8" t="n"/>
      <c r="F1368" s="8" t="n"/>
      <c r="G1368" s="8">
        <f>IF(F1368&lt;&gt;"",HYPERLINK("https://www.google.com/maps/search/?api=1&amp;query="&amp;SUBSTITUTE(F1368," ",""),"🗺 Google Maps"),"")</f>
        <v/>
      </c>
      <c r="H1368" s="8">
        <f>IF(F1368&lt;&gt;"",HYPERLINK("https://waze.com/ul?ll="&amp;SUBSTITUTE(F1368," ","")&amp;"&amp;navigate=yes","🚗 Waze"),"")</f>
        <v/>
      </c>
      <c r="I1368" s="8">
        <f>IF(F1368&lt;&gt;"",HYPERLINK("https://m.uber.com/ul/?action=setPickup&amp;pickup=my_location&amp;dropoff[latitude]="&amp;LEFT(SUBSTITUTE(F1368," ",""),FIND(",",SUBSTITUTE(F1368," ",""))-1)&amp;"&amp;dropoff[longitude]="&amp;MID(SUBSTITUTE(F1368," ",""),FIND(",",SUBSTITUTE(F1368," ",""))+1,99),"🚕 Uber"),"")</f>
        <v/>
      </c>
      <c r="J1368" s="8">
        <f>IF(F1368&lt;&gt;"","https://api.qrserver.com/v1/create-qr-code/?size=200x200&amp;data="&amp;ENCODEURL("https://www.google.com/maps/search/?api=1&amp;query="&amp;SUBSTITUTE(F1368," ","")),"")</f>
        <v/>
      </c>
      <c r="K1368" s="8">
        <f>IF(C1368&lt;&gt;"",HYPERLINK("https://wa.me/507"&amp;REGEXREPLACE(C1368,"[^0-9]","")&amp;"?text="&amp;ENCODEURL("Ya llegue. Codigo: "&amp;A1368&amp;". Ubicacion: "&amp;"https://www.google.com/maps/search/?api=1&amp;query="&amp;SUBSTITUTE(F1368," ","")),"📲 Avisar al cliente"),"")</f>
        <v/>
      </c>
      <c r="L1368" s="8">
        <f>IF(C1368&lt;&gt;"","https://api.qrserver.com/v1/create-qr-code/?size=200x200&amp;data="&amp;ENCODEURL("https://wa.me/507"&amp;REGEXREPLACE(C1368,"[^0-9]","")&amp;"?text="&amp;ENCODEURL("Ya llegue. Codigo: "&amp;A1368&amp;". Ubicacion: "&amp;"https://www.google.com/maps/search/?api=1&amp;query="&amp;SUBSTITUTE(F1368," ",""))),"")</f>
        <v/>
      </c>
      <c r="M1368" s="8">
        <f>IF(B1368&lt;&gt;"",TODAY(),"")</f>
        <v/>
      </c>
      <c r="N1368" s="8">
        <f>IF(F1368&lt;&gt;"",IFERROR(IF(AND(REGEXMATCH(SUBSTITUTE(TRIM(F1368)," ",""),"^-?\d+(\.\d+)?,-?\d+(\.\d+)?$"),VALUE(REGEXEXTRACT(SUBSTITUTE(TRIM(F1368)," ",""),"^-?\d+(\.\d+)?"))&gt;=-90,VALUE(REGEXEXTRACT(SUBSTITUTE(TRIM(F1368)," ",""),"^-?\d+(\.\d+)?"))&lt;=90,VALUE(REGEXEXTRACT(SUBSTITUTE(TRIM(F1368)," ",""),"-?\d+(\.\d+)?$"))&gt;=-180,VALUE(REGEXEXTRACT(SUBSTITUTE(TRIM(F1368)," ",""),"-?\d+(\.\d+)?$"))&lt;=180),"OK","REVISAR"),"REVISAR"),"")</f>
        <v/>
      </c>
      <c r="O1368">
        <f>IF(A1368&lt;&gt;"","https://direcciones507.github.io/direcciones507/panel.html?codigo="&amp;A1368&amp;"&amp;nombre="&amp;ENCODEURL(B1368)&amp;"&amp;telefono="&amp;SUBSTITUTE(C1368,"-","")&amp;"&amp;referencia="&amp;ENCODEURL(E1368)&amp;"&amp;lat="&amp;IZQUIERDA(SUBSTITUTE(F1368," ",""),ENCONTRAR(",",SUBSTITUTE(F1368," ",""))-1)&amp;"&amp;lng="&amp;DERECHA(SUBSTITUTE(F1368," ",""),LARGO(SUBSTITUTE(F1368," ",""))-ENCONTRAR(",",SUBSTITUTE(F1368," ",""))),"")</f>
        <v/>
      </c>
    </row>
    <row r="1369" ht="15.75" customHeight="1" s="10">
      <c r="A1369" s="8">
        <f>CONCAT("AD507-",TEXT(ROW()-2,"0000"))</f>
        <v/>
      </c>
      <c r="C1369" s="8" t="n"/>
      <c r="F1369" s="8" t="n"/>
      <c r="G1369" s="8">
        <f>IF(F1369&lt;&gt;"",HYPERLINK("https://www.google.com/maps/search/?api=1&amp;query="&amp;SUBSTITUTE(F1369," ",""),"🗺 Google Maps"),"")</f>
        <v/>
      </c>
      <c r="H1369" s="8">
        <f>IF(F1369&lt;&gt;"",HYPERLINK("https://waze.com/ul?ll="&amp;SUBSTITUTE(F1369," ","")&amp;"&amp;navigate=yes","🚗 Waze"),"")</f>
        <v/>
      </c>
      <c r="I1369" s="8">
        <f>IF(F1369&lt;&gt;"",HYPERLINK("https://m.uber.com/ul/?action=setPickup&amp;pickup=my_location&amp;dropoff[latitude]="&amp;LEFT(SUBSTITUTE(F1369," ",""),FIND(",",SUBSTITUTE(F1369," ",""))-1)&amp;"&amp;dropoff[longitude]="&amp;MID(SUBSTITUTE(F1369," ",""),FIND(",",SUBSTITUTE(F1369," ",""))+1,99),"🚕 Uber"),"")</f>
        <v/>
      </c>
      <c r="J1369" s="8">
        <f>IF(F1369&lt;&gt;"","https://api.qrserver.com/v1/create-qr-code/?size=200x200&amp;data="&amp;ENCODEURL("https://www.google.com/maps/search/?api=1&amp;query="&amp;SUBSTITUTE(F1369," ","")),"")</f>
        <v/>
      </c>
      <c r="K1369" s="8">
        <f>IF(C1369&lt;&gt;"",HYPERLINK("https://wa.me/507"&amp;REGEXREPLACE(C1369,"[^0-9]","")&amp;"?text="&amp;ENCODEURL("Ya llegue. Codigo: "&amp;A1369&amp;". Ubicacion: "&amp;"https://www.google.com/maps/search/?api=1&amp;query="&amp;SUBSTITUTE(F1369," ","")),"📲 Avisar al cliente"),"")</f>
        <v/>
      </c>
      <c r="L1369" s="8">
        <f>IF(C1369&lt;&gt;"","https://api.qrserver.com/v1/create-qr-code/?size=200x200&amp;data="&amp;ENCODEURL("https://wa.me/507"&amp;REGEXREPLACE(C1369,"[^0-9]","")&amp;"?text="&amp;ENCODEURL("Ya llegue. Codigo: "&amp;A1369&amp;". Ubicacion: "&amp;"https://www.google.com/maps/search/?api=1&amp;query="&amp;SUBSTITUTE(F1369," ",""))),"")</f>
        <v/>
      </c>
      <c r="M1369" s="8">
        <f>IF(B1369&lt;&gt;"",TODAY(),"")</f>
        <v/>
      </c>
      <c r="N1369" s="8">
        <f>IF(F1369&lt;&gt;"",IFERROR(IF(AND(REGEXMATCH(SUBSTITUTE(TRIM(F1369)," ",""),"^-?\d+(\.\d+)?,-?\d+(\.\d+)?$"),VALUE(REGEXEXTRACT(SUBSTITUTE(TRIM(F1369)," ",""),"^-?\d+(\.\d+)?"))&gt;=-90,VALUE(REGEXEXTRACT(SUBSTITUTE(TRIM(F1369)," ",""),"^-?\d+(\.\d+)?"))&lt;=90,VALUE(REGEXEXTRACT(SUBSTITUTE(TRIM(F1369)," ",""),"-?\d+(\.\d+)?$"))&gt;=-180,VALUE(REGEXEXTRACT(SUBSTITUTE(TRIM(F1369)," ",""),"-?\d+(\.\d+)?$"))&lt;=180),"OK","REVISAR"),"REVISAR"),"")</f>
        <v/>
      </c>
      <c r="O1369">
        <f>IF(A1369&lt;&gt;"","https://direcciones507.github.io/direcciones507/panel.html?codigo="&amp;A1369&amp;"&amp;nombre="&amp;ENCODEURL(B1369)&amp;"&amp;telefono="&amp;SUBSTITUTE(C1369,"-","")&amp;"&amp;referencia="&amp;ENCODEURL(E1369)&amp;"&amp;lat="&amp;IZQUIERDA(SUBSTITUTE(F1369," ",""),ENCONTRAR(",",SUBSTITUTE(F1369," ",""))-1)&amp;"&amp;lng="&amp;DERECHA(SUBSTITUTE(F1369," ",""),LARGO(SUBSTITUTE(F1369," ",""))-ENCONTRAR(",",SUBSTITUTE(F1369," ",""))),"")</f>
        <v/>
      </c>
    </row>
    <row r="1370" ht="15.75" customHeight="1" s="10">
      <c r="A1370" s="8">
        <f>CONCAT("AD507-",TEXT(ROW()-2,"0000"))</f>
        <v/>
      </c>
      <c r="C1370" s="8" t="n"/>
      <c r="F1370" s="8" t="n"/>
      <c r="G1370" s="8">
        <f>IF(F1370&lt;&gt;"",HYPERLINK("https://www.google.com/maps/search/?api=1&amp;query="&amp;SUBSTITUTE(F1370," ",""),"🗺 Google Maps"),"")</f>
        <v/>
      </c>
      <c r="H1370" s="8">
        <f>IF(F1370&lt;&gt;"",HYPERLINK("https://waze.com/ul?ll="&amp;SUBSTITUTE(F1370," ","")&amp;"&amp;navigate=yes","🚗 Waze"),"")</f>
        <v/>
      </c>
      <c r="I1370" s="8">
        <f>IF(F1370&lt;&gt;"",HYPERLINK("https://m.uber.com/ul/?action=setPickup&amp;pickup=my_location&amp;dropoff[latitude]="&amp;LEFT(SUBSTITUTE(F1370," ",""),FIND(",",SUBSTITUTE(F1370," ",""))-1)&amp;"&amp;dropoff[longitude]="&amp;MID(SUBSTITUTE(F1370," ",""),FIND(",",SUBSTITUTE(F1370," ",""))+1,99),"🚕 Uber"),"")</f>
        <v/>
      </c>
      <c r="J1370" s="8">
        <f>IF(F1370&lt;&gt;"","https://api.qrserver.com/v1/create-qr-code/?size=200x200&amp;data="&amp;ENCODEURL("https://www.google.com/maps/search/?api=1&amp;query="&amp;SUBSTITUTE(F1370," ","")),"")</f>
        <v/>
      </c>
      <c r="K1370" s="8">
        <f>IF(C1370&lt;&gt;"",HYPERLINK("https://wa.me/507"&amp;REGEXREPLACE(C1370,"[^0-9]","")&amp;"?text="&amp;ENCODEURL("Ya llegue. Codigo: "&amp;A1370&amp;". Ubicacion: "&amp;"https://www.google.com/maps/search/?api=1&amp;query="&amp;SUBSTITUTE(F1370," ","")),"📲 Avisar al cliente"),"")</f>
        <v/>
      </c>
      <c r="L1370" s="8">
        <f>IF(C1370&lt;&gt;"","https://api.qrserver.com/v1/create-qr-code/?size=200x200&amp;data="&amp;ENCODEURL("https://wa.me/507"&amp;REGEXREPLACE(C1370,"[^0-9]","")&amp;"?text="&amp;ENCODEURL("Ya llegue. Codigo: "&amp;A1370&amp;". Ubicacion: "&amp;"https://www.google.com/maps/search/?api=1&amp;query="&amp;SUBSTITUTE(F1370," ",""))),"")</f>
        <v/>
      </c>
      <c r="M1370" s="8">
        <f>IF(B1370&lt;&gt;"",TODAY(),"")</f>
        <v/>
      </c>
      <c r="N1370" s="8">
        <f>IF(F1370&lt;&gt;"",IFERROR(IF(AND(REGEXMATCH(SUBSTITUTE(TRIM(F1370)," ",""),"^-?\d+(\.\d+)?,-?\d+(\.\d+)?$"),VALUE(REGEXEXTRACT(SUBSTITUTE(TRIM(F1370)," ",""),"^-?\d+(\.\d+)?"))&gt;=-90,VALUE(REGEXEXTRACT(SUBSTITUTE(TRIM(F1370)," ",""),"^-?\d+(\.\d+)?"))&lt;=90,VALUE(REGEXEXTRACT(SUBSTITUTE(TRIM(F1370)," ",""),"-?\d+(\.\d+)?$"))&gt;=-180,VALUE(REGEXEXTRACT(SUBSTITUTE(TRIM(F1370)," ",""),"-?\d+(\.\d+)?$"))&lt;=180),"OK","REVISAR"),"REVISAR"),"")</f>
        <v/>
      </c>
      <c r="O1370">
        <f>IF(A1370&lt;&gt;"","https://direcciones507.github.io/direcciones507/panel.html?codigo="&amp;A1370&amp;"&amp;nombre="&amp;ENCODEURL(B1370)&amp;"&amp;telefono="&amp;SUBSTITUTE(C1370,"-","")&amp;"&amp;referencia="&amp;ENCODEURL(E1370)&amp;"&amp;lat="&amp;IZQUIERDA(SUBSTITUTE(F1370," ",""),ENCONTRAR(",",SUBSTITUTE(F1370," ",""))-1)&amp;"&amp;lng="&amp;DERECHA(SUBSTITUTE(F1370," ",""),LARGO(SUBSTITUTE(F1370," ",""))-ENCONTRAR(",",SUBSTITUTE(F1370," ",""))),"")</f>
        <v/>
      </c>
    </row>
    <row r="1371" ht="15.75" customHeight="1" s="10">
      <c r="A1371" s="8">
        <f>CONCAT("AD507-",TEXT(ROW()-2,"0000"))</f>
        <v/>
      </c>
      <c r="C1371" s="8" t="n"/>
      <c r="F1371" s="8" t="n"/>
      <c r="G1371" s="8">
        <f>IF(F1371&lt;&gt;"",HYPERLINK("https://www.google.com/maps/search/?api=1&amp;query="&amp;SUBSTITUTE(F1371," ",""),"🗺 Google Maps"),"")</f>
        <v/>
      </c>
      <c r="H1371" s="8">
        <f>IF(F1371&lt;&gt;"",HYPERLINK("https://waze.com/ul?ll="&amp;SUBSTITUTE(F1371," ","")&amp;"&amp;navigate=yes","🚗 Waze"),"")</f>
        <v/>
      </c>
      <c r="I1371" s="8">
        <f>IF(F1371&lt;&gt;"",HYPERLINK("https://m.uber.com/ul/?action=setPickup&amp;pickup=my_location&amp;dropoff[latitude]="&amp;LEFT(SUBSTITUTE(F1371," ",""),FIND(",",SUBSTITUTE(F1371," ",""))-1)&amp;"&amp;dropoff[longitude]="&amp;MID(SUBSTITUTE(F1371," ",""),FIND(",",SUBSTITUTE(F1371," ",""))+1,99),"🚕 Uber"),"")</f>
        <v/>
      </c>
      <c r="J1371" s="8">
        <f>IF(F1371&lt;&gt;"","https://api.qrserver.com/v1/create-qr-code/?size=200x200&amp;data="&amp;ENCODEURL("https://www.google.com/maps/search/?api=1&amp;query="&amp;SUBSTITUTE(F1371," ","")),"")</f>
        <v/>
      </c>
      <c r="K1371" s="8">
        <f>IF(C1371&lt;&gt;"",HYPERLINK("https://wa.me/507"&amp;REGEXREPLACE(C1371,"[^0-9]","")&amp;"?text="&amp;ENCODEURL("Ya llegue. Codigo: "&amp;A1371&amp;". Ubicacion: "&amp;"https://www.google.com/maps/search/?api=1&amp;query="&amp;SUBSTITUTE(F1371," ","")),"📲 Avisar al cliente"),"")</f>
        <v/>
      </c>
      <c r="L1371" s="8">
        <f>IF(C1371&lt;&gt;"","https://api.qrserver.com/v1/create-qr-code/?size=200x200&amp;data="&amp;ENCODEURL("https://wa.me/507"&amp;REGEXREPLACE(C1371,"[^0-9]","")&amp;"?text="&amp;ENCODEURL("Ya llegue. Codigo: "&amp;A1371&amp;". Ubicacion: "&amp;"https://www.google.com/maps/search/?api=1&amp;query="&amp;SUBSTITUTE(F1371," ",""))),"")</f>
        <v/>
      </c>
      <c r="M1371" s="8">
        <f>IF(B1371&lt;&gt;"",TODAY(),"")</f>
        <v/>
      </c>
      <c r="N1371" s="8">
        <f>IF(F1371&lt;&gt;"",IFERROR(IF(AND(REGEXMATCH(SUBSTITUTE(TRIM(F1371)," ",""),"^-?\d+(\.\d+)?,-?\d+(\.\d+)?$"),VALUE(REGEXEXTRACT(SUBSTITUTE(TRIM(F1371)," ",""),"^-?\d+(\.\d+)?"))&gt;=-90,VALUE(REGEXEXTRACT(SUBSTITUTE(TRIM(F1371)," ",""),"^-?\d+(\.\d+)?"))&lt;=90,VALUE(REGEXEXTRACT(SUBSTITUTE(TRIM(F1371)," ",""),"-?\d+(\.\d+)?$"))&gt;=-180,VALUE(REGEXEXTRACT(SUBSTITUTE(TRIM(F1371)," ",""),"-?\d+(\.\d+)?$"))&lt;=180),"OK","REVISAR"),"REVISAR"),"")</f>
        <v/>
      </c>
      <c r="O1371">
        <f>IF(A1371&lt;&gt;"","https://direcciones507.github.io/direcciones507/panel.html?codigo="&amp;A1371&amp;"&amp;nombre="&amp;ENCODEURL(B1371)&amp;"&amp;telefono="&amp;SUBSTITUTE(C1371,"-","")&amp;"&amp;referencia="&amp;ENCODEURL(E1371)&amp;"&amp;lat="&amp;IZQUIERDA(SUBSTITUTE(F1371," ",""),ENCONTRAR(",",SUBSTITUTE(F1371," ",""))-1)&amp;"&amp;lng="&amp;DERECHA(SUBSTITUTE(F1371," ",""),LARGO(SUBSTITUTE(F1371," ",""))-ENCONTRAR(",",SUBSTITUTE(F1371," ",""))),"")</f>
        <v/>
      </c>
    </row>
    <row r="1372" ht="15.75" customHeight="1" s="10">
      <c r="A1372" s="8">
        <f>CONCAT("AD507-",TEXT(ROW()-2,"0000"))</f>
        <v/>
      </c>
      <c r="C1372" s="8" t="n"/>
      <c r="F1372" s="8" t="n"/>
      <c r="G1372" s="8">
        <f>IF(F1372&lt;&gt;"",HYPERLINK("https://www.google.com/maps/search/?api=1&amp;query="&amp;SUBSTITUTE(F1372," ",""),"🗺 Google Maps"),"")</f>
        <v/>
      </c>
      <c r="H1372" s="8">
        <f>IF(F1372&lt;&gt;"",HYPERLINK("https://waze.com/ul?ll="&amp;SUBSTITUTE(F1372," ","")&amp;"&amp;navigate=yes","🚗 Waze"),"")</f>
        <v/>
      </c>
      <c r="I1372" s="8">
        <f>IF(F1372&lt;&gt;"",HYPERLINK("https://m.uber.com/ul/?action=setPickup&amp;pickup=my_location&amp;dropoff[latitude]="&amp;LEFT(SUBSTITUTE(F1372," ",""),FIND(",",SUBSTITUTE(F1372," ",""))-1)&amp;"&amp;dropoff[longitude]="&amp;MID(SUBSTITUTE(F1372," ",""),FIND(",",SUBSTITUTE(F1372," ",""))+1,99),"🚕 Uber"),"")</f>
        <v/>
      </c>
      <c r="J1372" s="8">
        <f>IF(F1372&lt;&gt;"","https://api.qrserver.com/v1/create-qr-code/?size=200x200&amp;data="&amp;ENCODEURL("https://www.google.com/maps/search/?api=1&amp;query="&amp;SUBSTITUTE(F1372," ","")),"")</f>
        <v/>
      </c>
      <c r="K1372" s="8">
        <f>IF(C1372&lt;&gt;"",HYPERLINK("https://wa.me/507"&amp;REGEXREPLACE(C1372,"[^0-9]","")&amp;"?text="&amp;ENCODEURL("Ya llegue. Codigo: "&amp;A1372&amp;". Ubicacion: "&amp;"https://www.google.com/maps/search/?api=1&amp;query="&amp;SUBSTITUTE(F1372," ","")),"📲 Avisar al cliente"),"")</f>
        <v/>
      </c>
      <c r="L1372" s="8">
        <f>IF(C1372&lt;&gt;"","https://api.qrserver.com/v1/create-qr-code/?size=200x200&amp;data="&amp;ENCODEURL("https://wa.me/507"&amp;REGEXREPLACE(C1372,"[^0-9]","")&amp;"?text="&amp;ENCODEURL("Ya llegue. Codigo: "&amp;A1372&amp;". Ubicacion: "&amp;"https://www.google.com/maps/search/?api=1&amp;query="&amp;SUBSTITUTE(F1372," ",""))),"")</f>
        <v/>
      </c>
      <c r="M1372" s="8">
        <f>IF(B1372&lt;&gt;"",TODAY(),"")</f>
        <v/>
      </c>
      <c r="N1372" s="8">
        <f>IF(F1372&lt;&gt;"",IFERROR(IF(AND(REGEXMATCH(SUBSTITUTE(TRIM(F1372)," ",""),"^-?\d+(\.\d+)?,-?\d+(\.\d+)?$"),VALUE(REGEXEXTRACT(SUBSTITUTE(TRIM(F1372)," ",""),"^-?\d+(\.\d+)?"))&gt;=-90,VALUE(REGEXEXTRACT(SUBSTITUTE(TRIM(F1372)," ",""),"^-?\d+(\.\d+)?"))&lt;=90,VALUE(REGEXEXTRACT(SUBSTITUTE(TRIM(F1372)," ",""),"-?\d+(\.\d+)?$"))&gt;=-180,VALUE(REGEXEXTRACT(SUBSTITUTE(TRIM(F1372)," ",""),"-?\d+(\.\d+)?$"))&lt;=180),"OK","REVISAR"),"REVISAR"),"")</f>
        <v/>
      </c>
      <c r="O1372">
        <f>IF(A1372&lt;&gt;"","https://direcciones507.github.io/direcciones507/panel.html?codigo="&amp;A1372&amp;"&amp;nombre="&amp;ENCODEURL(B1372)&amp;"&amp;telefono="&amp;SUBSTITUTE(C1372,"-","")&amp;"&amp;referencia="&amp;ENCODEURL(E1372)&amp;"&amp;lat="&amp;IZQUIERDA(SUBSTITUTE(F1372," ",""),ENCONTRAR(",",SUBSTITUTE(F1372," ",""))-1)&amp;"&amp;lng="&amp;DERECHA(SUBSTITUTE(F1372," ",""),LARGO(SUBSTITUTE(F1372," ",""))-ENCONTRAR(",",SUBSTITUTE(F1372," ",""))),"")</f>
        <v/>
      </c>
    </row>
    <row r="1373" ht="15.75" customHeight="1" s="10">
      <c r="A1373" s="8">
        <f>CONCAT("AD507-",TEXT(ROW()-2,"0000"))</f>
        <v/>
      </c>
      <c r="C1373" s="8" t="n"/>
      <c r="F1373" s="8" t="n"/>
      <c r="G1373" s="8">
        <f>IF(F1373&lt;&gt;"",HYPERLINK("https://www.google.com/maps/search/?api=1&amp;query="&amp;SUBSTITUTE(F1373," ",""),"🗺 Google Maps"),"")</f>
        <v/>
      </c>
      <c r="H1373" s="8">
        <f>IF(F1373&lt;&gt;"",HYPERLINK("https://waze.com/ul?ll="&amp;SUBSTITUTE(F1373," ","")&amp;"&amp;navigate=yes","🚗 Waze"),"")</f>
        <v/>
      </c>
      <c r="I1373" s="8">
        <f>IF(F1373&lt;&gt;"",HYPERLINK("https://m.uber.com/ul/?action=setPickup&amp;pickup=my_location&amp;dropoff[latitude]="&amp;LEFT(SUBSTITUTE(F1373," ",""),FIND(",",SUBSTITUTE(F1373," ",""))-1)&amp;"&amp;dropoff[longitude]="&amp;MID(SUBSTITUTE(F1373," ",""),FIND(",",SUBSTITUTE(F1373," ",""))+1,99),"🚕 Uber"),"")</f>
        <v/>
      </c>
      <c r="J1373" s="8">
        <f>IF(F1373&lt;&gt;"","https://api.qrserver.com/v1/create-qr-code/?size=200x200&amp;data="&amp;ENCODEURL("https://www.google.com/maps/search/?api=1&amp;query="&amp;SUBSTITUTE(F1373," ","")),"")</f>
        <v/>
      </c>
      <c r="K1373" s="8">
        <f>IF(C1373&lt;&gt;"",HYPERLINK("https://wa.me/507"&amp;REGEXREPLACE(C1373,"[^0-9]","")&amp;"?text="&amp;ENCODEURL("Ya llegue. Codigo: "&amp;A1373&amp;". Ubicacion: "&amp;"https://www.google.com/maps/search/?api=1&amp;query="&amp;SUBSTITUTE(F1373," ","")),"📲 Avisar al cliente"),"")</f>
        <v/>
      </c>
      <c r="L1373" s="8">
        <f>IF(C1373&lt;&gt;"","https://api.qrserver.com/v1/create-qr-code/?size=200x200&amp;data="&amp;ENCODEURL("https://wa.me/507"&amp;REGEXREPLACE(C1373,"[^0-9]","")&amp;"?text="&amp;ENCODEURL("Ya llegue. Codigo: "&amp;A1373&amp;". Ubicacion: "&amp;"https://www.google.com/maps/search/?api=1&amp;query="&amp;SUBSTITUTE(F1373," ",""))),"")</f>
        <v/>
      </c>
      <c r="M1373" s="8">
        <f>IF(B1373&lt;&gt;"",TODAY(),"")</f>
        <v/>
      </c>
      <c r="N1373" s="8">
        <f>IF(F1373&lt;&gt;"",IFERROR(IF(AND(REGEXMATCH(SUBSTITUTE(TRIM(F1373)," ",""),"^-?\d+(\.\d+)?,-?\d+(\.\d+)?$"),VALUE(REGEXEXTRACT(SUBSTITUTE(TRIM(F1373)," ",""),"^-?\d+(\.\d+)?"))&gt;=-90,VALUE(REGEXEXTRACT(SUBSTITUTE(TRIM(F1373)," ",""),"^-?\d+(\.\d+)?"))&lt;=90,VALUE(REGEXEXTRACT(SUBSTITUTE(TRIM(F1373)," ",""),"-?\d+(\.\d+)?$"))&gt;=-180,VALUE(REGEXEXTRACT(SUBSTITUTE(TRIM(F1373)," ",""),"-?\d+(\.\d+)?$"))&lt;=180),"OK","REVISAR"),"REVISAR"),"")</f>
        <v/>
      </c>
      <c r="O1373">
        <f>IF(A1373&lt;&gt;"","https://direcciones507.github.io/direcciones507/panel.html?codigo="&amp;A1373&amp;"&amp;nombre="&amp;ENCODEURL(B1373)&amp;"&amp;telefono="&amp;SUBSTITUTE(C1373,"-","")&amp;"&amp;referencia="&amp;ENCODEURL(E1373)&amp;"&amp;lat="&amp;IZQUIERDA(SUBSTITUTE(F1373," ",""),ENCONTRAR(",",SUBSTITUTE(F1373," ",""))-1)&amp;"&amp;lng="&amp;DERECHA(SUBSTITUTE(F1373," ",""),LARGO(SUBSTITUTE(F1373," ",""))-ENCONTRAR(",",SUBSTITUTE(F1373," ",""))),"")</f>
        <v/>
      </c>
    </row>
    <row r="1374" ht="15.75" customHeight="1" s="10">
      <c r="A1374" s="8">
        <f>CONCAT("AD507-",TEXT(ROW()-2,"0000"))</f>
        <v/>
      </c>
      <c r="C1374" s="8" t="n"/>
      <c r="F1374" s="8" t="n"/>
      <c r="G1374" s="8">
        <f>IF(F1374&lt;&gt;"",HYPERLINK("https://www.google.com/maps/search/?api=1&amp;query="&amp;SUBSTITUTE(F1374," ",""),"🗺 Google Maps"),"")</f>
        <v/>
      </c>
      <c r="H1374" s="8">
        <f>IF(F1374&lt;&gt;"",HYPERLINK("https://waze.com/ul?ll="&amp;SUBSTITUTE(F1374," ","")&amp;"&amp;navigate=yes","🚗 Waze"),"")</f>
        <v/>
      </c>
      <c r="I1374" s="8">
        <f>IF(F1374&lt;&gt;"",HYPERLINK("https://m.uber.com/ul/?action=setPickup&amp;pickup=my_location&amp;dropoff[latitude]="&amp;LEFT(SUBSTITUTE(F1374," ",""),FIND(",",SUBSTITUTE(F1374," ",""))-1)&amp;"&amp;dropoff[longitude]="&amp;MID(SUBSTITUTE(F1374," ",""),FIND(",",SUBSTITUTE(F1374," ",""))+1,99),"🚕 Uber"),"")</f>
        <v/>
      </c>
      <c r="J1374" s="8">
        <f>IF(F1374&lt;&gt;"","https://api.qrserver.com/v1/create-qr-code/?size=200x200&amp;data="&amp;ENCODEURL("https://www.google.com/maps/search/?api=1&amp;query="&amp;SUBSTITUTE(F1374," ","")),"")</f>
        <v/>
      </c>
      <c r="K1374" s="8">
        <f>IF(C1374&lt;&gt;"",HYPERLINK("https://wa.me/507"&amp;REGEXREPLACE(C1374,"[^0-9]","")&amp;"?text="&amp;ENCODEURL("Ya llegue. Codigo: "&amp;A1374&amp;". Ubicacion: "&amp;"https://www.google.com/maps/search/?api=1&amp;query="&amp;SUBSTITUTE(F1374," ","")),"📲 Avisar al cliente"),"")</f>
        <v/>
      </c>
      <c r="L1374" s="8">
        <f>IF(C1374&lt;&gt;"","https://api.qrserver.com/v1/create-qr-code/?size=200x200&amp;data="&amp;ENCODEURL("https://wa.me/507"&amp;REGEXREPLACE(C1374,"[^0-9]","")&amp;"?text="&amp;ENCODEURL("Ya llegue. Codigo: "&amp;A1374&amp;". Ubicacion: "&amp;"https://www.google.com/maps/search/?api=1&amp;query="&amp;SUBSTITUTE(F1374," ",""))),"")</f>
        <v/>
      </c>
      <c r="M1374" s="8">
        <f>IF(B1374&lt;&gt;"",TODAY(),"")</f>
        <v/>
      </c>
      <c r="N1374" s="8">
        <f>IF(F1374&lt;&gt;"",IFERROR(IF(AND(REGEXMATCH(SUBSTITUTE(TRIM(F1374)," ",""),"^-?\d+(\.\d+)?,-?\d+(\.\d+)?$"),VALUE(REGEXEXTRACT(SUBSTITUTE(TRIM(F1374)," ",""),"^-?\d+(\.\d+)?"))&gt;=-90,VALUE(REGEXEXTRACT(SUBSTITUTE(TRIM(F1374)," ",""),"^-?\d+(\.\d+)?"))&lt;=90,VALUE(REGEXEXTRACT(SUBSTITUTE(TRIM(F1374)," ",""),"-?\d+(\.\d+)?$"))&gt;=-180,VALUE(REGEXEXTRACT(SUBSTITUTE(TRIM(F1374)," ",""),"-?\d+(\.\d+)?$"))&lt;=180),"OK","REVISAR"),"REVISAR"),"")</f>
        <v/>
      </c>
      <c r="O1374">
        <f>IF(A1374&lt;&gt;"","https://direcciones507.github.io/direcciones507/panel.html?codigo="&amp;A1374&amp;"&amp;nombre="&amp;ENCODEURL(B1374)&amp;"&amp;telefono="&amp;SUBSTITUTE(C1374,"-","")&amp;"&amp;referencia="&amp;ENCODEURL(E1374)&amp;"&amp;lat="&amp;IZQUIERDA(SUBSTITUTE(F1374," ",""),ENCONTRAR(",",SUBSTITUTE(F1374," ",""))-1)&amp;"&amp;lng="&amp;DERECHA(SUBSTITUTE(F1374," ",""),LARGO(SUBSTITUTE(F1374," ",""))-ENCONTRAR(",",SUBSTITUTE(F1374," ",""))),"")</f>
        <v/>
      </c>
    </row>
    <row r="1375" ht="15.75" customHeight="1" s="10">
      <c r="A1375" s="8">
        <f>CONCAT("AD507-",TEXT(ROW()-2,"0000"))</f>
        <v/>
      </c>
      <c r="C1375" s="8" t="n"/>
      <c r="F1375" s="8" t="n"/>
      <c r="G1375" s="8">
        <f>IF(F1375&lt;&gt;"",HYPERLINK("https://www.google.com/maps/search/?api=1&amp;query="&amp;SUBSTITUTE(F1375," ",""),"🗺 Google Maps"),"")</f>
        <v/>
      </c>
      <c r="H1375" s="8">
        <f>IF(F1375&lt;&gt;"",HYPERLINK("https://waze.com/ul?ll="&amp;SUBSTITUTE(F1375," ","")&amp;"&amp;navigate=yes","🚗 Waze"),"")</f>
        <v/>
      </c>
      <c r="I1375" s="8">
        <f>IF(F1375&lt;&gt;"",HYPERLINK("https://m.uber.com/ul/?action=setPickup&amp;pickup=my_location&amp;dropoff[latitude]="&amp;LEFT(SUBSTITUTE(F1375," ",""),FIND(",",SUBSTITUTE(F1375," ",""))-1)&amp;"&amp;dropoff[longitude]="&amp;MID(SUBSTITUTE(F1375," ",""),FIND(",",SUBSTITUTE(F1375," ",""))+1,99),"🚕 Uber"),"")</f>
        <v/>
      </c>
      <c r="J1375" s="8">
        <f>IF(F1375&lt;&gt;"","https://api.qrserver.com/v1/create-qr-code/?size=200x200&amp;data="&amp;ENCODEURL("https://www.google.com/maps/search/?api=1&amp;query="&amp;SUBSTITUTE(F1375," ","")),"")</f>
        <v/>
      </c>
      <c r="K1375" s="8">
        <f>IF(C1375&lt;&gt;"",HYPERLINK("https://wa.me/507"&amp;REGEXREPLACE(C1375,"[^0-9]","")&amp;"?text="&amp;ENCODEURL("Ya llegue. Codigo: "&amp;A1375&amp;". Ubicacion: "&amp;"https://www.google.com/maps/search/?api=1&amp;query="&amp;SUBSTITUTE(F1375," ","")),"📲 Avisar al cliente"),"")</f>
        <v/>
      </c>
      <c r="L1375" s="8">
        <f>IF(C1375&lt;&gt;"","https://api.qrserver.com/v1/create-qr-code/?size=200x200&amp;data="&amp;ENCODEURL("https://wa.me/507"&amp;REGEXREPLACE(C1375,"[^0-9]","")&amp;"?text="&amp;ENCODEURL("Ya llegue. Codigo: "&amp;A1375&amp;". Ubicacion: "&amp;"https://www.google.com/maps/search/?api=1&amp;query="&amp;SUBSTITUTE(F1375," ",""))),"")</f>
        <v/>
      </c>
      <c r="M1375" s="8">
        <f>IF(B1375&lt;&gt;"",TODAY(),"")</f>
        <v/>
      </c>
      <c r="N1375" s="8">
        <f>IF(F1375&lt;&gt;"",IFERROR(IF(AND(REGEXMATCH(SUBSTITUTE(TRIM(F1375)," ",""),"^-?\d+(\.\d+)?,-?\d+(\.\d+)?$"),VALUE(REGEXEXTRACT(SUBSTITUTE(TRIM(F1375)," ",""),"^-?\d+(\.\d+)?"))&gt;=-90,VALUE(REGEXEXTRACT(SUBSTITUTE(TRIM(F1375)," ",""),"^-?\d+(\.\d+)?"))&lt;=90,VALUE(REGEXEXTRACT(SUBSTITUTE(TRIM(F1375)," ",""),"-?\d+(\.\d+)?$"))&gt;=-180,VALUE(REGEXEXTRACT(SUBSTITUTE(TRIM(F1375)," ",""),"-?\d+(\.\d+)?$"))&lt;=180),"OK","REVISAR"),"REVISAR"),"")</f>
        <v/>
      </c>
      <c r="O1375">
        <f>IF(A1375&lt;&gt;"","https://direcciones507.github.io/direcciones507/panel.html?codigo="&amp;A1375&amp;"&amp;nombre="&amp;ENCODEURL(B1375)&amp;"&amp;telefono="&amp;SUBSTITUTE(C1375,"-","")&amp;"&amp;referencia="&amp;ENCODEURL(E1375)&amp;"&amp;lat="&amp;IZQUIERDA(SUBSTITUTE(F1375," ",""),ENCONTRAR(",",SUBSTITUTE(F1375," ",""))-1)&amp;"&amp;lng="&amp;DERECHA(SUBSTITUTE(F1375," ",""),LARGO(SUBSTITUTE(F1375," ",""))-ENCONTRAR(",",SUBSTITUTE(F1375," ",""))),"")</f>
        <v/>
      </c>
    </row>
    <row r="1376" ht="15.75" customHeight="1" s="10">
      <c r="A1376" s="8">
        <f>CONCAT("AD507-",TEXT(ROW()-2,"0000"))</f>
        <v/>
      </c>
      <c r="C1376" s="8" t="n"/>
      <c r="F1376" s="8" t="n"/>
      <c r="G1376" s="8">
        <f>IF(F1376&lt;&gt;"",HYPERLINK("https://www.google.com/maps/search/?api=1&amp;query="&amp;SUBSTITUTE(F1376," ",""),"🗺 Google Maps"),"")</f>
        <v/>
      </c>
      <c r="H1376" s="8">
        <f>IF(F1376&lt;&gt;"",HYPERLINK("https://waze.com/ul?ll="&amp;SUBSTITUTE(F1376," ","")&amp;"&amp;navigate=yes","🚗 Waze"),"")</f>
        <v/>
      </c>
      <c r="I1376" s="8">
        <f>IF(F1376&lt;&gt;"",HYPERLINK("https://m.uber.com/ul/?action=setPickup&amp;pickup=my_location&amp;dropoff[latitude]="&amp;LEFT(SUBSTITUTE(F1376," ",""),FIND(",",SUBSTITUTE(F1376," ",""))-1)&amp;"&amp;dropoff[longitude]="&amp;MID(SUBSTITUTE(F1376," ",""),FIND(",",SUBSTITUTE(F1376," ",""))+1,99),"🚕 Uber"),"")</f>
        <v/>
      </c>
      <c r="J1376" s="8">
        <f>IF(F1376&lt;&gt;"","https://api.qrserver.com/v1/create-qr-code/?size=200x200&amp;data="&amp;ENCODEURL("https://www.google.com/maps/search/?api=1&amp;query="&amp;SUBSTITUTE(F1376," ","")),"")</f>
        <v/>
      </c>
      <c r="K1376" s="8">
        <f>IF(C1376&lt;&gt;"",HYPERLINK("https://wa.me/507"&amp;REGEXREPLACE(C1376,"[^0-9]","")&amp;"?text="&amp;ENCODEURL("Ya llegue. Codigo: "&amp;A1376&amp;". Ubicacion: "&amp;"https://www.google.com/maps/search/?api=1&amp;query="&amp;SUBSTITUTE(F1376," ","")),"📲 Avisar al cliente"),"")</f>
        <v/>
      </c>
      <c r="L1376" s="8">
        <f>IF(C1376&lt;&gt;"","https://api.qrserver.com/v1/create-qr-code/?size=200x200&amp;data="&amp;ENCODEURL("https://wa.me/507"&amp;REGEXREPLACE(C1376,"[^0-9]","")&amp;"?text="&amp;ENCODEURL("Ya llegue. Codigo: "&amp;A1376&amp;". Ubicacion: "&amp;"https://www.google.com/maps/search/?api=1&amp;query="&amp;SUBSTITUTE(F1376," ",""))),"")</f>
        <v/>
      </c>
      <c r="M1376" s="8">
        <f>IF(B1376&lt;&gt;"",TODAY(),"")</f>
        <v/>
      </c>
      <c r="N1376" s="8">
        <f>IF(F1376&lt;&gt;"",IFERROR(IF(AND(REGEXMATCH(SUBSTITUTE(TRIM(F1376)," ",""),"^-?\d+(\.\d+)?,-?\d+(\.\d+)?$"),VALUE(REGEXEXTRACT(SUBSTITUTE(TRIM(F1376)," ",""),"^-?\d+(\.\d+)?"))&gt;=-90,VALUE(REGEXEXTRACT(SUBSTITUTE(TRIM(F1376)," ",""),"^-?\d+(\.\d+)?"))&lt;=90,VALUE(REGEXEXTRACT(SUBSTITUTE(TRIM(F1376)," ",""),"-?\d+(\.\d+)?$"))&gt;=-180,VALUE(REGEXEXTRACT(SUBSTITUTE(TRIM(F1376)," ",""),"-?\d+(\.\d+)?$"))&lt;=180),"OK","REVISAR"),"REVISAR"),"")</f>
        <v/>
      </c>
      <c r="O1376">
        <f>IF(A1376&lt;&gt;"","https://direcciones507.github.io/direcciones507/panel.html?codigo="&amp;A1376&amp;"&amp;nombre="&amp;ENCODEURL(B1376)&amp;"&amp;telefono="&amp;SUBSTITUTE(C1376,"-","")&amp;"&amp;referencia="&amp;ENCODEURL(E1376)&amp;"&amp;lat="&amp;IZQUIERDA(SUBSTITUTE(F1376," ",""),ENCONTRAR(",",SUBSTITUTE(F1376," ",""))-1)&amp;"&amp;lng="&amp;DERECHA(SUBSTITUTE(F1376," ",""),LARGO(SUBSTITUTE(F1376," ",""))-ENCONTRAR(",",SUBSTITUTE(F1376," ",""))),"")</f>
        <v/>
      </c>
    </row>
    <row r="1377" ht="15.75" customHeight="1" s="10">
      <c r="A1377" s="8">
        <f>CONCAT("AD507-",TEXT(ROW()-2,"0000"))</f>
        <v/>
      </c>
      <c r="C1377" s="8" t="n"/>
      <c r="F1377" s="8" t="n"/>
      <c r="G1377" s="8">
        <f>IF(F1377&lt;&gt;"",HYPERLINK("https://www.google.com/maps/search/?api=1&amp;query="&amp;SUBSTITUTE(F1377," ",""),"🗺 Google Maps"),"")</f>
        <v/>
      </c>
      <c r="H1377" s="8">
        <f>IF(F1377&lt;&gt;"",HYPERLINK("https://waze.com/ul?ll="&amp;SUBSTITUTE(F1377," ","")&amp;"&amp;navigate=yes","🚗 Waze"),"")</f>
        <v/>
      </c>
      <c r="I1377" s="8">
        <f>IF(F1377&lt;&gt;"",HYPERLINK("https://m.uber.com/ul/?action=setPickup&amp;pickup=my_location&amp;dropoff[latitude]="&amp;LEFT(SUBSTITUTE(F1377," ",""),FIND(",",SUBSTITUTE(F1377," ",""))-1)&amp;"&amp;dropoff[longitude]="&amp;MID(SUBSTITUTE(F1377," ",""),FIND(",",SUBSTITUTE(F1377," ",""))+1,99),"🚕 Uber"),"")</f>
        <v/>
      </c>
      <c r="J1377" s="8">
        <f>IF(F1377&lt;&gt;"","https://api.qrserver.com/v1/create-qr-code/?size=200x200&amp;data="&amp;ENCODEURL("https://www.google.com/maps/search/?api=1&amp;query="&amp;SUBSTITUTE(F1377," ","")),"")</f>
        <v/>
      </c>
      <c r="K1377" s="8">
        <f>IF(C1377&lt;&gt;"",HYPERLINK("https://wa.me/507"&amp;REGEXREPLACE(C1377,"[^0-9]","")&amp;"?text="&amp;ENCODEURL("Ya llegue. Codigo: "&amp;A1377&amp;". Ubicacion: "&amp;"https://www.google.com/maps/search/?api=1&amp;query="&amp;SUBSTITUTE(F1377," ","")),"📲 Avisar al cliente"),"")</f>
        <v/>
      </c>
      <c r="L1377" s="8">
        <f>IF(C1377&lt;&gt;"","https://api.qrserver.com/v1/create-qr-code/?size=200x200&amp;data="&amp;ENCODEURL("https://wa.me/507"&amp;REGEXREPLACE(C1377,"[^0-9]","")&amp;"?text="&amp;ENCODEURL("Ya llegue. Codigo: "&amp;A1377&amp;". Ubicacion: "&amp;"https://www.google.com/maps/search/?api=1&amp;query="&amp;SUBSTITUTE(F1377," ",""))),"")</f>
        <v/>
      </c>
      <c r="M1377" s="8">
        <f>IF(B1377&lt;&gt;"",TODAY(),"")</f>
        <v/>
      </c>
      <c r="N1377" s="8">
        <f>IF(F1377&lt;&gt;"",IFERROR(IF(AND(REGEXMATCH(SUBSTITUTE(TRIM(F1377)," ",""),"^-?\d+(\.\d+)?,-?\d+(\.\d+)?$"),VALUE(REGEXEXTRACT(SUBSTITUTE(TRIM(F1377)," ",""),"^-?\d+(\.\d+)?"))&gt;=-90,VALUE(REGEXEXTRACT(SUBSTITUTE(TRIM(F1377)," ",""),"^-?\d+(\.\d+)?"))&lt;=90,VALUE(REGEXEXTRACT(SUBSTITUTE(TRIM(F1377)," ",""),"-?\d+(\.\d+)?$"))&gt;=-180,VALUE(REGEXEXTRACT(SUBSTITUTE(TRIM(F1377)," ",""),"-?\d+(\.\d+)?$"))&lt;=180),"OK","REVISAR"),"REVISAR"),"")</f>
        <v/>
      </c>
      <c r="O1377">
        <f>IF(A1377&lt;&gt;"","https://direcciones507.github.io/direcciones507/panel.html?codigo="&amp;A1377&amp;"&amp;nombre="&amp;ENCODEURL(B1377)&amp;"&amp;telefono="&amp;SUBSTITUTE(C1377,"-","")&amp;"&amp;referencia="&amp;ENCODEURL(E1377)&amp;"&amp;lat="&amp;IZQUIERDA(SUBSTITUTE(F1377," ",""),ENCONTRAR(",",SUBSTITUTE(F1377," ",""))-1)&amp;"&amp;lng="&amp;DERECHA(SUBSTITUTE(F1377," ",""),LARGO(SUBSTITUTE(F1377," ",""))-ENCONTRAR(",",SUBSTITUTE(F1377," ",""))),"")</f>
        <v/>
      </c>
    </row>
    <row r="1378" ht="15.75" customHeight="1" s="10">
      <c r="A1378" s="8">
        <f>CONCAT("AD507-",TEXT(ROW()-2,"0000"))</f>
        <v/>
      </c>
      <c r="C1378" s="8" t="n"/>
      <c r="F1378" s="8" t="n"/>
      <c r="G1378" s="8">
        <f>IF(F1378&lt;&gt;"",HYPERLINK("https://www.google.com/maps/search/?api=1&amp;query="&amp;SUBSTITUTE(F1378," ",""),"🗺 Google Maps"),"")</f>
        <v/>
      </c>
      <c r="H1378" s="8">
        <f>IF(F1378&lt;&gt;"",HYPERLINK("https://waze.com/ul?ll="&amp;SUBSTITUTE(F1378," ","")&amp;"&amp;navigate=yes","🚗 Waze"),"")</f>
        <v/>
      </c>
      <c r="I1378" s="8">
        <f>IF(F1378&lt;&gt;"",HYPERLINK("https://m.uber.com/ul/?action=setPickup&amp;pickup=my_location&amp;dropoff[latitude]="&amp;LEFT(SUBSTITUTE(F1378," ",""),FIND(",",SUBSTITUTE(F1378," ",""))-1)&amp;"&amp;dropoff[longitude]="&amp;MID(SUBSTITUTE(F1378," ",""),FIND(",",SUBSTITUTE(F1378," ",""))+1,99),"🚕 Uber"),"")</f>
        <v/>
      </c>
      <c r="J1378" s="8">
        <f>IF(F1378&lt;&gt;"","https://api.qrserver.com/v1/create-qr-code/?size=200x200&amp;data="&amp;ENCODEURL("https://www.google.com/maps/search/?api=1&amp;query="&amp;SUBSTITUTE(F1378," ","")),"")</f>
        <v/>
      </c>
      <c r="K1378" s="8">
        <f>IF(C1378&lt;&gt;"",HYPERLINK("https://wa.me/507"&amp;REGEXREPLACE(C1378,"[^0-9]","")&amp;"?text="&amp;ENCODEURL("Ya llegue. Codigo: "&amp;A1378&amp;". Ubicacion: "&amp;"https://www.google.com/maps/search/?api=1&amp;query="&amp;SUBSTITUTE(F1378," ","")),"📲 Avisar al cliente"),"")</f>
        <v/>
      </c>
      <c r="L1378" s="8">
        <f>IF(C1378&lt;&gt;"","https://api.qrserver.com/v1/create-qr-code/?size=200x200&amp;data="&amp;ENCODEURL("https://wa.me/507"&amp;REGEXREPLACE(C1378,"[^0-9]","")&amp;"?text="&amp;ENCODEURL("Ya llegue. Codigo: "&amp;A1378&amp;". Ubicacion: "&amp;"https://www.google.com/maps/search/?api=1&amp;query="&amp;SUBSTITUTE(F1378," ",""))),"")</f>
        <v/>
      </c>
      <c r="M1378" s="8">
        <f>IF(B1378&lt;&gt;"",TODAY(),"")</f>
        <v/>
      </c>
      <c r="N1378" s="8">
        <f>IF(F1378&lt;&gt;"",IFERROR(IF(AND(REGEXMATCH(SUBSTITUTE(TRIM(F1378)," ",""),"^-?\d+(\.\d+)?,-?\d+(\.\d+)?$"),VALUE(REGEXEXTRACT(SUBSTITUTE(TRIM(F1378)," ",""),"^-?\d+(\.\d+)?"))&gt;=-90,VALUE(REGEXEXTRACT(SUBSTITUTE(TRIM(F1378)," ",""),"^-?\d+(\.\d+)?"))&lt;=90,VALUE(REGEXEXTRACT(SUBSTITUTE(TRIM(F1378)," ",""),"-?\d+(\.\d+)?$"))&gt;=-180,VALUE(REGEXEXTRACT(SUBSTITUTE(TRIM(F1378)," ",""),"-?\d+(\.\d+)?$"))&lt;=180),"OK","REVISAR"),"REVISAR"),"")</f>
        <v/>
      </c>
      <c r="O1378">
        <f>IF(A1378&lt;&gt;"","https://direcciones507.github.io/direcciones507/panel.html?codigo="&amp;A1378&amp;"&amp;nombre="&amp;ENCODEURL(B1378)&amp;"&amp;telefono="&amp;SUBSTITUTE(C1378,"-","")&amp;"&amp;referencia="&amp;ENCODEURL(E1378)&amp;"&amp;lat="&amp;IZQUIERDA(SUBSTITUTE(F1378," ",""),ENCONTRAR(",",SUBSTITUTE(F1378," ",""))-1)&amp;"&amp;lng="&amp;DERECHA(SUBSTITUTE(F1378," ",""),LARGO(SUBSTITUTE(F1378," ",""))-ENCONTRAR(",",SUBSTITUTE(F1378," ",""))),"")</f>
        <v/>
      </c>
    </row>
    <row r="1379" ht="15.75" customHeight="1" s="10">
      <c r="A1379" s="8">
        <f>CONCAT("AD507-",TEXT(ROW()-2,"0000"))</f>
        <v/>
      </c>
      <c r="C1379" s="8" t="n"/>
      <c r="F1379" s="8" t="n"/>
      <c r="G1379" s="8">
        <f>IF(F1379&lt;&gt;"",HYPERLINK("https://www.google.com/maps/search/?api=1&amp;query="&amp;SUBSTITUTE(F1379," ",""),"🗺 Google Maps"),"")</f>
        <v/>
      </c>
      <c r="H1379" s="8">
        <f>IF(F1379&lt;&gt;"",HYPERLINK("https://waze.com/ul?ll="&amp;SUBSTITUTE(F1379," ","")&amp;"&amp;navigate=yes","🚗 Waze"),"")</f>
        <v/>
      </c>
      <c r="I1379" s="8">
        <f>IF(F1379&lt;&gt;"",HYPERLINK("https://m.uber.com/ul/?action=setPickup&amp;pickup=my_location&amp;dropoff[latitude]="&amp;LEFT(SUBSTITUTE(F1379," ",""),FIND(",",SUBSTITUTE(F1379," ",""))-1)&amp;"&amp;dropoff[longitude]="&amp;MID(SUBSTITUTE(F1379," ",""),FIND(",",SUBSTITUTE(F1379," ",""))+1,99),"🚕 Uber"),"")</f>
        <v/>
      </c>
      <c r="J1379" s="8">
        <f>IF(F1379&lt;&gt;"","https://api.qrserver.com/v1/create-qr-code/?size=200x200&amp;data="&amp;ENCODEURL("https://www.google.com/maps/search/?api=1&amp;query="&amp;SUBSTITUTE(F1379," ","")),"")</f>
        <v/>
      </c>
      <c r="K1379" s="8">
        <f>IF(C1379&lt;&gt;"",HYPERLINK("https://wa.me/507"&amp;REGEXREPLACE(C1379,"[^0-9]","")&amp;"?text="&amp;ENCODEURL("Ya llegue. Codigo: "&amp;A1379&amp;". Ubicacion: "&amp;"https://www.google.com/maps/search/?api=1&amp;query="&amp;SUBSTITUTE(F1379," ","")),"📲 Avisar al cliente"),"")</f>
        <v/>
      </c>
      <c r="L1379" s="8">
        <f>IF(C1379&lt;&gt;"","https://api.qrserver.com/v1/create-qr-code/?size=200x200&amp;data="&amp;ENCODEURL("https://wa.me/507"&amp;REGEXREPLACE(C1379,"[^0-9]","")&amp;"?text="&amp;ENCODEURL("Ya llegue. Codigo: "&amp;A1379&amp;". Ubicacion: "&amp;"https://www.google.com/maps/search/?api=1&amp;query="&amp;SUBSTITUTE(F1379," ",""))),"")</f>
        <v/>
      </c>
      <c r="M1379" s="8">
        <f>IF(B1379&lt;&gt;"",TODAY(),"")</f>
        <v/>
      </c>
      <c r="N1379" s="8">
        <f>IF(F1379&lt;&gt;"",IFERROR(IF(AND(REGEXMATCH(SUBSTITUTE(TRIM(F1379)," ",""),"^-?\d+(\.\d+)?,-?\d+(\.\d+)?$"),VALUE(REGEXEXTRACT(SUBSTITUTE(TRIM(F1379)," ",""),"^-?\d+(\.\d+)?"))&gt;=-90,VALUE(REGEXEXTRACT(SUBSTITUTE(TRIM(F1379)," ",""),"^-?\d+(\.\d+)?"))&lt;=90,VALUE(REGEXEXTRACT(SUBSTITUTE(TRIM(F1379)," ",""),"-?\d+(\.\d+)?$"))&gt;=-180,VALUE(REGEXEXTRACT(SUBSTITUTE(TRIM(F1379)," ",""),"-?\d+(\.\d+)?$"))&lt;=180),"OK","REVISAR"),"REVISAR"),"")</f>
        <v/>
      </c>
      <c r="O1379">
        <f>IF(A1379&lt;&gt;"","https://direcciones507.github.io/direcciones507/panel.html?codigo="&amp;A1379&amp;"&amp;nombre="&amp;ENCODEURL(B1379)&amp;"&amp;telefono="&amp;SUBSTITUTE(C1379,"-","")&amp;"&amp;referencia="&amp;ENCODEURL(E1379)&amp;"&amp;lat="&amp;IZQUIERDA(SUBSTITUTE(F1379," ",""),ENCONTRAR(",",SUBSTITUTE(F1379," ",""))-1)&amp;"&amp;lng="&amp;DERECHA(SUBSTITUTE(F1379," ",""),LARGO(SUBSTITUTE(F1379," ",""))-ENCONTRAR(",",SUBSTITUTE(F1379," ",""))),"")</f>
        <v/>
      </c>
    </row>
    <row r="1380" ht="15.75" customHeight="1" s="10">
      <c r="A1380" s="8">
        <f>CONCAT("AD507-",TEXT(ROW()-2,"0000"))</f>
        <v/>
      </c>
      <c r="C1380" s="8" t="n"/>
      <c r="F1380" s="8" t="n"/>
      <c r="G1380" s="8">
        <f>IF(F1380&lt;&gt;"",HYPERLINK("https://www.google.com/maps/search/?api=1&amp;query="&amp;SUBSTITUTE(F1380," ",""),"🗺 Google Maps"),"")</f>
        <v/>
      </c>
      <c r="H1380" s="8">
        <f>IF(F1380&lt;&gt;"",HYPERLINK("https://waze.com/ul?ll="&amp;SUBSTITUTE(F1380," ","")&amp;"&amp;navigate=yes","🚗 Waze"),"")</f>
        <v/>
      </c>
      <c r="I1380" s="8">
        <f>IF(F1380&lt;&gt;"",HYPERLINK("https://m.uber.com/ul/?action=setPickup&amp;pickup=my_location&amp;dropoff[latitude]="&amp;LEFT(SUBSTITUTE(F1380," ",""),FIND(",",SUBSTITUTE(F1380," ",""))-1)&amp;"&amp;dropoff[longitude]="&amp;MID(SUBSTITUTE(F1380," ",""),FIND(",",SUBSTITUTE(F1380," ",""))+1,99),"🚕 Uber"),"")</f>
        <v/>
      </c>
      <c r="J1380" s="8">
        <f>IF(F1380&lt;&gt;"","https://api.qrserver.com/v1/create-qr-code/?size=200x200&amp;data="&amp;ENCODEURL("https://www.google.com/maps/search/?api=1&amp;query="&amp;SUBSTITUTE(F1380," ","")),"")</f>
        <v/>
      </c>
      <c r="K1380" s="8">
        <f>IF(C1380&lt;&gt;"",HYPERLINK("https://wa.me/507"&amp;REGEXREPLACE(C1380,"[^0-9]","")&amp;"?text="&amp;ENCODEURL("Ya llegue. Codigo: "&amp;A1380&amp;". Ubicacion: "&amp;"https://www.google.com/maps/search/?api=1&amp;query="&amp;SUBSTITUTE(F1380," ","")),"📲 Avisar al cliente"),"")</f>
        <v/>
      </c>
      <c r="L1380" s="8">
        <f>IF(C1380&lt;&gt;"","https://api.qrserver.com/v1/create-qr-code/?size=200x200&amp;data="&amp;ENCODEURL("https://wa.me/507"&amp;REGEXREPLACE(C1380,"[^0-9]","")&amp;"?text="&amp;ENCODEURL("Ya llegue. Codigo: "&amp;A1380&amp;". Ubicacion: "&amp;"https://www.google.com/maps/search/?api=1&amp;query="&amp;SUBSTITUTE(F1380," ",""))),"")</f>
        <v/>
      </c>
      <c r="M1380" s="8">
        <f>IF(B1380&lt;&gt;"",TODAY(),"")</f>
        <v/>
      </c>
      <c r="N1380" s="8">
        <f>IF(F1380&lt;&gt;"",IFERROR(IF(AND(REGEXMATCH(SUBSTITUTE(TRIM(F1380)," ",""),"^-?\d+(\.\d+)?,-?\d+(\.\d+)?$"),VALUE(REGEXEXTRACT(SUBSTITUTE(TRIM(F1380)," ",""),"^-?\d+(\.\d+)?"))&gt;=-90,VALUE(REGEXEXTRACT(SUBSTITUTE(TRIM(F1380)," ",""),"^-?\d+(\.\d+)?"))&lt;=90,VALUE(REGEXEXTRACT(SUBSTITUTE(TRIM(F1380)," ",""),"-?\d+(\.\d+)?$"))&gt;=-180,VALUE(REGEXEXTRACT(SUBSTITUTE(TRIM(F1380)," ",""),"-?\d+(\.\d+)?$"))&lt;=180),"OK","REVISAR"),"REVISAR"),"")</f>
        <v/>
      </c>
      <c r="O1380">
        <f>IF(A1380&lt;&gt;"","https://direcciones507.github.io/direcciones507/panel.html?codigo="&amp;A1380&amp;"&amp;nombre="&amp;ENCODEURL(B1380)&amp;"&amp;telefono="&amp;SUBSTITUTE(C1380,"-","")&amp;"&amp;referencia="&amp;ENCODEURL(E1380)&amp;"&amp;lat="&amp;IZQUIERDA(SUBSTITUTE(F1380," ",""),ENCONTRAR(",",SUBSTITUTE(F1380," ",""))-1)&amp;"&amp;lng="&amp;DERECHA(SUBSTITUTE(F1380," ",""),LARGO(SUBSTITUTE(F1380," ",""))-ENCONTRAR(",",SUBSTITUTE(F1380," ",""))),"")</f>
        <v/>
      </c>
    </row>
    <row r="1381" ht="15.75" customHeight="1" s="10">
      <c r="A1381" s="8">
        <f>CONCAT("AD507-",TEXT(ROW()-2,"0000"))</f>
        <v/>
      </c>
      <c r="C1381" s="8" t="n"/>
      <c r="F1381" s="8" t="n"/>
      <c r="G1381" s="8">
        <f>IF(F1381&lt;&gt;"",HYPERLINK("https://www.google.com/maps/search/?api=1&amp;query="&amp;SUBSTITUTE(F1381," ",""),"🗺 Google Maps"),"")</f>
        <v/>
      </c>
      <c r="H1381" s="8">
        <f>IF(F1381&lt;&gt;"",HYPERLINK("https://waze.com/ul?ll="&amp;SUBSTITUTE(F1381," ","")&amp;"&amp;navigate=yes","🚗 Waze"),"")</f>
        <v/>
      </c>
      <c r="I1381" s="8">
        <f>IF(F1381&lt;&gt;"",HYPERLINK("https://m.uber.com/ul/?action=setPickup&amp;pickup=my_location&amp;dropoff[latitude]="&amp;LEFT(SUBSTITUTE(F1381," ",""),FIND(",",SUBSTITUTE(F1381," ",""))-1)&amp;"&amp;dropoff[longitude]="&amp;MID(SUBSTITUTE(F1381," ",""),FIND(",",SUBSTITUTE(F1381," ",""))+1,99),"🚕 Uber"),"")</f>
        <v/>
      </c>
      <c r="J1381" s="8">
        <f>IF(F1381&lt;&gt;"","https://api.qrserver.com/v1/create-qr-code/?size=200x200&amp;data="&amp;ENCODEURL("https://www.google.com/maps/search/?api=1&amp;query="&amp;SUBSTITUTE(F1381," ","")),"")</f>
        <v/>
      </c>
      <c r="K1381" s="8">
        <f>IF(C1381&lt;&gt;"",HYPERLINK("https://wa.me/507"&amp;REGEXREPLACE(C1381,"[^0-9]","")&amp;"?text="&amp;ENCODEURL("Ya llegue. Codigo: "&amp;A1381&amp;". Ubicacion: "&amp;"https://www.google.com/maps/search/?api=1&amp;query="&amp;SUBSTITUTE(F1381," ","")),"📲 Avisar al cliente"),"")</f>
        <v/>
      </c>
      <c r="L1381" s="8">
        <f>IF(C1381&lt;&gt;"","https://api.qrserver.com/v1/create-qr-code/?size=200x200&amp;data="&amp;ENCODEURL("https://wa.me/507"&amp;REGEXREPLACE(C1381,"[^0-9]","")&amp;"?text="&amp;ENCODEURL("Ya llegue. Codigo: "&amp;A1381&amp;". Ubicacion: "&amp;"https://www.google.com/maps/search/?api=1&amp;query="&amp;SUBSTITUTE(F1381," ",""))),"")</f>
        <v/>
      </c>
      <c r="M1381" s="8">
        <f>IF(B1381&lt;&gt;"",TODAY(),"")</f>
        <v/>
      </c>
      <c r="N1381" s="8">
        <f>IF(F1381&lt;&gt;"",IFERROR(IF(AND(REGEXMATCH(SUBSTITUTE(TRIM(F1381)," ",""),"^-?\d+(\.\d+)?,-?\d+(\.\d+)?$"),VALUE(REGEXEXTRACT(SUBSTITUTE(TRIM(F1381)," ",""),"^-?\d+(\.\d+)?"))&gt;=-90,VALUE(REGEXEXTRACT(SUBSTITUTE(TRIM(F1381)," ",""),"^-?\d+(\.\d+)?"))&lt;=90,VALUE(REGEXEXTRACT(SUBSTITUTE(TRIM(F1381)," ",""),"-?\d+(\.\d+)?$"))&gt;=-180,VALUE(REGEXEXTRACT(SUBSTITUTE(TRIM(F1381)," ",""),"-?\d+(\.\d+)?$"))&lt;=180),"OK","REVISAR"),"REVISAR"),"")</f>
        <v/>
      </c>
      <c r="O1381">
        <f>IF(A1381&lt;&gt;"","https://direcciones507.github.io/direcciones507/panel.html?codigo="&amp;A1381&amp;"&amp;nombre="&amp;ENCODEURL(B1381)&amp;"&amp;telefono="&amp;SUBSTITUTE(C1381,"-","")&amp;"&amp;referencia="&amp;ENCODEURL(E1381)&amp;"&amp;lat="&amp;IZQUIERDA(SUBSTITUTE(F1381," ",""),ENCONTRAR(",",SUBSTITUTE(F1381," ",""))-1)&amp;"&amp;lng="&amp;DERECHA(SUBSTITUTE(F1381," ",""),LARGO(SUBSTITUTE(F1381," ",""))-ENCONTRAR(",",SUBSTITUTE(F1381," ",""))),"")</f>
        <v/>
      </c>
    </row>
    <row r="1382" ht="15.75" customHeight="1" s="10">
      <c r="A1382" s="8">
        <f>CONCAT("AD507-",TEXT(ROW()-2,"0000"))</f>
        <v/>
      </c>
      <c r="C1382" s="8" t="n"/>
      <c r="F1382" s="8" t="n"/>
      <c r="G1382" s="8">
        <f>IF(F1382&lt;&gt;"",HYPERLINK("https://www.google.com/maps/search/?api=1&amp;query="&amp;SUBSTITUTE(F1382," ",""),"🗺 Google Maps"),"")</f>
        <v/>
      </c>
      <c r="H1382" s="8">
        <f>IF(F1382&lt;&gt;"",HYPERLINK("https://waze.com/ul?ll="&amp;SUBSTITUTE(F1382," ","")&amp;"&amp;navigate=yes","🚗 Waze"),"")</f>
        <v/>
      </c>
      <c r="I1382" s="8">
        <f>IF(F1382&lt;&gt;"",HYPERLINK("https://m.uber.com/ul/?action=setPickup&amp;pickup=my_location&amp;dropoff[latitude]="&amp;LEFT(SUBSTITUTE(F1382," ",""),FIND(",",SUBSTITUTE(F1382," ",""))-1)&amp;"&amp;dropoff[longitude]="&amp;MID(SUBSTITUTE(F1382," ",""),FIND(",",SUBSTITUTE(F1382," ",""))+1,99),"🚕 Uber"),"")</f>
        <v/>
      </c>
      <c r="J1382" s="8">
        <f>IF(F1382&lt;&gt;"","https://api.qrserver.com/v1/create-qr-code/?size=200x200&amp;data="&amp;ENCODEURL("https://www.google.com/maps/search/?api=1&amp;query="&amp;SUBSTITUTE(F1382," ","")),"")</f>
        <v/>
      </c>
      <c r="K1382" s="8">
        <f>IF(C1382&lt;&gt;"",HYPERLINK("https://wa.me/507"&amp;REGEXREPLACE(C1382,"[^0-9]","")&amp;"?text="&amp;ENCODEURL("Ya llegue. Codigo: "&amp;A1382&amp;". Ubicacion: "&amp;"https://www.google.com/maps/search/?api=1&amp;query="&amp;SUBSTITUTE(F1382," ","")),"📲 Avisar al cliente"),"")</f>
        <v/>
      </c>
      <c r="L1382" s="8">
        <f>IF(C1382&lt;&gt;"","https://api.qrserver.com/v1/create-qr-code/?size=200x200&amp;data="&amp;ENCODEURL("https://wa.me/507"&amp;REGEXREPLACE(C1382,"[^0-9]","")&amp;"?text="&amp;ENCODEURL("Ya llegue. Codigo: "&amp;A1382&amp;". Ubicacion: "&amp;"https://www.google.com/maps/search/?api=1&amp;query="&amp;SUBSTITUTE(F1382," ",""))),"")</f>
        <v/>
      </c>
      <c r="M1382" s="8">
        <f>IF(B1382&lt;&gt;"",TODAY(),"")</f>
        <v/>
      </c>
      <c r="N1382" s="8">
        <f>IF(F1382&lt;&gt;"",IFERROR(IF(AND(REGEXMATCH(SUBSTITUTE(TRIM(F1382)," ",""),"^-?\d+(\.\d+)?,-?\d+(\.\d+)?$"),VALUE(REGEXEXTRACT(SUBSTITUTE(TRIM(F1382)," ",""),"^-?\d+(\.\d+)?"))&gt;=-90,VALUE(REGEXEXTRACT(SUBSTITUTE(TRIM(F1382)," ",""),"^-?\d+(\.\d+)?"))&lt;=90,VALUE(REGEXEXTRACT(SUBSTITUTE(TRIM(F1382)," ",""),"-?\d+(\.\d+)?$"))&gt;=-180,VALUE(REGEXEXTRACT(SUBSTITUTE(TRIM(F1382)," ",""),"-?\d+(\.\d+)?$"))&lt;=180),"OK","REVISAR"),"REVISAR"),"")</f>
        <v/>
      </c>
      <c r="O1382">
        <f>IF(A1382&lt;&gt;"","https://direcciones507.github.io/direcciones507/panel.html?codigo="&amp;A1382&amp;"&amp;nombre="&amp;ENCODEURL(B1382)&amp;"&amp;telefono="&amp;SUBSTITUTE(C1382,"-","")&amp;"&amp;referencia="&amp;ENCODEURL(E1382)&amp;"&amp;lat="&amp;IZQUIERDA(SUBSTITUTE(F1382," ",""),ENCONTRAR(",",SUBSTITUTE(F1382," ",""))-1)&amp;"&amp;lng="&amp;DERECHA(SUBSTITUTE(F1382," ",""),LARGO(SUBSTITUTE(F1382," ",""))-ENCONTRAR(",",SUBSTITUTE(F1382," ",""))),"")</f>
        <v/>
      </c>
    </row>
    <row r="1383" ht="15.75" customHeight="1" s="10">
      <c r="A1383" s="8">
        <f>CONCAT("AD507-",TEXT(ROW()-2,"0000"))</f>
        <v/>
      </c>
      <c r="C1383" s="8" t="n"/>
      <c r="F1383" s="8" t="n"/>
      <c r="G1383" s="8">
        <f>IF(F1383&lt;&gt;"",HYPERLINK("https://www.google.com/maps/search/?api=1&amp;query="&amp;SUBSTITUTE(F1383," ",""),"🗺 Google Maps"),"")</f>
        <v/>
      </c>
      <c r="H1383" s="8">
        <f>IF(F1383&lt;&gt;"",HYPERLINK("https://waze.com/ul?ll="&amp;SUBSTITUTE(F1383," ","")&amp;"&amp;navigate=yes","🚗 Waze"),"")</f>
        <v/>
      </c>
      <c r="I1383" s="8">
        <f>IF(F1383&lt;&gt;"",HYPERLINK("https://m.uber.com/ul/?action=setPickup&amp;pickup=my_location&amp;dropoff[latitude]="&amp;LEFT(SUBSTITUTE(F1383," ",""),FIND(",",SUBSTITUTE(F1383," ",""))-1)&amp;"&amp;dropoff[longitude]="&amp;MID(SUBSTITUTE(F1383," ",""),FIND(",",SUBSTITUTE(F1383," ",""))+1,99),"🚕 Uber"),"")</f>
        <v/>
      </c>
      <c r="J1383" s="8">
        <f>IF(F1383&lt;&gt;"","https://api.qrserver.com/v1/create-qr-code/?size=200x200&amp;data="&amp;ENCODEURL("https://www.google.com/maps/search/?api=1&amp;query="&amp;SUBSTITUTE(F1383," ","")),"")</f>
        <v/>
      </c>
      <c r="K1383" s="8">
        <f>IF(C1383&lt;&gt;"",HYPERLINK("https://wa.me/507"&amp;REGEXREPLACE(C1383,"[^0-9]","")&amp;"?text="&amp;ENCODEURL("Ya llegue. Codigo: "&amp;A1383&amp;". Ubicacion: "&amp;"https://www.google.com/maps/search/?api=1&amp;query="&amp;SUBSTITUTE(F1383," ","")),"📲 Avisar al cliente"),"")</f>
        <v/>
      </c>
      <c r="L1383" s="8">
        <f>IF(C1383&lt;&gt;"","https://api.qrserver.com/v1/create-qr-code/?size=200x200&amp;data="&amp;ENCODEURL("https://wa.me/507"&amp;REGEXREPLACE(C1383,"[^0-9]","")&amp;"?text="&amp;ENCODEURL("Ya llegue. Codigo: "&amp;A1383&amp;". Ubicacion: "&amp;"https://www.google.com/maps/search/?api=1&amp;query="&amp;SUBSTITUTE(F1383," ",""))),"")</f>
        <v/>
      </c>
      <c r="M1383" s="8">
        <f>IF(B1383&lt;&gt;"",TODAY(),"")</f>
        <v/>
      </c>
      <c r="N1383" s="8">
        <f>IF(F1383&lt;&gt;"",IFERROR(IF(AND(REGEXMATCH(SUBSTITUTE(TRIM(F1383)," ",""),"^-?\d+(\.\d+)?,-?\d+(\.\d+)?$"),VALUE(REGEXEXTRACT(SUBSTITUTE(TRIM(F1383)," ",""),"^-?\d+(\.\d+)?"))&gt;=-90,VALUE(REGEXEXTRACT(SUBSTITUTE(TRIM(F1383)," ",""),"^-?\d+(\.\d+)?"))&lt;=90,VALUE(REGEXEXTRACT(SUBSTITUTE(TRIM(F1383)," ",""),"-?\d+(\.\d+)?$"))&gt;=-180,VALUE(REGEXEXTRACT(SUBSTITUTE(TRIM(F1383)," ",""),"-?\d+(\.\d+)?$"))&lt;=180),"OK","REVISAR"),"REVISAR"),"")</f>
        <v/>
      </c>
      <c r="O1383">
        <f>IF(A1383&lt;&gt;"","https://direcciones507.github.io/direcciones507/panel.html?codigo="&amp;A1383&amp;"&amp;nombre="&amp;ENCODEURL(B1383)&amp;"&amp;telefono="&amp;SUBSTITUTE(C1383,"-","")&amp;"&amp;referencia="&amp;ENCODEURL(E1383)&amp;"&amp;lat="&amp;IZQUIERDA(SUBSTITUTE(F1383," ",""),ENCONTRAR(",",SUBSTITUTE(F1383," ",""))-1)&amp;"&amp;lng="&amp;DERECHA(SUBSTITUTE(F1383," ",""),LARGO(SUBSTITUTE(F1383," ",""))-ENCONTRAR(",",SUBSTITUTE(F1383," ",""))),"")</f>
        <v/>
      </c>
    </row>
    <row r="1384" ht="15.75" customHeight="1" s="10">
      <c r="A1384" s="8">
        <f>CONCAT("AD507-",TEXT(ROW()-2,"0000"))</f>
        <v/>
      </c>
      <c r="C1384" s="8" t="n"/>
      <c r="F1384" s="8" t="n"/>
      <c r="G1384" s="8">
        <f>IF(F1384&lt;&gt;"",HYPERLINK("https://www.google.com/maps/search/?api=1&amp;query="&amp;SUBSTITUTE(F1384," ",""),"🗺 Google Maps"),"")</f>
        <v/>
      </c>
      <c r="H1384" s="8">
        <f>IF(F1384&lt;&gt;"",HYPERLINK("https://waze.com/ul?ll="&amp;SUBSTITUTE(F1384," ","")&amp;"&amp;navigate=yes","🚗 Waze"),"")</f>
        <v/>
      </c>
      <c r="I1384" s="8">
        <f>IF(F1384&lt;&gt;"",HYPERLINK("https://m.uber.com/ul/?action=setPickup&amp;pickup=my_location&amp;dropoff[latitude]="&amp;LEFT(SUBSTITUTE(F1384," ",""),FIND(",",SUBSTITUTE(F1384," ",""))-1)&amp;"&amp;dropoff[longitude]="&amp;MID(SUBSTITUTE(F1384," ",""),FIND(",",SUBSTITUTE(F1384," ",""))+1,99),"🚕 Uber"),"")</f>
        <v/>
      </c>
      <c r="J1384" s="8">
        <f>IF(F1384&lt;&gt;"","https://api.qrserver.com/v1/create-qr-code/?size=200x200&amp;data="&amp;ENCODEURL("https://www.google.com/maps/search/?api=1&amp;query="&amp;SUBSTITUTE(F1384," ","")),"")</f>
        <v/>
      </c>
      <c r="K1384" s="8">
        <f>IF(C1384&lt;&gt;"",HYPERLINK("https://wa.me/507"&amp;REGEXREPLACE(C1384,"[^0-9]","")&amp;"?text="&amp;ENCODEURL("Ya llegue. Codigo: "&amp;A1384&amp;". Ubicacion: "&amp;"https://www.google.com/maps/search/?api=1&amp;query="&amp;SUBSTITUTE(F1384," ","")),"📲 Avisar al cliente"),"")</f>
        <v/>
      </c>
      <c r="L1384" s="8">
        <f>IF(C1384&lt;&gt;"","https://api.qrserver.com/v1/create-qr-code/?size=200x200&amp;data="&amp;ENCODEURL("https://wa.me/507"&amp;REGEXREPLACE(C1384,"[^0-9]","")&amp;"?text="&amp;ENCODEURL("Ya llegue. Codigo: "&amp;A1384&amp;". Ubicacion: "&amp;"https://www.google.com/maps/search/?api=1&amp;query="&amp;SUBSTITUTE(F1384," ",""))),"")</f>
        <v/>
      </c>
      <c r="M1384" s="8">
        <f>IF(B1384&lt;&gt;"",TODAY(),"")</f>
        <v/>
      </c>
      <c r="N1384" s="8">
        <f>IF(F1384&lt;&gt;"",IFERROR(IF(AND(REGEXMATCH(SUBSTITUTE(TRIM(F1384)," ",""),"^-?\d+(\.\d+)?,-?\d+(\.\d+)?$"),VALUE(REGEXEXTRACT(SUBSTITUTE(TRIM(F1384)," ",""),"^-?\d+(\.\d+)?"))&gt;=-90,VALUE(REGEXEXTRACT(SUBSTITUTE(TRIM(F1384)," ",""),"^-?\d+(\.\d+)?"))&lt;=90,VALUE(REGEXEXTRACT(SUBSTITUTE(TRIM(F1384)," ",""),"-?\d+(\.\d+)?$"))&gt;=-180,VALUE(REGEXEXTRACT(SUBSTITUTE(TRIM(F1384)," ",""),"-?\d+(\.\d+)?$"))&lt;=180),"OK","REVISAR"),"REVISAR"),"")</f>
        <v/>
      </c>
      <c r="O1384">
        <f>IF(A1384&lt;&gt;"","https://direcciones507.github.io/direcciones507/panel.html?codigo="&amp;A1384&amp;"&amp;nombre="&amp;ENCODEURL(B1384)&amp;"&amp;telefono="&amp;SUBSTITUTE(C1384,"-","")&amp;"&amp;referencia="&amp;ENCODEURL(E1384)&amp;"&amp;lat="&amp;IZQUIERDA(SUBSTITUTE(F1384," ",""),ENCONTRAR(",",SUBSTITUTE(F1384," ",""))-1)&amp;"&amp;lng="&amp;DERECHA(SUBSTITUTE(F1384," ",""),LARGO(SUBSTITUTE(F1384," ",""))-ENCONTRAR(",",SUBSTITUTE(F1384," ",""))),"")</f>
        <v/>
      </c>
    </row>
    <row r="1385" ht="15.75" customHeight="1" s="10">
      <c r="A1385" s="8">
        <f>CONCAT("AD507-",TEXT(ROW()-2,"0000"))</f>
        <v/>
      </c>
      <c r="C1385" s="8" t="n"/>
      <c r="F1385" s="8" t="n"/>
      <c r="G1385" s="8">
        <f>IF(F1385&lt;&gt;"",HYPERLINK("https://www.google.com/maps/search/?api=1&amp;query="&amp;SUBSTITUTE(F1385," ",""),"🗺 Google Maps"),"")</f>
        <v/>
      </c>
      <c r="H1385" s="8">
        <f>IF(F1385&lt;&gt;"",HYPERLINK("https://waze.com/ul?ll="&amp;SUBSTITUTE(F1385," ","")&amp;"&amp;navigate=yes","🚗 Waze"),"")</f>
        <v/>
      </c>
      <c r="I1385" s="8">
        <f>IF(F1385&lt;&gt;"",HYPERLINK("https://m.uber.com/ul/?action=setPickup&amp;pickup=my_location&amp;dropoff[latitude]="&amp;LEFT(SUBSTITUTE(F1385," ",""),FIND(",",SUBSTITUTE(F1385," ",""))-1)&amp;"&amp;dropoff[longitude]="&amp;MID(SUBSTITUTE(F1385," ",""),FIND(",",SUBSTITUTE(F1385," ",""))+1,99),"🚕 Uber"),"")</f>
        <v/>
      </c>
      <c r="J1385" s="8">
        <f>IF(F1385&lt;&gt;"","https://api.qrserver.com/v1/create-qr-code/?size=200x200&amp;data="&amp;ENCODEURL("https://www.google.com/maps/search/?api=1&amp;query="&amp;SUBSTITUTE(F1385," ","")),"")</f>
        <v/>
      </c>
      <c r="K1385" s="8">
        <f>IF(C1385&lt;&gt;"",HYPERLINK("https://wa.me/507"&amp;REGEXREPLACE(C1385,"[^0-9]","")&amp;"?text="&amp;ENCODEURL("Ya llegue. Codigo: "&amp;A1385&amp;". Ubicacion: "&amp;"https://www.google.com/maps/search/?api=1&amp;query="&amp;SUBSTITUTE(F1385," ","")),"📲 Avisar al cliente"),"")</f>
        <v/>
      </c>
      <c r="L1385" s="8">
        <f>IF(C1385&lt;&gt;"","https://api.qrserver.com/v1/create-qr-code/?size=200x200&amp;data="&amp;ENCODEURL("https://wa.me/507"&amp;REGEXREPLACE(C1385,"[^0-9]","")&amp;"?text="&amp;ENCODEURL("Ya llegue. Codigo: "&amp;A1385&amp;". Ubicacion: "&amp;"https://www.google.com/maps/search/?api=1&amp;query="&amp;SUBSTITUTE(F1385," ",""))),"")</f>
        <v/>
      </c>
      <c r="M1385" s="8">
        <f>IF(B1385&lt;&gt;"",TODAY(),"")</f>
        <v/>
      </c>
      <c r="N1385" s="8">
        <f>IF(F1385&lt;&gt;"",IFERROR(IF(AND(REGEXMATCH(SUBSTITUTE(TRIM(F1385)," ",""),"^-?\d+(\.\d+)?,-?\d+(\.\d+)?$"),VALUE(REGEXEXTRACT(SUBSTITUTE(TRIM(F1385)," ",""),"^-?\d+(\.\d+)?"))&gt;=-90,VALUE(REGEXEXTRACT(SUBSTITUTE(TRIM(F1385)," ",""),"^-?\d+(\.\d+)?"))&lt;=90,VALUE(REGEXEXTRACT(SUBSTITUTE(TRIM(F1385)," ",""),"-?\d+(\.\d+)?$"))&gt;=-180,VALUE(REGEXEXTRACT(SUBSTITUTE(TRIM(F1385)," ",""),"-?\d+(\.\d+)?$"))&lt;=180),"OK","REVISAR"),"REVISAR"),"")</f>
        <v/>
      </c>
      <c r="O1385">
        <f>IF(A1385&lt;&gt;"","https://direcciones507.github.io/direcciones507/panel.html?codigo="&amp;A1385&amp;"&amp;nombre="&amp;ENCODEURL(B1385)&amp;"&amp;telefono="&amp;SUBSTITUTE(C1385,"-","")&amp;"&amp;referencia="&amp;ENCODEURL(E1385)&amp;"&amp;lat="&amp;IZQUIERDA(SUBSTITUTE(F1385," ",""),ENCONTRAR(",",SUBSTITUTE(F1385," ",""))-1)&amp;"&amp;lng="&amp;DERECHA(SUBSTITUTE(F1385," ",""),LARGO(SUBSTITUTE(F1385," ",""))-ENCONTRAR(",",SUBSTITUTE(F1385," ",""))),"")</f>
        <v/>
      </c>
    </row>
    <row r="1386" ht="15.75" customHeight="1" s="10">
      <c r="A1386" s="8">
        <f>CONCAT("AD507-",TEXT(ROW()-2,"0000"))</f>
        <v/>
      </c>
      <c r="C1386" s="8" t="n"/>
      <c r="F1386" s="8" t="n"/>
      <c r="G1386" s="8">
        <f>IF(F1386&lt;&gt;"",HYPERLINK("https://www.google.com/maps/search/?api=1&amp;query="&amp;SUBSTITUTE(F1386," ",""),"🗺 Google Maps"),"")</f>
        <v/>
      </c>
      <c r="H1386" s="8">
        <f>IF(F1386&lt;&gt;"",HYPERLINK("https://waze.com/ul?ll="&amp;SUBSTITUTE(F1386," ","")&amp;"&amp;navigate=yes","🚗 Waze"),"")</f>
        <v/>
      </c>
      <c r="I1386" s="8">
        <f>IF(F1386&lt;&gt;"",HYPERLINK("https://m.uber.com/ul/?action=setPickup&amp;pickup=my_location&amp;dropoff[latitude]="&amp;LEFT(SUBSTITUTE(F1386," ",""),FIND(",",SUBSTITUTE(F1386," ",""))-1)&amp;"&amp;dropoff[longitude]="&amp;MID(SUBSTITUTE(F1386," ",""),FIND(",",SUBSTITUTE(F1386," ",""))+1,99),"🚕 Uber"),"")</f>
        <v/>
      </c>
      <c r="J1386" s="8">
        <f>IF(F1386&lt;&gt;"","https://api.qrserver.com/v1/create-qr-code/?size=200x200&amp;data="&amp;ENCODEURL("https://www.google.com/maps/search/?api=1&amp;query="&amp;SUBSTITUTE(F1386," ","")),"")</f>
        <v/>
      </c>
      <c r="K1386" s="8">
        <f>IF(C1386&lt;&gt;"",HYPERLINK("https://wa.me/507"&amp;REGEXREPLACE(C1386,"[^0-9]","")&amp;"?text="&amp;ENCODEURL("Ya llegue. Codigo: "&amp;A1386&amp;". Ubicacion: "&amp;"https://www.google.com/maps/search/?api=1&amp;query="&amp;SUBSTITUTE(F1386," ","")),"📲 Avisar al cliente"),"")</f>
        <v/>
      </c>
      <c r="L1386" s="8">
        <f>IF(C1386&lt;&gt;"","https://api.qrserver.com/v1/create-qr-code/?size=200x200&amp;data="&amp;ENCODEURL("https://wa.me/507"&amp;REGEXREPLACE(C1386,"[^0-9]","")&amp;"?text="&amp;ENCODEURL("Ya llegue. Codigo: "&amp;A1386&amp;". Ubicacion: "&amp;"https://www.google.com/maps/search/?api=1&amp;query="&amp;SUBSTITUTE(F1386," ",""))),"")</f>
        <v/>
      </c>
      <c r="M1386" s="8">
        <f>IF(B1386&lt;&gt;"",TODAY(),"")</f>
        <v/>
      </c>
      <c r="N1386" s="8">
        <f>IF(F1386&lt;&gt;"",IFERROR(IF(AND(REGEXMATCH(SUBSTITUTE(TRIM(F1386)," ",""),"^-?\d+(\.\d+)?,-?\d+(\.\d+)?$"),VALUE(REGEXEXTRACT(SUBSTITUTE(TRIM(F1386)," ",""),"^-?\d+(\.\d+)?"))&gt;=-90,VALUE(REGEXEXTRACT(SUBSTITUTE(TRIM(F1386)," ",""),"^-?\d+(\.\d+)?"))&lt;=90,VALUE(REGEXEXTRACT(SUBSTITUTE(TRIM(F1386)," ",""),"-?\d+(\.\d+)?$"))&gt;=-180,VALUE(REGEXEXTRACT(SUBSTITUTE(TRIM(F1386)," ",""),"-?\d+(\.\d+)?$"))&lt;=180),"OK","REVISAR"),"REVISAR"),"")</f>
        <v/>
      </c>
      <c r="O1386">
        <f>IF(A1386&lt;&gt;"","https://direcciones507.github.io/direcciones507/panel.html?codigo="&amp;A1386&amp;"&amp;nombre="&amp;ENCODEURL(B1386)&amp;"&amp;telefono="&amp;SUBSTITUTE(C1386,"-","")&amp;"&amp;referencia="&amp;ENCODEURL(E1386)&amp;"&amp;lat="&amp;IZQUIERDA(SUBSTITUTE(F1386," ",""),ENCONTRAR(",",SUBSTITUTE(F1386," ",""))-1)&amp;"&amp;lng="&amp;DERECHA(SUBSTITUTE(F1386," ",""),LARGO(SUBSTITUTE(F1386," ",""))-ENCONTRAR(",",SUBSTITUTE(F1386," ",""))),"")</f>
        <v/>
      </c>
    </row>
    <row r="1387" ht="15.75" customHeight="1" s="10">
      <c r="A1387" s="8">
        <f>CONCAT("AD507-",TEXT(ROW()-2,"0000"))</f>
        <v/>
      </c>
      <c r="C1387" s="8" t="n"/>
      <c r="F1387" s="8" t="n"/>
      <c r="G1387" s="8">
        <f>IF(F1387&lt;&gt;"",HYPERLINK("https://www.google.com/maps/search/?api=1&amp;query="&amp;SUBSTITUTE(F1387," ",""),"🗺 Google Maps"),"")</f>
        <v/>
      </c>
      <c r="H1387" s="8">
        <f>IF(F1387&lt;&gt;"",HYPERLINK("https://waze.com/ul?ll="&amp;SUBSTITUTE(F1387," ","")&amp;"&amp;navigate=yes","🚗 Waze"),"")</f>
        <v/>
      </c>
      <c r="I1387" s="8">
        <f>IF(F1387&lt;&gt;"",HYPERLINK("https://m.uber.com/ul/?action=setPickup&amp;pickup=my_location&amp;dropoff[latitude]="&amp;LEFT(SUBSTITUTE(F1387," ",""),FIND(",",SUBSTITUTE(F1387," ",""))-1)&amp;"&amp;dropoff[longitude]="&amp;MID(SUBSTITUTE(F1387," ",""),FIND(",",SUBSTITUTE(F1387," ",""))+1,99),"🚕 Uber"),"")</f>
        <v/>
      </c>
      <c r="J1387" s="8">
        <f>IF(F1387&lt;&gt;"","https://api.qrserver.com/v1/create-qr-code/?size=200x200&amp;data="&amp;ENCODEURL("https://www.google.com/maps/search/?api=1&amp;query="&amp;SUBSTITUTE(F1387," ","")),"")</f>
        <v/>
      </c>
      <c r="K1387" s="8">
        <f>IF(C1387&lt;&gt;"",HYPERLINK("https://wa.me/507"&amp;REGEXREPLACE(C1387,"[^0-9]","")&amp;"?text="&amp;ENCODEURL("Ya llegue. Codigo: "&amp;A1387&amp;". Ubicacion: "&amp;"https://www.google.com/maps/search/?api=1&amp;query="&amp;SUBSTITUTE(F1387," ","")),"📲 Avisar al cliente"),"")</f>
        <v/>
      </c>
      <c r="L1387" s="8">
        <f>IF(C1387&lt;&gt;"","https://api.qrserver.com/v1/create-qr-code/?size=200x200&amp;data="&amp;ENCODEURL("https://wa.me/507"&amp;REGEXREPLACE(C1387,"[^0-9]","")&amp;"?text="&amp;ENCODEURL("Ya llegue. Codigo: "&amp;A1387&amp;". Ubicacion: "&amp;"https://www.google.com/maps/search/?api=1&amp;query="&amp;SUBSTITUTE(F1387," ",""))),"")</f>
        <v/>
      </c>
      <c r="M1387" s="8">
        <f>IF(B1387&lt;&gt;"",TODAY(),"")</f>
        <v/>
      </c>
      <c r="N1387" s="8">
        <f>IF(F1387&lt;&gt;"",IFERROR(IF(AND(REGEXMATCH(SUBSTITUTE(TRIM(F1387)," ",""),"^-?\d+(\.\d+)?,-?\d+(\.\d+)?$"),VALUE(REGEXEXTRACT(SUBSTITUTE(TRIM(F1387)," ",""),"^-?\d+(\.\d+)?"))&gt;=-90,VALUE(REGEXEXTRACT(SUBSTITUTE(TRIM(F1387)," ",""),"^-?\d+(\.\d+)?"))&lt;=90,VALUE(REGEXEXTRACT(SUBSTITUTE(TRIM(F1387)," ",""),"-?\d+(\.\d+)?$"))&gt;=-180,VALUE(REGEXEXTRACT(SUBSTITUTE(TRIM(F1387)," ",""),"-?\d+(\.\d+)?$"))&lt;=180),"OK","REVISAR"),"REVISAR"),"")</f>
        <v/>
      </c>
      <c r="O1387">
        <f>IF(A1387&lt;&gt;"","https://direcciones507.github.io/direcciones507/panel.html?codigo="&amp;A1387&amp;"&amp;nombre="&amp;ENCODEURL(B1387)&amp;"&amp;telefono="&amp;SUBSTITUTE(C1387,"-","")&amp;"&amp;referencia="&amp;ENCODEURL(E1387)&amp;"&amp;lat="&amp;IZQUIERDA(SUBSTITUTE(F1387," ",""),ENCONTRAR(",",SUBSTITUTE(F1387," ",""))-1)&amp;"&amp;lng="&amp;DERECHA(SUBSTITUTE(F1387," ",""),LARGO(SUBSTITUTE(F1387," ",""))-ENCONTRAR(",",SUBSTITUTE(F1387," ",""))),"")</f>
        <v/>
      </c>
    </row>
    <row r="1388" ht="15.75" customHeight="1" s="10">
      <c r="A1388" s="8">
        <f>CONCAT("AD507-",TEXT(ROW()-2,"0000"))</f>
        <v/>
      </c>
      <c r="C1388" s="8" t="n"/>
      <c r="F1388" s="8" t="n"/>
      <c r="G1388" s="8">
        <f>IF(F1388&lt;&gt;"",HYPERLINK("https://www.google.com/maps/search/?api=1&amp;query="&amp;SUBSTITUTE(F1388," ",""),"🗺 Google Maps"),"")</f>
        <v/>
      </c>
      <c r="H1388" s="8">
        <f>IF(F1388&lt;&gt;"",HYPERLINK("https://waze.com/ul?ll="&amp;SUBSTITUTE(F1388," ","")&amp;"&amp;navigate=yes","🚗 Waze"),"")</f>
        <v/>
      </c>
      <c r="I1388" s="8">
        <f>IF(F1388&lt;&gt;"",HYPERLINK("https://m.uber.com/ul/?action=setPickup&amp;pickup=my_location&amp;dropoff[latitude]="&amp;LEFT(SUBSTITUTE(F1388," ",""),FIND(",",SUBSTITUTE(F1388," ",""))-1)&amp;"&amp;dropoff[longitude]="&amp;MID(SUBSTITUTE(F1388," ",""),FIND(",",SUBSTITUTE(F1388," ",""))+1,99),"🚕 Uber"),"")</f>
        <v/>
      </c>
      <c r="J1388" s="8">
        <f>IF(F1388&lt;&gt;"","https://api.qrserver.com/v1/create-qr-code/?size=200x200&amp;data="&amp;ENCODEURL("https://www.google.com/maps/search/?api=1&amp;query="&amp;SUBSTITUTE(F1388," ","")),"")</f>
        <v/>
      </c>
      <c r="K1388" s="8">
        <f>IF(C1388&lt;&gt;"",HYPERLINK("https://wa.me/507"&amp;REGEXREPLACE(C1388,"[^0-9]","")&amp;"?text="&amp;ENCODEURL("Ya llegue. Codigo: "&amp;A1388&amp;". Ubicacion: "&amp;"https://www.google.com/maps/search/?api=1&amp;query="&amp;SUBSTITUTE(F1388," ","")),"📲 Avisar al cliente"),"")</f>
        <v/>
      </c>
      <c r="L1388" s="8">
        <f>IF(C1388&lt;&gt;"","https://api.qrserver.com/v1/create-qr-code/?size=200x200&amp;data="&amp;ENCODEURL("https://wa.me/507"&amp;REGEXREPLACE(C1388,"[^0-9]","")&amp;"?text="&amp;ENCODEURL("Ya llegue. Codigo: "&amp;A1388&amp;". Ubicacion: "&amp;"https://www.google.com/maps/search/?api=1&amp;query="&amp;SUBSTITUTE(F1388," ",""))),"")</f>
        <v/>
      </c>
      <c r="M1388" s="8">
        <f>IF(B1388&lt;&gt;"",TODAY(),"")</f>
        <v/>
      </c>
      <c r="N1388" s="8">
        <f>IF(F1388&lt;&gt;"",IFERROR(IF(AND(REGEXMATCH(SUBSTITUTE(TRIM(F1388)," ",""),"^-?\d+(\.\d+)?,-?\d+(\.\d+)?$"),VALUE(REGEXEXTRACT(SUBSTITUTE(TRIM(F1388)," ",""),"^-?\d+(\.\d+)?"))&gt;=-90,VALUE(REGEXEXTRACT(SUBSTITUTE(TRIM(F1388)," ",""),"^-?\d+(\.\d+)?"))&lt;=90,VALUE(REGEXEXTRACT(SUBSTITUTE(TRIM(F1388)," ",""),"-?\d+(\.\d+)?$"))&gt;=-180,VALUE(REGEXEXTRACT(SUBSTITUTE(TRIM(F1388)," ",""),"-?\d+(\.\d+)?$"))&lt;=180),"OK","REVISAR"),"REVISAR"),"")</f>
        <v/>
      </c>
      <c r="O1388">
        <f>IF(A1388&lt;&gt;"","https://direcciones507.github.io/direcciones507/panel.html?codigo="&amp;A1388&amp;"&amp;nombre="&amp;ENCODEURL(B1388)&amp;"&amp;telefono="&amp;SUBSTITUTE(C1388,"-","")&amp;"&amp;referencia="&amp;ENCODEURL(E1388)&amp;"&amp;lat="&amp;IZQUIERDA(SUBSTITUTE(F1388," ",""),ENCONTRAR(",",SUBSTITUTE(F1388," ",""))-1)&amp;"&amp;lng="&amp;DERECHA(SUBSTITUTE(F1388," ",""),LARGO(SUBSTITUTE(F1388," ",""))-ENCONTRAR(",",SUBSTITUTE(F1388," ",""))),"")</f>
        <v/>
      </c>
    </row>
    <row r="1389" ht="15.75" customHeight="1" s="10">
      <c r="A1389" s="8">
        <f>CONCAT("AD507-",TEXT(ROW()-2,"0000"))</f>
        <v/>
      </c>
      <c r="C1389" s="8" t="n"/>
      <c r="F1389" s="8" t="n"/>
      <c r="G1389" s="8">
        <f>IF(F1389&lt;&gt;"",HYPERLINK("https://www.google.com/maps/search/?api=1&amp;query="&amp;SUBSTITUTE(F1389," ",""),"🗺 Google Maps"),"")</f>
        <v/>
      </c>
      <c r="H1389" s="8">
        <f>IF(F1389&lt;&gt;"",HYPERLINK("https://waze.com/ul?ll="&amp;SUBSTITUTE(F1389," ","")&amp;"&amp;navigate=yes","🚗 Waze"),"")</f>
        <v/>
      </c>
      <c r="I1389" s="8">
        <f>IF(F1389&lt;&gt;"",HYPERLINK("https://m.uber.com/ul/?action=setPickup&amp;pickup=my_location&amp;dropoff[latitude]="&amp;LEFT(SUBSTITUTE(F1389," ",""),FIND(",",SUBSTITUTE(F1389," ",""))-1)&amp;"&amp;dropoff[longitude]="&amp;MID(SUBSTITUTE(F1389," ",""),FIND(",",SUBSTITUTE(F1389," ",""))+1,99),"🚕 Uber"),"")</f>
        <v/>
      </c>
      <c r="J1389" s="8">
        <f>IF(F1389&lt;&gt;"","https://api.qrserver.com/v1/create-qr-code/?size=200x200&amp;data="&amp;ENCODEURL("https://www.google.com/maps/search/?api=1&amp;query="&amp;SUBSTITUTE(F1389," ","")),"")</f>
        <v/>
      </c>
      <c r="K1389" s="8">
        <f>IF(C1389&lt;&gt;"",HYPERLINK("https://wa.me/507"&amp;REGEXREPLACE(C1389,"[^0-9]","")&amp;"?text="&amp;ENCODEURL("Ya llegue. Codigo: "&amp;A1389&amp;". Ubicacion: "&amp;"https://www.google.com/maps/search/?api=1&amp;query="&amp;SUBSTITUTE(F1389," ","")),"📲 Avisar al cliente"),"")</f>
        <v/>
      </c>
      <c r="L1389" s="8">
        <f>IF(C1389&lt;&gt;"","https://api.qrserver.com/v1/create-qr-code/?size=200x200&amp;data="&amp;ENCODEURL("https://wa.me/507"&amp;REGEXREPLACE(C1389,"[^0-9]","")&amp;"?text="&amp;ENCODEURL("Ya llegue. Codigo: "&amp;A1389&amp;". Ubicacion: "&amp;"https://www.google.com/maps/search/?api=1&amp;query="&amp;SUBSTITUTE(F1389," ",""))),"")</f>
        <v/>
      </c>
      <c r="M1389" s="8">
        <f>IF(B1389&lt;&gt;"",TODAY(),"")</f>
        <v/>
      </c>
      <c r="N1389" s="8">
        <f>IF(F1389&lt;&gt;"",IFERROR(IF(AND(REGEXMATCH(SUBSTITUTE(TRIM(F1389)," ",""),"^-?\d+(\.\d+)?,-?\d+(\.\d+)?$"),VALUE(REGEXEXTRACT(SUBSTITUTE(TRIM(F1389)," ",""),"^-?\d+(\.\d+)?"))&gt;=-90,VALUE(REGEXEXTRACT(SUBSTITUTE(TRIM(F1389)," ",""),"^-?\d+(\.\d+)?"))&lt;=90,VALUE(REGEXEXTRACT(SUBSTITUTE(TRIM(F1389)," ",""),"-?\d+(\.\d+)?$"))&gt;=-180,VALUE(REGEXEXTRACT(SUBSTITUTE(TRIM(F1389)," ",""),"-?\d+(\.\d+)?$"))&lt;=180),"OK","REVISAR"),"REVISAR"),"")</f>
        <v/>
      </c>
      <c r="O1389">
        <f>IF(A1389&lt;&gt;"","https://direcciones507.github.io/direcciones507/panel.html?codigo="&amp;A1389&amp;"&amp;nombre="&amp;ENCODEURL(B1389)&amp;"&amp;telefono="&amp;SUBSTITUTE(C1389,"-","")&amp;"&amp;referencia="&amp;ENCODEURL(E1389)&amp;"&amp;lat="&amp;IZQUIERDA(SUBSTITUTE(F1389," ",""),ENCONTRAR(",",SUBSTITUTE(F1389," ",""))-1)&amp;"&amp;lng="&amp;DERECHA(SUBSTITUTE(F1389," ",""),LARGO(SUBSTITUTE(F1389," ",""))-ENCONTRAR(",",SUBSTITUTE(F1389," ",""))),"")</f>
        <v/>
      </c>
    </row>
    <row r="1390" ht="15.75" customHeight="1" s="10">
      <c r="A1390" s="8">
        <f>CONCAT("AD507-",TEXT(ROW()-2,"0000"))</f>
        <v/>
      </c>
      <c r="C1390" s="8" t="n"/>
      <c r="F1390" s="8" t="n"/>
      <c r="G1390" s="8">
        <f>IF(F1390&lt;&gt;"",HYPERLINK("https://www.google.com/maps/search/?api=1&amp;query="&amp;SUBSTITUTE(F1390," ",""),"🗺 Google Maps"),"")</f>
        <v/>
      </c>
      <c r="H1390" s="8">
        <f>IF(F1390&lt;&gt;"",HYPERLINK("https://waze.com/ul?ll="&amp;SUBSTITUTE(F1390," ","")&amp;"&amp;navigate=yes","🚗 Waze"),"")</f>
        <v/>
      </c>
      <c r="I1390" s="8">
        <f>IF(F1390&lt;&gt;"",HYPERLINK("https://m.uber.com/ul/?action=setPickup&amp;pickup=my_location&amp;dropoff[latitude]="&amp;LEFT(SUBSTITUTE(F1390," ",""),FIND(",",SUBSTITUTE(F1390," ",""))-1)&amp;"&amp;dropoff[longitude]="&amp;MID(SUBSTITUTE(F1390," ",""),FIND(",",SUBSTITUTE(F1390," ",""))+1,99),"🚕 Uber"),"")</f>
        <v/>
      </c>
      <c r="J1390" s="8">
        <f>IF(F1390&lt;&gt;"","https://api.qrserver.com/v1/create-qr-code/?size=200x200&amp;data="&amp;ENCODEURL("https://www.google.com/maps/search/?api=1&amp;query="&amp;SUBSTITUTE(F1390," ","")),"")</f>
        <v/>
      </c>
      <c r="K1390" s="8">
        <f>IF(C1390&lt;&gt;"",HYPERLINK("https://wa.me/507"&amp;REGEXREPLACE(C1390,"[^0-9]","")&amp;"?text="&amp;ENCODEURL("Ya llegue. Codigo: "&amp;A1390&amp;". Ubicacion: "&amp;"https://www.google.com/maps/search/?api=1&amp;query="&amp;SUBSTITUTE(F1390," ","")),"📲 Avisar al cliente"),"")</f>
        <v/>
      </c>
      <c r="L1390" s="8">
        <f>IF(C1390&lt;&gt;"","https://api.qrserver.com/v1/create-qr-code/?size=200x200&amp;data="&amp;ENCODEURL("https://wa.me/507"&amp;REGEXREPLACE(C1390,"[^0-9]","")&amp;"?text="&amp;ENCODEURL("Ya llegue. Codigo: "&amp;A1390&amp;". Ubicacion: "&amp;"https://www.google.com/maps/search/?api=1&amp;query="&amp;SUBSTITUTE(F1390," ",""))),"")</f>
        <v/>
      </c>
      <c r="M1390" s="8">
        <f>IF(B1390&lt;&gt;"",TODAY(),"")</f>
        <v/>
      </c>
      <c r="N1390" s="8">
        <f>IF(F1390&lt;&gt;"",IFERROR(IF(AND(REGEXMATCH(SUBSTITUTE(TRIM(F1390)," ",""),"^-?\d+(\.\d+)?,-?\d+(\.\d+)?$"),VALUE(REGEXEXTRACT(SUBSTITUTE(TRIM(F1390)," ",""),"^-?\d+(\.\d+)?"))&gt;=-90,VALUE(REGEXEXTRACT(SUBSTITUTE(TRIM(F1390)," ",""),"^-?\d+(\.\d+)?"))&lt;=90,VALUE(REGEXEXTRACT(SUBSTITUTE(TRIM(F1390)," ",""),"-?\d+(\.\d+)?$"))&gt;=-180,VALUE(REGEXEXTRACT(SUBSTITUTE(TRIM(F1390)," ",""),"-?\d+(\.\d+)?$"))&lt;=180),"OK","REVISAR"),"REVISAR"),"")</f>
        <v/>
      </c>
      <c r="O1390">
        <f>IF(A1390&lt;&gt;"","https://direcciones507.github.io/direcciones507/panel.html?codigo="&amp;A1390&amp;"&amp;nombre="&amp;ENCODEURL(B1390)&amp;"&amp;telefono="&amp;SUBSTITUTE(C1390,"-","")&amp;"&amp;referencia="&amp;ENCODEURL(E1390)&amp;"&amp;lat="&amp;IZQUIERDA(SUBSTITUTE(F1390," ",""),ENCONTRAR(",",SUBSTITUTE(F1390," ",""))-1)&amp;"&amp;lng="&amp;DERECHA(SUBSTITUTE(F1390," ",""),LARGO(SUBSTITUTE(F1390," ",""))-ENCONTRAR(",",SUBSTITUTE(F1390," ",""))),"")</f>
        <v/>
      </c>
    </row>
    <row r="1391" ht="15.75" customHeight="1" s="10">
      <c r="A1391" s="8">
        <f>CONCAT("AD507-",TEXT(ROW()-2,"0000"))</f>
        <v/>
      </c>
      <c r="C1391" s="8" t="n"/>
      <c r="F1391" s="8" t="n"/>
      <c r="G1391" s="8">
        <f>IF(F1391&lt;&gt;"",HYPERLINK("https://www.google.com/maps/search/?api=1&amp;query="&amp;SUBSTITUTE(F1391," ",""),"🗺 Google Maps"),"")</f>
        <v/>
      </c>
      <c r="H1391" s="8">
        <f>IF(F1391&lt;&gt;"",HYPERLINK("https://waze.com/ul?ll="&amp;SUBSTITUTE(F1391," ","")&amp;"&amp;navigate=yes","🚗 Waze"),"")</f>
        <v/>
      </c>
      <c r="I1391" s="8">
        <f>IF(F1391&lt;&gt;"",HYPERLINK("https://m.uber.com/ul/?action=setPickup&amp;pickup=my_location&amp;dropoff[latitude]="&amp;LEFT(SUBSTITUTE(F1391," ",""),FIND(",",SUBSTITUTE(F1391," ",""))-1)&amp;"&amp;dropoff[longitude]="&amp;MID(SUBSTITUTE(F1391," ",""),FIND(",",SUBSTITUTE(F1391," ",""))+1,99),"🚕 Uber"),"")</f>
        <v/>
      </c>
      <c r="J1391" s="8">
        <f>IF(F1391&lt;&gt;"","https://api.qrserver.com/v1/create-qr-code/?size=200x200&amp;data="&amp;ENCODEURL("https://www.google.com/maps/search/?api=1&amp;query="&amp;SUBSTITUTE(F1391," ","")),"")</f>
        <v/>
      </c>
      <c r="K1391" s="8">
        <f>IF(C1391&lt;&gt;"",HYPERLINK("https://wa.me/507"&amp;REGEXREPLACE(C1391,"[^0-9]","")&amp;"?text="&amp;ENCODEURL("Ya llegue. Codigo: "&amp;A1391&amp;". Ubicacion: "&amp;"https://www.google.com/maps/search/?api=1&amp;query="&amp;SUBSTITUTE(F1391," ","")),"📲 Avisar al cliente"),"")</f>
        <v/>
      </c>
      <c r="L1391" s="8">
        <f>IF(C1391&lt;&gt;"","https://api.qrserver.com/v1/create-qr-code/?size=200x200&amp;data="&amp;ENCODEURL("https://wa.me/507"&amp;REGEXREPLACE(C1391,"[^0-9]","")&amp;"?text="&amp;ENCODEURL("Ya llegue. Codigo: "&amp;A1391&amp;". Ubicacion: "&amp;"https://www.google.com/maps/search/?api=1&amp;query="&amp;SUBSTITUTE(F1391," ",""))),"")</f>
        <v/>
      </c>
      <c r="M1391" s="8">
        <f>IF(B1391&lt;&gt;"",TODAY(),"")</f>
        <v/>
      </c>
      <c r="N1391" s="8">
        <f>IF(F1391&lt;&gt;"",IFERROR(IF(AND(REGEXMATCH(SUBSTITUTE(TRIM(F1391)," ",""),"^-?\d+(\.\d+)?,-?\d+(\.\d+)?$"),VALUE(REGEXEXTRACT(SUBSTITUTE(TRIM(F1391)," ",""),"^-?\d+(\.\d+)?"))&gt;=-90,VALUE(REGEXEXTRACT(SUBSTITUTE(TRIM(F1391)," ",""),"^-?\d+(\.\d+)?"))&lt;=90,VALUE(REGEXEXTRACT(SUBSTITUTE(TRIM(F1391)," ",""),"-?\d+(\.\d+)?$"))&gt;=-180,VALUE(REGEXEXTRACT(SUBSTITUTE(TRIM(F1391)," ",""),"-?\d+(\.\d+)?$"))&lt;=180),"OK","REVISAR"),"REVISAR"),"")</f>
        <v/>
      </c>
      <c r="O1391">
        <f>IF(A1391&lt;&gt;"","https://direcciones507.github.io/direcciones507/panel.html?codigo="&amp;A1391&amp;"&amp;nombre="&amp;ENCODEURL(B1391)&amp;"&amp;telefono="&amp;SUBSTITUTE(C1391,"-","")&amp;"&amp;referencia="&amp;ENCODEURL(E1391)&amp;"&amp;lat="&amp;IZQUIERDA(SUBSTITUTE(F1391," ",""),ENCONTRAR(",",SUBSTITUTE(F1391," ",""))-1)&amp;"&amp;lng="&amp;DERECHA(SUBSTITUTE(F1391," ",""),LARGO(SUBSTITUTE(F1391," ",""))-ENCONTRAR(",",SUBSTITUTE(F1391," ",""))),"")</f>
        <v/>
      </c>
    </row>
    <row r="1392" ht="15.75" customHeight="1" s="10">
      <c r="A1392" s="8">
        <f>CONCAT("AD507-",TEXT(ROW()-2,"0000"))</f>
        <v/>
      </c>
      <c r="C1392" s="8" t="n"/>
      <c r="F1392" s="8" t="n"/>
      <c r="G1392" s="8">
        <f>IF(F1392&lt;&gt;"",HYPERLINK("https://www.google.com/maps/search/?api=1&amp;query="&amp;SUBSTITUTE(F1392," ",""),"🗺 Google Maps"),"")</f>
        <v/>
      </c>
      <c r="H1392" s="8">
        <f>IF(F1392&lt;&gt;"",HYPERLINK("https://waze.com/ul?ll="&amp;SUBSTITUTE(F1392," ","")&amp;"&amp;navigate=yes","🚗 Waze"),"")</f>
        <v/>
      </c>
      <c r="I1392" s="8">
        <f>IF(F1392&lt;&gt;"",HYPERLINK("https://m.uber.com/ul/?action=setPickup&amp;pickup=my_location&amp;dropoff[latitude]="&amp;LEFT(SUBSTITUTE(F1392," ",""),FIND(",",SUBSTITUTE(F1392," ",""))-1)&amp;"&amp;dropoff[longitude]="&amp;MID(SUBSTITUTE(F1392," ",""),FIND(",",SUBSTITUTE(F1392," ",""))+1,99),"🚕 Uber"),"")</f>
        <v/>
      </c>
      <c r="J1392" s="8">
        <f>IF(F1392&lt;&gt;"","https://api.qrserver.com/v1/create-qr-code/?size=200x200&amp;data="&amp;ENCODEURL("https://www.google.com/maps/search/?api=1&amp;query="&amp;SUBSTITUTE(F1392," ","")),"")</f>
        <v/>
      </c>
      <c r="K1392" s="8">
        <f>IF(C1392&lt;&gt;"",HYPERLINK("https://wa.me/507"&amp;REGEXREPLACE(C1392,"[^0-9]","")&amp;"?text="&amp;ENCODEURL("Ya llegue. Codigo: "&amp;A1392&amp;". Ubicacion: "&amp;"https://www.google.com/maps/search/?api=1&amp;query="&amp;SUBSTITUTE(F1392," ","")),"📲 Avisar al cliente"),"")</f>
        <v/>
      </c>
      <c r="L1392" s="8">
        <f>IF(C1392&lt;&gt;"","https://api.qrserver.com/v1/create-qr-code/?size=200x200&amp;data="&amp;ENCODEURL("https://wa.me/507"&amp;REGEXREPLACE(C1392,"[^0-9]","")&amp;"?text="&amp;ENCODEURL("Ya llegue. Codigo: "&amp;A1392&amp;". Ubicacion: "&amp;"https://www.google.com/maps/search/?api=1&amp;query="&amp;SUBSTITUTE(F1392," ",""))),"")</f>
        <v/>
      </c>
      <c r="M1392" s="8">
        <f>IF(B1392&lt;&gt;"",TODAY(),"")</f>
        <v/>
      </c>
      <c r="N1392" s="8">
        <f>IF(F1392&lt;&gt;"",IFERROR(IF(AND(REGEXMATCH(SUBSTITUTE(TRIM(F1392)," ",""),"^-?\d+(\.\d+)?,-?\d+(\.\d+)?$"),VALUE(REGEXEXTRACT(SUBSTITUTE(TRIM(F1392)," ",""),"^-?\d+(\.\d+)?"))&gt;=-90,VALUE(REGEXEXTRACT(SUBSTITUTE(TRIM(F1392)," ",""),"^-?\d+(\.\d+)?"))&lt;=90,VALUE(REGEXEXTRACT(SUBSTITUTE(TRIM(F1392)," ",""),"-?\d+(\.\d+)?$"))&gt;=-180,VALUE(REGEXEXTRACT(SUBSTITUTE(TRIM(F1392)," ",""),"-?\d+(\.\d+)?$"))&lt;=180),"OK","REVISAR"),"REVISAR"),"")</f>
        <v/>
      </c>
      <c r="O1392">
        <f>IF(A1392&lt;&gt;"","https://direcciones507.github.io/direcciones507/panel.html?codigo="&amp;A1392&amp;"&amp;nombre="&amp;ENCODEURL(B1392)&amp;"&amp;telefono="&amp;SUBSTITUTE(C1392,"-","")&amp;"&amp;referencia="&amp;ENCODEURL(E1392)&amp;"&amp;lat="&amp;IZQUIERDA(SUBSTITUTE(F1392," ",""),ENCONTRAR(",",SUBSTITUTE(F1392," ",""))-1)&amp;"&amp;lng="&amp;DERECHA(SUBSTITUTE(F1392," ",""),LARGO(SUBSTITUTE(F1392," ",""))-ENCONTRAR(",",SUBSTITUTE(F1392," ",""))),"")</f>
        <v/>
      </c>
    </row>
    <row r="1393" ht="15.75" customHeight="1" s="10">
      <c r="A1393" s="8">
        <f>CONCAT("AD507-",TEXT(ROW()-2,"0000"))</f>
        <v/>
      </c>
      <c r="C1393" s="8" t="n"/>
      <c r="F1393" s="8" t="n"/>
      <c r="G1393" s="8">
        <f>IF(F1393&lt;&gt;"",HYPERLINK("https://www.google.com/maps/search/?api=1&amp;query="&amp;SUBSTITUTE(F1393," ",""),"🗺 Google Maps"),"")</f>
        <v/>
      </c>
      <c r="H1393" s="8">
        <f>IF(F1393&lt;&gt;"",HYPERLINK("https://waze.com/ul?ll="&amp;SUBSTITUTE(F1393," ","")&amp;"&amp;navigate=yes","🚗 Waze"),"")</f>
        <v/>
      </c>
      <c r="I1393" s="8">
        <f>IF(F1393&lt;&gt;"",HYPERLINK("https://m.uber.com/ul/?action=setPickup&amp;pickup=my_location&amp;dropoff[latitude]="&amp;LEFT(SUBSTITUTE(F1393," ",""),FIND(",",SUBSTITUTE(F1393," ",""))-1)&amp;"&amp;dropoff[longitude]="&amp;MID(SUBSTITUTE(F1393," ",""),FIND(",",SUBSTITUTE(F1393," ",""))+1,99),"🚕 Uber"),"")</f>
        <v/>
      </c>
      <c r="J1393" s="8">
        <f>IF(F1393&lt;&gt;"","https://api.qrserver.com/v1/create-qr-code/?size=200x200&amp;data="&amp;ENCODEURL("https://www.google.com/maps/search/?api=1&amp;query="&amp;SUBSTITUTE(F1393," ","")),"")</f>
        <v/>
      </c>
      <c r="K1393" s="8">
        <f>IF(C1393&lt;&gt;"",HYPERLINK("https://wa.me/507"&amp;REGEXREPLACE(C1393,"[^0-9]","")&amp;"?text="&amp;ENCODEURL("Ya llegue. Codigo: "&amp;A1393&amp;". Ubicacion: "&amp;"https://www.google.com/maps/search/?api=1&amp;query="&amp;SUBSTITUTE(F1393," ","")),"📲 Avisar al cliente"),"")</f>
        <v/>
      </c>
      <c r="L1393" s="8">
        <f>IF(C1393&lt;&gt;"","https://api.qrserver.com/v1/create-qr-code/?size=200x200&amp;data="&amp;ENCODEURL("https://wa.me/507"&amp;REGEXREPLACE(C1393,"[^0-9]","")&amp;"?text="&amp;ENCODEURL("Ya llegue. Codigo: "&amp;A1393&amp;". Ubicacion: "&amp;"https://www.google.com/maps/search/?api=1&amp;query="&amp;SUBSTITUTE(F1393," ",""))),"")</f>
        <v/>
      </c>
      <c r="M1393" s="8">
        <f>IF(B1393&lt;&gt;"",TODAY(),"")</f>
        <v/>
      </c>
      <c r="N1393" s="8">
        <f>IF(F1393&lt;&gt;"",IFERROR(IF(AND(REGEXMATCH(SUBSTITUTE(TRIM(F1393)," ",""),"^-?\d+(\.\d+)?,-?\d+(\.\d+)?$"),VALUE(REGEXEXTRACT(SUBSTITUTE(TRIM(F1393)," ",""),"^-?\d+(\.\d+)?"))&gt;=-90,VALUE(REGEXEXTRACT(SUBSTITUTE(TRIM(F1393)," ",""),"^-?\d+(\.\d+)?"))&lt;=90,VALUE(REGEXEXTRACT(SUBSTITUTE(TRIM(F1393)," ",""),"-?\d+(\.\d+)?$"))&gt;=-180,VALUE(REGEXEXTRACT(SUBSTITUTE(TRIM(F1393)," ",""),"-?\d+(\.\d+)?$"))&lt;=180),"OK","REVISAR"),"REVISAR"),"")</f>
        <v/>
      </c>
      <c r="O1393">
        <f>IF(A1393&lt;&gt;"","https://direcciones507.github.io/direcciones507/panel.html?codigo="&amp;A1393&amp;"&amp;nombre="&amp;ENCODEURL(B1393)&amp;"&amp;telefono="&amp;SUBSTITUTE(C1393,"-","")&amp;"&amp;referencia="&amp;ENCODEURL(E1393)&amp;"&amp;lat="&amp;IZQUIERDA(SUBSTITUTE(F1393," ",""),ENCONTRAR(",",SUBSTITUTE(F1393," ",""))-1)&amp;"&amp;lng="&amp;DERECHA(SUBSTITUTE(F1393," ",""),LARGO(SUBSTITUTE(F1393," ",""))-ENCONTRAR(",",SUBSTITUTE(F1393," ",""))),"")</f>
        <v/>
      </c>
    </row>
    <row r="1394" ht="15.75" customHeight="1" s="10">
      <c r="A1394" s="8">
        <f>CONCAT("AD507-",TEXT(ROW()-2,"0000"))</f>
        <v/>
      </c>
      <c r="C1394" s="8" t="n"/>
      <c r="F1394" s="8" t="n"/>
      <c r="G1394" s="8">
        <f>IF(F1394&lt;&gt;"",HYPERLINK("https://www.google.com/maps/search/?api=1&amp;query="&amp;SUBSTITUTE(F1394," ",""),"🗺 Google Maps"),"")</f>
        <v/>
      </c>
      <c r="H1394" s="8">
        <f>IF(F1394&lt;&gt;"",HYPERLINK("https://waze.com/ul?ll="&amp;SUBSTITUTE(F1394," ","")&amp;"&amp;navigate=yes","🚗 Waze"),"")</f>
        <v/>
      </c>
      <c r="I1394" s="8">
        <f>IF(F1394&lt;&gt;"",HYPERLINK("https://m.uber.com/ul/?action=setPickup&amp;pickup=my_location&amp;dropoff[latitude]="&amp;LEFT(SUBSTITUTE(F1394," ",""),FIND(",",SUBSTITUTE(F1394," ",""))-1)&amp;"&amp;dropoff[longitude]="&amp;MID(SUBSTITUTE(F1394," ",""),FIND(",",SUBSTITUTE(F1394," ",""))+1,99),"🚕 Uber"),"")</f>
        <v/>
      </c>
      <c r="J1394" s="8">
        <f>IF(F1394&lt;&gt;"","https://api.qrserver.com/v1/create-qr-code/?size=200x200&amp;data="&amp;ENCODEURL("https://www.google.com/maps/search/?api=1&amp;query="&amp;SUBSTITUTE(F1394," ","")),"")</f>
        <v/>
      </c>
      <c r="K1394" s="8">
        <f>IF(C1394&lt;&gt;"",HYPERLINK("https://wa.me/507"&amp;REGEXREPLACE(C1394,"[^0-9]","")&amp;"?text="&amp;ENCODEURL("Ya llegue. Codigo: "&amp;A1394&amp;". Ubicacion: "&amp;"https://www.google.com/maps/search/?api=1&amp;query="&amp;SUBSTITUTE(F1394," ","")),"📲 Avisar al cliente"),"")</f>
        <v/>
      </c>
      <c r="L1394" s="8">
        <f>IF(C1394&lt;&gt;"","https://api.qrserver.com/v1/create-qr-code/?size=200x200&amp;data="&amp;ENCODEURL("https://wa.me/507"&amp;REGEXREPLACE(C1394,"[^0-9]","")&amp;"?text="&amp;ENCODEURL("Ya llegue. Codigo: "&amp;A1394&amp;". Ubicacion: "&amp;"https://www.google.com/maps/search/?api=1&amp;query="&amp;SUBSTITUTE(F1394," ",""))),"")</f>
        <v/>
      </c>
      <c r="M1394" s="8">
        <f>IF(B1394&lt;&gt;"",TODAY(),"")</f>
        <v/>
      </c>
      <c r="N1394" s="8">
        <f>IF(F1394&lt;&gt;"",IFERROR(IF(AND(REGEXMATCH(SUBSTITUTE(TRIM(F1394)," ",""),"^-?\d+(\.\d+)?,-?\d+(\.\d+)?$"),VALUE(REGEXEXTRACT(SUBSTITUTE(TRIM(F1394)," ",""),"^-?\d+(\.\d+)?"))&gt;=-90,VALUE(REGEXEXTRACT(SUBSTITUTE(TRIM(F1394)," ",""),"^-?\d+(\.\d+)?"))&lt;=90,VALUE(REGEXEXTRACT(SUBSTITUTE(TRIM(F1394)," ",""),"-?\d+(\.\d+)?$"))&gt;=-180,VALUE(REGEXEXTRACT(SUBSTITUTE(TRIM(F1394)," ",""),"-?\d+(\.\d+)?$"))&lt;=180),"OK","REVISAR"),"REVISAR"),"")</f>
        <v/>
      </c>
      <c r="O1394">
        <f>IF(A1394&lt;&gt;"","https://direcciones507.github.io/direcciones507/panel.html?codigo="&amp;A1394&amp;"&amp;nombre="&amp;ENCODEURL(B1394)&amp;"&amp;telefono="&amp;SUBSTITUTE(C1394,"-","")&amp;"&amp;referencia="&amp;ENCODEURL(E1394)&amp;"&amp;lat="&amp;IZQUIERDA(SUBSTITUTE(F1394," ",""),ENCONTRAR(",",SUBSTITUTE(F1394," ",""))-1)&amp;"&amp;lng="&amp;DERECHA(SUBSTITUTE(F1394," ",""),LARGO(SUBSTITUTE(F1394," ",""))-ENCONTRAR(",",SUBSTITUTE(F1394," ",""))),"")</f>
        <v/>
      </c>
    </row>
    <row r="1395" ht="15.75" customHeight="1" s="10">
      <c r="A1395" s="8">
        <f>CONCAT("AD507-",TEXT(ROW()-2,"0000"))</f>
        <v/>
      </c>
      <c r="C1395" s="8" t="n"/>
      <c r="F1395" s="8" t="n"/>
      <c r="G1395" s="8">
        <f>IF(F1395&lt;&gt;"",HYPERLINK("https://www.google.com/maps/search/?api=1&amp;query="&amp;SUBSTITUTE(F1395," ",""),"🗺 Google Maps"),"")</f>
        <v/>
      </c>
      <c r="H1395" s="8">
        <f>IF(F1395&lt;&gt;"",HYPERLINK("https://waze.com/ul?ll="&amp;SUBSTITUTE(F1395," ","")&amp;"&amp;navigate=yes","🚗 Waze"),"")</f>
        <v/>
      </c>
      <c r="I1395" s="8">
        <f>IF(F1395&lt;&gt;"",HYPERLINK("https://m.uber.com/ul/?action=setPickup&amp;pickup=my_location&amp;dropoff[latitude]="&amp;LEFT(SUBSTITUTE(F1395," ",""),FIND(",",SUBSTITUTE(F1395," ",""))-1)&amp;"&amp;dropoff[longitude]="&amp;MID(SUBSTITUTE(F1395," ",""),FIND(",",SUBSTITUTE(F1395," ",""))+1,99),"🚕 Uber"),"")</f>
        <v/>
      </c>
      <c r="J1395" s="8">
        <f>IF(F1395&lt;&gt;"","https://api.qrserver.com/v1/create-qr-code/?size=200x200&amp;data="&amp;ENCODEURL("https://www.google.com/maps/search/?api=1&amp;query="&amp;SUBSTITUTE(F1395," ","")),"")</f>
        <v/>
      </c>
      <c r="K1395" s="8">
        <f>IF(C1395&lt;&gt;"",HYPERLINK("https://wa.me/507"&amp;REGEXREPLACE(C1395,"[^0-9]","")&amp;"?text="&amp;ENCODEURL("Ya llegue. Codigo: "&amp;A1395&amp;". Ubicacion: "&amp;"https://www.google.com/maps/search/?api=1&amp;query="&amp;SUBSTITUTE(F1395," ","")),"📲 Avisar al cliente"),"")</f>
        <v/>
      </c>
      <c r="L1395" s="8">
        <f>IF(C1395&lt;&gt;"","https://api.qrserver.com/v1/create-qr-code/?size=200x200&amp;data="&amp;ENCODEURL("https://wa.me/507"&amp;REGEXREPLACE(C1395,"[^0-9]","")&amp;"?text="&amp;ENCODEURL("Ya llegue. Codigo: "&amp;A1395&amp;". Ubicacion: "&amp;"https://www.google.com/maps/search/?api=1&amp;query="&amp;SUBSTITUTE(F1395," ",""))),"")</f>
        <v/>
      </c>
      <c r="M1395" s="8">
        <f>IF(B1395&lt;&gt;"",TODAY(),"")</f>
        <v/>
      </c>
      <c r="N1395" s="8">
        <f>IF(F1395&lt;&gt;"",IFERROR(IF(AND(REGEXMATCH(SUBSTITUTE(TRIM(F1395)," ",""),"^-?\d+(\.\d+)?,-?\d+(\.\d+)?$"),VALUE(REGEXEXTRACT(SUBSTITUTE(TRIM(F1395)," ",""),"^-?\d+(\.\d+)?"))&gt;=-90,VALUE(REGEXEXTRACT(SUBSTITUTE(TRIM(F1395)," ",""),"^-?\d+(\.\d+)?"))&lt;=90,VALUE(REGEXEXTRACT(SUBSTITUTE(TRIM(F1395)," ",""),"-?\d+(\.\d+)?$"))&gt;=-180,VALUE(REGEXEXTRACT(SUBSTITUTE(TRIM(F1395)," ",""),"-?\d+(\.\d+)?$"))&lt;=180),"OK","REVISAR"),"REVISAR"),"")</f>
        <v/>
      </c>
      <c r="O1395">
        <f>IF(A1395&lt;&gt;"","https://direcciones507.github.io/direcciones507/panel.html?codigo="&amp;A1395&amp;"&amp;nombre="&amp;ENCODEURL(B1395)&amp;"&amp;telefono="&amp;SUBSTITUTE(C1395,"-","")&amp;"&amp;referencia="&amp;ENCODEURL(E1395)&amp;"&amp;lat="&amp;IZQUIERDA(SUBSTITUTE(F1395," ",""),ENCONTRAR(",",SUBSTITUTE(F1395," ",""))-1)&amp;"&amp;lng="&amp;DERECHA(SUBSTITUTE(F1395," ",""),LARGO(SUBSTITUTE(F1395," ",""))-ENCONTRAR(",",SUBSTITUTE(F1395," ",""))),"")</f>
        <v/>
      </c>
    </row>
    <row r="1396" ht="15.75" customHeight="1" s="10">
      <c r="A1396" s="8">
        <f>CONCAT("AD507-",TEXT(ROW()-2,"0000"))</f>
        <v/>
      </c>
      <c r="C1396" s="8" t="n"/>
      <c r="F1396" s="8" t="n"/>
      <c r="G1396" s="8">
        <f>IF(F1396&lt;&gt;"",HYPERLINK("https://www.google.com/maps/search/?api=1&amp;query="&amp;SUBSTITUTE(F1396," ",""),"🗺 Google Maps"),"")</f>
        <v/>
      </c>
      <c r="H1396" s="8">
        <f>IF(F1396&lt;&gt;"",HYPERLINK("https://waze.com/ul?ll="&amp;SUBSTITUTE(F1396," ","")&amp;"&amp;navigate=yes","🚗 Waze"),"")</f>
        <v/>
      </c>
      <c r="I1396" s="8">
        <f>IF(F1396&lt;&gt;"",HYPERLINK("https://m.uber.com/ul/?action=setPickup&amp;pickup=my_location&amp;dropoff[latitude]="&amp;LEFT(SUBSTITUTE(F1396," ",""),FIND(",",SUBSTITUTE(F1396," ",""))-1)&amp;"&amp;dropoff[longitude]="&amp;MID(SUBSTITUTE(F1396," ",""),FIND(",",SUBSTITUTE(F1396," ",""))+1,99),"🚕 Uber"),"")</f>
        <v/>
      </c>
      <c r="J1396" s="8">
        <f>IF(F1396&lt;&gt;"","https://api.qrserver.com/v1/create-qr-code/?size=200x200&amp;data="&amp;ENCODEURL("https://www.google.com/maps/search/?api=1&amp;query="&amp;SUBSTITUTE(F1396," ","")),"")</f>
        <v/>
      </c>
      <c r="K1396" s="8">
        <f>IF(C1396&lt;&gt;"",HYPERLINK("https://wa.me/507"&amp;REGEXREPLACE(C1396,"[^0-9]","")&amp;"?text="&amp;ENCODEURL("Ya llegue. Codigo: "&amp;A1396&amp;". Ubicacion: "&amp;"https://www.google.com/maps/search/?api=1&amp;query="&amp;SUBSTITUTE(F1396," ","")),"📲 Avisar al cliente"),"")</f>
        <v/>
      </c>
      <c r="L1396" s="8">
        <f>IF(C1396&lt;&gt;"","https://api.qrserver.com/v1/create-qr-code/?size=200x200&amp;data="&amp;ENCODEURL("https://wa.me/507"&amp;REGEXREPLACE(C1396,"[^0-9]","")&amp;"?text="&amp;ENCODEURL("Ya llegue. Codigo: "&amp;A1396&amp;". Ubicacion: "&amp;"https://www.google.com/maps/search/?api=1&amp;query="&amp;SUBSTITUTE(F1396," ",""))),"")</f>
        <v/>
      </c>
      <c r="M1396" s="8">
        <f>IF(B1396&lt;&gt;"",TODAY(),"")</f>
        <v/>
      </c>
      <c r="N1396" s="8">
        <f>IF(F1396&lt;&gt;"",IFERROR(IF(AND(REGEXMATCH(SUBSTITUTE(TRIM(F1396)," ",""),"^-?\d+(\.\d+)?,-?\d+(\.\d+)?$"),VALUE(REGEXEXTRACT(SUBSTITUTE(TRIM(F1396)," ",""),"^-?\d+(\.\d+)?"))&gt;=-90,VALUE(REGEXEXTRACT(SUBSTITUTE(TRIM(F1396)," ",""),"^-?\d+(\.\d+)?"))&lt;=90,VALUE(REGEXEXTRACT(SUBSTITUTE(TRIM(F1396)," ",""),"-?\d+(\.\d+)?$"))&gt;=-180,VALUE(REGEXEXTRACT(SUBSTITUTE(TRIM(F1396)," ",""),"-?\d+(\.\d+)?$"))&lt;=180),"OK","REVISAR"),"REVISAR"),"")</f>
        <v/>
      </c>
      <c r="O1396">
        <f>IF(A1396&lt;&gt;"","https://direcciones507.github.io/direcciones507/panel.html?codigo="&amp;A1396&amp;"&amp;nombre="&amp;ENCODEURL(B1396)&amp;"&amp;telefono="&amp;SUBSTITUTE(C1396,"-","")&amp;"&amp;referencia="&amp;ENCODEURL(E1396)&amp;"&amp;lat="&amp;IZQUIERDA(SUBSTITUTE(F1396," ",""),ENCONTRAR(",",SUBSTITUTE(F1396," ",""))-1)&amp;"&amp;lng="&amp;DERECHA(SUBSTITUTE(F1396," ",""),LARGO(SUBSTITUTE(F1396," ",""))-ENCONTRAR(",",SUBSTITUTE(F1396," ",""))),"")</f>
        <v/>
      </c>
    </row>
    <row r="1397" ht="15.75" customHeight="1" s="10">
      <c r="A1397" s="8">
        <f>CONCAT("AD507-",TEXT(ROW()-2,"0000"))</f>
        <v/>
      </c>
      <c r="C1397" s="8" t="n"/>
      <c r="F1397" s="8" t="n"/>
      <c r="G1397" s="8">
        <f>IF(F1397&lt;&gt;"",HYPERLINK("https://www.google.com/maps/search/?api=1&amp;query="&amp;SUBSTITUTE(F1397," ",""),"🗺 Google Maps"),"")</f>
        <v/>
      </c>
      <c r="H1397" s="8">
        <f>IF(F1397&lt;&gt;"",HYPERLINK("https://waze.com/ul?ll="&amp;SUBSTITUTE(F1397," ","")&amp;"&amp;navigate=yes","🚗 Waze"),"")</f>
        <v/>
      </c>
      <c r="I1397" s="8">
        <f>IF(F1397&lt;&gt;"",HYPERLINK("https://m.uber.com/ul/?action=setPickup&amp;pickup=my_location&amp;dropoff[latitude]="&amp;LEFT(SUBSTITUTE(F1397," ",""),FIND(",",SUBSTITUTE(F1397," ",""))-1)&amp;"&amp;dropoff[longitude]="&amp;MID(SUBSTITUTE(F1397," ",""),FIND(",",SUBSTITUTE(F1397," ",""))+1,99),"🚕 Uber"),"")</f>
        <v/>
      </c>
      <c r="J1397" s="8">
        <f>IF(F1397&lt;&gt;"","https://api.qrserver.com/v1/create-qr-code/?size=200x200&amp;data="&amp;ENCODEURL("https://www.google.com/maps/search/?api=1&amp;query="&amp;SUBSTITUTE(F1397," ","")),"")</f>
        <v/>
      </c>
      <c r="K1397" s="8">
        <f>IF(C1397&lt;&gt;"",HYPERLINK("https://wa.me/507"&amp;REGEXREPLACE(C1397,"[^0-9]","")&amp;"?text="&amp;ENCODEURL("Ya llegue. Codigo: "&amp;A1397&amp;". Ubicacion: "&amp;"https://www.google.com/maps/search/?api=1&amp;query="&amp;SUBSTITUTE(F1397," ","")),"📲 Avisar al cliente"),"")</f>
        <v/>
      </c>
      <c r="L1397" s="8">
        <f>IF(C1397&lt;&gt;"","https://api.qrserver.com/v1/create-qr-code/?size=200x200&amp;data="&amp;ENCODEURL("https://wa.me/507"&amp;REGEXREPLACE(C1397,"[^0-9]","")&amp;"?text="&amp;ENCODEURL("Ya llegue. Codigo: "&amp;A1397&amp;". Ubicacion: "&amp;"https://www.google.com/maps/search/?api=1&amp;query="&amp;SUBSTITUTE(F1397," ",""))),"")</f>
        <v/>
      </c>
      <c r="M1397" s="8">
        <f>IF(B1397&lt;&gt;"",TODAY(),"")</f>
        <v/>
      </c>
      <c r="N1397" s="8">
        <f>IF(F1397&lt;&gt;"",IFERROR(IF(AND(REGEXMATCH(SUBSTITUTE(TRIM(F1397)," ",""),"^-?\d+(\.\d+)?,-?\d+(\.\d+)?$"),VALUE(REGEXEXTRACT(SUBSTITUTE(TRIM(F1397)," ",""),"^-?\d+(\.\d+)?"))&gt;=-90,VALUE(REGEXEXTRACT(SUBSTITUTE(TRIM(F1397)," ",""),"^-?\d+(\.\d+)?"))&lt;=90,VALUE(REGEXEXTRACT(SUBSTITUTE(TRIM(F1397)," ",""),"-?\d+(\.\d+)?$"))&gt;=-180,VALUE(REGEXEXTRACT(SUBSTITUTE(TRIM(F1397)," ",""),"-?\d+(\.\d+)?$"))&lt;=180),"OK","REVISAR"),"REVISAR"),"")</f>
        <v/>
      </c>
      <c r="O1397">
        <f>IF(A1397&lt;&gt;"","https://direcciones507.github.io/direcciones507/panel.html?codigo="&amp;A1397&amp;"&amp;nombre="&amp;ENCODEURL(B1397)&amp;"&amp;telefono="&amp;SUBSTITUTE(C1397,"-","")&amp;"&amp;referencia="&amp;ENCODEURL(E1397)&amp;"&amp;lat="&amp;IZQUIERDA(SUBSTITUTE(F1397," ",""),ENCONTRAR(",",SUBSTITUTE(F1397," ",""))-1)&amp;"&amp;lng="&amp;DERECHA(SUBSTITUTE(F1397," ",""),LARGO(SUBSTITUTE(F1397," ",""))-ENCONTRAR(",",SUBSTITUTE(F1397," ",""))),"")</f>
        <v/>
      </c>
    </row>
    <row r="1398" ht="15.75" customHeight="1" s="10">
      <c r="A1398" s="8">
        <f>CONCAT("AD507-",TEXT(ROW()-2,"0000"))</f>
        <v/>
      </c>
      <c r="C1398" s="8" t="n"/>
      <c r="F1398" s="8" t="n"/>
      <c r="G1398" s="8">
        <f>IF(F1398&lt;&gt;"",HYPERLINK("https://www.google.com/maps/search/?api=1&amp;query="&amp;SUBSTITUTE(F1398," ",""),"🗺 Google Maps"),"")</f>
        <v/>
      </c>
      <c r="H1398" s="8">
        <f>IF(F1398&lt;&gt;"",HYPERLINK("https://waze.com/ul?ll="&amp;SUBSTITUTE(F1398," ","")&amp;"&amp;navigate=yes","🚗 Waze"),"")</f>
        <v/>
      </c>
      <c r="I1398" s="8">
        <f>IF(F1398&lt;&gt;"",HYPERLINK("https://m.uber.com/ul/?action=setPickup&amp;pickup=my_location&amp;dropoff[latitude]="&amp;LEFT(SUBSTITUTE(F1398," ",""),FIND(",",SUBSTITUTE(F1398," ",""))-1)&amp;"&amp;dropoff[longitude]="&amp;MID(SUBSTITUTE(F1398," ",""),FIND(",",SUBSTITUTE(F1398," ",""))+1,99),"🚕 Uber"),"")</f>
        <v/>
      </c>
      <c r="J1398" s="8">
        <f>IF(F1398&lt;&gt;"","https://api.qrserver.com/v1/create-qr-code/?size=200x200&amp;data="&amp;ENCODEURL("https://www.google.com/maps/search/?api=1&amp;query="&amp;SUBSTITUTE(F1398," ","")),"")</f>
        <v/>
      </c>
      <c r="K1398" s="8">
        <f>IF(C1398&lt;&gt;"",HYPERLINK("https://wa.me/507"&amp;REGEXREPLACE(C1398,"[^0-9]","")&amp;"?text="&amp;ENCODEURL("Ya llegue. Codigo: "&amp;A1398&amp;". Ubicacion: "&amp;"https://www.google.com/maps/search/?api=1&amp;query="&amp;SUBSTITUTE(F1398," ","")),"📲 Avisar al cliente"),"")</f>
        <v/>
      </c>
      <c r="L1398" s="8">
        <f>IF(C1398&lt;&gt;"","https://api.qrserver.com/v1/create-qr-code/?size=200x200&amp;data="&amp;ENCODEURL("https://wa.me/507"&amp;REGEXREPLACE(C1398,"[^0-9]","")&amp;"?text="&amp;ENCODEURL("Ya llegue. Codigo: "&amp;A1398&amp;". Ubicacion: "&amp;"https://www.google.com/maps/search/?api=1&amp;query="&amp;SUBSTITUTE(F1398," ",""))),"")</f>
        <v/>
      </c>
      <c r="M1398" s="8">
        <f>IF(B1398&lt;&gt;"",TODAY(),"")</f>
        <v/>
      </c>
      <c r="N1398" s="8">
        <f>IF(F1398&lt;&gt;"",IFERROR(IF(AND(REGEXMATCH(SUBSTITUTE(TRIM(F1398)," ",""),"^-?\d+(\.\d+)?,-?\d+(\.\d+)?$"),VALUE(REGEXEXTRACT(SUBSTITUTE(TRIM(F1398)," ",""),"^-?\d+(\.\d+)?"))&gt;=-90,VALUE(REGEXEXTRACT(SUBSTITUTE(TRIM(F1398)," ",""),"^-?\d+(\.\d+)?"))&lt;=90,VALUE(REGEXEXTRACT(SUBSTITUTE(TRIM(F1398)," ",""),"-?\d+(\.\d+)?$"))&gt;=-180,VALUE(REGEXEXTRACT(SUBSTITUTE(TRIM(F1398)," ",""),"-?\d+(\.\d+)?$"))&lt;=180),"OK","REVISAR"),"REVISAR"),"")</f>
        <v/>
      </c>
      <c r="O1398">
        <f>IF(A1398&lt;&gt;"","https://direcciones507.github.io/direcciones507/panel.html?codigo="&amp;A1398&amp;"&amp;nombre="&amp;ENCODEURL(B1398)&amp;"&amp;telefono="&amp;SUBSTITUTE(C1398,"-","")&amp;"&amp;referencia="&amp;ENCODEURL(E1398)&amp;"&amp;lat="&amp;IZQUIERDA(SUBSTITUTE(F1398," ",""),ENCONTRAR(",",SUBSTITUTE(F1398," ",""))-1)&amp;"&amp;lng="&amp;DERECHA(SUBSTITUTE(F1398," ",""),LARGO(SUBSTITUTE(F1398," ",""))-ENCONTRAR(",",SUBSTITUTE(F1398," ",""))),"")</f>
        <v/>
      </c>
    </row>
    <row r="1399" ht="15.75" customHeight="1" s="10">
      <c r="A1399" s="8">
        <f>CONCAT("AD507-",TEXT(ROW()-2,"0000"))</f>
        <v/>
      </c>
      <c r="C1399" s="8" t="n"/>
      <c r="F1399" s="8" t="n"/>
      <c r="G1399" s="8">
        <f>IF(F1399&lt;&gt;"",HYPERLINK("https://www.google.com/maps/search/?api=1&amp;query="&amp;SUBSTITUTE(F1399," ",""),"🗺 Google Maps"),"")</f>
        <v/>
      </c>
      <c r="H1399" s="8">
        <f>IF(F1399&lt;&gt;"",HYPERLINK("https://waze.com/ul?ll="&amp;SUBSTITUTE(F1399," ","")&amp;"&amp;navigate=yes","🚗 Waze"),"")</f>
        <v/>
      </c>
      <c r="I1399" s="8">
        <f>IF(F1399&lt;&gt;"",HYPERLINK("https://m.uber.com/ul/?action=setPickup&amp;pickup=my_location&amp;dropoff[latitude]="&amp;LEFT(SUBSTITUTE(F1399," ",""),FIND(",",SUBSTITUTE(F1399," ",""))-1)&amp;"&amp;dropoff[longitude]="&amp;MID(SUBSTITUTE(F1399," ",""),FIND(",",SUBSTITUTE(F1399," ",""))+1,99),"🚕 Uber"),"")</f>
        <v/>
      </c>
      <c r="J1399" s="8">
        <f>IF(F1399&lt;&gt;"","https://api.qrserver.com/v1/create-qr-code/?size=200x200&amp;data="&amp;ENCODEURL("https://www.google.com/maps/search/?api=1&amp;query="&amp;SUBSTITUTE(F1399," ","")),"")</f>
        <v/>
      </c>
      <c r="K1399" s="8">
        <f>IF(C1399&lt;&gt;"",HYPERLINK("https://wa.me/507"&amp;REGEXREPLACE(C1399,"[^0-9]","")&amp;"?text="&amp;ENCODEURL("Ya llegue. Codigo: "&amp;A1399&amp;". Ubicacion: "&amp;"https://www.google.com/maps/search/?api=1&amp;query="&amp;SUBSTITUTE(F1399," ","")),"📲 Avisar al cliente"),"")</f>
        <v/>
      </c>
      <c r="L1399" s="8">
        <f>IF(C1399&lt;&gt;"","https://api.qrserver.com/v1/create-qr-code/?size=200x200&amp;data="&amp;ENCODEURL("https://wa.me/507"&amp;REGEXREPLACE(C1399,"[^0-9]","")&amp;"?text="&amp;ENCODEURL("Ya llegue. Codigo: "&amp;A1399&amp;". Ubicacion: "&amp;"https://www.google.com/maps/search/?api=1&amp;query="&amp;SUBSTITUTE(F1399," ",""))),"")</f>
        <v/>
      </c>
      <c r="M1399" s="8">
        <f>IF(B1399&lt;&gt;"",TODAY(),"")</f>
        <v/>
      </c>
      <c r="N1399" s="8">
        <f>IF(F1399&lt;&gt;"",IFERROR(IF(AND(REGEXMATCH(SUBSTITUTE(TRIM(F1399)," ",""),"^-?\d+(\.\d+)?,-?\d+(\.\d+)?$"),VALUE(REGEXEXTRACT(SUBSTITUTE(TRIM(F1399)," ",""),"^-?\d+(\.\d+)?"))&gt;=-90,VALUE(REGEXEXTRACT(SUBSTITUTE(TRIM(F1399)," ",""),"^-?\d+(\.\d+)?"))&lt;=90,VALUE(REGEXEXTRACT(SUBSTITUTE(TRIM(F1399)," ",""),"-?\d+(\.\d+)?$"))&gt;=-180,VALUE(REGEXEXTRACT(SUBSTITUTE(TRIM(F1399)," ",""),"-?\d+(\.\d+)?$"))&lt;=180),"OK","REVISAR"),"REVISAR"),"")</f>
        <v/>
      </c>
      <c r="O1399">
        <f>IF(A1399&lt;&gt;"","https://direcciones507.github.io/direcciones507/panel.html?codigo="&amp;A1399&amp;"&amp;nombre="&amp;ENCODEURL(B1399)&amp;"&amp;telefono="&amp;SUBSTITUTE(C1399,"-","")&amp;"&amp;referencia="&amp;ENCODEURL(E1399)&amp;"&amp;lat="&amp;IZQUIERDA(SUBSTITUTE(F1399," ",""),ENCONTRAR(",",SUBSTITUTE(F1399," ",""))-1)&amp;"&amp;lng="&amp;DERECHA(SUBSTITUTE(F1399," ",""),LARGO(SUBSTITUTE(F1399," ",""))-ENCONTRAR(",",SUBSTITUTE(F1399," ",""))),"")</f>
        <v/>
      </c>
    </row>
    <row r="1400" ht="15.75" customHeight="1" s="10">
      <c r="A1400" s="8">
        <f>CONCAT("AD507-",TEXT(ROW()-2,"0000"))</f>
        <v/>
      </c>
      <c r="C1400" s="8" t="n"/>
      <c r="F1400" s="8" t="n"/>
      <c r="G1400" s="8">
        <f>IF(F1400&lt;&gt;"",HYPERLINK("https://www.google.com/maps/search/?api=1&amp;query="&amp;SUBSTITUTE(F1400," ",""),"🗺 Google Maps"),"")</f>
        <v/>
      </c>
      <c r="H1400" s="8">
        <f>IF(F1400&lt;&gt;"",HYPERLINK("https://waze.com/ul?ll="&amp;SUBSTITUTE(F1400," ","")&amp;"&amp;navigate=yes","🚗 Waze"),"")</f>
        <v/>
      </c>
      <c r="I1400" s="8">
        <f>IF(F1400&lt;&gt;"",HYPERLINK("https://m.uber.com/ul/?action=setPickup&amp;pickup=my_location&amp;dropoff[latitude]="&amp;LEFT(SUBSTITUTE(F1400," ",""),FIND(",",SUBSTITUTE(F1400," ",""))-1)&amp;"&amp;dropoff[longitude]="&amp;MID(SUBSTITUTE(F1400," ",""),FIND(",",SUBSTITUTE(F1400," ",""))+1,99),"🚕 Uber"),"")</f>
        <v/>
      </c>
      <c r="J1400" s="8">
        <f>IF(F1400&lt;&gt;"","https://api.qrserver.com/v1/create-qr-code/?size=200x200&amp;data="&amp;ENCODEURL("https://www.google.com/maps/search/?api=1&amp;query="&amp;SUBSTITUTE(F1400," ","")),"")</f>
        <v/>
      </c>
      <c r="K1400" s="8">
        <f>IF(C1400&lt;&gt;"",HYPERLINK("https://wa.me/507"&amp;REGEXREPLACE(C1400,"[^0-9]","")&amp;"?text="&amp;ENCODEURL("Ya llegue. Codigo: "&amp;A1400&amp;". Ubicacion: "&amp;"https://www.google.com/maps/search/?api=1&amp;query="&amp;SUBSTITUTE(F1400," ","")),"📲 Avisar al cliente"),"")</f>
        <v/>
      </c>
      <c r="L1400" s="8">
        <f>IF(C1400&lt;&gt;"","https://api.qrserver.com/v1/create-qr-code/?size=200x200&amp;data="&amp;ENCODEURL("https://wa.me/507"&amp;REGEXREPLACE(C1400,"[^0-9]","")&amp;"?text="&amp;ENCODEURL("Ya llegue. Codigo: "&amp;A1400&amp;". Ubicacion: "&amp;"https://www.google.com/maps/search/?api=1&amp;query="&amp;SUBSTITUTE(F1400," ",""))),"")</f>
        <v/>
      </c>
      <c r="M1400" s="8">
        <f>IF(B1400&lt;&gt;"",TODAY(),"")</f>
        <v/>
      </c>
      <c r="N1400" s="8">
        <f>IF(F1400&lt;&gt;"",IFERROR(IF(AND(REGEXMATCH(SUBSTITUTE(TRIM(F1400)," ",""),"^-?\d+(\.\d+)?,-?\d+(\.\d+)?$"),VALUE(REGEXEXTRACT(SUBSTITUTE(TRIM(F1400)," ",""),"^-?\d+(\.\d+)?"))&gt;=-90,VALUE(REGEXEXTRACT(SUBSTITUTE(TRIM(F1400)," ",""),"^-?\d+(\.\d+)?"))&lt;=90,VALUE(REGEXEXTRACT(SUBSTITUTE(TRIM(F1400)," ",""),"-?\d+(\.\d+)?$"))&gt;=-180,VALUE(REGEXEXTRACT(SUBSTITUTE(TRIM(F1400)," ",""),"-?\d+(\.\d+)?$"))&lt;=180),"OK","REVISAR"),"REVISAR"),"")</f>
        <v/>
      </c>
      <c r="O1400">
        <f>IF(A1400&lt;&gt;"","https://direcciones507.github.io/direcciones507/panel.html?codigo="&amp;A1400&amp;"&amp;nombre="&amp;ENCODEURL(B1400)&amp;"&amp;telefono="&amp;SUBSTITUTE(C1400,"-","")&amp;"&amp;referencia="&amp;ENCODEURL(E1400)&amp;"&amp;lat="&amp;IZQUIERDA(SUBSTITUTE(F1400," ",""),ENCONTRAR(",",SUBSTITUTE(F1400," ",""))-1)&amp;"&amp;lng="&amp;DERECHA(SUBSTITUTE(F1400," ",""),LARGO(SUBSTITUTE(F1400," ",""))-ENCONTRAR(",",SUBSTITUTE(F1400," ",""))),"")</f>
        <v/>
      </c>
    </row>
    <row r="1401" ht="15.75" customHeight="1" s="10">
      <c r="A1401" s="8">
        <f>CONCAT("AD507-",TEXT(ROW()-2,"0000"))</f>
        <v/>
      </c>
      <c r="C1401" s="8" t="n"/>
      <c r="F1401" s="8" t="n"/>
      <c r="G1401" s="8">
        <f>IF(F1401&lt;&gt;"",HYPERLINK("https://www.google.com/maps/search/?api=1&amp;query="&amp;SUBSTITUTE(F1401," ",""),"🗺 Google Maps"),"")</f>
        <v/>
      </c>
      <c r="H1401" s="8">
        <f>IF(F1401&lt;&gt;"",HYPERLINK("https://waze.com/ul?ll="&amp;SUBSTITUTE(F1401," ","")&amp;"&amp;navigate=yes","🚗 Waze"),"")</f>
        <v/>
      </c>
      <c r="I1401" s="8">
        <f>IF(F1401&lt;&gt;"",HYPERLINK("https://m.uber.com/ul/?action=setPickup&amp;pickup=my_location&amp;dropoff[latitude]="&amp;LEFT(SUBSTITUTE(F1401," ",""),FIND(",",SUBSTITUTE(F1401," ",""))-1)&amp;"&amp;dropoff[longitude]="&amp;MID(SUBSTITUTE(F1401," ",""),FIND(",",SUBSTITUTE(F1401," ",""))+1,99),"🚕 Uber"),"")</f>
        <v/>
      </c>
      <c r="J1401" s="8">
        <f>IF(F1401&lt;&gt;"","https://api.qrserver.com/v1/create-qr-code/?size=200x200&amp;data="&amp;ENCODEURL("https://www.google.com/maps/search/?api=1&amp;query="&amp;SUBSTITUTE(F1401," ","")),"")</f>
        <v/>
      </c>
      <c r="K1401" s="8">
        <f>IF(C1401&lt;&gt;"",HYPERLINK("https://wa.me/507"&amp;REGEXREPLACE(C1401,"[^0-9]","")&amp;"?text="&amp;ENCODEURL("Ya llegue. Codigo: "&amp;A1401&amp;". Ubicacion: "&amp;"https://www.google.com/maps/search/?api=1&amp;query="&amp;SUBSTITUTE(F1401," ","")),"📲 Avisar al cliente"),"")</f>
        <v/>
      </c>
      <c r="L1401" s="8">
        <f>IF(C1401&lt;&gt;"","https://api.qrserver.com/v1/create-qr-code/?size=200x200&amp;data="&amp;ENCODEURL("https://wa.me/507"&amp;REGEXREPLACE(C1401,"[^0-9]","")&amp;"?text="&amp;ENCODEURL("Ya llegue. Codigo: "&amp;A1401&amp;". Ubicacion: "&amp;"https://www.google.com/maps/search/?api=1&amp;query="&amp;SUBSTITUTE(F1401," ",""))),"")</f>
        <v/>
      </c>
      <c r="M1401" s="8">
        <f>IF(B1401&lt;&gt;"",TODAY(),"")</f>
        <v/>
      </c>
      <c r="N1401" s="8">
        <f>IF(F1401&lt;&gt;"",IFERROR(IF(AND(REGEXMATCH(SUBSTITUTE(TRIM(F1401)," ",""),"^-?\d+(\.\d+)?,-?\d+(\.\d+)?$"),VALUE(REGEXEXTRACT(SUBSTITUTE(TRIM(F1401)," ",""),"^-?\d+(\.\d+)?"))&gt;=-90,VALUE(REGEXEXTRACT(SUBSTITUTE(TRIM(F1401)," ",""),"^-?\d+(\.\d+)?"))&lt;=90,VALUE(REGEXEXTRACT(SUBSTITUTE(TRIM(F1401)," ",""),"-?\d+(\.\d+)?$"))&gt;=-180,VALUE(REGEXEXTRACT(SUBSTITUTE(TRIM(F1401)," ",""),"-?\d+(\.\d+)?$"))&lt;=180),"OK","REVISAR"),"REVISAR"),"")</f>
        <v/>
      </c>
      <c r="O1401">
        <f>IF(A1401&lt;&gt;"","https://direcciones507.github.io/direcciones507/panel.html?codigo="&amp;A1401&amp;"&amp;nombre="&amp;ENCODEURL(B1401)&amp;"&amp;telefono="&amp;SUBSTITUTE(C1401,"-","")&amp;"&amp;referencia="&amp;ENCODEURL(E1401)&amp;"&amp;lat="&amp;IZQUIERDA(SUBSTITUTE(F1401," ",""),ENCONTRAR(",",SUBSTITUTE(F1401," ",""))-1)&amp;"&amp;lng="&amp;DERECHA(SUBSTITUTE(F1401," ",""),LARGO(SUBSTITUTE(F1401," ",""))-ENCONTRAR(",",SUBSTITUTE(F1401," ",""))),"")</f>
        <v/>
      </c>
    </row>
    <row r="1402" ht="15.75" customHeight="1" s="10">
      <c r="A1402" s="8">
        <f>CONCAT("AD507-",TEXT(ROW()-2,"0000"))</f>
        <v/>
      </c>
      <c r="C1402" s="8" t="n"/>
      <c r="F1402" s="8" t="n"/>
      <c r="G1402" s="8">
        <f>IF(F1402&lt;&gt;"",HYPERLINK("https://www.google.com/maps/search/?api=1&amp;query="&amp;SUBSTITUTE(F1402," ",""),"🗺 Google Maps"),"")</f>
        <v/>
      </c>
      <c r="H1402" s="8">
        <f>IF(F1402&lt;&gt;"",HYPERLINK("https://waze.com/ul?ll="&amp;SUBSTITUTE(F1402," ","")&amp;"&amp;navigate=yes","🚗 Waze"),"")</f>
        <v/>
      </c>
      <c r="I1402" s="8">
        <f>IF(F1402&lt;&gt;"",HYPERLINK("https://m.uber.com/ul/?action=setPickup&amp;pickup=my_location&amp;dropoff[latitude]="&amp;LEFT(SUBSTITUTE(F1402," ",""),FIND(",",SUBSTITUTE(F1402," ",""))-1)&amp;"&amp;dropoff[longitude]="&amp;MID(SUBSTITUTE(F1402," ",""),FIND(",",SUBSTITUTE(F1402," ",""))+1,99),"🚕 Uber"),"")</f>
        <v/>
      </c>
      <c r="J1402" s="8">
        <f>IF(F1402&lt;&gt;"","https://api.qrserver.com/v1/create-qr-code/?size=200x200&amp;data="&amp;ENCODEURL("https://www.google.com/maps/search/?api=1&amp;query="&amp;SUBSTITUTE(F1402," ","")),"")</f>
        <v/>
      </c>
      <c r="K1402" s="8">
        <f>IF(C1402&lt;&gt;"",HYPERLINK("https://wa.me/507"&amp;REGEXREPLACE(C1402,"[^0-9]","")&amp;"?text="&amp;ENCODEURL("Ya llegue. Codigo: "&amp;A1402&amp;". Ubicacion: "&amp;"https://www.google.com/maps/search/?api=1&amp;query="&amp;SUBSTITUTE(F1402," ","")),"📲 Avisar al cliente"),"")</f>
        <v/>
      </c>
      <c r="L1402" s="8">
        <f>IF(C1402&lt;&gt;"","https://api.qrserver.com/v1/create-qr-code/?size=200x200&amp;data="&amp;ENCODEURL("https://wa.me/507"&amp;REGEXREPLACE(C1402,"[^0-9]","")&amp;"?text="&amp;ENCODEURL("Ya llegue. Codigo: "&amp;A1402&amp;". Ubicacion: "&amp;"https://www.google.com/maps/search/?api=1&amp;query="&amp;SUBSTITUTE(F1402," ",""))),"")</f>
        <v/>
      </c>
      <c r="M1402" s="8">
        <f>IF(B1402&lt;&gt;"",TODAY(),"")</f>
        <v/>
      </c>
      <c r="N1402" s="8">
        <f>IF(F1402&lt;&gt;"",IFERROR(IF(AND(REGEXMATCH(SUBSTITUTE(TRIM(F1402)," ",""),"^-?\d+(\.\d+)?,-?\d+(\.\d+)?$"),VALUE(REGEXEXTRACT(SUBSTITUTE(TRIM(F1402)," ",""),"^-?\d+(\.\d+)?"))&gt;=-90,VALUE(REGEXEXTRACT(SUBSTITUTE(TRIM(F1402)," ",""),"^-?\d+(\.\d+)?"))&lt;=90,VALUE(REGEXEXTRACT(SUBSTITUTE(TRIM(F1402)," ",""),"-?\d+(\.\d+)?$"))&gt;=-180,VALUE(REGEXEXTRACT(SUBSTITUTE(TRIM(F1402)," ",""),"-?\d+(\.\d+)?$"))&lt;=180),"OK","REVISAR"),"REVISAR"),"")</f>
        <v/>
      </c>
      <c r="O1402">
        <f>IF(A1402&lt;&gt;"","https://direcciones507.github.io/direcciones507/panel.html?codigo="&amp;A1402&amp;"&amp;nombre="&amp;ENCODEURL(B1402)&amp;"&amp;telefono="&amp;SUBSTITUTE(C1402,"-","")&amp;"&amp;referencia="&amp;ENCODEURL(E1402)&amp;"&amp;lat="&amp;IZQUIERDA(SUBSTITUTE(F1402," ",""),ENCONTRAR(",",SUBSTITUTE(F1402," ",""))-1)&amp;"&amp;lng="&amp;DERECHA(SUBSTITUTE(F1402," ",""),LARGO(SUBSTITUTE(F1402," ",""))-ENCONTRAR(",",SUBSTITUTE(F1402," ",""))),"")</f>
        <v/>
      </c>
    </row>
    <row r="1403" ht="15.75" customHeight="1" s="10">
      <c r="A1403" s="8">
        <f>CONCAT("AD507-",TEXT(ROW()-2,"0000"))</f>
        <v/>
      </c>
      <c r="C1403" s="8" t="n"/>
      <c r="F1403" s="8" t="n"/>
      <c r="G1403" s="8">
        <f>IF(F1403&lt;&gt;"",HYPERLINK("https://www.google.com/maps/search/?api=1&amp;query="&amp;SUBSTITUTE(F1403," ",""),"🗺 Google Maps"),"")</f>
        <v/>
      </c>
      <c r="H1403" s="8">
        <f>IF(F1403&lt;&gt;"",HYPERLINK("https://waze.com/ul?ll="&amp;SUBSTITUTE(F1403," ","")&amp;"&amp;navigate=yes","🚗 Waze"),"")</f>
        <v/>
      </c>
      <c r="I1403" s="8">
        <f>IF(F1403&lt;&gt;"",HYPERLINK("https://m.uber.com/ul/?action=setPickup&amp;pickup=my_location&amp;dropoff[latitude]="&amp;LEFT(SUBSTITUTE(F1403," ",""),FIND(",",SUBSTITUTE(F1403," ",""))-1)&amp;"&amp;dropoff[longitude]="&amp;MID(SUBSTITUTE(F1403," ",""),FIND(",",SUBSTITUTE(F1403," ",""))+1,99),"🚕 Uber"),"")</f>
        <v/>
      </c>
      <c r="J1403" s="8">
        <f>IF(F1403&lt;&gt;"","https://api.qrserver.com/v1/create-qr-code/?size=200x200&amp;data="&amp;ENCODEURL("https://www.google.com/maps/search/?api=1&amp;query="&amp;SUBSTITUTE(F1403," ","")),"")</f>
        <v/>
      </c>
      <c r="K1403" s="8">
        <f>IF(C1403&lt;&gt;"",HYPERLINK("https://wa.me/507"&amp;REGEXREPLACE(C1403,"[^0-9]","")&amp;"?text="&amp;ENCODEURL("Ya llegue. Codigo: "&amp;A1403&amp;". Ubicacion: "&amp;"https://www.google.com/maps/search/?api=1&amp;query="&amp;SUBSTITUTE(F1403," ","")),"📲 Avisar al cliente"),"")</f>
        <v/>
      </c>
      <c r="L1403" s="8">
        <f>IF(C1403&lt;&gt;"","https://api.qrserver.com/v1/create-qr-code/?size=200x200&amp;data="&amp;ENCODEURL("https://wa.me/507"&amp;REGEXREPLACE(C1403,"[^0-9]","")&amp;"?text="&amp;ENCODEURL("Ya llegue. Codigo: "&amp;A1403&amp;". Ubicacion: "&amp;"https://www.google.com/maps/search/?api=1&amp;query="&amp;SUBSTITUTE(F1403," ",""))),"")</f>
        <v/>
      </c>
      <c r="M1403" s="8">
        <f>IF(B1403&lt;&gt;"",TODAY(),"")</f>
        <v/>
      </c>
      <c r="N1403" s="8">
        <f>IF(F1403&lt;&gt;"",IFERROR(IF(AND(REGEXMATCH(SUBSTITUTE(TRIM(F1403)," ",""),"^-?\d+(\.\d+)?,-?\d+(\.\d+)?$"),VALUE(REGEXEXTRACT(SUBSTITUTE(TRIM(F1403)," ",""),"^-?\d+(\.\d+)?"))&gt;=-90,VALUE(REGEXEXTRACT(SUBSTITUTE(TRIM(F1403)," ",""),"^-?\d+(\.\d+)?"))&lt;=90,VALUE(REGEXEXTRACT(SUBSTITUTE(TRIM(F1403)," ",""),"-?\d+(\.\d+)?$"))&gt;=-180,VALUE(REGEXEXTRACT(SUBSTITUTE(TRIM(F1403)," ",""),"-?\d+(\.\d+)?$"))&lt;=180),"OK","REVISAR"),"REVISAR"),"")</f>
        <v/>
      </c>
      <c r="O1403">
        <f>IF(A1403&lt;&gt;"","https://direcciones507.github.io/direcciones507/panel.html?codigo="&amp;A1403&amp;"&amp;nombre="&amp;ENCODEURL(B1403)&amp;"&amp;telefono="&amp;SUBSTITUTE(C1403,"-","")&amp;"&amp;referencia="&amp;ENCODEURL(E1403)&amp;"&amp;lat="&amp;IZQUIERDA(SUBSTITUTE(F1403," ",""),ENCONTRAR(",",SUBSTITUTE(F1403," ",""))-1)&amp;"&amp;lng="&amp;DERECHA(SUBSTITUTE(F1403," ",""),LARGO(SUBSTITUTE(F1403," ",""))-ENCONTRAR(",",SUBSTITUTE(F1403," ",""))),"")</f>
        <v/>
      </c>
    </row>
    <row r="1404" ht="15.75" customHeight="1" s="10">
      <c r="A1404" s="8">
        <f>CONCAT("AD507-",TEXT(ROW()-2,"0000"))</f>
        <v/>
      </c>
      <c r="C1404" s="8" t="n"/>
      <c r="F1404" s="8" t="n"/>
      <c r="G1404" s="8">
        <f>IF(F1404&lt;&gt;"",HYPERLINK("https://www.google.com/maps/search/?api=1&amp;query="&amp;SUBSTITUTE(F1404," ",""),"🗺 Google Maps"),"")</f>
        <v/>
      </c>
      <c r="H1404" s="8">
        <f>IF(F1404&lt;&gt;"",HYPERLINK("https://waze.com/ul?ll="&amp;SUBSTITUTE(F1404," ","")&amp;"&amp;navigate=yes","🚗 Waze"),"")</f>
        <v/>
      </c>
      <c r="I1404" s="8">
        <f>IF(F1404&lt;&gt;"",HYPERLINK("https://m.uber.com/ul/?action=setPickup&amp;pickup=my_location&amp;dropoff[latitude]="&amp;LEFT(SUBSTITUTE(F1404," ",""),FIND(",",SUBSTITUTE(F1404," ",""))-1)&amp;"&amp;dropoff[longitude]="&amp;MID(SUBSTITUTE(F1404," ",""),FIND(",",SUBSTITUTE(F1404," ",""))+1,99),"🚕 Uber"),"")</f>
        <v/>
      </c>
      <c r="J1404" s="8">
        <f>IF(F1404&lt;&gt;"","https://api.qrserver.com/v1/create-qr-code/?size=200x200&amp;data="&amp;ENCODEURL("https://www.google.com/maps/search/?api=1&amp;query="&amp;SUBSTITUTE(F1404," ","")),"")</f>
        <v/>
      </c>
      <c r="K1404" s="8">
        <f>IF(C1404&lt;&gt;"",HYPERLINK("https://wa.me/507"&amp;REGEXREPLACE(C1404,"[^0-9]","")&amp;"?text="&amp;ENCODEURL("Ya llegue. Codigo: "&amp;A1404&amp;". Ubicacion: "&amp;"https://www.google.com/maps/search/?api=1&amp;query="&amp;SUBSTITUTE(F1404," ","")),"📲 Avisar al cliente"),"")</f>
        <v/>
      </c>
      <c r="L1404" s="8">
        <f>IF(C1404&lt;&gt;"","https://api.qrserver.com/v1/create-qr-code/?size=200x200&amp;data="&amp;ENCODEURL("https://wa.me/507"&amp;REGEXREPLACE(C1404,"[^0-9]","")&amp;"?text="&amp;ENCODEURL("Ya llegue. Codigo: "&amp;A1404&amp;". Ubicacion: "&amp;"https://www.google.com/maps/search/?api=1&amp;query="&amp;SUBSTITUTE(F1404," ",""))),"")</f>
        <v/>
      </c>
      <c r="M1404" s="8">
        <f>IF(B1404&lt;&gt;"",TODAY(),"")</f>
        <v/>
      </c>
      <c r="N1404" s="8">
        <f>IF(F1404&lt;&gt;"",IFERROR(IF(AND(REGEXMATCH(SUBSTITUTE(TRIM(F1404)," ",""),"^-?\d+(\.\d+)?,-?\d+(\.\d+)?$"),VALUE(REGEXEXTRACT(SUBSTITUTE(TRIM(F1404)," ",""),"^-?\d+(\.\d+)?"))&gt;=-90,VALUE(REGEXEXTRACT(SUBSTITUTE(TRIM(F1404)," ",""),"^-?\d+(\.\d+)?"))&lt;=90,VALUE(REGEXEXTRACT(SUBSTITUTE(TRIM(F1404)," ",""),"-?\d+(\.\d+)?$"))&gt;=-180,VALUE(REGEXEXTRACT(SUBSTITUTE(TRIM(F1404)," ",""),"-?\d+(\.\d+)?$"))&lt;=180),"OK","REVISAR"),"REVISAR"),"")</f>
        <v/>
      </c>
      <c r="O1404">
        <f>IF(A1404&lt;&gt;"","https://direcciones507.github.io/direcciones507/panel.html?codigo="&amp;A1404&amp;"&amp;nombre="&amp;ENCODEURL(B1404)&amp;"&amp;telefono="&amp;SUBSTITUTE(C1404,"-","")&amp;"&amp;referencia="&amp;ENCODEURL(E1404)&amp;"&amp;lat="&amp;IZQUIERDA(SUBSTITUTE(F1404," ",""),ENCONTRAR(",",SUBSTITUTE(F1404," ",""))-1)&amp;"&amp;lng="&amp;DERECHA(SUBSTITUTE(F1404," ",""),LARGO(SUBSTITUTE(F1404," ",""))-ENCONTRAR(",",SUBSTITUTE(F1404," ",""))),"")</f>
        <v/>
      </c>
    </row>
    <row r="1405" ht="15.75" customHeight="1" s="10">
      <c r="A1405" s="8">
        <f>CONCAT("AD507-",TEXT(ROW()-2,"0000"))</f>
        <v/>
      </c>
      <c r="C1405" s="8" t="n"/>
      <c r="F1405" s="8" t="n"/>
      <c r="G1405" s="8">
        <f>IF(F1405&lt;&gt;"",HYPERLINK("https://www.google.com/maps/search/?api=1&amp;query="&amp;SUBSTITUTE(F1405," ",""),"🗺 Google Maps"),"")</f>
        <v/>
      </c>
      <c r="H1405" s="8">
        <f>IF(F1405&lt;&gt;"",HYPERLINK("https://waze.com/ul?ll="&amp;SUBSTITUTE(F1405," ","")&amp;"&amp;navigate=yes","🚗 Waze"),"")</f>
        <v/>
      </c>
      <c r="I1405" s="8">
        <f>IF(F1405&lt;&gt;"",HYPERLINK("https://m.uber.com/ul/?action=setPickup&amp;pickup=my_location&amp;dropoff[latitude]="&amp;LEFT(SUBSTITUTE(F1405," ",""),FIND(",",SUBSTITUTE(F1405," ",""))-1)&amp;"&amp;dropoff[longitude]="&amp;MID(SUBSTITUTE(F1405," ",""),FIND(",",SUBSTITUTE(F1405," ",""))+1,99),"🚕 Uber"),"")</f>
        <v/>
      </c>
      <c r="J1405" s="8">
        <f>IF(F1405&lt;&gt;"","https://api.qrserver.com/v1/create-qr-code/?size=200x200&amp;data="&amp;ENCODEURL("https://www.google.com/maps/search/?api=1&amp;query="&amp;SUBSTITUTE(F1405," ","")),"")</f>
        <v/>
      </c>
      <c r="K1405" s="8">
        <f>IF(C1405&lt;&gt;"",HYPERLINK("https://wa.me/507"&amp;REGEXREPLACE(C1405,"[^0-9]","")&amp;"?text="&amp;ENCODEURL("Ya llegue. Codigo: "&amp;A1405&amp;". Ubicacion: "&amp;"https://www.google.com/maps/search/?api=1&amp;query="&amp;SUBSTITUTE(F1405," ","")),"📲 Avisar al cliente"),"")</f>
        <v/>
      </c>
      <c r="L1405" s="8">
        <f>IF(C1405&lt;&gt;"","https://api.qrserver.com/v1/create-qr-code/?size=200x200&amp;data="&amp;ENCODEURL("https://wa.me/507"&amp;REGEXREPLACE(C1405,"[^0-9]","")&amp;"?text="&amp;ENCODEURL("Ya llegue. Codigo: "&amp;A1405&amp;". Ubicacion: "&amp;"https://www.google.com/maps/search/?api=1&amp;query="&amp;SUBSTITUTE(F1405," ",""))),"")</f>
        <v/>
      </c>
      <c r="M1405" s="8">
        <f>IF(B1405&lt;&gt;"",TODAY(),"")</f>
        <v/>
      </c>
      <c r="N1405" s="8">
        <f>IF(F1405&lt;&gt;"",IFERROR(IF(AND(REGEXMATCH(SUBSTITUTE(TRIM(F1405)," ",""),"^-?\d+(\.\d+)?,-?\d+(\.\d+)?$"),VALUE(REGEXEXTRACT(SUBSTITUTE(TRIM(F1405)," ",""),"^-?\d+(\.\d+)?"))&gt;=-90,VALUE(REGEXEXTRACT(SUBSTITUTE(TRIM(F1405)," ",""),"^-?\d+(\.\d+)?"))&lt;=90,VALUE(REGEXEXTRACT(SUBSTITUTE(TRIM(F1405)," ",""),"-?\d+(\.\d+)?$"))&gt;=-180,VALUE(REGEXEXTRACT(SUBSTITUTE(TRIM(F1405)," ",""),"-?\d+(\.\d+)?$"))&lt;=180),"OK","REVISAR"),"REVISAR"),"")</f>
        <v/>
      </c>
      <c r="O1405">
        <f>IF(A1405&lt;&gt;"","https://direcciones507.github.io/direcciones507/panel.html?codigo="&amp;A1405&amp;"&amp;nombre="&amp;ENCODEURL(B1405)&amp;"&amp;telefono="&amp;SUBSTITUTE(C1405,"-","")&amp;"&amp;referencia="&amp;ENCODEURL(E1405)&amp;"&amp;lat="&amp;IZQUIERDA(SUBSTITUTE(F1405," ",""),ENCONTRAR(",",SUBSTITUTE(F1405," ",""))-1)&amp;"&amp;lng="&amp;DERECHA(SUBSTITUTE(F1405," ",""),LARGO(SUBSTITUTE(F1405," ",""))-ENCONTRAR(",",SUBSTITUTE(F1405," ",""))),"")</f>
        <v/>
      </c>
    </row>
    <row r="1406" ht="15.75" customHeight="1" s="10">
      <c r="A1406" s="8">
        <f>CONCAT("AD507-",TEXT(ROW()-2,"0000"))</f>
        <v/>
      </c>
      <c r="C1406" s="8" t="n"/>
      <c r="F1406" s="8" t="n"/>
      <c r="G1406" s="8">
        <f>IF(F1406&lt;&gt;"",HYPERLINK("https://www.google.com/maps/search/?api=1&amp;query="&amp;SUBSTITUTE(F1406," ",""),"🗺 Google Maps"),"")</f>
        <v/>
      </c>
      <c r="H1406" s="8">
        <f>IF(F1406&lt;&gt;"",HYPERLINK("https://waze.com/ul?ll="&amp;SUBSTITUTE(F1406," ","")&amp;"&amp;navigate=yes","🚗 Waze"),"")</f>
        <v/>
      </c>
      <c r="I1406" s="8">
        <f>IF(F1406&lt;&gt;"",HYPERLINK("https://m.uber.com/ul/?action=setPickup&amp;pickup=my_location&amp;dropoff[latitude]="&amp;LEFT(SUBSTITUTE(F1406," ",""),FIND(",",SUBSTITUTE(F1406," ",""))-1)&amp;"&amp;dropoff[longitude]="&amp;MID(SUBSTITUTE(F1406," ",""),FIND(",",SUBSTITUTE(F1406," ",""))+1,99),"🚕 Uber"),"")</f>
        <v/>
      </c>
      <c r="J1406" s="8">
        <f>IF(F1406&lt;&gt;"","https://api.qrserver.com/v1/create-qr-code/?size=200x200&amp;data="&amp;ENCODEURL("https://www.google.com/maps/search/?api=1&amp;query="&amp;SUBSTITUTE(F1406," ","")),"")</f>
        <v/>
      </c>
      <c r="K1406" s="8">
        <f>IF(C1406&lt;&gt;"",HYPERLINK("https://wa.me/507"&amp;REGEXREPLACE(C1406,"[^0-9]","")&amp;"?text="&amp;ENCODEURL("Ya llegue. Codigo: "&amp;A1406&amp;". Ubicacion: "&amp;"https://www.google.com/maps/search/?api=1&amp;query="&amp;SUBSTITUTE(F1406," ","")),"📲 Avisar al cliente"),"")</f>
        <v/>
      </c>
      <c r="L1406" s="8">
        <f>IF(C1406&lt;&gt;"","https://api.qrserver.com/v1/create-qr-code/?size=200x200&amp;data="&amp;ENCODEURL("https://wa.me/507"&amp;REGEXREPLACE(C1406,"[^0-9]","")&amp;"?text="&amp;ENCODEURL("Ya llegue. Codigo: "&amp;A1406&amp;". Ubicacion: "&amp;"https://www.google.com/maps/search/?api=1&amp;query="&amp;SUBSTITUTE(F1406," ",""))),"")</f>
        <v/>
      </c>
      <c r="M1406" s="8">
        <f>IF(B1406&lt;&gt;"",TODAY(),"")</f>
        <v/>
      </c>
      <c r="N1406" s="8">
        <f>IF(F1406&lt;&gt;"",IFERROR(IF(AND(REGEXMATCH(SUBSTITUTE(TRIM(F1406)," ",""),"^-?\d+(\.\d+)?,-?\d+(\.\d+)?$"),VALUE(REGEXEXTRACT(SUBSTITUTE(TRIM(F1406)," ",""),"^-?\d+(\.\d+)?"))&gt;=-90,VALUE(REGEXEXTRACT(SUBSTITUTE(TRIM(F1406)," ",""),"^-?\d+(\.\d+)?"))&lt;=90,VALUE(REGEXEXTRACT(SUBSTITUTE(TRIM(F1406)," ",""),"-?\d+(\.\d+)?$"))&gt;=-180,VALUE(REGEXEXTRACT(SUBSTITUTE(TRIM(F1406)," ",""),"-?\d+(\.\d+)?$"))&lt;=180),"OK","REVISAR"),"REVISAR"),"")</f>
        <v/>
      </c>
      <c r="O1406">
        <f>IF(A1406&lt;&gt;"","https://direcciones507.github.io/direcciones507/panel.html?codigo="&amp;A1406&amp;"&amp;nombre="&amp;ENCODEURL(B1406)&amp;"&amp;telefono="&amp;SUBSTITUTE(C1406,"-","")&amp;"&amp;referencia="&amp;ENCODEURL(E1406)&amp;"&amp;lat="&amp;IZQUIERDA(SUBSTITUTE(F1406," ",""),ENCONTRAR(",",SUBSTITUTE(F1406," ",""))-1)&amp;"&amp;lng="&amp;DERECHA(SUBSTITUTE(F1406," ",""),LARGO(SUBSTITUTE(F1406," ",""))-ENCONTRAR(",",SUBSTITUTE(F1406," ",""))),"")</f>
        <v/>
      </c>
    </row>
    <row r="1407" ht="15.75" customHeight="1" s="10">
      <c r="A1407" s="8">
        <f>CONCAT("AD507-",TEXT(ROW()-2,"0000"))</f>
        <v/>
      </c>
      <c r="C1407" s="8" t="n"/>
      <c r="F1407" s="8" t="n"/>
      <c r="G1407" s="8">
        <f>IF(F1407&lt;&gt;"",HYPERLINK("https://www.google.com/maps/search/?api=1&amp;query="&amp;SUBSTITUTE(F1407," ",""),"🗺 Google Maps"),"")</f>
        <v/>
      </c>
      <c r="H1407" s="8">
        <f>IF(F1407&lt;&gt;"",HYPERLINK("https://waze.com/ul?ll="&amp;SUBSTITUTE(F1407," ","")&amp;"&amp;navigate=yes","🚗 Waze"),"")</f>
        <v/>
      </c>
      <c r="I1407" s="8">
        <f>IF(F1407&lt;&gt;"",HYPERLINK("https://m.uber.com/ul/?action=setPickup&amp;pickup=my_location&amp;dropoff[latitude]="&amp;LEFT(SUBSTITUTE(F1407," ",""),FIND(",",SUBSTITUTE(F1407," ",""))-1)&amp;"&amp;dropoff[longitude]="&amp;MID(SUBSTITUTE(F1407," ",""),FIND(",",SUBSTITUTE(F1407," ",""))+1,99),"🚕 Uber"),"")</f>
        <v/>
      </c>
      <c r="J1407" s="8">
        <f>IF(F1407&lt;&gt;"","https://api.qrserver.com/v1/create-qr-code/?size=200x200&amp;data="&amp;ENCODEURL("https://www.google.com/maps/search/?api=1&amp;query="&amp;SUBSTITUTE(F1407," ","")),"")</f>
        <v/>
      </c>
      <c r="K1407" s="8">
        <f>IF(C1407&lt;&gt;"",HYPERLINK("https://wa.me/507"&amp;REGEXREPLACE(C1407,"[^0-9]","")&amp;"?text="&amp;ENCODEURL("Ya llegue. Codigo: "&amp;A1407&amp;". Ubicacion: "&amp;"https://www.google.com/maps/search/?api=1&amp;query="&amp;SUBSTITUTE(F1407," ","")),"📲 Avisar al cliente"),"")</f>
        <v/>
      </c>
      <c r="L1407" s="8">
        <f>IF(C1407&lt;&gt;"","https://api.qrserver.com/v1/create-qr-code/?size=200x200&amp;data="&amp;ENCODEURL("https://wa.me/507"&amp;REGEXREPLACE(C1407,"[^0-9]","")&amp;"?text="&amp;ENCODEURL("Ya llegue. Codigo: "&amp;A1407&amp;". Ubicacion: "&amp;"https://www.google.com/maps/search/?api=1&amp;query="&amp;SUBSTITUTE(F1407," ",""))),"")</f>
        <v/>
      </c>
      <c r="M1407" s="8">
        <f>IF(B1407&lt;&gt;"",TODAY(),"")</f>
        <v/>
      </c>
      <c r="N1407" s="8">
        <f>IF(F1407&lt;&gt;"",IFERROR(IF(AND(REGEXMATCH(SUBSTITUTE(TRIM(F1407)," ",""),"^-?\d+(\.\d+)?,-?\d+(\.\d+)?$"),VALUE(REGEXEXTRACT(SUBSTITUTE(TRIM(F1407)," ",""),"^-?\d+(\.\d+)?"))&gt;=-90,VALUE(REGEXEXTRACT(SUBSTITUTE(TRIM(F1407)," ",""),"^-?\d+(\.\d+)?"))&lt;=90,VALUE(REGEXEXTRACT(SUBSTITUTE(TRIM(F1407)," ",""),"-?\d+(\.\d+)?$"))&gt;=-180,VALUE(REGEXEXTRACT(SUBSTITUTE(TRIM(F1407)," ",""),"-?\d+(\.\d+)?$"))&lt;=180),"OK","REVISAR"),"REVISAR"),"")</f>
        <v/>
      </c>
      <c r="O1407">
        <f>IF(A1407&lt;&gt;"","https://direcciones507.github.io/direcciones507/panel.html?codigo="&amp;A1407&amp;"&amp;nombre="&amp;ENCODEURL(B1407)&amp;"&amp;telefono="&amp;SUBSTITUTE(C1407,"-","")&amp;"&amp;referencia="&amp;ENCODEURL(E1407)&amp;"&amp;lat="&amp;IZQUIERDA(SUBSTITUTE(F1407," ",""),ENCONTRAR(",",SUBSTITUTE(F1407," ",""))-1)&amp;"&amp;lng="&amp;DERECHA(SUBSTITUTE(F1407," ",""),LARGO(SUBSTITUTE(F1407," ",""))-ENCONTRAR(",",SUBSTITUTE(F1407," ",""))),"")</f>
        <v/>
      </c>
    </row>
    <row r="1408" ht="15.75" customHeight="1" s="10">
      <c r="A1408" s="8">
        <f>CONCAT("AD507-",TEXT(ROW()-2,"0000"))</f>
        <v/>
      </c>
      <c r="C1408" s="8" t="n"/>
      <c r="F1408" s="8" t="n"/>
      <c r="G1408" s="8">
        <f>IF(F1408&lt;&gt;"",HYPERLINK("https://www.google.com/maps/search/?api=1&amp;query="&amp;SUBSTITUTE(F1408," ",""),"🗺 Google Maps"),"")</f>
        <v/>
      </c>
      <c r="H1408" s="8">
        <f>IF(F1408&lt;&gt;"",HYPERLINK("https://waze.com/ul?ll="&amp;SUBSTITUTE(F1408," ","")&amp;"&amp;navigate=yes","🚗 Waze"),"")</f>
        <v/>
      </c>
      <c r="I1408" s="8">
        <f>IF(F1408&lt;&gt;"",HYPERLINK("https://m.uber.com/ul/?action=setPickup&amp;pickup=my_location&amp;dropoff[latitude]="&amp;LEFT(SUBSTITUTE(F1408," ",""),FIND(",",SUBSTITUTE(F1408," ",""))-1)&amp;"&amp;dropoff[longitude]="&amp;MID(SUBSTITUTE(F1408," ",""),FIND(",",SUBSTITUTE(F1408," ",""))+1,99),"🚕 Uber"),"")</f>
        <v/>
      </c>
      <c r="J1408" s="8">
        <f>IF(F1408&lt;&gt;"","https://api.qrserver.com/v1/create-qr-code/?size=200x200&amp;data="&amp;ENCODEURL("https://www.google.com/maps/search/?api=1&amp;query="&amp;SUBSTITUTE(F1408," ","")),"")</f>
        <v/>
      </c>
      <c r="K1408" s="8">
        <f>IF(C1408&lt;&gt;"",HYPERLINK("https://wa.me/507"&amp;REGEXREPLACE(C1408,"[^0-9]","")&amp;"?text="&amp;ENCODEURL("Ya llegue. Codigo: "&amp;A1408&amp;". Ubicacion: "&amp;"https://www.google.com/maps/search/?api=1&amp;query="&amp;SUBSTITUTE(F1408," ","")),"📲 Avisar al cliente"),"")</f>
        <v/>
      </c>
      <c r="L1408" s="8">
        <f>IF(C1408&lt;&gt;"","https://api.qrserver.com/v1/create-qr-code/?size=200x200&amp;data="&amp;ENCODEURL("https://wa.me/507"&amp;REGEXREPLACE(C1408,"[^0-9]","")&amp;"?text="&amp;ENCODEURL("Ya llegue. Codigo: "&amp;A1408&amp;". Ubicacion: "&amp;"https://www.google.com/maps/search/?api=1&amp;query="&amp;SUBSTITUTE(F1408," ",""))),"")</f>
        <v/>
      </c>
      <c r="M1408" s="8">
        <f>IF(B1408&lt;&gt;"",TODAY(),"")</f>
        <v/>
      </c>
      <c r="N1408" s="8">
        <f>IF(F1408&lt;&gt;"",IFERROR(IF(AND(REGEXMATCH(SUBSTITUTE(TRIM(F1408)," ",""),"^-?\d+(\.\d+)?,-?\d+(\.\d+)?$"),VALUE(REGEXEXTRACT(SUBSTITUTE(TRIM(F1408)," ",""),"^-?\d+(\.\d+)?"))&gt;=-90,VALUE(REGEXEXTRACT(SUBSTITUTE(TRIM(F1408)," ",""),"^-?\d+(\.\d+)?"))&lt;=90,VALUE(REGEXEXTRACT(SUBSTITUTE(TRIM(F1408)," ",""),"-?\d+(\.\d+)?$"))&gt;=-180,VALUE(REGEXEXTRACT(SUBSTITUTE(TRIM(F1408)," ",""),"-?\d+(\.\d+)?$"))&lt;=180),"OK","REVISAR"),"REVISAR"),"")</f>
        <v/>
      </c>
      <c r="O1408">
        <f>IF(A1408&lt;&gt;"","https://direcciones507.github.io/direcciones507/panel.html?codigo="&amp;A1408&amp;"&amp;nombre="&amp;ENCODEURL(B1408)&amp;"&amp;telefono="&amp;SUBSTITUTE(C1408,"-","")&amp;"&amp;referencia="&amp;ENCODEURL(E1408)&amp;"&amp;lat="&amp;IZQUIERDA(SUBSTITUTE(F1408," ",""),ENCONTRAR(",",SUBSTITUTE(F1408," ",""))-1)&amp;"&amp;lng="&amp;DERECHA(SUBSTITUTE(F1408," ",""),LARGO(SUBSTITUTE(F1408," ",""))-ENCONTRAR(",",SUBSTITUTE(F1408," ",""))),"")</f>
        <v/>
      </c>
    </row>
    <row r="1409" ht="15.75" customHeight="1" s="10">
      <c r="A1409" s="8">
        <f>CONCAT("AD507-",TEXT(ROW()-2,"0000"))</f>
        <v/>
      </c>
      <c r="C1409" s="8" t="n"/>
      <c r="F1409" s="8" t="n"/>
      <c r="G1409" s="8">
        <f>IF(F1409&lt;&gt;"",HYPERLINK("https://www.google.com/maps/search/?api=1&amp;query="&amp;SUBSTITUTE(F1409," ",""),"🗺 Google Maps"),"")</f>
        <v/>
      </c>
      <c r="H1409" s="8">
        <f>IF(F1409&lt;&gt;"",HYPERLINK("https://waze.com/ul?ll="&amp;SUBSTITUTE(F1409," ","")&amp;"&amp;navigate=yes","🚗 Waze"),"")</f>
        <v/>
      </c>
      <c r="I1409" s="8">
        <f>IF(F1409&lt;&gt;"",HYPERLINK("https://m.uber.com/ul/?action=setPickup&amp;pickup=my_location&amp;dropoff[latitude]="&amp;LEFT(SUBSTITUTE(F1409," ",""),FIND(",",SUBSTITUTE(F1409," ",""))-1)&amp;"&amp;dropoff[longitude]="&amp;MID(SUBSTITUTE(F1409," ",""),FIND(",",SUBSTITUTE(F1409," ",""))+1,99),"🚕 Uber"),"")</f>
        <v/>
      </c>
      <c r="J1409" s="8">
        <f>IF(F1409&lt;&gt;"","https://api.qrserver.com/v1/create-qr-code/?size=200x200&amp;data="&amp;ENCODEURL("https://www.google.com/maps/search/?api=1&amp;query="&amp;SUBSTITUTE(F1409," ","")),"")</f>
        <v/>
      </c>
      <c r="K1409" s="8">
        <f>IF(C1409&lt;&gt;"",HYPERLINK("https://wa.me/507"&amp;REGEXREPLACE(C1409,"[^0-9]","")&amp;"?text="&amp;ENCODEURL("Ya llegue. Codigo: "&amp;A1409&amp;". Ubicacion: "&amp;"https://www.google.com/maps/search/?api=1&amp;query="&amp;SUBSTITUTE(F1409," ","")),"📲 Avisar al cliente"),"")</f>
        <v/>
      </c>
      <c r="L1409" s="8">
        <f>IF(C1409&lt;&gt;"","https://api.qrserver.com/v1/create-qr-code/?size=200x200&amp;data="&amp;ENCODEURL("https://wa.me/507"&amp;REGEXREPLACE(C1409,"[^0-9]","")&amp;"?text="&amp;ENCODEURL("Ya llegue. Codigo: "&amp;A1409&amp;". Ubicacion: "&amp;"https://www.google.com/maps/search/?api=1&amp;query="&amp;SUBSTITUTE(F1409," ",""))),"")</f>
        <v/>
      </c>
      <c r="M1409" s="8">
        <f>IF(B1409&lt;&gt;"",TODAY(),"")</f>
        <v/>
      </c>
      <c r="N1409" s="8">
        <f>IF(F1409&lt;&gt;"",IFERROR(IF(AND(REGEXMATCH(SUBSTITUTE(TRIM(F1409)," ",""),"^-?\d+(\.\d+)?,-?\d+(\.\d+)?$"),VALUE(REGEXEXTRACT(SUBSTITUTE(TRIM(F1409)," ",""),"^-?\d+(\.\d+)?"))&gt;=-90,VALUE(REGEXEXTRACT(SUBSTITUTE(TRIM(F1409)," ",""),"^-?\d+(\.\d+)?"))&lt;=90,VALUE(REGEXEXTRACT(SUBSTITUTE(TRIM(F1409)," ",""),"-?\d+(\.\d+)?$"))&gt;=-180,VALUE(REGEXEXTRACT(SUBSTITUTE(TRIM(F1409)," ",""),"-?\d+(\.\d+)?$"))&lt;=180),"OK","REVISAR"),"REVISAR"),"")</f>
        <v/>
      </c>
      <c r="O1409">
        <f>IF(A1409&lt;&gt;"","https://direcciones507.github.io/direcciones507/panel.html?codigo="&amp;A1409&amp;"&amp;nombre="&amp;ENCODEURL(B1409)&amp;"&amp;telefono="&amp;SUBSTITUTE(C1409,"-","")&amp;"&amp;referencia="&amp;ENCODEURL(E1409)&amp;"&amp;lat="&amp;IZQUIERDA(SUBSTITUTE(F1409," ",""),ENCONTRAR(",",SUBSTITUTE(F1409," ",""))-1)&amp;"&amp;lng="&amp;DERECHA(SUBSTITUTE(F1409," ",""),LARGO(SUBSTITUTE(F1409," ",""))-ENCONTRAR(",",SUBSTITUTE(F1409," ",""))),"")</f>
        <v/>
      </c>
    </row>
    <row r="1410" ht="15.75" customHeight="1" s="10">
      <c r="A1410" s="8">
        <f>CONCAT("AD507-",TEXT(ROW()-2,"0000"))</f>
        <v/>
      </c>
      <c r="C1410" s="8" t="n"/>
      <c r="F1410" s="8" t="n"/>
      <c r="G1410" s="8">
        <f>IF(F1410&lt;&gt;"",HYPERLINK("https://www.google.com/maps/search/?api=1&amp;query="&amp;SUBSTITUTE(F1410," ",""),"🗺 Google Maps"),"")</f>
        <v/>
      </c>
      <c r="H1410" s="8">
        <f>IF(F1410&lt;&gt;"",HYPERLINK("https://waze.com/ul?ll="&amp;SUBSTITUTE(F1410," ","")&amp;"&amp;navigate=yes","🚗 Waze"),"")</f>
        <v/>
      </c>
      <c r="I1410" s="8">
        <f>IF(F1410&lt;&gt;"",HYPERLINK("https://m.uber.com/ul/?action=setPickup&amp;pickup=my_location&amp;dropoff[latitude]="&amp;LEFT(SUBSTITUTE(F1410," ",""),FIND(",",SUBSTITUTE(F1410," ",""))-1)&amp;"&amp;dropoff[longitude]="&amp;MID(SUBSTITUTE(F1410," ",""),FIND(",",SUBSTITUTE(F1410," ",""))+1,99),"🚕 Uber"),"")</f>
        <v/>
      </c>
      <c r="J1410" s="8">
        <f>IF(F1410&lt;&gt;"","https://api.qrserver.com/v1/create-qr-code/?size=200x200&amp;data="&amp;ENCODEURL("https://www.google.com/maps/search/?api=1&amp;query="&amp;SUBSTITUTE(F1410," ","")),"")</f>
        <v/>
      </c>
      <c r="K1410" s="8">
        <f>IF(C1410&lt;&gt;"",HYPERLINK("https://wa.me/507"&amp;REGEXREPLACE(C1410,"[^0-9]","")&amp;"?text="&amp;ENCODEURL("Ya llegue. Codigo: "&amp;A1410&amp;". Ubicacion: "&amp;"https://www.google.com/maps/search/?api=1&amp;query="&amp;SUBSTITUTE(F1410," ","")),"📲 Avisar al cliente"),"")</f>
        <v/>
      </c>
      <c r="L1410" s="8">
        <f>IF(C1410&lt;&gt;"","https://api.qrserver.com/v1/create-qr-code/?size=200x200&amp;data="&amp;ENCODEURL("https://wa.me/507"&amp;REGEXREPLACE(C1410,"[^0-9]","")&amp;"?text="&amp;ENCODEURL("Ya llegue. Codigo: "&amp;A1410&amp;". Ubicacion: "&amp;"https://www.google.com/maps/search/?api=1&amp;query="&amp;SUBSTITUTE(F1410," ",""))),"")</f>
        <v/>
      </c>
      <c r="M1410" s="8">
        <f>IF(B1410&lt;&gt;"",TODAY(),"")</f>
        <v/>
      </c>
      <c r="N1410" s="8">
        <f>IF(F1410&lt;&gt;"",IFERROR(IF(AND(REGEXMATCH(SUBSTITUTE(TRIM(F1410)," ",""),"^-?\d+(\.\d+)?,-?\d+(\.\d+)?$"),VALUE(REGEXEXTRACT(SUBSTITUTE(TRIM(F1410)," ",""),"^-?\d+(\.\d+)?"))&gt;=-90,VALUE(REGEXEXTRACT(SUBSTITUTE(TRIM(F1410)," ",""),"^-?\d+(\.\d+)?"))&lt;=90,VALUE(REGEXEXTRACT(SUBSTITUTE(TRIM(F1410)," ",""),"-?\d+(\.\d+)?$"))&gt;=-180,VALUE(REGEXEXTRACT(SUBSTITUTE(TRIM(F1410)," ",""),"-?\d+(\.\d+)?$"))&lt;=180),"OK","REVISAR"),"REVISAR"),"")</f>
        <v/>
      </c>
      <c r="O1410">
        <f>IF(A1410&lt;&gt;"","https://direcciones507.github.io/direcciones507/panel.html?codigo="&amp;A1410&amp;"&amp;nombre="&amp;ENCODEURL(B1410)&amp;"&amp;telefono="&amp;SUBSTITUTE(C1410,"-","")&amp;"&amp;referencia="&amp;ENCODEURL(E1410)&amp;"&amp;lat="&amp;IZQUIERDA(SUBSTITUTE(F1410," ",""),ENCONTRAR(",",SUBSTITUTE(F1410," ",""))-1)&amp;"&amp;lng="&amp;DERECHA(SUBSTITUTE(F1410," ",""),LARGO(SUBSTITUTE(F1410," ",""))-ENCONTRAR(",",SUBSTITUTE(F1410," ",""))),"")</f>
        <v/>
      </c>
    </row>
    <row r="1411" ht="15.75" customHeight="1" s="10">
      <c r="A1411" s="8">
        <f>CONCAT("AD507-",TEXT(ROW()-2,"0000"))</f>
        <v/>
      </c>
      <c r="C1411" s="8" t="n"/>
      <c r="F1411" s="8" t="n"/>
      <c r="G1411" s="8">
        <f>IF(F1411&lt;&gt;"",HYPERLINK("https://www.google.com/maps/search/?api=1&amp;query="&amp;SUBSTITUTE(F1411," ",""),"🗺 Google Maps"),"")</f>
        <v/>
      </c>
      <c r="H1411" s="8">
        <f>IF(F1411&lt;&gt;"",HYPERLINK("https://waze.com/ul?ll="&amp;SUBSTITUTE(F1411," ","")&amp;"&amp;navigate=yes","🚗 Waze"),"")</f>
        <v/>
      </c>
      <c r="I1411" s="8">
        <f>IF(F1411&lt;&gt;"",HYPERLINK("https://m.uber.com/ul/?action=setPickup&amp;pickup=my_location&amp;dropoff[latitude]="&amp;LEFT(SUBSTITUTE(F1411," ",""),FIND(",",SUBSTITUTE(F1411," ",""))-1)&amp;"&amp;dropoff[longitude]="&amp;MID(SUBSTITUTE(F1411," ",""),FIND(",",SUBSTITUTE(F1411," ",""))+1,99),"🚕 Uber"),"")</f>
        <v/>
      </c>
      <c r="J1411" s="8">
        <f>IF(F1411&lt;&gt;"","https://api.qrserver.com/v1/create-qr-code/?size=200x200&amp;data="&amp;ENCODEURL("https://www.google.com/maps/search/?api=1&amp;query="&amp;SUBSTITUTE(F1411," ","")),"")</f>
        <v/>
      </c>
      <c r="K1411" s="8">
        <f>IF(C1411&lt;&gt;"",HYPERLINK("https://wa.me/507"&amp;REGEXREPLACE(C1411,"[^0-9]","")&amp;"?text="&amp;ENCODEURL("Ya llegue. Codigo: "&amp;A1411&amp;". Ubicacion: "&amp;"https://www.google.com/maps/search/?api=1&amp;query="&amp;SUBSTITUTE(F1411," ","")),"📲 Avisar al cliente"),"")</f>
        <v/>
      </c>
      <c r="L1411" s="8">
        <f>IF(C1411&lt;&gt;"","https://api.qrserver.com/v1/create-qr-code/?size=200x200&amp;data="&amp;ENCODEURL("https://wa.me/507"&amp;REGEXREPLACE(C1411,"[^0-9]","")&amp;"?text="&amp;ENCODEURL("Ya llegue. Codigo: "&amp;A1411&amp;". Ubicacion: "&amp;"https://www.google.com/maps/search/?api=1&amp;query="&amp;SUBSTITUTE(F1411," ",""))),"")</f>
        <v/>
      </c>
      <c r="M1411" s="8">
        <f>IF(B1411&lt;&gt;"",TODAY(),"")</f>
        <v/>
      </c>
      <c r="N1411" s="8">
        <f>IF(F1411&lt;&gt;"",IFERROR(IF(AND(REGEXMATCH(SUBSTITUTE(TRIM(F1411)," ",""),"^-?\d+(\.\d+)?,-?\d+(\.\d+)?$"),VALUE(REGEXEXTRACT(SUBSTITUTE(TRIM(F1411)," ",""),"^-?\d+(\.\d+)?"))&gt;=-90,VALUE(REGEXEXTRACT(SUBSTITUTE(TRIM(F1411)," ",""),"^-?\d+(\.\d+)?"))&lt;=90,VALUE(REGEXEXTRACT(SUBSTITUTE(TRIM(F1411)," ",""),"-?\d+(\.\d+)?$"))&gt;=-180,VALUE(REGEXEXTRACT(SUBSTITUTE(TRIM(F1411)," ",""),"-?\d+(\.\d+)?$"))&lt;=180),"OK","REVISAR"),"REVISAR"),"")</f>
        <v/>
      </c>
      <c r="O1411">
        <f>IF(A1411&lt;&gt;"","https://direcciones507.github.io/direcciones507/panel.html?codigo="&amp;A1411&amp;"&amp;nombre="&amp;ENCODEURL(B1411)&amp;"&amp;telefono="&amp;SUBSTITUTE(C1411,"-","")&amp;"&amp;referencia="&amp;ENCODEURL(E1411)&amp;"&amp;lat="&amp;IZQUIERDA(SUBSTITUTE(F1411," ",""),ENCONTRAR(",",SUBSTITUTE(F1411," ",""))-1)&amp;"&amp;lng="&amp;DERECHA(SUBSTITUTE(F1411," ",""),LARGO(SUBSTITUTE(F1411," ",""))-ENCONTRAR(",",SUBSTITUTE(F1411," ",""))),"")</f>
        <v/>
      </c>
    </row>
    <row r="1412" ht="15.75" customHeight="1" s="10">
      <c r="A1412" s="8">
        <f>CONCAT("AD507-",TEXT(ROW()-2,"0000"))</f>
        <v/>
      </c>
      <c r="C1412" s="8" t="n"/>
      <c r="F1412" s="8" t="n"/>
      <c r="G1412" s="8">
        <f>IF(F1412&lt;&gt;"",HYPERLINK("https://www.google.com/maps/search/?api=1&amp;query="&amp;SUBSTITUTE(F1412," ",""),"🗺 Google Maps"),"")</f>
        <v/>
      </c>
      <c r="H1412" s="8">
        <f>IF(F1412&lt;&gt;"",HYPERLINK("https://waze.com/ul?ll="&amp;SUBSTITUTE(F1412," ","")&amp;"&amp;navigate=yes","🚗 Waze"),"")</f>
        <v/>
      </c>
      <c r="I1412" s="8">
        <f>IF(F1412&lt;&gt;"",HYPERLINK("https://m.uber.com/ul/?action=setPickup&amp;pickup=my_location&amp;dropoff[latitude]="&amp;LEFT(SUBSTITUTE(F1412," ",""),FIND(",",SUBSTITUTE(F1412," ",""))-1)&amp;"&amp;dropoff[longitude]="&amp;MID(SUBSTITUTE(F1412," ",""),FIND(",",SUBSTITUTE(F1412," ",""))+1,99),"🚕 Uber"),"")</f>
        <v/>
      </c>
      <c r="J1412" s="8">
        <f>IF(F1412&lt;&gt;"","https://api.qrserver.com/v1/create-qr-code/?size=200x200&amp;data="&amp;ENCODEURL("https://www.google.com/maps/search/?api=1&amp;query="&amp;SUBSTITUTE(F1412," ","")),"")</f>
        <v/>
      </c>
      <c r="K1412" s="8">
        <f>IF(C1412&lt;&gt;"",HYPERLINK("https://wa.me/507"&amp;REGEXREPLACE(C1412,"[^0-9]","")&amp;"?text="&amp;ENCODEURL("Ya llegue. Codigo: "&amp;A1412&amp;". Ubicacion: "&amp;"https://www.google.com/maps/search/?api=1&amp;query="&amp;SUBSTITUTE(F1412," ","")),"📲 Avisar al cliente"),"")</f>
        <v/>
      </c>
      <c r="L1412" s="8">
        <f>IF(C1412&lt;&gt;"","https://api.qrserver.com/v1/create-qr-code/?size=200x200&amp;data="&amp;ENCODEURL("https://wa.me/507"&amp;REGEXREPLACE(C1412,"[^0-9]","")&amp;"?text="&amp;ENCODEURL("Ya llegue. Codigo: "&amp;A1412&amp;". Ubicacion: "&amp;"https://www.google.com/maps/search/?api=1&amp;query="&amp;SUBSTITUTE(F1412," ",""))),"")</f>
        <v/>
      </c>
      <c r="M1412" s="8">
        <f>IF(B1412&lt;&gt;"",TODAY(),"")</f>
        <v/>
      </c>
      <c r="N1412" s="8">
        <f>IF(F1412&lt;&gt;"",IFERROR(IF(AND(REGEXMATCH(SUBSTITUTE(TRIM(F1412)," ",""),"^-?\d+(\.\d+)?,-?\d+(\.\d+)?$"),VALUE(REGEXEXTRACT(SUBSTITUTE(TRIM(F1412)," ",""),"^-?\d+(\.\d+)?"))&gt;=-90,VALUE(REGEXEXTRACT(SUBSTITUTE(TRIM(F1412)," ",""),"^-?\d+(\.\d+)?"))&lt;=90,VALUE(REGEXEXTRACT(SUBSTITUTE(TRIM(F1412)," ",""),"-?\d+(\.\d+)?$"))&gt;=-180,VALUE(REGEXEXTRACT(SUBSTITUTE(TRIM(F1412)," ",""),"-?\d+(\.\d+)?$"))&lt;=180),"OK","REVISAR"),"REVISAR"),"")</f>
        <v/>
      </c>
      <c r="O1412">
        <f>IF(A1412&lt;&gt;"","https://direcciones507.github.io/direcciones507/panel.html?codigo="&amp;A1412&amp;"&amp;nombre="&amp;ENCODEURL(B1412)&amp;"&amp;telefono="&amp;SUBSTITUTE(C1412,"-","")&amp;"&amp;referencia="&amp;ENCODEURL(E1412)&amp;"&amp;lat="&amp;IZQUIERDA(SUBSTITUTE(F1412," ",""),ENCONTRAR(",",SUBSTITUTE(F1412," ",""))-1)&amp;"&amp;lng="&amp;DERECHA(SUBSTITUTE(F1412," ",""),LARGO(SUBSTITUTE(F1412," ",""))-ENCONTRAR(",",SUBSTITUTE(F1412," ",""))),"")</f>
        <v/>
      </c>
    </row>
    <row r="1413" ht="15.75" customHeight="1" s="10">
      <c r="A1413" s="8">
        <f>CONCAT("AD507-",TEXT(ROW()-2,"0000"))</f>
        <v/>
      </c>
      <c r="C1413" s="8" t="n"/>
      <c r="F1413" s="8" t="n"/>
      <c r="G1413" s="8">
        <f>IF(F1413&lt;&gt;"",HYPERLINK("https://www.google.com/maps/search/?api=1&amp;query="&amp;SUBSTITUTE(F1413," ",""),"🗺 Google Maps"),"")</f>
        <v/>
      </c>
      <c r="H1413" s="8">
        <f>IF(F1413&lt;&gt;"",HYPERLINK("https://waze.com/ul?ll="&amp;SUBSTITUTE(F1413," ","")&amp;"&amp;navigate=yes","🚗 Waze"),"")</f>
        <v/>
      </c>
      <c r="I1413" s="8">
        <f>IF(F1413&lt;&gt;"",HYPERLINK("https://m.uber.com/ul/?action=setPickup&amp;pickup=my_location&amp;dropoff[latitude]="&amp;LEFT(SUBSTITUTE(F1413," ",""),FIND(",",SUBSTITUTE(F1413," ",""))-1)&amp;"&amp;dropoff[longitude]="&amp;MID(SUBSTITUTE(F1413," ",""),FIND(",",SUBSTITUTE(F1413," ",""))+1,99),"🚕 Uber"),"")</f>
        <v/>
      </c>
      <c r="J1413" s="8">
        <f>IF(F1413&lt;&gt;"","https://api.qrserver.com/v1/create-qr-code/?size=200x200&amp;data="&amp;ENCODEURL("https://www.google.com/maps/search/?api=1&amp;query="&amp;SUBSTITUTE(F1413," ","")),"")</f>
        <v/>
      </c>
      <c r="K1413" s="8">
        <f>IF(C1413&lt;&gt;"",HYPERLINK("https://wa.me/507"&amp;REGEXREPLACE(C1413,"[^0-9]","")&amp;"?text="&amp;ENCODEURL("Ya llegue. Codigo: "&amp;A1413&amp;". Ubicacion: "&amp;"https://www.google.com/maps/search/?api=1&amp;query="&amp;SUBSTITUTE(F1413," ","")),"📲 Avisar al cliente"),"")</f>
        <v/>
      </c>
      <c r="L1413" s="8">
        <f>IF(C1413&lt;&gt;"","https://api.qrserver.com/v1/create-qr-code/?size=200x200&amp;data="&amp;ENCODEURL("https://wa.me/507"&amp;REGEXREPLACE(C1413,"[^0-9]","")&amp;"?text="&amp;ENCODEURL("Ya llegue. Codigo: "&amp;A1413&amp;". Ubicacion: "&amp;"https://www.google.com/maps/search/?api=1&amp;query="&amp;SUBSTITUTE(F1413," ",""))),"")</f>
        <v/>
      </c>
      <c r="M1413" s="8">
        <f>IF(B1413&lt;&gt;"",TODAY(),"")</f>
        <v/>
      </c>
      <c r="N1413" s="8">
        <f>IF(F1413&lt;&gt;"",IFERROR(IF(AND(REGEXMATCH(SUBSTITUTE(TRIM(F1413)," ",""),"^-?\d+(\.\d+)?,-?\d+(\.\d+)?$"),VALUE(REGEXEXTRACT(SUBSTITUTE(TRIM(F1413)," ",""),"^-?\d+(\.\d+)?"))&gt;=-90,VALUE(REGEXEXTRACT(SUBSTITUTE(TRIM(F1413)," ",""),"^-?\d+(\.\d+)?"))&lt;=90,VALUE(REGEXEXTRACT(SUBSTITUTE(TRIM(F1413)," ",""),"-?\d+(\.\d+)?$"))&gt;=-180,VALUE(REGEXEXTRACT(SUBSTITUTE(TRIM(F1413)," ",""),"-?\d+(\.\d+)?$"))&lt;=180),"OK","REVISAR"),"REVISAR"),"")</f>
        <v/>
      </c>
      <c r="O1413">
        <f>IF(A1413&lt;&gt;"","https://direcciones507.github.io/direcciones507/panel.html?codigo="&amp;A1413&amp;"&amp;nombre="&amp;ENCODEURL(B1413)&amp;"&amp;telefono="&amp;SUBSTITUTE(C1413,"-","")&amp;"&amp;referencia="&amp;ENCODEURL(E1413)&amp;"&amp;lat="&amp;IZQUIERDA(SUBSTITUTE(F1413," ",""),ENCONTRAR(",",SUBSTITUTE(F1413," ",""))-1)&amp;"&amp;lng="&amp;DERECHA(SUBSTITUTE(F1413," ",""),LARGO(SUBSTITUTE(F1413," ",""))-ENCONTRAR(",",SUBSTITUTE(F1413," ",""))),"")</f>
        <v/>
      </c>
    </row>
    <row r="1414" ht="15.75" customHeight="1" s="10">
      <c r="A1414" s="8">
        <f>CONCAT("AD507-",TEXT(ROW()-2,"0000"))</f>
        <v/>
      </c>
      <c r="C1414" s="8" t="n"/>
      <c r="F1414" s="8" t="n"/>
      <c r="G1414" s="8">
        <f>IF(F1414&lt;&gt;"",HYPERLINK("https://www.google.com/maps/search/?api=1&amp;query="&amp;SUBSTITUTE(F1414," ",""),"🗺 Google Maps"),"")</f>
        <v/>
      </c>
      <c r="H1414" s="8">
        <f>IF(F1414&lt;&gt;"",HYPERLINK("https://waze.com/ul?ll="&amp;SUBSTITUTE(F1414," ","")&amp;"&amp;navigate=yes","🚗 Waze"),"")</f>
        <v/>
      </c>
      <c r="I1414" s="8">
        <f>IF(F1414&lt;&gt;"",HYPERLINK("https://m.uber.com/ul/?action=setPickup&amp;pickup=my_location&amp;dropoff[latitude]="&amp;LEFT(SUBSTITUTE(F1414," ",""),FIND(",",SUBSTITUTE(F1414," ",""))-1)&amp;"&amp;dropoff[longitude]="&amp;MID(SUBSTITUTE(F1414," ",""),FIND(",",SUBSTITUTE(F1414," ",""))+1,99),"🚕 Uber"),"")</f>
        <v/>
      </c>
      <c r="J1414" s="8">
        <f>IF(F1414&lt;&gt;"","https://api.qrserver.com/v1/create-qr-code/?size=200x200&amp;data="&amp;ENCODEURL("https://www.google.com/maps/search/?api=1&amp;query="&amp;SUBSTITUTE(F1414," ","")),"")</f>
        <v/>
      </c>
      <c r="K1414" s="8">
        <f>IF(C1414&lt;&gt;"",HYPERLINK("https://wa.me/507"&amp;REGEXREPLACE(C1414,"[^0-9]","")&amp;"?text="&amp;ENCODEURL("Ya llegue. Codigo: "&amp;A1414&amp;". Ubicacion: "&amp;"https://www.google.com/maps/search/?api=1&amp;query="&amp;SUBSTITUTE(F1414," ","")),"📲 Avisar al cliente"),"")</f>
        <v/>
      </c>
      <c r="L1414" s="8">
        <f>IF(C1414&lt;&gt;"","https://api.qrserver.com/v1/create-qr-code/?size=200x200&amp;data="&amp;ENCODEURL("https://wa.me/507"&amp;REGEXREPLACE(C1414,"[^0-9]","")&amp;"?text="&amp;ENCODEURL("Ya llegue. Codigo: "&amp;A1414&amp;". Ubicacion: "&amp;"https://www.google.com/maps/search/?api=1&amp;query="&amp;SUBSTITUTE(F1414," ",""))),"")</f>
        <v/>
      </c>
      <c r="M1414" s="8">
        <f>IF(B1414&lt;&gt;"",TODAY(),"")</f>
        <v/>
      </c>
      <c r="N1414" s="8">
        <f>IF(F1414&lt;&gt;"",IFERROR(IF(AND(REGEXMATCH(SUBSTITUTE(TRIM(F1414)," ",""),"^-?\d+(\.\d+)?,-?\d+(\.\d+)?$"),VALUE(REGEXEXTRACT(SUBSTITUTE(TRIM(F1414)," ",""),"^-?\d+(\.\d+)?"))&gt;=-90,VALUE(REGEXEXTRACT(SUBSTITUTE(TRIM(F1414)," ",""),"^-?\d+(\.\d+)?"))&lt;=90,VALUE(REGEXEXTRACT(SUBSTITUTE(TRIM(F1414)," ",""),"-?\d+(\.\d+)?$"))&gt;=-180,VALUE(REGEXEXTRACT(SUBSTITUTE(TRIM(F1414)," ",""),"-?\d+(\.\d+)?$"))&lt;=180),"OK","REVISAR"),"REVISAR"),"")</f>
        <v/>
      </c>
      <c r="O1414">
        <f>IF(A1414&lt;&gt;"","https://direcciones507.github.io/direcciones507/panel.html?codigo="&amp;A1414&amp;"&amp;nombre="&amp;ENCODEURL(B1414)&amp;"&amp;telefono="&amp;SUBSTITUTE(C1414,"-","")&amp;"&amp;referencia="&amp;ENCODEURL(E1414)&amp;"&amp;lat="&amp;IZQUIERDA(SUBSTITUTE(F1414," ",""),ENCONTRAR(",",SUBSTITUTE(F1414," ",""))-1)&amp;"&amp;lng="&amp;DERECHA(SUBSTITUTE(F1414," ",""),LARGO(SUBSTITUTE(F1414," ",""))-ENCONTRAR(",",SUBSTITUTE(F1414," ",""))),"")</f>
        <v/>
      </c>
    </row>
    <row r="1415" ht="15.75" customHeight="1" s="10">
      <c r="A1415" s="8">
        <f>CONCAT("AD507-",TEXT(ROW()-2,"0000"))</f>
        <v/>
      </c>
      <c r="C1415" s="8" t="n"/>
      <c r="F1415" s="8" t="n"/>
      <c r="G1415" s="8">
        <f>IF(F1415&lt;&gt;"",HYPERLINK("https://www.google.com/maps/search/?api=1&amp;query="&amp;SUBSTITUTE(F1415," ",""),"🗺 Google Maps"),"")</f>
        <v/>
      </c>
      <c r="H1415" s="8">
        <f>IF(F1415&lt;&gt;"",HYPERLINK("https://waze.com/ul?ll="&amp;SUBSTITUTE(F1415," ","")&amp;"&amp;navigate=yes","🚗 Waze"),"")</f>
        <v/>
      </c>
      <c r="I1415" s="8">
        <f>IF(F1415&lt;&gt;"",HYPERLINK("https://m.uber.com/ul/?action=setPickup&amp;pickup=my_location&amp;dropoff[latitude]="&amp;LEFT(SUBSTITUTE(F1415," ",""),FIND(",",SUBSTITUTE(F1415," ",""))-1)&amp;"&amp;dropoff[longitude]="&amp;MID(SUBSTITUTE(F1415," ",""),FIND(",",SUBSTITUTE(F1415," ",""))+1,99),"🚕 Uber"),"")</f>
        <v/>
      </c>
      <c r="J1415" s="8">
        <f>IF(F1415&lt;&gt;"","https://api.qrserver.com/v1/create-qr-code/?size=200x200&amp;data="&amp;ENCODEURL("https://www.google.com/maps/search/?api=1&amp;query="&amp;SUBSTITUTE(F1415," ","")),"")</f>
        <v/>
      </c>
      <c r="K1415" s="8">
        <f>IF(C1415&lt;&gt;"",HYPERLINK("https://wa.me/507"&amp;REGEXREPLACE(C1415,"[^0-9]","")&amp;"?text="&amp;ENCODEURL("Ya llegue. Codigo: "&amp;A1415&amp;". Ubicacion: "&amp;"https://www.google.com/maps/search/?api=1&amp;query="&amp;SUBSTITUTE(F1415," ","")),"📲 Avisar al cliente"),"")</f>
        <v/>
      </c>
      <c r="L1415" s="8">
        <f>IF(C1415&lt;&gt;"","https://api.qrserver.com/v1/create-qr-code/?size=200x200&amp;data="&amp;ENCODEURL("https://wa.me/507"&amp;REGEXREPLACE(C1415,"[^0-9]","")&amp;"?text="&amp;ENCODEURL("Ya llegue. Codigo: "&amp;A1415&amp;". Ubicacion: "&amp;"https://www.google.com/maps/search/?api=1&amp;query="&amp;SUBSTITUTE(F1415," ",""))),"")</f>
        <v/>
      </c>
      <c r="M1415" s="8">
        <f>IF(B1415&lt;&gt;"",TODAY(),"")</f>
        <v/>
      </c>
      <c r="N1415" s="8">
        <f>IF(F1415&lt;&gt;"",IFERROR(IF(AND(REGEXMATCH(SUBSTITUTE(TRIM(F1415)," ",""),"^-?\d+(\.\d+)?,-?\d+(\.\d+)?$"),VALUE(REGEXEXTRACT(SUBSTITUTE(TRIM(F1415)," ",""),"^-?\d+(\.\d+)?"))&gt;=-90,VALUE(REGEXEXTRACT(SUBSTITUTE(TRIM(F1415)," ",""),"^-?\d+(\.\d+)?"))&lt;=90,VALUE(REGEXEXTRACT(SUBSTITUTE(TRIM(F1415)," ",""),"-?\d+(\.\d+)?$"))&gt;=-180,VALUE(REGEXEXTRACT(SUBSTITUTE(TRIM(F1415)," ",""),"-?\d+(\.\d+)?$"))&lt;=180),"OK","REVISAR"),"REVISAR"),"")</f>
        <v/>
      </c>
      <c r="O1415">
        <f>IF(A1415&lt;&gt;"","https://direcciones507.github.io/direcciones507/panel.html?codigo="&amp;A1415&amp;"&amp;nombre="&amp;ENCODEURL(B1415)&amp;"&amp;telefono="&amp;SUBSTITUTE(C1415,"-","")&amp;"&amp;referencia="&amp;ENCODEURL(E1415)&amp;"&amp;lat="&amp;IZQUIERDA(SUBSTITUTE(F1415," ",""),ENCONTRAR(",",SUBSTITUTE(F1415," ",""))-1)&amp;"&amp;lng="&amp;DERECHA(SUBSTITUTE(F1415," ",""),LARGO(SUBSTITUTE(F1415," ",""))-ENCONTRAR(",",SUBSTITUTE(F1415," ",""))),"")</f>
        <v/>
      </c>
    </row>
    <row r="1416" ht="15.75" customHeight="1" s="10">
      <c r="A1416" s="8">
        <f>CONCAT("AD507-",TEXT(ROW()-2,"0000"))</f>
        <v/>
      </c>
      <c r="C1416" s="8" t="n"/>
      <c r="F1416" s="8" t="n"/>
      <c r="G1416" s="8">
        <f>IF(F1416&lt;&gt;"",HYPERLINK("https://www.google.com/maps/search/?api=1&amp;query="&amp;SUBSTITUTE(F1416," ",""),"🗺 Google Maps"),"")</f>
        <v/>
      </c>
      <c r="H1416" s="8">
        <f>IF(F1416&lt;&gt;"",HYPERLINK("https://waze.com/ul?ll="&amp;SUBSTITUTE(F1416," ","")&amp;"&amp;navigate=yes","🚗 Waze"),"")</f>
        <v/>
      </c>
      <c r="I1416" s="8">
        <f>IF(F1416&lt;&gt;"",HYPERLINK("https://m.uber.com/ul/?action=setPickup&amp;pickup=my_location&amp;dropoff[latitude]="&amp;LEFT(SUBSTITUTE(F1416," ",""),FIND(",",SUBSTITUTE(F1416," ",""))-1)&amp;"&amp;dropoff[longitude]="&amp;MID(SUBSTITUTE(F1416," ",""),FIND(",",SUBSTITUTE(F1416," ",""))+1,99),"🚕 Uber"),"")</f>
        <v/>
      </c>
      <c r="J1416" s="8">
        <f>IF(F1416&lt;&gt;"","https://api.qrserver.com/v1/create-qr-code/?size=200x200&amp;data="&amp;ENCODEURL("https://www.google.com/maps/search/?api=1&amp;query="&amp;SUBSTITUTE(F1416," ","")),"")</f>
        <v/>
      </c>
      <c r="K1416" s="8">
        <f>IF(C1416&lt;&gt;"",HYPERLINK("https://wa.me/507"&amp;REGEXREPLACE(C1416,"[^0-9]","")&amp;"?text="&amp;ENCODEURL("Ya llegue. Codigo: "&amp;A1416&amp;". Ubicacion: "&amp;"https://www.google.com/maps/search/?api=1&amp;query="&amp;SUBSTITUTE(F1416," ","")),"📲 Avisar al cliente"),"")</f>
        <v/>
      </c>
      <c r="L1416" s="8">
        <f>IF(C1416&lt;&gt;"","https://api.qrserver.com/v1/create-qr-code/?size=200x200&amp;data="&amp;ENCODEURL("https://wa.me/507"&amp;REGEXREPLACE(C1416,"[^0-9]","")&amp;"?text="&amp;ENCODEURL("Ya llegue. Codigo: "&amp;A1416&amp;". Ubicacion: "&amp;"https://www.google.com/maps/search/?api=1&amp;query="&amp;SUBSTITUTE(F1416," ",""))),"")</f>
        <v/>
      </c>
      <c r="M1416" s="8">
        <f>IF(B1416&lt;&gt;"",TODAY(),"")</f>
        <v/>
      </c>
      <c r="N1416" s="8">
        <f>IF(F1416&lt;&gt;"",IFERROR(IF(AND(REGEXMATCH(SUBSTITUTE(TRIM(F1416)," ",""),"^-?\d+(\.\d+)?,-?\d+(\.\d+)?$"),VALUE(REGEXEXTRACT(SUBSTITUTE(TRIM(F1416)," ",""),"^-?\d+(\.\d+)?"))&gt;=-90,VALUE(REGEXEXTRACT(SUBSTITUTE(TRIM(F1416)," ",""),"^-?\d+(\.\d+)?"))&lt;=90,VALUE(REGEXEXTRACT(SUBSTITUTE(TRIM(F1416)," ",""),"-?\d+(\.\d+)?$"))&gt;=-180,VALUE(REGEXEXTRACT(SUBSTITUTE(TRIM(F1416)," ",""),"-?\d+(\.\d+)?$"))&lt;=180),"OK","REVISAR"),"REVISAR"),"")</f>
        <v/>
      </c>
      <c r="O1416">
        <f>IF(A1416&lt;&gt;"","https://direcciones507.github.io/direcciones507/panel.html?codigo="&amp;A1416&amp;"&amp;nombre="&amp;ENCODEURL(B1416)&amp;"&amp;telefono="&amp;SUBSTITUTE(C1416,"-","")&amp;"&amp;referencia="&amp;ENCODEURL(E1416)&amp;"&amp;lat="&amp;IZQUIERDA(SUBSTITUTE(F1416," ",""),ENCONTRAR(",",SUBSTITUTE(F1416," ",""))-1)&amp;"&amp;lng="&amp;DERECHA(SUBSTITUTE(F1416," ",""),LARGO(SUBSTITUTE(F1416," ",""))-ENCONTRAR(",",SUBSTITUTE(F1416," ",""))),"")</f>
        <v/>
      </c>
    </row>
    <row r="1417" ht="15.75" customHeight="1" s="10">
      <c r="A1417" s="8">
        <f>CONCAT("AD507-",TEXT(ROW()-2,"0000"))</f>
        <v/>
      </c>
      <c r="C1417" s="8" t="n"/>
      <c r="F1417" s="8" t="n"/>
      <c r="G1417" s="8">
        <f>IF(F1417&lt;&gt;"",HYPERLINK("https://www.google.com/maps/search/?api=1&amp;query="&amp;SUBSTITUTE(F1417," ",""),"🗺 Google Maps"),"")</f>
        <v/>
      </c>
      <c r="H1417" s="8">
        <f>IF(F1417&lt;&gt;"",HYPERLINK("https://waze.com/ul?ll="&amp;SUBSTITUTE(F1417," ","")&amp;"&amp;navigate=yes","🚗 Waze"),"")</f>
        <v/>
      </c>
      <c r="I1417" s="8">
        <f>IF(F1417&lt;&gt;"",HYPERLINK("https://m.uber.com/ul/?action=setPickup&amp;pickup=my_location&amp;dropoff[latitude]="&amp;LEFT(SUBSTITUTE(F1417," ",""),FIND(",",SUBSTITUTE(F1417," ",""))-1)&amp;"&amp;dropoff[longitude]="&amp;MID(SUBSTITUTE(F1417," ",""),FIND(",",SUBSTITUTE(F1417," ",""))+1,99),"🚕 Uber"),"")</f>
        <v/>
      </c>
      <c r="J1417" s="8">
        <f>IF(F1417&lt;&gt;"","https://api.qrserver.com/v1/create-qr-code/?size=200x200&amp;data="&amp;ENCODEURL("https://www.google.com/maps/search/?api=1&amp;query="&amp;SUBSTITUTE(F1417," ","")),"")</f>
        <v/>
      </c>
      <c r="K1417" s="8">
        <f>IF(C1417&lt;&gt;"",HYPERLINK("https://wa.me/507"&amp;REGEXREPLACE(C1417,"[^0-9]","")&amp;"?text="&amp;ENCODEURL("Ya llegue. Codigo: "&amp;A1417&amp;". Ubicacion: "&amp;"https://www.google.com/maps/search/?api=1&amp;query="&amp;SUBSTITUTE(F1417," ","")),"📲 Avisar al cliente"),"")</f>
        <v/>
      </c>
      <c r="L1417" s="8">
        <f>IF(C1417&lt;&gt;"","https://api.qrserver.com/v1/create-qr-code/?size=200x200&amp;data="&amp;ENCODEURL("https://wa.me/507"&amp;REGEXREPLACE(C1417,"[^0-9]","")&amp;"?text="&amp;ENCODEURL("Ya llegue. Codigo: "&amp;A1417&amp;". Ubicacion: "&amp;"https://www.google.com/maps/search/?api=1&amp;query="&amp;SUBSTITUTE(F1417," ",""))),"")</f>
        <v/>
      </c>
      <c r="M1417" s="8">
        <f>IF(B1417&lt;&gt;"",TODAY(),"")</f>
        <v/>
      </c>
      <c r="N1417" s="8">
        <f>IF(F1417&lt;&gt;"",IFERROR(IF(AND(REGEXMATCH(SUBSTITUTE(TRIM(F1417)," ",""),"^-?\d+(\.\d+)?,-?\d+(\.\d+)?$"),VALUE(REGEXEXTRACT(SUBSTITUTE(TRIM(F1417)," ",""),"^-?\d+(\.\d+)?"))&gt;=-90,VALUE(REGEXEXTRACT(SUBSTITUTE(TRIM(F1417)," ",""),"^-?\d+(\.\d+)?"))&lt;=90,VALUE(REGEXEXTRACT(SUBSTITUTE(TRIM(F1417)," ",""),"-?\d+(\.\d+)?$"))&gt;=-180,VALUE(REGEXEXTRACT(SUBSTITUTE(TRIM(F1417)," ",""),"-?\d+(\.\d+)?$"))&lt;=180),"OK","REVISAR"),"REVISAR"),"")</f>
        <v/>
      </c>
      <c r="O1417">
        <f>IF(A1417&lt;&gt;"","https://direcciones507.github.io/direcciones507/panel.html?codigo="&amp;A1417&amp;"&amp;nombre="&amp;ENCODEURL(B1417)&amp;"&amp;telefono="&amp;SUBSTITUTE(C1417,"-","")&amp;"&amp;referencia="&amp;ENCODEURL(E1417)&amp;"&amp;lat="&amp;IZQUIERDA(SUBSTITUTE(F1417," ",""),ENCONTRAR(",",SUBSTITUTE(F1417," ",""))-1)&amp;"&amp;lng="&amp;DERECHA(SUBSTITUTE(F1417," ",""),LARGO(SUBSTITUTE(F1417," ",""))-ENCONTRAR(",",SUBSTITUTE(F1417," ",""))),"")</f>
        <v/>
      </c>
    </row>
    <row r="1418" ht="15.75" customHeight="1" s="10">
      <c r="A1418" s="8">
        <f>CONCAT("AD507-",TEXT(ROW()-2,"0000"))</f>
        <v/>
      </c>
      <c r="C1418" s="8" t="n"/>
      <c r="F1418" s="8" t="n"/>
      <c r="G1418" s="8">
        <f>IF(F1418&lt;&gt;"",HYPERLINK("https://www.google.com/maps/search/?api=1&amp;query="&amp;SUBSTITUTE(F1418," ",""),"🗺 Google Maps"),"")</f>
        <v/>
      </c>
      <c r="H1418" s="8">
        <f>IF(F1418&lt;&gt;"",HYPERLINK("https://waze.com/ul?ll="&amp;SUBSTITUTE(F1418," ","")&amp;"&amp;navigate=yes","🚗 Waze"),"")</f>
        <v/>
      </c>
      <c r="I1418" s="8">
        <f>IF(F1418&lt;&gt;"",HYPERLINK("https://m.uber.com/ul/?action=setPickup&amp;pickup=my_location&amp;dropoff[latitude]="&amp;LEFT(SUBSTITUTE(F1418," ",""),FIND(",",SUBSTITUTE(F1418," ",""))-1)&amp;"&amp;dropoff[longitude]="&amp;MID(SUBSTITUTE(F1418," ",""),FIND(",",SUBSTITUTE(F1418," ",""))+1,99),"🚕 Uber"),"")</f>
        <v/>
      </c>
      <c r="J1418" s="8">
        <f>IF(F1418&lt;&gt;"","https://api.qrserver.com/v1/create-qr-code/?size=200x200&amp;data="&amp;ENCODEURL("https://www.google.com/maps/search/?api=1&amp;query="&amp;SUBSTITUTE(F1418," ","")),"")</f>
        <v/>
      </c>
      <c r="K1418" s="8">
        <f>IF(C1418&lt;&gt;"",HYPERLINK("https://wa.me/507"&amp;REGEXREPLACE(C1418,"[^0-9]","")&amp;"?text="&amp;ENCODEURL("Ya llegue. Codigo: "&amp;A1418&amp;". Ubicacion: "&amp;"https://www.google.com/maps/search/?api=1&amp;query="&amp;SUBSTITUTE(F1418," ","")),"📲 Avisar al cliente"),"")</f>
        <v/>
      </c>
      <c r="L1418" s="8">
        <f>IF(C1418&lt;&gt;"","https://api.qrserver.com/v1/create-qr-code/?size=200x200&amp;data="&amp;ENCODEURL("https://wa.me/507"&amp;REGEXREPLACE(C1418,"[^0-9]","")&amp;"?text="&amp;ENCODEURL("Ya llegue. Codigo: "&amp;A1418&amp;". Ubicacion: "&amp;"https://www.google.com/maps/search/?api=1&amp;query="&amp;SUBSTITUTE(F1418," ",""))),"")</f>
        <v/>
      </c>
      <c r="M1418" s="8">
        <f>IF(B1418&lt;&gt;"",TODAY(),"")</f>
        <v/>
      </c>
      <c r="N1418" s="8">
        <f>IF(F1418&lt;&gt;"",IFERROR(IF(AND(REGEXMATCH(SUBSTITUTE(TRIM(F1418)," ",""),"^-?\d+(\.\d+)?,-?\d+(\.\d+)?$"),VALUE(REGEXEXTRACT(SUBSTITUTE(TRIM(F1418)," ",""),"^-?\d+(\.\d+)?"))&gt;=-90,VALUE(REGEXEXTRACT(SUBSTITUTE(TRIM(F1418)," ",""),"^-?\d+(\.\d+)?"))&lt;=90,VALUE(REGEXEXTRACT(SUBSTITUTE(TRIM(F1418)," ",""),"-?\d+(\.\d+)?$"))&gt;=-180,VALUE(REGEXEXTRACT(SUBSTITUTE(TRIM(F1418)," ",""),"-?\d+(\.\d+)?$"))&lt;=180),"OK","REVISAR"),"REVISAR"),"")</f>
        <v/>
      </c>
      <c r="O1418">
        <f>IF(A1418&lt;&gt;"","https://direcciones507.github.io/direcciones507/panel.html?codigo="&amp;A1418&amp;"&amp;nombre="&amp;ENCODEURL(B1418)&amp;"&amp;telefono="&amp;SUBSTITUTE(C1418,"-","")&amp;"&amp;referencia="&amp;ENCODEURL(E1418)&amp;"&amp;lat="&amp;IZQUIERDA(SUBSTITUTE(F1418," ",""),ENCONTRAR(",",SUBSTITUTE(F1418," ",""))-1)&amp;"&amp;lng="&amp;DERECHA(SUBSTITUTE(F1418," ",""),LARGO(SUBSTITUTE(F1418," ",""))-ENCONTRAR(",",SUBSTITUTE(F1418," ",""))),"")</f>
        <v/>
      </c>
    </row>
    <row r="1419" ht="15.75" customHeight="1" s="10">
      <c r="A1419" s="8">
        <f>CONCAT("AD507-",TEXT(ROW()-2,"0000"))</f>
        <v/>
      </c>
      <c r="C1419" s="8" t="n"/>
      <c r="F1419" s="8" t="n"/>
      <c r="G1419" s="8">
        <f>IF(F1419&lt;&gt;"",HYPERLINK("https://www.google.com/maps/search/?api=1&amp;query="&amp;SUBSTITUTE(F1419," ",""),"🗺 Google Maps"),"")</f>
        <v/>
      </c>
      <c r="H1419" s="8">
        <f>IF(F1419&lt;&gt;"",HYPERLINK("https://waze.com/ul?ll="&amp;SUBSTITUTE(F1419," ","")&amp;"&amp;navigate=yes","🚗 Waze"),"")</f>
        <v/>
      </c>
      <c r="I1419" s="8">
        <f>IF(F1419&lt;&gt;"",HYPERLINK("https://m.uber.com/ul/?action=setPickup&amp;pickup=my_location&amp;dropoff[latitude]="&amp;LEFT(SUBSTITUTE(F1419," ",""),FIND(",",SUBSTITUTE(F1419," ",""))-1)&amp;"&amp;dropoff[longitude]="&amp;MID(SUBSTITUTE(F1419," ",""),FIND(",",SUBSTITUTE(F1419," ",""))+1,99),"🚕 Uber"),"")</f>
        <v/>
      </c>
      <c r="J1419" s="8">
        <f>IF(F1419&lt;&gt;"","https://api.qrserver.com/v1/create-qr-code/?size=200x200&amp;data="&amp;ENCODEURL("https://www.google.com/maps/search/?api=1&amp;query="&amp;SUBSTITUTE(F1419," ","")),"")</f>
        <v/>
      </c>
      <c r="K1419" s="8">
        <f>IF(C1419&lt;&gt;"",HYPERLINK("https://wa.me/507"&amp;REGEXREPLACE(C1419,"[^0-9]","")&amp;"?text="&amp;ENCODEURL("Ya llegue. Codigo: "&amp;A1419&amp;". Ubicacion: "&amp;"https://www.google.com/maps/search/?api=1&amp;query="&amp;SUBSTITUTE(F1419," ","")),"📲 Avisar al cliente"),"")</f>
        <v/>
      </c>
      <c r="L1419" s="8">
        <f>IF(C1419&lt;&gt;"","https://api.qrserver.com/v1/create-qr-code/?size=200x200&amp;data="&amp;ENCODEURL("https://wa.me/507"&amp;REGEXREPLACE(C1419,"[^0-9]","")&amp;"?text="&amp;ENCODEURL("Ya llegue. Codigo: "&amp;A1419&amp;". Ubicacion: "&amp;"https://www.google.com/maps/search/?api=1&amp;query="&amp;SUBSTITUTE(F1419," ",""))),"")</f>
        <v/>
      </c>
      <c r="M1419" s="8">
        <f>IF(B1419&lt;&gt;"",TODAY(),"")</f>
        <v/>
      </c>
      <c r="N1419" s="8">
        <f>IF(F1419&lt;&gt;"",IFERROR(IF(AND(REGEXMATCH(SUBSTITUTE(TRIM(F1419)," ",""),"^-?\d+(\.\d+)?,-?\d+(\.\d+)?$"),VALUE(REGEXEXTRACT(SUBSTITUTE(TRIM(F1419)," ",""),"^-?\d+(\.\d+)?"))&gt;=-90,VALUE(REGEXEXTRACT(SUBSTITUTE(TRIM(F1419)," ",""),"^-?\d+(\.\d+)?"))&lt;=90,VALUE(REGEXEXTRACT(SUBSTITUTE(TRIM(F1419)," ",""),"-?\d+(\.\d+)?$"))&gt;=-180,VALUE(REGEXEXTRACT(SUBSTITUTE(TRIM(F1419)," ",""),"-?\d+(\.\d+)?$"))&lt;=180),"OK","REVISAR"),"REVISAR"),"")</f>
        <v/>
      </c>
      <c r="O1419">
        <f>IF(A1419&lt;&gt;"","https://direcciones507.github.io/direcciones507/panel.html?codigo="&amp;A1419&amp;"&amp;nombre="&amp;ENCODEURL(B1419)&amp;"&amp;telefono="&amp;SUBSTITUTE(C1419,"-","")&amp;"&amp;referencia="&amp;ENCODEURL(E1419)&amp;"&amp;lat="&amp;IZQUIERDA(SUBSTITUTE(F1419," ",""),ENCONTRAR(",",SUBSTITUTE(F1419," ",""))-1)&amp;"&amp;lng="&amp;DERECHA(SUBSTITUTE(F1419," ",""),LARGO(SUBSTITUTE(F1419," ",""))-ENCONTRAR(",",SUBSTITUTE(F1419," ",""))),"")</f>
        <v/>
      </c>
    </row>
    <row r="1420" ht="15.75" customHeight="1" s="10">
      <c r="A1420" s="8">
        <f>CONCAT("AD507-",TEXT(ROW()-2,"0000"))</f>
        <v/>
      </c>
      <c r="C1420" s="8" t="n"/>
      <c r="F1420" s="8" t="n"/>
      <c r="G1420" s="8">
        <f>IF(F1420&lt;&gt;"",HYPERLINK("https://www.google.com/maps/search/?api=1&amp;query="&amp;SUBSTITUTE(F1420," ",""),"🗺 Google Maps"),"")</f>
        <v/>
      </c>
      <c r="H1420" s="8">
        <f>IF(F1420&lt;&gt;"",HYPERLINK("https://waze.com/ul?ll="&amp;SUBSTITUTE(F1420," ","")&amp;"&amp;navigate=yes","🚗 Waze"),"")</f>
        <v/>
      </c>
      <c r="I1420" s="8">
        <f>IF(F1420&lt;&gt;"",HYPERLINK("https://m.uber.com/ul/?action=setPickup&amp;pickup=my_location&amp;dropoff[latitude]="&amp;LEFT(SUBSTITUTE(F1420," ",""),FIND(",",SUBSTITUTE(F1420," ",""))-1)&amp;"&amp;dropoff[longitude]="&amp;MID(SUBSTITUTE(F1420," ",""),FIND(",",SUBSTITUTE(F1420," ",""))+1,99),"🚕 Uber"),"")</f>
        <v/>
      </c>
      <c r="J1420" s="8">
        <f>IF(F1420&lt;&gt;"","https://api.qrserver.com/v1/create-qr-code/?size=200x200&amp;data="&amp;ENCODEURL("https://www.google.com/maps/search/?api=1&amp;query="&amp;SUBSTITUTE(F1420," ","")),"")</f>
        <v/>
      </c>
      <c r="K1420" s="8">
        <f>IF(C1420&lt;&gt;"",HYPERLINK("https://wa.me/507"&amp;REGEXREPLACE(C1420,"[^0-9]","")&amp;"?text="&amp;ENCODEURL("Ya llegue. Codigo: "&amp;A1420&amp;". Ubicacion: "&amp;"https://www.google.com/maps/search/?api=1&amp;query="&amp;SUBSTITUTE(F1420," ","")),"📲 Avisar al cliente"),"")</f>
        <v/>
      </c>
      <c r="L1420" s="8">
        <f>IF(C1420&lt;&gt;"","https://api.qrserver.com/v1/create-qr-code/?size=200x200&amp;data="&amp;ENCODEURL("https://wa.me/507"&amp;REGEXREPLACE(C1420,"[^0-9]","")&amp;"?text="&amp;ENCODEURL("Ya llegue. Codigo: "&amp;A1420&amp;". Ubicacion: "&amp;"https://www.google.com/maps/search/?api=1&amp;query="&amp;SUBSTITUTE(F1420," ",""))),"")</f>
        <v/>
      </c>
      <c r="M1420" s="8">
        <f>IF(B1420&lt;&gt;"",TODAY(),"")</f>
        <v/>
      </c>
      <c r="N1420" s="8">
        <f>IF(F1420&lt;&gt;"",IFERROR(IF(AND(REGEXMATCH(SUBSTITUTE(TRIM(F1420)," ",""),"^-?\d+(\.\d+)?,-?\d+(\.\d+)?$"),VALUE(REGEXEXTRACT(SUBSTITUTE(TRIM(F1420)," ",""),"^-?\d+(\.\d+)?"))&gt;=-90,VALUE(REGEXEXTRACT(SUBSTITUTE(TRIM(F1420)," ",""),"^-?\d+(\.\d+)?"))&lt;=90,VALUE(REGEXEXTRACT(SUBSTITUTE(TRIM(F1420)," ",""),"-?\d+(\.\d+)?$"))&gt;=-180,VALUE(REGEXEXTRACT(SUBSTITUTE(TRIM(F1420)," ",""),"-?\d+(\.\d+)?$"))&lt;=180),"OK","REVISAR"),"REVISAR"),"")</f>
        <v/>
      </c>
      <c r="O1420">
        <f>IF(A1420&lt;&gt;"","https://direcciones507.github.io/direcciones507/panel.html?codigo="&amp;A1420&amp;"&amp;nombre="&amp;ENCODEURL(B1420)&amp;"&amp;telefono="&amp;SUBSTITUTE(C1420,"-","")&amp;"&amp;referencia="&amp;ENCODEURL(E1420)&amp;"&amp;lat="&amp;IZQUIERDA(SUBSTITUTE(F1420," ",""),ENCONTRAR(",",SUBSTITUTE(F1420," ",""))-1)&amp;"&amp;lng="&amp;DERECHA(SUBSTITUTE(F1420," ",""),LARGO(SUBSTITUTE(F1420," ",""))-ENCONTRAR(",",SUBSTITUTE(F1420," ",""))),"")</f>
        <v/>
      </c>
    </row>
    <row r="1421" ht="15.75" customHeight="1" s="10">
      <c r="A1421" s="8">
        <f>CONCAT("AD507-",TEXT(ROW()-2,"0000"))</f>
        <v/>
      </c>
      <c r="C1421" s="8" t="n"/>
      <c r="F1421" s="8" t="n"/>
      <c r="G1421" s="8">
        <f>IF(F1421&lt;&gt;"",HYPERLINK("https://www.google.com/maps/search/?api=1&amp;query="&amp;SUBSTITUTE(F1421," ",""),"🗺 Google Maps"),"")</f>
        <v/>
      </c>
      <c r="H1421" s="8">
        <f>IF(F1421&lt;&gt;"",HYPERLINK("https://waze.com/ul?ll="&amp;SUBSTITUTE(F1421," ","")&amp;"&amp;navigate=yes","🚗 Waze"),"")</f>
        <v/>
      </c>
      <c r="I1421" s="8">
        <f>IF(F1421&lt;&gt;"",HYPERLINK("https://m.uber.com/ul/?action=setPickup&amp;pickup=my_location&amp;dropoff[latitude]="&amp;LEFT(SUBSTITUTE(F1421," ",""),FIND(",",SUBSTITUTE(F1421," ",""))-1)&amp;"&amp;dropoff[longitude]="&amp;MID(SUBSTITUTE(F1421," ",""),FIND(",",SUBSTITUTE(F1421," ",""))+1,99),"🚕 Uber"),"")</f>
        <v/>
      </c>
      <c r="J1421" s="8">
        <f>IF(F1421&lt;&gt;"","https://api.qrserver.com/v1/create-qr-code/?size=200x200&amp;data="&amp;ENCODEURL("https://www.google.com/maps/search/?api=1&amp;query="&amp;SUBSTITUTE(F1421," ","")),"")</f>
        <v/>
      </c>
      <c r="K1421" s="8">
        <f>IF(C1421&lt;&gt;"",HYPERLINK("https://wa.me/507"&amp;REGEXREPLACE(C1421,"[^0-9]","")&amp;"?text="&amp;ENCODEURL("Ya llegue. Codigo: "&amp;A1421&amp;". Ubicacion: "&amp;"https://www.google.com/maps/search/?api=1&amp;query="&amp;SUBSTITUTE(F1421," ","")),"📲 Avisar al cliente"),"")</f>
        <v/>
      </c>
      <c r="L1421" s="8">
        <f>IF(C1421&lt;&gt;"","https://api.qrserver.com/v1/create-qr-code/?size=200x200&amp;data="&amp;ENCODEURL("https://wa.me/507"&amp;REGEXREPLACE(C1421,"[^0-9]","")&amp;"?text="&amp;ENCODEURL("Ya llegue. Codigo: "&amp;A1421&amp;". Ubicacion: "&amp;"https://www.google.com/maps/search/?api=1&amp;query="&amp;SUBSTITUTE(F1421," ",""))),"")</f>
        <v/>
      </c>
      <c r="M1421" s="8">
        <f>IF(B1421&lt;&gt;"",TODAY(),"")</f>
        <v/>
      </c>
      <c r="N1421" s="8">
        <f>IF(F1421&lt;&gt;"",IFERROR(IF(AND(REGEXMATCH(SUBSTITUTE(TRIM(F1421)," ",""),"^-?\d+(\.\d+)?,-?\d+(\.\d+)?$"),VALUE(REGEXEXTRACT(SUBSTITUTE(TRIM(F1421)," ",""),"^-?\d+(\.\d+)?"))&gt;=-90,VALUE(REGEXEXTRACT(SUBSTITUTE(TRIM(F1421)," ",""),"^-?\d+(\.\d+)?"))&lt;=90,VALUE(REGEXEXTRACT(SUBSTITUTE(TRIM(F1421)," ",""),"-?\d+(\.\d+)?$"))&gt;=-180,VALUE(REGEXEXTRACT(SUBSTITUTE(TRIM(F1421)," ",""),"-?\d+(\.\d+)?$"))&lt;=180),"OK","REVISAR"),"REVISAR"),"")</f>
        <v/>
      </c>
      <c r="O1421">
        <f>IF(A1421&lt;&gt;"","https://direcciones507.github.io/direcciones507/panel.html?codigo="&amp;A1421&amp;"&amp;nombre="&amp;ENCODEURL(B1421)&amp;"&amp;telefono="&amp;SUBSTITUTE(C1421,"-","")&amp;"&amp;referencia="&amp;ENCODEURL(E1421)&amp;"&amp;lat="&amp;IZQUIERDA(SUBSTITUTE(F1421," ",""),ENCONTRAR(",",SUBSTITUTE(F1421," ",""))-1)&amp;"&amp;lng="&amp;DERECHA(SUBSTITUTE(F1421," ",""),LARGO(SUBSTITUTE(F1421," ",""))-ENCONTRAR(",",SUBSTITUTE(F1421," ",""))),"")</f>
        <v/>
      </c>
    </row>
    <row r="1422" ht="15.75" customHeight="1" s="10">
      <c r="A1422" s="8">
        <f>CONCAT("AD507-",TEXT(ROW()-2,"0000"))</f>
        <v/>
      </c>
      <c r="C1422" s="8" t="n"/>
      <c r="F1422" s="8" t="n"/>
      <c r="G1422" s="8">
        <f>IF(F1422&lt;&gt;"",HYPERLINK("https://www.google.com/maps/search/?api=1&amp;query="&amp;SUBSTITUTE(F1422," ",""),"🗺 Google Maps"),"")</f>
        <v/>
      </c>
      <c r="H1422" s="8">
        <f>IF(F1422&lt;&gt;"",HYPERLINK("https://waze.com/ul?ll="&amp;SUBSTITUTE(F1422," ","")&amp;"&amp;navigate=yes","🚗 Waze"),"")</f>
        <v/>
      </c>
      <c r="I1422" s="8">
        <f>IF(F1422&lt;&gt;"",HYPERLINK("https://m.uber.com/ul/?action=setPickup&amp;pickup=my_location&amp;dropoff[latitude]="&amp;LEFT(SUBSTITUTE(F1422," ",""),FIND(",",SUBSTITUTE(F1422," ",""))-1)&amp;"&amp;dropoff[longitude]="&amp;MID(SUBSTITUTE(F1422," ",""),FIND(",",SUBSTITUTE(F1422," ",""))+1,99),"🚕 Uber"),"")</f>
        <v/>
      </c>
      <c r="J1422" s="8">
        <f>IF(F1422&lt;&gt;"","https://api.qrserver.com/v1/create-qr-code/?size=200x200&amp;data="&amp;ENCODEURL("https://www.google.com/maps/search/?api=1&amp;query="&amp;SUBSTITUTE(F1422," ","")),"")</f>
        <v/>
      </c>
      <c r="K1422" s="8">
        <f>IF(C1422&lt;&gt;"",HYPERLINK("https://wa.me/507"&amp;REGEXREPLACE(C1422,"[^0-9]","")&amp;"?text="&amp;ENCODEURL("Ya llegue. Codigo: "&amp;A1422&amp;". Ubicacion: "&amp;"https://www.google.com/maps/search/?api=1&amp;query="&amp;SUBSTITUTE(F1422," ","")),"📲 Avisar al cliente"),"")</f>
        <v/>
      </c>
      <c r="L1422" s="8">
        <f>IF(C1422&lt;&gt;"","https://api.qrserver.com/v1/create-qr-code/?size=200x200&amp;data="&amp;ENCODEURL("https://wa.me/507"&amp;REGEXREPLACE(C1422,"[^0-9]","")&amp;"?text="&amp;ENCODEURL("Ya llegue. Codigo: "&amp;A1422&amp;". Ubicacion: "&amp;"https://www.google.com/maps/search/?api=1&amp;query="&amp;SUBSTITUTE(F1422," ",""))),"")</f>
        <v/>
      </c>
      <c r="M1422" s="8">
        <f>IF(B1422&lt;&gt;"",TODAY(),"")</f>
        <v/>
      </c>
      <c r="N1422" s="8">
        <f>IF(F1422&lt;&gt;"",IFERROR(IF(AND(REGEXMATCH(SUBSTITUTE(TRIM(F1422)," ",""),"^-?\d+(\.\d+)?,-?\d+(\.\d+)?$"),VALUE(REGEXEXTRACT(SUBSTITUTE(TRIM(F1422)," ",""),"^-?\d+(\.\d+)?"))&gt;=-90,VALUE(REGEXEXTRACT(SUBSTITUTE(TRIM(F1422)," ",""),"^-?\d+(\.\d+)?"))&lt;=90,VALUE(REGEXEXTRACT(SUBSTITUTE(TRIM(F1422)," ",""),"-?\d+(\.\d+)?$"))&gt;=-180,VALUE(REGEXEXTRACT(SUBSTITUTE(TRIM(F1422)," ",""),"-?\d+(\.\d+)?$"))&lt;=180),"OK","REVISAR"),"REVISAR"),"")</f>
        <v/>
      </c>
      <c r="O1422">
        <f>IF(A1422&lt;&gt;"","https://direcciones507.github.io/direcciones507/panel.html?codigo="&amp;A1422&amp;"&amp;nombre="&amp;ENCODEURL(B1422)&amp;"&amp;telefono="&amp;SUBSTITUTE(C1422,"-","")&amp;"&amp;referencia="&amp;ENCODEURL(E1422)&amp;"&amp;lat="&amp;IZQUIERDA(SUBSTITUTE(F1422," ",""),ENCONTRAR(",",SUBSTITUTE(F1422," ",""))-1)&amp;"&amp;lng="&amp;DERECHA(SUBSTITUTE(F1422," ",""),LARGO(SUBSTITUTE(F1422," ",""))-ENCONTRAR(",",SUBSTITUTE(F1422," ",""))),"")</f>
        <v/>
      </c>
    </row>
    <row r="1423" ht="15.75" customHeight="1" s="10">
      <c r="A1423" s="8">
        <f>CONCAT("AD507-",TEXT(ROW()-2,"0000"))</f>
        <v/>
      </c>
      <c r="C1423" s="8" t="n"/>
      <c r="F1423" s="8" t="n"/>
      <c r="G1423" s="8">
        <f>IF(F1423&lt;&gt;"",HYPERLINK("https://www.google.com/maps/search/?api=1&amp;query="&amp;SUBSTITUTE(F1423," ",""),"🗺 Google Maps"),"")</f>
        <v/>
      </c>
      <c r="H1423" s="8">
        <f>IF(F1423&lt;&gt;"",HYPERLINK("https://waze.com/ul?ll="&amp;SUBSTITUTE(F1423," ","")&amp;"&amp;navigate=yes","🚗 Waze"),"")</f>
        <v/>
      </c>
      <c r="I1423" s="8">
        <f>IF(F1423&lt;&gt;"",HYPERLINK("https://m.uber.com/ul/?action=setPickup&amp;pickup=my_location&amp;dropoff[latitude]="&amp;LEFT(SUBSTITUTE(F1423," ",""),FIND(",",SUBSTITUTE(F1423," ",""))-1)&amp;"&amp;dropoff[longitude]="&amp;MID(SUBSTITUTE(F1423," ",""),FIND(",",SUBSTITUTE(F1423," ",""))+1,99),"🚕 Uber"),"")</f>
        <v/>
      </c>
      <c r="J1423" s="8">
        <f>IF(F1423&lt;&gt;"","https://api.qrserver.com/v1/create-qr-code/?size=200x200&amp;data="&amp;ENCODEURL("https://www.google.com/maps/search/?api=1&amp;query="&amp;SUBSTITUTE(F1423," ","")),"")</f>
        <v/>
      </c>
      <c r="K1423" s="8">
        <f>IF(C1423&lt;&gt;"",HYPERLINK("https://wa.me/507"&amp;REGEXREPLACE(C1423,"[^0-9]","")&amp;"?text="&amp;ENCODEURL("Ya llegue. Codigo: "&amp;A1423&amp;". Ubicacion: "&amp;"https://www.google.com/maps/search/?api=1&amp;query="&amp;SUBSTITUTE(F1423," ","")),"📲 Avisar al cliente"),"")</f>
        <v/>
      </c>
      <c r="L1423" s="8">
        <f>IF(C1423&lt;&gt;"","https://api.qrserver.com/v1/create-qr-code/?size=200x200&amp;data="&amp;ENCODEURL("https://wa.me/507"&amp;REGEXREPLACE(C1423,"[^0-9]","")&amp;"?text="&amp;ENCODEURL("Ya llegue. Codigo: "&amp;A1423&amp;". Ubicacion: "&amp;"https://www.google.com/maps/search/?api=1&amp;query="&amp;SUBSTITUTE(F1423," ",""))),"")</f>
        <v/>
      </c>
      <c r="M1423" s="8">
        <f>IF(B1423&lt;&gt;"",TODAY(),"")</f>
        <v/>
      </c>
      <c r="N1423" s="8">
        <f>IF(F1423&lt;&gt;"",IFERROR(IF(AND(REGEXMATCH(SUBSTITUTE(TRIM(F1423)," ",""),"^-?\d+(\.\d+)?,-?\d+(\.\d+)?$"),VALUE(REGEXEXTRACT(SUBSTITUTE(TRIM(F1423)," ",""),"^-?\d+(\.\d+)?"))&gt;=-90,VALUE(REGEXEXTRACT(SUBSTITUTE(TRIM(F1423)," ",""),"^-?\d+(\.\d+)?"))&lt;=90,VALUE(REGEXEXTRACT(SUBSTITUTE(TRIM(F1423)," ",""),"-?\d+(\.\d+)?$"))&gt;=-180,VALUE(REGEXEXTRACT(SUBSTITUTE(TRIM(F1423)," ",""),"-?\d+(\.\d+)?$"))&lt;=180),"OK","REVISAR"),"REVISAR"),"")</f>
        <v/>
      </c>
      <c r="O1423">
        <f>IF(A1423&lt;&gt;"","https://direcciones507.github.io/direcciones507/panel.html?codigo="&amp;A1423&amp;"&amp;nombre="&amp;ENCODEURL(B1423)&amp;"&amp;telefono="&amp;SUBSTITUTE(C1423,"-","")&amp;"&amp;referencia="&amp;ENCODEURL(E1423)&amp;"&amp;lat="&amp;IZQUIERDA(SUBSTITUTE(F1423," ",""),ENCONTRAR(",",SUBSTITUTE(F1423," ",""))-1)&amp;"&amp;lng="&amp;DERECHA(SUBSTITUTE(F1423," ",""),LARGO(SUBSTITUTE(F1423," ",""))-ENCONTRAR(",",SUBSTITUTE(F1423," ",""))),"")</f>
        <v/>
      </c>
    </row>
    <row r="1424" ht="15.75" customHeight="1" s="10">
      <c r="A1424" s="8">
        <f>CONCAT("AD507-",TEXT(ROW()-2,"0000"))</f>
        <v/>
      </c>
      <c r="C1424" s="8" t="n"/>
      <c r="F1424" s="8" t="n"/>
      <c r="G1424" s="8">
        <f>IF(F1424&lt;&gt;"",HYPERLINK("https://www.google.com/maps/search/?api=1&amp;query="&amp;SUBSTITUTE(F1424," ",""),"🗺 Google Maps"),"")</f>
        <v/>
      </c>
      <c r="H1424" s="8">
        <f>IF(F1424&lt;&gt;"",HYPERLINK("https://waze.com/ul?ll="&amp;SUBSTITUTE(F1424," ","")&amp;"&amp;navigate=yes","🚗 Waze"),"")</f>
        <v/>
      </c>
      <c r="I1424" s="8">
        <f>IF(F1424&lt;&gt;"",HYPERLINK("https://m.uber.com/ul/?action=setPickup&amp;pickup=my_location&amp;dropoff[latitude]="&amp;LEFT(SUBSTITUTE(F1424," ",""),FIND(",",SUBSTITUTE(F1424," ",""))-1)&amp;"&amp;dropoff[longitude]="&amp;MID(SUBSTITUTE(F1424," ",""),FIND(",",SUBSTITUTE(F1424," ",""))+1,99),"🚕 Uber"),"")</f>
        <v/>
      </c>
      <c r="J1424" s="8">
        <f>IF(F1424&lt;&gt;"","https://api.qrserver.com/v1/create-qr-code/?size=200x200&amp;data="&amp;ENCODEURL("https://www.google.com/maps/search/?api=1&amp;query="&amp;SUBSTITUTE(F1424," ","")),"")</f>
        <v/>
      </c>
      <c r="K1424" s="8">
        <f>IF(C1424&lt;&gt;"",HYPERLINK("https://wa.me/507"&amp;REGEXREPLACE(C1424,"[^0-9]","")&amp;"?text="&amp;ENCODEURL("Ya llegue. Codigo: "&amp;A1424&amp;". Ubicacion: "&amp;"https://www.google.com/maps/search/?api=1&amp;query="&amp;SUBSTITUTE(F1424," ","")),"📲 Avisar al cliente"),"")</f>
        <v/>
      </c>
      <c r="L1424" s="8">
        <f>IF(C1424&lt;&gt;"","https://api.qrserver.com/v1/create-qr-code/?size=200x200&amp;data="&amp;ENCODEURL("https://wa.me/507"&amp;REGEXREPLACE(C1424,"[^0-9]","")&amp;"?text="&amp;ENCODEURL("Ya llegue. Codigo: "&amp;A1424&amp;". Ubicacion: "&amp;"https://www.google.com/maps/search/?api=1&amp;query="&amp;SUBSTITUTE(F1424," ",""))),"")</f>
        <v/>
      </c>
      <c r="M1424" s="8">
        <f>IF(B1424&lt;&gt;"",TODAY(),"")</f>
        <v/>
      </c>
      <c r="N1424" s="8">
        <f>IF(F1424&lt;&gt;"",IFERROR(IF(AND(REGEXMATCH(SUBSTITUTE(TRIM(F1424)," ",""),"^-?\d+(\.\d+)?,-?\d+(\.\d+)?$"),VALUE(REGEXEXTRACT(SUBSTITUTE(TRIM(F1424)," ",""),"^-?\d+(\.\d+)?"))&gt;=-90,VALUE(REGEXEXTRACT(SUBSTITUTE(TRIM(F1424)," ",""),"^-?\d+(\.\d+)?"))&lt;=90,VALUE(REGEXEXTRACT(SUBSTITUTE(TRIM(F1424)," ",""),"-?\d+(\.\d+)?$"))&gt;=-180,VALUE(REGEXEXTRACT(SUBSTITUTE(TRIM(F1424)," ",""),"-?\d+(\.\d+)?$"))&lt;=180),"OK","REVISAR"),"REVISAR"),"")</f>
        <v/>
      </c>
      <c r="O1424">
        <f>IF(A1424&lt;&gt;"","https://direcciones507.github.io/direcciones507/panel.html?codigo="&amp;A1424&amp;"&amp;nombre="&amp;ENCODEURL(B1424)&amp;"&amp;telefono="&amp;SUBSTITUTE(C1424,"-","")&amp;"&amp;referencia="&amp;ENCODEURL(E1424)&amp;"&amp;lat="&amp;IZQUIERDA(SUBSTITUTE(F1424," ",""),ENCONTRAR(",",SUBSTITUTE(F1424," ",""))-1)&amp;"&amp;lng="&amp;DERECHA(SUBSTITUTE(F1424," ",""),LARGO(SUBSTITUTE(F1424," ",""))-ENCONTRAR(",",SUBSTITUTE(F1424," ",""))),"")</f>
        <v/>
      </c>
    </row>
    <row r="1425" ht="15.75" customHeight="1" s="10">
      <c r="A1425" s="8">
        <f>CONCAT("AD507-",TEXT(ROW()-2,"0000"))</f>
        <v/>
      </c>
      <c r="C1425" s="8" t="n"/>
      <c r="F1425" s="8" t="n"/>
      <c r="G1425" s="8">
        <f>IF(F1425&lt;&gt;"",HYPERLINK("https://www.google.com/maps/search/?api=1&amp;query="&amp;SUBSTITUTE(F1425," ",""),"🗺 Google Maps"),"")</f>
        <v/>
      </c>
      <c r="H1425" s="8">
        <f>IF(F1425&lt;&gt;"",HYPERLINK("https://waze.com/ul?ll="&amp;SUBSTITUTE(F1425," ","")&amp;"&amp;navigate=yes","🚗 Waze"),"")</f>
        <v/>
      </c>
      <c r="I1425" s="8">
        <f>IF(F1425&lt;&gt;"",HYPERLINK("https://m.uber.com/ul/?action=setPickup&amp;pickup=my_location&amp;dropoff[latitude]="&amp;LEFT(SUBSTITUTE(F1425," ",""),FIND(",",SUBSTITUTE(F1425," ",""))-1)&amp;"&amp;dropoff[longitude]="&amp;MID(SUBSTITUTE(F1425," ",""),FIND(",",SUBSTITUTE(F1425," ",""))+1,99),"🚕 Uber"),"")</f>
        <v/>
      </c>
      <c r="J1425" s="8">
        <f>IF(F1425&lt;&gt;"","https://api.qrserver.com/v1/create-qr-code/?size=200x200&amp;data="&amp;ENCODEURL("https://www.google.com/maps/search/?api=1&amp;query="&amp;SUBSTITUTE(F1425," ","")),"")</f>
        <v/>
      </c>
      <c r="K1425" s="8">
        <f>IF(C1425&lt;&gt;"",HYPERLINK("https://wa.me/507"&amp;REGEXREPLACE(C1425,"[^0-9]","")&amp;"?text="&amp;ENCODEURL("Ya llegue. Codigo: "&amp;A1425&amp;". Ubicacion: "&amp;"https://www.google.com/maps/search/?api=1&amp;query="&amp;SUBSTITUTE(F1425," ","")),"📲 Avisar al cliente"),"")</f>
        <v/>
      </c>
      <c r="L1425" s="8">
        <f>IF(C1425&lt;&gt;"","https://api.qrserver.com/v1/create-qr-code/?size=200x200&amp;data="&amp;ENCODEURL("https://wa.me/507"&amp;REGEXREPLACE(C1425,"[^0-9]","")&amp;"?text="&amp;ENCODEURL("Ya llegue. Codigo: "&amp;A1425&amp;". Ubicacion: "&amp;"https://www.google.com/maps/search/?api=1&amp;query="&amp;SUBSTITUTE(F1425," ",""))),"")</f>
        <v/>
      </c>
      <c r="M1425" s="8">
        <f>IF(B1425&lt;&gt;"",TODAY(),"")</f>
        <v/>
      </c>
      <c r="N1425" s="8">
        <f>IF(F1425&lt;&gt;"",IFERROR(IF(AND(REGEXMATCH(SUBSTITUTE(TRIM(F1425)," ",""),"^-?\d+(\.\d+)?,-?\d+(\.\d+)?$"),VALUE(REGEXEXTRACT(SUBSTITUTE(TRIM(F1425)," ",""),"^-?\d+(\.\d+)?"))&gt;=-90,VALUE(REGEXEXTRACT(SUBSTITUTE(TRIM(F1425)," ",""),"^-?\d+(\.\d+)?"))&lt;=90,VALUE(REGEXEXTRACT(SUBSTITUTE(TRIM(F1425)," ",""),"-?\d+(\.\d+)?$"))&gt;=-180,VALUE(REGEXEXTRACT(SUBSTITUTE(TRIM(F1425)," ",""),"-?\d+(\.\d+)?$"))&lt;=180),"OK","REVISAR"),"REVISAR"),"")</f>
        <v/>
      </c>
      <c r="O1425">
        <f>IF(A1425&lt;&gt;"","https://direcciones507.github.io/direcciones507/panel.html?codigo="&amp;A1425&amp;"&amp;nombre="&amp;ENCODEURL(B1425)&amp;"&amp;telefono="&amp;SUBSTITUTE(C1425,"-","")&amp;"&amp;referencia="&amp;ENCODEURL(E1425)&amp;"&amp;lat="&amp;IZQUIERDA(SUBSTITUTE(F1425," ",""),ENCONTRAR(",",SUBSTITUTE(F1425," ",""))-1)&amp;"&amp;lng="&amp;DERECHA(SUBSTITUTE(F1425," ",""),LARGO(SUBSTITUTE(F1425," ",""))-ENCONTRAR(",",SUBSTITUTE(F1425," ",""))),"")</f>
        <v/>
      </c>
    </row>
    <row r="1426" ht="15.75" customHeight="1" s="10">
      <c r="A1426" s="8">
        <f>CONCAT("AD507-",TEXT(ROW()-2,"0000"))</f>
        <v/>
      </c>
      <c r="C1426" s="8" t="n"/>
      <c r="F1426" s="8" t="n"/>
      <c r="G1426" s="8">
        <f>IF(F1426&lt;&gt;"",HYPERLINK("https://www.google.com/maps/search/?api=1&amp;query="&amp;SUBSTITUTE(F1426," ",""),"🗺 Google Maps"),"")</f>
        <v/>
      </c>
      <c r="H1426" s="8">
        <f>IF(F1426&lt;&gt;"",HYPERLINK("https://waze.com/ul?ll="&amp;SUBSTITUTE(F1426," ","")&amp;"&amp;navigate=yes","🚗 Waze"),"")</f>
        <v/>
      </c>
      <c r="I1426" s="8">
        <f>IF(F1426&lt;&gt;"",HYPERLINK("https://m.uber.com/ul/?action=setPickup&amp;pickup=my_location&amp;dropoff[latitude]="&amp;LEFT(SUBSTITUTE(F1426," ",""),FIND(",",SUBSTITUTE(F1426," ",""))-1)&amp;"&amp;dropoff[longitude]="&amp;MID(SUBSTITUTE(F1426," ",""),FIND(",",SUBSTITUTE(F1426," ",""))+1,99),"🚕 Uber"),"")</f>
        <v/>
      </c>
      <c r="J1426" s="8">
        <f>IF(F1426&lt;&gt;"","https://api.qrserver.com/v1/create-qr-code/?size=200x200&amp;data="&amp;ENCODEURL("https://www.google.com/maps/search/?api=1&amp;query="&amp;SUBSTITUTE(F1426," ","")),"")</f>
        <v/>
      </c>
      <c r="K1426" s="8">
        <f>IF(C1426&lt;&gt;"",HYPERLINK("https://wa.me/507"&amp;REGEXREPLACE(C1426,"[^0-9]","")&amp;"?text="&amp;ENCODEURL("Ya llegue. Codigo: "&amp;A1426&amp;". Ubicacion: "&amp;"https://www.google.com/maps/search/?api=1&amp;query="&amp;SUBSTITUTE(F1426," ","")),"📲 Avisar al cliente"),"")</f>
        <v/>
      </c>
      <c r="L1426" s="8">
        <f>IF(C1426&lt;&gt;"","https://api.qrserver.com/v1/create-qr-code/?size=200x200&amp;data="&amp;ENCODEURL("https://wa.me/507"&amp;REGEXREPLACE(C1426,"[^0-9]","")&amp;"?text="&amp;ENCODEURL("Ya llegue. Codigo: "&amp;A1426&amp;". Ubicacion: "&amp;"https://www.google.com/maps/search/?api=1&amp;query="&amp;SUBSTITUTE(F1426," ",""))),"")</f>
        <v/>
      </c>
      <c r="M1426" s="8">
        <f>IF(B1426&lt;&gt;"",TODAY(),"")</f>
        <v/>
      </c>
      <c r="N1426" s="8">
        <f>IF(F1426&lt;&gt;"",IFERROR(IF(AND(REGEXMATCH(SUBSTITUTE(TRIM(F1426)," ",""),"^-?\d+(\.\d+)?,-?\d+(\.\d+)?$"),VALUE(REGEXEXTRACT(SUBSTITUTE(TRIM(F1426)," ",""),"^-?\d+(\.\d+)?"))&gt;=-90,VALUE(REGEXEXTRACT(SUBSTITUTE(TRIM(F1426)," ",""),"^-?\d+(\.\d+)?"))&lt;=90,VALUE(REGEXEXTRACT(SUBSTITUTE(TRIM(F1426)," ",""),"-?\d+(\.\d+)?$"))&gt;=-180,VALUE(REGEXEXTRACT(SUBSTITUTE(TRIM(F1426)," ",""),"-?\d+(\.\d+)?$"))&lt;=180),"OK","REVISAR"),"REVISAR"),"")</f>
        <v/>
      </c>
      <c r="O1426">
        <f>IF(A1426&lt;&gt;"","https://direcciones507.github.io/direcciones507/panel.html?codigo="&amp;A1426&amp;"&amp;nombre="&amp;ENCODEURL(B1426)&amp;"&amp;telefono="&amp;SUBSTITUTE(C1426,"-","")&amp;"&amp;referencia="&amp;ENCODEURL(E1426)&amp;"&amp;lat="&amp;IZQUIERDA(SUBSTITUTE(F1426," ",""),ENCONTRAR(",",SUBSTITUTE(F1426," ",""))-1)&amp;"&amp;lng="&amp;DERECHA(SUBSTITUTE(F1426," ",""),LARGO(SUBSTITUTE(F1426," ",""))-ENCONTRAR(",",SUBSTITUTE(F1426," ",""))),"")</f>
        <v/>
      </c>
    </row>
    <row r="1427" ht="15.75" customHeight="1" s="10">
      <c r="A1427" s="8">
        <f>CONCAT("AD507-",TEXT(ROW()-2,"0000"))</f>
        <v/>
      </c>
      <c r="C1427" s="8" t="n"/>
      <c r="F1427" s="8" t="n"/>
      <c r="G1427" s="8">
        <f>IF(F1427&lt;&gt;"",HYPERLINK("https://www.google.com/maps/search/?api=1&amp;query="&amp;SUBSTITUTE(F1427," ",""),"🗺 Google Maps"),"")</f>
        <v/>
      </c>
      <c r="H1427" s="8">
        <f>IF(F1427&lt;&gt;"",HYPERLINK("https://waze.com/ul?ll="&amp;SUBSTITUTE(F1427," ","")&amp;"&amp;navigate=yes","🚗 Waze"),"")</f>
        <v/>
      </c>
      <c r="I1427" s="8">
        <f>IF(F1427&lt;&gt;"",HYPERLINK("https://m.uber.com/ul/?action=setPickup&amp;pickup=my_location&amp;dropoff[latitude]="&amp;LEFT(SUBSTITUTE(F1427," ",""),FIND(",",SUBSTITUTE(F1427," ",""))-1)&amp;"&amp;dropoff[longitude]="&amp;MID(SUBSTITUTE(F1427," ",""),FIND(",",SUBSTITUTE(F1427," ",""))+1,99),"🚕 Uber"),"")</f>
        <v/>
      </c>
      <c r="J1427" s="8">
        <f>IF(F1427&lt;&gt;"","https://api.qrserver.com/v1/create-qr-code/?size=200x200&amp;data="&amp;ENCODEURL("https://www.google.com/maps/search/?api=1&amp;query="&amp;SUBSTITUTE(F1427," ","")),"")</f>
        <v/>
      </c>
      <c r="K1427" s="8">
        <f>IF(C1427&lt;&gt;"",HYPERLINK("https://wa.me/507"&amp;REGEXREPLACE(C1427,"[^0-9]","")&amp;"?text="&amp;ENCODEURL("Ya llegue. Codigo: "&amp;A1427&amp;". Ubicacion: "&amp;"https://www.google.com/maps/search/?api=1&amp;query="&amp;SUBSTITUTE(F1427," ","")),"📲 Avisar al cliente"),"")</f>
        <v/>
      </c>
      <c r="L1427" s="8">
        <f>IF(C1427&lt;&gt;"","https://api.qrserver.com/v1/create-qr-code/?size=200x200&amp;data="&amp;ENCODEURL("https://wa.me/507"&amp;REGEXREPLACE(C1427,"[^0-9]","")&amp;"?text="&amp;ENCODEURL("Ya llegue. Codigo: "&amp;A1427&amp;". Ubicacion: "&amp;"https://www.google.com/maps/search/?api=1&amp;query="&amp;SUBSTITUTE(F1427," ",""))),"")</f>
        <v/>
      </c>
      <c r="M1427" s="8">
        <f>IF(B1427&lt;&gt;"",TODAY(),"")</f>
        <v/>
      </c>
      <c r="N1427" s="8">
        <f>IF(F1427&lt;&gt;"",IFERROR(IF(AND(REGEXMATCH(SUBSTITUTE(TRIM(F1427)," ",""),"^-?\d+(\.\d+)?,-?\d+(\.\d+)?$"),VALUE(REGEXEXTRACT(SUBSTITUTE(TRIM(F1427)," ",""),"^-?\d+(\.\d+)?"))&gt;=-90,VALUE(REGEXEXTRACT(SUBSTITUTE(TRIM(F1427)," ",""),"^-?\d+(\.\d+)?"))&lt;=90,VALUE(REGEXEXTRACT(SUBSTITUTE(TRIM(F1427)," ",""),"-?\d+(\.\d+)?$"))&gt;=-180,VALUE(REGEXEXTRACT(SUBSTITUTE(TRIM(F1427)," ",""),"-?\d+(\.\d+)?$"))&lt;=180),"OK","REVISAR"),"REVISAR"),"")</f>
        <v/>
      </c>
      <c r="O1427">
        <f>IF(A1427&lt;&gt;"","https://direcciones507.github.io/direcciones507/panel.html?codigo="&amp;A1427&amp;"&amp;nombre="&amp;ENCODEURL(B1427)&amp;"&amp;telefono="&amp;SUBSTITUTE(C1427,"-","")&amp;"&amp;referencia="&amp;ENCODEURL(E1427)&amp;"&amp;lat="&amp;IZQUIERDA(SUBSTITUTE(F1427," ",""),ENCONTRAR(",",SUBSTITUTE(F1427," ",""))-1)&amp;"&amp;lng="&amp;DERECHA(SUBSTITUTE(F1427," ",""),LARGO(SUBSTITUTE(F1427," ",""))-ENCONTRAR(",",SUBSTITUTE(F1427," ",""))),"")</f>
        <v/>
      </c>
    </row>
    <row r="1428" ht="15.75" customHeight="1" s="10">
      <c r="A1428" s="8">
        <f>CONCAT("AD507-",TEXT(ROW()-2,"0000"))</f>
        <v/>
      </c>
      <c r="C1428" s="8" t="n"/>
      <c r="F1428" s="8" t="n"/>
      <c r="G1428" s="8">
        <f>IF(F1428&lt;&gt;"",HYPERLINK("https://www.google.com/maps/search/?api=1&amp;query="&amp;SUBSTITUTE(F1428," ",""),"🗺 Google Maps"),"")</f>
        <v/>
      </c>
      <c r="H1428" s="8">
        <f>IF(F1428&lt;&gt;"",HYPERLINK("https://waze.com/ul?ll="&amp;SUBSTITUTE(F1428," ","")&amp;"&amp;navigate=yes","🚗 Waze"),"")</f>
        <v/>
      </c>
      <c r="I1428" s="8">
        <f>IF(F1428&lt;&gt;"",HYPERLINK("https://m.uber.com/ul/?action=setPickup&amp;pickup=my_location&amp;dropoff[latitude]="&amp;LEFT(SUBSTITUTE(F1428," ",""),FIND(",",SUBSTITUTE(F1428," ",""))-1)&amp;"&amp;dropoff[longitude]="&amp;MID(SUBSTITUTE(F1428," ",""),FIND(",",SUBSTITUTE(F1428," ",""))+1,99),"🚕 Uber"),"")</f>
        <v/>
      </c>
      <c r="J1428" s="8">
        <f>IF(F1428&lt;&gt;"","https://api.qrserver.com/v1/create-qr-code/?size=200x200&amp;data="&amp;ENCODEURL("https://www.google.com/maps/search/?api=1&amp;query="&amp;SUBSTITUTE(F1428," ","")),"")</f>
        <v/>
      </c>
      <c r="K1428" s="8">
        <f>IF(C1428&lt;&gt;"",HYPERLINK("https://wa.me/507"&amp;REGEXREPLACE(C1428,"[^0-9]","")&amp;"?text="&amp;ENCODEURL("Ya llegue. Codigo: "&amp;A1428&amp;". Ubicacion: "&amp;"https://www.google.com/maps/search/?api=1&amp;query="&amp;SUBSTITUTE(F1428," ","")),"📲 Avisar al cliente"),"")</f>
        <v/>
      </c>
      <c r="L1428" s="8">
        <f>IF(C1428&lt;&gt;"","https://api.qrserver.com/v1/create-qr-code/?size=200x200&amp;data="&amp;ENCODEURL("https://wa.me/507"&amp;REGEXREPLACE(C1428,"[^0-9]","")&amp;"?text="&amp;ENCODEURL("Ya llegue. Codigo: "&amp;A1428&amp;". Ubicacion: "&amp;"https://www.google.com/maps/search/?api=1&amp;query="&amp;SUBSTITUTE(F1428," ",""))),"")</f>
        <v/>
      </c>
      <c r="M1428" s="8">
        <f>IF(B1428&lt;&gt;"",TODAY(),"")</f>
        <v/>
      </c>
      <c r="N1428" s="8">
        <f>IF(F1428&lt;&gt;"",IFERROR(IF(AND(REGEXMATCH(SUBSTITUTE(TRIM(F1428)," ",""),"^-?\d+(\.\d+)?,-?\d+(\.\d+)?$"),VALUE(REGEXEXTRACT(SUBSTITUTE(TRIM(F1428)," ",""),"^-?\d+(\.\d+)?"))&gt;=-90,VALUE(REGEXEXTRACT(SUBSTITUTE(TRIM(F1428)," ",""),"^-?\d+(\.\d+)?"))&lt;=90,VALUE(REGEXEXTRACT(SUBSTITUTE(TRIM(F1428)," ",""),"-?\d+(\.\d+)?$"))&gt;=-180,VALUE(REGEXEXTRACT(SUBSTITUTE(TRIM(F1428)," ",""),"-?\d+(\.\d+)?$"))&lt;=180),"OK","REVISAR"),"REVISAR"),"")</f>
        <v/>
      </c>
      <c r="O1428">
        <f>IF(A1428&lt;&gt;"","https://direcciones507.github.io/direcciones507/panel.html?codigo="&amp;A1428&amp;"&amp;nombre="&amp;ENCODEURL(B1428)&amp;"&amp;telefono="&amp;SUBSTITUTE(C1428,"-","")&amp;"&amp;referencia="&amp;ENCODEURL(E1428)&amp;"&amp;lat="&amp;IZQUIERDA(SUBSTITUTE(F1428," ",""),ENCONTRAR(",",SUBSTITUTE(F1428," ",""))-1)&amp;"&amp;lng="&amp;DERECHA(SUBSTITUTE(F1428," ",""),LARGO(SUBSTITUTE(F1428," ",""))-ENCONTRAR(",",SUBSTITUTE(F1428," ",""))),"")</f>
        <v/>
      </c>
    </row>
    <row r="1429" ht="15.75" customHeight="1" s="10">
      <c r="A1429" s="8">
        <f>CONCAT("AD507-",TEXT(ROW()-2,"0000"))</f>
        <v/>
      </c>
      <c r="C1429" s="8" t="n"/>
      <c r="F1429" s="8" t="n"/>
      <c r="G1429" s="8">
        <f>IF(F1429&lt;&gt;"",HYPERLINK("https://www.google.com/maps/search/?api=1&amp;query="&amp;SUBSTITUTE(F1429," ",""),"🗺 Google Maps"),"")</f>
        <v/>
      </c>
      <c r="H1429" s="8">
        <f>IF(F1429&lt;&gt;"",HYPERLINK("https://waze.com/ul?ll="&amp;SUBSTITUTE(F1429," ","")&amp;"&amp;navigate=yes","🚗 Waze"),"")</f>
        <v/>
      </c>
      <c r="I1429" s="8">
        <f>IF(F1429&lt;&gt;"",HYPERLINK("https://m.uber.com/ul/?action=setPickup&amp;pickup=my_location&amp;dropoff[latitude]="&amp;LEFT(SUBSTITUTE(F1429," ",""),FIND(",",SUBSTITUTE(F1429," ",""))-1)&amp;"&amp;dropoff[longitude]="&amp;MID(SUBSTITUTE(F1429," ",""),FIND(",",SUBSTITUTE(F1429," ",""))+1,99),"🚕 Uber"),"")</f>
        <v/>
      </c>
      <c r="J1429" s="8">
        <f>IF(F1429&lt;&gt;"","https://api.qrserver.com/v1/create-qr-code/?size=200x200&amp;data="&amp;ENCODEURL("https://www.google.com/maps/search/?api=1&amp;query="&amp;SUBSTITUTE(F1429," ","")),"")</f>
        <v/>
      </c>
      <c r="K1429" s="8">
        <f>IF(C1429&lt;&gt;"",HYPERLINK("https://wa.me/507"&amp;REGEXREPLACE(C1429,"[^0-9]","")&amp;"?text="&amp;ENCODEURL("Ya llegue. Codigo: "&amp;A1429&amp;". Ubicacion: "&amp;"https://www.google.com/maps/search/?api=1&amp;query="&amp;SUBSTITUTE(F1429," ","")),"📲 Avisar al cliente"),"")</f>
        <v/>
      </c>
      <c r="L1429" s="8">
        <f>IF(C1429&lt;&gt;"","https://api.qrserver.com/v1/create-qr-code/?size=200x200&amp;data="&amp;ENCODEURL("https://wa.me/507"&amp;REGEXREPLACE(C1429,"[^0-9]","")&amp;"?text="&amp;ENCODEURL("Ya llegue. Codigo: "&amp;A1429&amp;". Ubicacion: "&amp;"https://www.google.com/maps/search/?api=1&amp;query="&amp;SUBSTITUTE(F1429," ",""))),"")</f>
        <v/>
      </c>
      <c r="M1429" s="8">
        <f>IF(B1429&lt;&gt;"",TODAY(),"")</f>
        <v/>
      </c>
      <c r="N1429" s="8">
        <f>IF(F1429&lt;&gt;"",IFERROR(IF(AND(REGEXMATCH(SUBSTITUTE(TRIM(F1429)," ",""),"^-?\d+(\.\d+)?,-?\d+(\.\d+)?$"),VALUE(REGEXEXTRACT(SUBSTITUTE(TRIM(F1429)," ",""),"^-?\d+(\.\d+)?"))&gt;=-90,VALUE(REGEXEXTRACT(SUBSTITUTE(TRIM(F1429)," ",""),"^-?\d+(\.\d+)?"))&lt;=90,VALUE(REGEXEXTRACT(SUBSTITUTE(TRIM(F1429)," ",""),"-?\d+(\.\d+)?$"))&gt;=-180,VALUE(REGEXEXTRACT(SUBSTITUTE(TRIM(F1429)," ",""),"-?\d+(\.\d+)?$"))&lt;=180),"OK","REVISAR"),"REVISAR"),"")</f>
        <v/>
      </c>
      <c r="O1429">
        <f>IF(A1429&lt;&gt;"","https://direcciones507.github.io/direcciones507/panel.html?codigo="&amp;A1429&amp;"&amp;nombre="&amp;ENCODEURL(B1429)&amp;"&amp;telefono="&amp;SUBSTITUTE(C1429,"-","")&amp;"&amp;referencia="&amp;ENCODEURL(E1429)&amp;"&amp;lat="&amp;IZQUIERDA(SUBSTITUTE(F1429," ",""),ENCONTRAR(",",SUBSTITUTE(F1429," ",""))-1)&amp;"&amp;lng="&amp;DERECHA(SUBSTITUTE(F1429," ",""),LARGO(SUBSTITUTE(F1429," ",""))-ENCONTRAR(",",SUBSTITUTE(F1429," ",""))),"")</f>
        <v/>
      </c>
    </row>
    <row r="1430" ht="15.75" customHeight="1" s="10">
      <c r="A1430" s="8">
        <f>CONCAT("AD507-",TEXT(ROW()-2,"0000"))</f>
        <v/>
      </c>
      <c r="C1430" s="8" t="n"/>
      <c r="F1430" s="8" t="n"/>
      <c r="G1430" s="8">
        <f>IF(F1430&lt;&gt;"",HYPERLINK("https://www.google.com/maps/search/?api=1&amp;query="&amp;SUBSTITUTE(F1430," ",""),"🗺 Google Maps"),"")</f>
        <v/>
      </c>
      <c r="H1430" s="8">
        <f>IF(F1430&lt;&gt;"",HYPERLINK("https://waze.com/ul?ll="&amp;SUBSTITUTE(F1430," ","")&amp;"&amp;navigate=yes","🚗 Waze"),"")</f>
        <v/>
      </c>
      <c r="I1430" s="8">
        <f>IF(F1430&lt;&gt;"",HYPERLINK("https://m.uber.com/ul/?action=setPickup&amp;pickup=my_location&amp;dropoff[latitude]="&amp;LEFT(SUBSTITUTE(F1430," ",""),FIND(",",SUBSTITUTE(F1430," ",""))-1)&amp;"&amp;dropoff[longitude]="&amp;MID(SUBSTITUTE(F1430," ",""),FIND(",",SUBSTITUTE(F1430," ",""))+1,99),"🚕 Uber"),"")</f>
        <v/>
      </c>
      <c r="J1430" s="8">
        <f>IF(F1430&lt;&gt;"","https://api.qrserver.com/v1/create-qr-code/?size=200x200&amp;data="&amp;ENCODEURL("https://www.google.com/maps/search/?api=1&amp;query="&amp;SUBSTITUTE(F1430," ","")),"")</f>
        <v/>
      </c>
      <c r="K1430" s="8">
        <f>IF(C1430&lt;&gt;"",HYPERLINK("https://wa.me/507"&amp;REGEXREPLACE(C1430,"[^0-9]","")&amp;"?text="&amp;ENCODEURL("Ya llegue. Codigo: "&amp;A1430&amp;". Ubicacion: "&amp;"https://www.google.com/maps/search/?api=1&amp;query="&amp;SUBSTITUTE(F1430," ","")),"📲 Avisar al cliente"),"")</f>
        <v/>
      </c>
      <c r="L1430" s="8">
        <f>IF(C1430&lt;&gt;"","https://api.qrserver.com/v1/create-qr-code/?size=200x200&amp;data="&amp;ENCODEURL("https://wa.me/507"&amp;REGEXREPLACE(C1430,"[^0-9]","")&amp;"?text="&amp;ENCODEURL("Ya llegue. Codigo: "&amp;A1430&amp;". Ubicacion: "&amp;"https://www.google.com/maps/search/?api=1&amp;query="&amp;SUBSTITUTE(F1430," ",""))),"")</f>
        <v/>
      </c>
      <c r="M1430" s="8">
        <f>IF(B1430&lt;&gt;"",TODAY(),"")</f>
        <v/>
      </c>
      <c r="N1430" s="8">
        <f>IF(F1430&lt;&gt;"",IFERROR(IF(AND(REGEXMATCH(SUBSTITUTE(TRIM(F1430)," ",""),"^-?\d+(\.\d+)?,-?\d+(\.\d+)?$"),VALUE(REGEXEXTRACT(SUBSTITUTE(TRIM(F1430)," ",""),"^-?\d+(\.\d+)?"))&gt;=-90,VALUE(REGEXEXTRACT(SUBSTITUTE(TRIM(F1430)," ",""),"^-?\d+(\.\d+)?"))&lt;=90,VALUE(REGEXEXTRACT(SUBSTITUTE(TRIM(F1430)," ",""),"-?\d+(\.\d+)?$"))&gt;=-180,VALUE(REGEXEXTRACT(SUBSTITUTE(TRIM(F1430)," ",""),"-?\d+(\.\d+)?$"))&lt;=180),"OK","REVISAR"),"REVISAR"),"")</f>
        <v/>
      </c>
      <c r="O1430">
        <f>IF(A1430&lt;&gt;"","https://direcciones507.github.io/direcciones507/panel.html?codigo="&amp;A1430&amp;"&amp;nombre="&amp;ENCODEURL(B1430)&amp;"&amp;telefono="&amp;SUBSTITUTE(C1430,"-","")&amp;"&amp;referencia="&amp;ENCODEURL(E1430)&amp;"&amp;lat="&amp;IZQUIERDA(SUBSTITUTE(F1430," ",""),ENCONTRAR(",",SUBSTITUTE(F1430," ",""))-1)&amp;"&amp;lng="&amp;DERECHA(SUBSTITUTE(F1430," ",""),LARGO(SUBSTITUTE(F1430," ",""))-ENCONTRAR(",",SUBSTITUTE(F1430," ",""))),"")</f>
        <v/>
      </c>
    </row>
    <row r="1431" ht="15.75" customHeight="1" s="10">
      <c r="A1431" s="8">
        <f>CONCAT("AD507-",TEXT(ROW()-2,"0000"))</f>
        <v/>
      </c>
      <c r="C1431" s="8" t="n"/>
      <c r="F1431" s="8" t="n"/>
      <c r="G1431" s="8">
        <f>IF(F1431&lt;&gt;"",HYPERLINK("https://www.google.com/maps/search/?api=1&amp;query="&amp;SUBSTITUTE(F1431," ",""),"🗺 Google Maps"),"")</f>
        <v/>
      </c>
      <c r="H1431" s="8">
        <f>IF(F1431&lt;&gt;"",HYPERLINK("https://waze.com/ul?ll="&amp;SUBSTITUTE(F1431," ","")&amp;"&amp;navigate=yes","🚗 Waze"),"")</f>
        <v/>
      </c>
      <c r="I1431" s="8">
        <f>IF(F1431&lt;&gt;"",HYPERLINK("https://m.uber.com/ul/?action=setPickup&amp;pickup=my_location&amp;dropoff[latitude]="&amp;LEFT(SUBSTITUTE(F1431," ",""),FIND(",",SUBSTITUTE(F1431," ",""))-1)&amp;"&amp;dropoff[longitude]="&amp;MID(SUBSTITUTE(F1431," ",""),FIND(",",SUBSTITUTE(F1431," ",""))+1,99),"🚕 Uber"),"")</f>
        <v/>
      </c>
      <c r="J1431" s="8">
        <f>IF(F1431&lt;&gt;"","https://api.qrserver.com/v1/create-qr-code/?size=200x200&amp;data="&amp;ENCODEURL("https://www.google.com/maps/search/?api=1&amp;query="&amp;SUBSTITUTE(F1431," ","")),"")</f>
        <v/>
      </c>
      <c r="K1431" s="8">
        <f>IF(C1431&lt;&gt;"",HYPERLINK("https://wa.me/507"&amp;REGEXREPLACE(C1431,"[^0-9]","")&amp;"?text="&amp;ENCODEURL("Ya llegue. Codigo: "&amp;A1431&amp;". Ubicacion: "&amp;"https://www.google.com/maps/search/?api=1&amp;query="&amp;SUBSTITUTE(F1431," ","")),"📲 Avisar al cliente"),"")</f>
        <v/>
      </c>
      <c r="L1431" s="8">
        <f>IF(C1431&lt;&gt;"","https://api.qrserver.com/v1/create-qr-code/?size=200x200&amp;data="&amp;ENCODEURL("https://wa.me/507"&amp;REGEXREPLACE(C1431,"[^0-9]","")&amp;"?text="&amp;ENCODEURL("Ya llegue. Codigo: "&amp;A1431&amp;". Ubicacion: "&amp;"https://www.google.com/maps/search/?api=1&amp;query="&amp;SUBSTITUTE(F1431," ",""))),"")</f>
        <v/>
      </c>
      <c r="M1431" s="8">
        <f>IF(B1431&lt;&gt;"",TODAY(),"")</f>
        <v/>
      </c>
      <c r="N1431" s="8">
        <f>IF(F1431&lt;&gt;"",IFERROR(IF(AND(REGEXMATCH(SUBSTITUTE(TRIM(F1431)," ",""),"^-?\d+(\.\d+)?,-?\d+(\.\d+)?$"),VALUE(REGEXEXTRACT(SUBSTITUTE(TRIM(F1431)," ",""),"^-?\d+(\.\d+)?"))&gt;=-90,VALUE(REGEXEXTRACT(SUBSTITUTE(TRIM(F1431)," ",""),"^-?\d+(\.\d+)?"))&lt;=90,VALUE(REGEXEXTRACT(SUBSTITUTE(TRIM(F1431)," ",""),"-?\d+(\.\d+)?$"))&gt;=-180,VALUE(REGEXEXTRACT(SUBSTITUTE(TRIM(F1431)," ",""),"-?\d+(\.\d+)?$"))&lt;=180),"OK","REVISAR"),"REVISAR"),"")</f>
        <v/>
      </c>
      <c r="O1431">
        <f>IF(A1431&lt;&gt;"","https://direcciones507.github.io/direcciones507/panel.html?codigo="&amp;A1431&amp;"&amp;nombre="&amp;ENCODEURL(B1431)&amp;"&amp;telefono="&amp;SUBSTITUTE(C1431,"-","")&amp;"&amp;referencia="&amp;ENCODEURL(E1431)&amp;"&amp;lat="&amp;IZQUIERDA(SUBSTITUTE(F1431," ",""),ENCONTRAR(",",SUBSTITUTE(F1431," ",""))-1)&amp;"&amp;lng="&amp;DERECHA(SUBSTITUTE(F1431," ",""),LARGO(SUBSTITUTE(F1431," ",""))-ENCONTRAR(",",SUBSTITUTE(F1431," ",""))),"")</f>
        <v/>
      </c>
    </row>
    <row r="1432" ht="15.75" customHeight="1" s="10">
      <c r="A1432" s="8">
        <f>CONCAT("AD507-",TEXT(ROW()-2,"0000"))</f>
        <v/>
      </c>
      <c r="C1432" s="8" t="n"/>
      <c r="F1432" s="8" t="n"/>
      <c r="G1432" s="8">
        <f>IF(F1432&lt;&gt;"",HYPERLINK("https://www.google.com/maps/search/?api=1&amp;query="&amp;SUBSTITUTE(F1432," ",""),"🗺 Google Maps"),"")</f>
        <v/>
      </c>
      <c r="H1432" s="8">
        <f>IF(F1432&lt;&gt;"",HYPERLINK("https://waze.com/ul?ll="&amp;SUBSTITUTE(F1432," ","")&amp;"&amp;navigate=yes","🚗 Waze"),"")</f>
        <v/>
      </c>
      <c r="I1432" s="8">
        <f>IF(F1432&lt;&gt;"",HYPERLINK("https://m.uber.com/ul/?action=setPickup&amp;pickup=my_location&amp;dropoff[latitude]="&amp;LEFT(SUBSTITUTE(F1432," ",""),FIND(",",SUBSTITUTE(F1432," ",""))-1)&amp;"&amp;dropoff[longitude]="&amp;MID(SUBSTITUTE(F1432," ",""),FIND(",",SUBSTITUTE(F1432," ",""))+1,99),"🚕 Uber"),"")</f>
        <v/>
      </c>
      <c r="J1432" s="8">
        <f>IF(F1432&lt;&gt;"","https://api.qrserver.com/v1/create-qr-code/?size=200x200&amp;data="&amp;ENCODEURL("https://www.google.com/maps/search/?api=1&amp;query="&amp;SUBSTITUTE(F1432," ","")),"")</f>
        <v/>
      </c>
      <c r="K1432" s="8">
        <f>IF(C1432&lt;&gt;"",HYPERLINK("https://wa.me/507"&amp;REGEXREPLACE(C1432,"[^0-9]","")&amp;"?text="&amp;ENCODEURL("Ya llegue. Codigo: "&amp;A1432&amp;". Ubicacion: "&amp;"https://www.google.com/maps/search/?api=1&amp;query="&amp;SUBSTITUTE(F1432," ","")),"📲 Avisar al cliente"),"")</f>
        <v/>
      </c>
      <c r="L1432" s="8">
        <f>IF(C1432&lt;&gt;"","https://api.qrserver.com/v1/create-qr-code/?size=200x200&amp;data="&amp;ENCODEURL("https://wa.me/507"&amp;REGEXREPLACE(C1432,"[^0-9]","")&amp;"?text="&amp;ENCODEURL("Ya llegue. Codigo: "&amp;A1432&amp;". Ubicacion: "&amp;"https://www.google.com/maps/search/?api=1&amp;query="&amp;SUBSTITUTE(F1432," ",""))),"")</f>
        <v/>
      </c>
      <c r="M1432" s="8">
        <f>IF(B1432&lt;&gt;"",TODAY(),"")</f>
        <v/>
      </c>
      <c r="N1432" s="8">
        <f>IF(F1432&lt;&gt;"",IFERROR(IF(AND(REGEXMATCH(SUBSTITUTE(TRIM(F1432)," ",""),"^-?\d+(\.\d+)?,-?\d+(\.\d+)?$"),VALUE(REGEXEXTRACT(SUBSTITUTE(TRIM(F1432)," ",""),"^-?\d+(\.\d+)?"))&gt;=-90,VALUE(REGEXEXTRACT(SUBSTITUTE(TRIM(F1432)," ",""),"^-?\d+(\.\d+)?"))&lt;=90,VALUE(REGEXEXTRACT(SUBSTITUTE(TRIM(F1432)," ",""),"-?\d+(\.\d+)?$"))&gt;=-180,VALUE(REGEXEXTRACT(SUBSTITUTE(TRIM(F1432)," ",""),"-?\d+(\.\d+)?$"))&lt;=180),"OK","REVISAR"),"REVISAR"),"")</f>
        <v/>
      </c>
      <c r="O1432">
        <f>IF(A1432&lt;&gt;"","https://direcciones507.github.io/direcciones507/panel.html?codigo="&amp;A1432&amp;"&amp;nombre="&amp;ENCODEURL(B1432)&amp;"&amp;telefono="&amp;SUBSTITUTE(C1432,"-","")&amp;"&amp;referencia="&amp;ENCODEURL(E1432)&amp;"&amp;lat="&amp;IZQUIERDA(SUBSTITUTE(F1432," ",""),ENCONTRAR(",",SUBSTITUTE(F1432," ",""))-1)&amp;"&amp;lng="&amp;DERECHA(SUBSTITUTE(F1432," ",""),LARGO(SUBSTITUTE(F1432," ",""))-ENCONTRAR(",",SUBSTITUTE(F1432," ",""))),"")</f>
        <v/>
      </c>
    </row>
    <row r="1433" ht="15.75" customHeight="1" s="10">
      <c r="A1433" s="8">
        <f>CONCAT("AD507-",TEXT(ROW()-2,"0000"))</f>
        <v/>
      </c>
      <c r="C1433" s="8" t="n"/>
      <c r="F1433" s="8" t="n"/>
      <c r="G1433" s="8">
        <f>IF(F1433&lt;&gt;"",HYPERLINK("https://www.google.com/maps/search/?api=1&amp;query="&amp;SUBSTITUTE(F1433," ",""),"🗺 Google Maps"),"")</f>
        <v/>
      </c>
      <c r="H1433" s="8">
        <f>IF(F1433&lt;&gt;"",HYPERLINK("https://waze.com/ul?ll="&amp;SUBSTITUTE(F1433," ","")&amp;"&amp;navigate=yes","🚗 Waze"),"")</f>
        <v/>
      </c>
      <c r="I1433" s="8">
        <f>IF(F1433&lt;&gt;"",HYPERLINK("https://m.uber.com/ul/?action=setPickup&amp;pickup=my_location&amp;dropoff[latitude]="&amp;LEFT(SUBSTITUTE(F1433," ",""),FIND(",",SUBSTITUTE(F1433," ",""))-1)&amp;"&amp;dropoff[longitude]="&amp;MID(SUBSTITUTE(F1433," ",""),FIND(",",SUBSTITUTE(F1433," ",""))+1,99),"🚕 Uber"),"")</f>
        <v/>
      </c>
      <c r="J1433" s="8">
        <f>IF(F1433&lt;&gt;"","https://api.qrserver.com/v1/create-qr-code/?size=200x200&amp;data="&amp;ENCODEURL("https://www.google.com/maps/search/?api=1&amp;query="&amp;SUBSTITUTE(F1433," ","")),"")</f>
        <v/>
      </c>
      <c r="K1433" s="8">
        <f>IF(C1433&lt;&gt;"",HYPERLINK("https://wa.me/507"&amp;REGEXREPLACE(C1433,"[^0-9]","")&amp;"?text="&amp;ENCODEURL("Ya llegue. Codigo: "&amp;A1433&amp;". Ubicacion: "&amp;"https://www.google.com/maps/search/?api=1&amp;query="&amp;SUBSTITUTE(F1433," ","")),"📲 Avisar al cliente"),"")</f>
        <v/>
      </c>
      <c r="L1433" s="8">
        <f>IF(C1433&lt;&gt;"","https://api.qrserver.com/v1/create-qr-code/?size=200x200&amp;data="&amp;ENCODEURL("https://wa.me/507"&amp;REGEXREPLACE(C1433,"[^0-9]","")&amp;"?text="&amp;ENCODEURL("Ya llegue. Codigo: "&amp;A1433&amp;". Ubicacion: "&amp;"https://www.google.com/maps/search/?api=1&amp;query="&amp;SUBSTITUTE(F1433," ",""))),"")</f>
        <v/>
      </c>
      <c r="M1433" s="8">
        <f>IF(B1433&lt;&gt;"",TODAY(),"")</f>
        <v/>
      </c>
      <c r="N1433" s="8">
        <f>IF(F1433&lt;&gt;"",IFERROR(IF(AND(REGEXMATCH(SUBSTITUTE(TRIM(F1433)," ",""),"^-?\d+(\.\d+)?,-?\d+(\.\d+)?$"),VALUE(REGEXEXTRACT(SUBSTITUTE(TRIM(F1433)," ",""),"^-?\d+(\.\d+)?"))&gt;=-90,VALUE(REGEXEXTRACT(SUBSTITUTE(TRIM(F1433)," ",""),"^-?\d+(\.\d+)?"))&lt;=90,VALUE(REGEXEXTRACT(SUBSTITUTE(TRIM(F1433)," ",""),"-?\d+(\.\d+)?$"))&gt;=-180,VALUE(REGEXEXTRACT(SUBSTITUTE(TRIM(F1433)," ",""),"-?\d+(\.\d+)?$"))&lt;=180),"OK","REVISAR"),"REVISAR"),"")</f>
        <v/>
      </c>
      <c r="O1433">
        <f>IF(A1433&lt;&gt;"","https://direcciones507.github.io/direcciones507/panel.html?codigo="&amp;A1433&amp;"&amp;nombre="&amp;ENCODEURL(B1433)&amp;"&amp;telefono="&amp;SUBSTITUTE(C1433,"-","")&amp;"&amp;referencia="&amp;ENCODEURL(E1433)&amp;"&amp;lat="&amp;IZQUIERDA(SUBSTITUTE(F1433," ",""),ENCONTRAR(",",SUBSTITUTE(F1433," ",""))-1)&amp;"&amp;lng="&amp;DERECHA(SUBSTITUTE(F1433," ",""),LARGO(SUBSTITUTE(F1433," ",""))-ENCONTRAR(",",SUBSTITUTE(F1433," ",""))),"")</f>
        <v/>
      </c>
    </row>
    <row r="1434" ht="15.75" customHeight="1" s="10">
      <c r="A1434" s="8">
        <f>CONCAT("AD507-",TEXT(ROW()-2,"0000"))</f>
        <v/>
      </c>
      <c r="C1434" s="8" t="n"/>
      <c r="F1434" s="8" t="n"/>
      <c r="G1434" s="8">
        <f>IF(F1434&lt;&gt;"",HYPERLINK("https://www.google.com/maps/search/?api=1&amp;query="&amp;SUBSTITUTE(F1434," ",""),"🗺 Google Maps"),"")</f>
        <v/>
      </c>
      <c r="H1434" s="8">
        <f>IF(F1434&lt;&gt;"",HYPERLINK("https://waze.com/ul?ll="&amp;SUBSTITUTE(F1434," ","")&amp;"&amp;navigate=yes","🚗 Waze"),"")</f>
        <v/>
      </c>
      <c r="I1434" s="8">
        <f>IF(F1434&lt;&gt;"",HYPERLINK("https://m.uber.com/ul/?action=setPickup&amp;pickup=my_location&amp;dropoff[latitude]="&amp;LEFT(SUBSTITUTE(F1434," ",""),FIND(",",SUBSTITUTE(F1434," ",""))-1)&amp;"&amp;dropoff[longitude]="&amp;MID(SUBSTITUTE(F1434," ",""),FIND(",",SUBSTITUTE(F1434," ",""))+1,99),"🚕 Uber"),"")</f>
        <v/>
      </c>
      <c r="J1434" s="8">
        <f>IF(F1434&lt;&gt;"","https://api.qrserver.com/v1/create-qr-code/?size=200x200&amp;data="&amp;ENCODEURL("https://www.google.com/maps/search/?api=1&amp;query="&amp;SUBSTITUTE(F1434," ","")),"")</f>
        <v/>
      </c>
      <c r="K1434" s="8">
        <f>IF(C1434&lt;&gt;"",HYPERLINK("https://wa.me/507"&amp;REGEXREPLACE(C1434,"[^0-9]","")&amp;"?text="&amp;ENCODEURL("Ya llegue. Codigo: "&amp;A1434&amp;". Ubicacion: "&amp;"https://www.google.com/maps/search/?api=1&amp;query="&amp;SUBSTITUTE(F1434," ","")),"📲 Avisar al cliente"),"")</f>
        <v/>
      </c>
      <c r="L1434" s="8">
        <f>IF(C1434&lt;&gt;"","https://api.qrserver.com/v1/create-qr-code/?size=200x200&amp;data="&amp;ENCODEURL("https://wa.me/507"&amp;REGEXREPLACE(C1434,"[^0-9]","")&amp;"?text="&amp;ENCODEURL("Ya llegue. Codigo: "&amp;A1434&amp;". Ubicacion: "&amp;"https://www.google.com/maps/search/?api=1&amp;query="&amp;SUBSTITUTE(F1434," ",""))),"")</f>
        <v/>
      </c>
      <c r="M1434" s="8">
        <f>IF(B1434&lt;&gt;"",TODAY(),"")</f>
        <v/>
      </c>
      <c r="N1434" s="8">
        <f>IF(F1434&lt;&gt;"",IFERROR(IF(AND(REGEXMATCH(SUBSTITUTE(TRIM(F1434)," ",""),"^-?\d+(\.\d+)?,-?\d+(\.\d+)?$"),VALUE(REGEXEXTRACT(SUBSTITUTE(TRIM(F1434)," ",""),"^-?\d+(\.\d+)?"))&gt;=-90,VALUE(REGEXEXTRACT(SUBSTITUTE(TRIM(F1434)," ",""),"^-?\d+(\.\d+)?"))&lt;=90,VALUE(REGEXEXTRACT(SUBSTITUTE(TRIM(F1434)," ",""),"-?\d+(\.\d+)?$"))&gt;=-180,VALUE(REGEXEXTRACT(SUBSTITUTE(TRIM(F1434)," ",""),"-?\d+(\.\d+)?$"))&lt;=180),"OK","REVISAR"),"REVISAR"),"")</f>
        <v/>
      </c>
      <c r="O1434">
        <f>IF(A1434&lt;&gt;"","https://direcciones507.github.io/direcciones507/panel.html?codigo="&amp;A1434&amp;"&amp;nombre="&amp;ENCODEURL(B1434)&amp;"&amp;telefono="&amp;SUBSTITUTE(C1434,"-","")&amp;"&amp;referencia="&amp;ENCODEURL(E1434)&amp;"&amp;lat="&amp;IZQUIERDA(SUBSTITUTE(F1434," ",""),ENCONTRAR(",",SUBSTITUTE(F1434," ",""))-1)&amp;"&amp;lng="&amp;DERECHA(SUBSTITUTE(F1434," ",""),LARGO(SUBSTITUTE(F1434," ",""))-ENCONTRAR(",",SUBSTITUTE(F1434," ",""))),"")</f>
        <v/>
      </c>
    </row>
    <row r="1435" ht="15.75" customHeight="1" s="10">
      <c r="A1435" s="8">
        <f>CONCAT("AD507-",TEXT(ROW()-2,"0000"))</f>
        <v/>
      </c>
      <c r="C1435" s="8" t="n"/>
      <c r="F1435" s="8" t="n"/>
      <c r="G1435" s="8">
        <f>IF(F1435&lt;&gt;"",HYPERLINK("https://www.google.com/maps/search/?api=1&amp;query="&amp;SUBSTITUTE(F1435," ",""),"🗺 Google Maps"),"")</f>
        <v/>
      </c>
      <c r="H1435" s="8">
        <f>IF(F1435&lt;&gt;"",HYPERLINK("https://waze.com/ul?ll="&amp;SUBSTITUTE(F1435," ","")&amp;"&amp;navigate=yes","🚗 Waze"),"")</f>
        <v/>
      </c>
      <c r="I1435" s="8">
        <f>IF(F1435&lt;&gt;"",HYPERLINK("https://m.uber.com/ul/?action=setPickup&amp;pickup=my_location&amp;dropoff[latitude]="&amp;LEFT(SUBSTITUTE(F1435," ",""),FIND(",",SUBSTITUTE(F1435," ",""))-1)&amp;"&amp;dropoff[longitude]="&amp;MID(SUBSTITUTE(F1435," ",""),FIND(",",SUBSTITUTE(F1435," ",""))+1,99),"🚕 Uber"),"")</f>
        <v/>
      </c>
      <c r="J1435" s="8">
        <f>IF(F1435&lt;&gt;"","https://api.qrserver.com/v1/create-qr-code/?size=200x200&amp;data="&amp;ENCODEURL("https://www.google.com/maps/search/?api=1&amp;query="&amp;SUBSTITUTE(F1435," ","")),"")</f>
        <v/>
      </c>
      <c r="K1435" s="8">
        <f>IF(C1435&lt;&gt;"",HYPERLINK("https://wa.me/507"&amp;REGEXREPLACE(C1435,"[^0-9]","")&amp;"?text="&amp;ENCODEURL("Ya llegue. Codigo: "&amp;A1435&amp;". Ubicacion: "&amp;"https://www.google.com/maps/search/?api=1&amp;query="&amp;SUBSTITUTE(F1435," ","")),"📲 Avisar al cliente"),"")</f>
        <v/>
      </c>
      <c r="L1435" s="8">
        <f>IF(C1435&lt;&gt;"","https://api.qrserver.com/v1/create-qr-code/?size=200x200&amp;data="&amp;ENCODEURL("https://wa.me/507"&amp;REGEXREPLACE(C1435,"[^0-9]","")&amp;"?text="&amp;ENCODEURL("Ya llegue. Codigo: "&amp;A1435&amp;". Ubicacion: "&amp;"https://www.google.com/maps/search/?api=1&amp;query="&amp;SUBSTITUTE(F1435," ",""))),"")</f>
        <v/>
      </c>
      <c r="M1435" s="8">
        <f>IF(B1435&lt;&gt;"",TODAY(),"")</f>
        <v/>
      </c>
      <c r="N1435" s="8">
        <f>IF(F1435&lt;&gt;"",IFERROR(IF(AND(REGEXMATCH(SUBSTITUTE(TRIM(F1435)," ",""),"^-?\d+(\.\d+)?,-?\d+(\.\d+)?$"),VALUE(REGEXEXTRACT(SUBSTITUTE(TRIM(F1435)," ",""),"^-?\d+(\.\d+)?"))&gt;=-90,VALUE(REGEXEXTRACT(SUBSTITUTE(TRIM(F1435)," ",""),"^-?\d+(\.\d+)?"))&lt;=90,VALUE(REGEXEXTRACT(SUBSTITUTE(TRIM(F1435)," ",""),"-?\d+(\.\d+)?$"))&gt;=-180,VALUE(REGEXEXTRACT(SUBSTITUTE(TRIM(F1435)," ",""),"-?\d+(\.\d+)?$"))&lt;=180),"OK","REVISAR"),"REVISAR"),"")</f>
        <v/>
      </c>
      <c r="O1435">
        <f>IF(A1435&lt;&gt;"","https://direcciones507.github.io/direcciones507/panel.html?codigo="&amp;A1435&amp;"&amp;nombre="&amp;ENCODEURL(B1435)&amp;"&amp;telefono="&amp;SUBSTITUTE(C1435,"-","")&amp;"&amp;referencia="&amp;ENCODEURL(E1435)&amp;"&amp;lat="&amp;IZQUIERDA(SUBSTITUTE(F1435," ",""),ENCONTRAR(",",SUBSTITUTE(F1435," ",""))-1)&amp;"&amp;lng="&amp;DERECHA(SUBSTITUTE(F1435," ",""),LARGO(SUBSTITUTE(F1435," ",""))-ENCONTRAR(",",SUBSTITUTE(F1435," ",""))),"")</f>
        <v/>
      </c>
    </row>
    <row r="1436" ht="15.75" customHeight="1" s="10">
      <c r="A1436" s="8">
        <f>CONCAT("AD507-",TEXT(ROW()-2,"0000"))</f>
        <v/>
      </c>
      <c r="C1436" s="8" t="n"/>
      <c r="F1436" s="8" t="n"/>
      <c r="G1436" s="8">
        <f>IF(F1436&lt;&gt;"",HYPERLINK("https://www.google.com/maps/search/?api=1&amp;query="&amp;SUBSTITUTE(F1436," ",""),"🗺 Google Maps"),"")</f>
        <v/>
      </c>
      <c r="H1436" s="8">
        <f>IF(F1436&lt;&gt;"",HYPERLINK("https://waze.com/ul?ll="&amp;SUBSTITUTE(F1436," ","")&amp;"&amp;navigate=yes","🚗 Waze"),"")</f>
        <v/>
      </c>
      <c r="I1436" s="8">
        <f>IF(F1436&lt;&gt;"",HYPERLINK("https://m.uber.com/ul/?action=setPickup&amp;pickup=my_location&amp;dropoff[latitude]="&amp;LEFT(SUBSTITUTE(F1436," ",""),FIND(",",SUBSTITUTE(F1436," ",""))-1)&amp;"&amp;dropoff[longitude]="&amp;MID(SUBSTITUTE(F1436," ",""),FIND(",",SUBSTITUTE(F1436," ",""))+1,99),"🚕 Uber"),"")</f>
        <v/>
      </c>
      <c r="J1436" s="8">
        <f>IF(F1436&lt;&gt;"","https://api.qrserver.com/v1/create-qr-code/?size=200x200&amp;data="&amp;ENCODEURL("https://www.google.com/maps/search/?api=1&amp;query="&amp;SUBSTITUTE(F1436," ","")),"")</f>
        <v/>
      </c>
      <c r="K1436" s="8">
        <f>IF(C1436&lt;&gt;"",HYPERLINK("https://wa.me/507"&amp;REGEXREPLACE(C1436,"[^0-9]","")&amp;"?text="&amp;ENCODEURL("Ya llegue. Codigo: "&amp;A1436&amp;". Ubicacion: "&amp;"https://www.google.com/maps/search/?api=1&amp;query="&amp;SUBSTITUTE(F1436," ","")),"📲 Avisar al cliente"),"")</f>
        <v/>
      </c>
      <c r="L1436" s="8">
        <f>IF(C1436&lt;&gt;"","https://api.qrserver.com/v1/create-qr-code/?size=200x200&amp;data="&amp;ENCODEURL("https://wa.me/507"&amp;REGEXREPLACE(C1436,"[^0-9]","")&amp;"?text="&amp;ENCODEURL("Ya llegue. Codigo: "&amp;A1436&amp;". Ubicacion: "&amp;"https://www.google.com/maps/search/?api=1&amp;query="&amp;SUBSTITUTE(F1436," ",""))),"")</f>
        <v/>
      </c>
      <c r="M1436" s="8">
        <f>IF(B1436&lt;&gt;"",TODAY(),"")</f>
        <v/>
      </c>
      <c r="N1436" s="8">
        <f>IF(F1436&lt;&gt;"",IFERROR(IF(AND(REGEXMATCH(SUBSTITUTE(TRIM(F1436)," ",""),"^-?\d+(\.\d+)?,-?\d+(\.\d+)?$"),VALUE(REGEXEXTRACT(SUBSTITUTE(TRIM(F1436)," ",""),"^-?\d+(\.\d+)?"))&gt;=-90,VALUE(REGEXEXTRACT(SUBSTITUTE(TRIM(F1436)," ",""),"^-?\d+(\.\d+)?"))&lt;=90,VALUE(REGEXEXTRACT(SUBSTITUTE(TRIM(F1436)," ",""),"-?\d+(\.\d+)?$"))&gt;=-180,VALUE(REGEXEXTRACT(SUBSTITUTE(TRIM(F1436)," ",""),"-?\d+(\.\d+)?$"))&lt;=180),"OK","REVISAR"),"REVISAR"),"")</f>
        <v/>
      </c>
      <c r="O1436">
        <f>IF(A1436&lt;&gt;"","https://direcciones507.github.io/direcciones507/panel.html?codigo="&amp;A1436&amp;"&amp;nombre="&amp;ENCODEURL(B1436)&amp;"&amp;telefono="&amp;SUBSTITUTE(C1436,"-","")&amp;"&amp;referencia="&amp;ENCODEURL(E1436)&amp;"&amp;lat="&amp;IZQUIERDA(SUBSTITUTE(F1436," ",""),ENCONTRAR(",",SUBSTITUTE(F1436," ",""))-1)&amp;"&amp;lng="&amp;DERECHA(SUBSTITUTE(F1436," ",""),LARGO(SUBSTITUTE(F1436," ",""))-ENCONTRAR(",",SUBSTITUTE(F1436," ",""))),"")</f>
        <v/>
      </c>
    </row>
    <row r="1437" ht="15.75" customHeight="1" s="10">
      <c r="A1437" s="8">
        <f>CONCAT("AD507-",TEXT(ROW()-2,"0000"))</f>
        <v/>
      </c>
      <c r="C1437" s="8" t="n"/>
      <c r="F1437" s="8" t="n"/>
      <c r="G1437" s="8">
        <f>IF(F1437&lt;&gt;"",HYPERLINK("https://www.google.com/maps/search/?api=1&amp;query="&amp;SUBSTITUTE(F1437," ",""),"🗺 Google Maps"),"")</f>
        <v/>
      </c>
      <c r="H1437" s="8">
        <f>IF(F1437&lt;&gt;"",HYPERLINK("https://waze.com/ul?ll="&amp;SUBSTITUTE(F1437," ","")&amp;"&amp;navigate=yes","🚗 Waze"),"")</f>
        <v/>
      </c>
      <c r="I1437" s="8">
        <f>IF(F1437&lt;&gt;"",HYPERLINK("https://m.uber.com/ul/?action=setPickup&amp;pickup=my_location&amp;dropoff[latitude]="&amp;LEFT(SUBSTITUTE(F1437," ",""),FIND(",",SUBSTITUTE(F1437," ",""))-1)&amp;"&amp;dropoff[longitude]="&amp;MID(SUBSTITUTE(F1437," ",""),FIND(",",SUBSTITUTE(F1437," ",""))+1,99),"🚕 Uber"),"")</f>
        <v/>
      </c>
      <c r="J1437" s="8">
        <f>IF(F1437&lt;&gt;"","https://api.qrserver.com/v1/create-qr-code/?size=200x200&amp;data="&amp;ENCODEURL("https://www.google.com/maps/search/?api=1&amp;query="&amp;SUBSTITUTE(F1437," ","")),"")</f>
        <v/>
      </c>
      <c r="K1437" s="8">
        <f>IF(C1437&lt;&gt;"",HYPERLINK("https://wa.me/507"&amp;REGEXREPLACE(C1437,"[^0-9]","")&amp;"?text="&amp;ENCODEURL("Ya llegue. Codigo: "&amp;A1437&amp;". Ubicacion: "&amp;"https://www.google.com/maps/search/?api=1&amp;query="&amp;SUBSTITUTE(F1437," ","")),"📲 Avisar al cliente"),"")</f>
        <v/>
      </c>
      <c r="L1437" s="8">
        <f>IF(C1437&lt;&gt;"","https://api.qrserver.com/v1/create-qr-code/?size=200x200&amp;data="&amp;ENCODEURL("https://wa.me/507"&amp;REGEXREPLACE(C1437,"[^0-9]","")&amp;"?text="&amp;ENCODEURL("Ya llegue. Codigo: "&amp;A1437&amp;". Ubicacion: "&amp;"https://www.google.com/maps/search/?api=1&amp;query="&amp;SUBSTITUTE(F1437," ",""))),"")</f>
        <v/>
      </c>
      <c r="M1437" s="8">
        <f>IF(B1437&lt;&gt;"",TODAY(),"")</f>
        <v/>
      </c>
      <c r="N1437" s="8">
        <f>IF(F1437&lt;&gt;"",IFERROR(IF(AND(REGEXMATCH(SUBSTITUTE(TRIM(F1437)," ",""),"^-?\d+(\.\d+)?,-?\d+(\.\d+)?$"),VALUE(REGEXEXTRACT(SUBSTITUTE(TRIM(F1437)," ",""),"^-?\d+(\.\d+)?"))&gt;=-90,VALUE(REGEXEXTRACT(SUBSTITUTE(TRIM(F1437)," ",""),"^-?\d+(\.\d+)?"))&lt;=90,VALUE(REGEXEXTRACT(SUBSTITUTE(TRIM(F1437)," ",""),"-?\d+(\.\d+)?$"))&gt;=-180,VALUE(REGEXEXTRACT(SUBSTITUTE(TRIM(F1437)," ",""),"-?\d+(\.\d+)?$"))&lt;=180),"OK","REVISAR"),"REVISAR"),"")</f>
        <v/>
      </c>
      <c r="O1437">
        <f>IF(A1437&lt;&gt;"","https://direcciones507.github.io/direcciones507/panel.html?codigo="&amp;A1437&amp;"&amp;nombre="&amp;ENCODEURL(B1437)&amp;"&amp;telefono="&amp;SUBSTITUTE(C1437,"-","")&amp;"&amp;referencia="&amp;ENCODEURL(E1437)&amp;"&amp;lat="&amp;IZQUIERDA(SUBSTITUTE(F1437," ",""),ENCONTRAR(",",SUBSTITUTE(F1437," ",""))-1)&amp;"&amp;lng="&amp;DERECHA(SUBSTITUTE(F1437," ",""),LARGO(SUBSTITUTE(F1437," ",""))-ENCONTRAR(",",SUBSTITUTE(F1437," ",""))),"")</f>
        <v/>
      </c>
    </row>
    <row r="1438" ht="15.75" customHeight="1" s="10">
      <c r="A1438" s="8">
        <f>CONCAT("AD507-",TEXT(ROW()-2,"0000"))</f>
        <v/>
      </c>
      <c r="C1438" s="8" t="n"/>
      <c r="F1438" s="8" t="n"/>
      <c r="G1438" s="8">
        <f>IF(F1438&lt;&gt;"",HYPERLINK("https://www.google.com/maps/search/?api=1&amp;query="&amp;SUBSTITUTE(F1438," ",""),"🗺 Google Maps"),"")</f>
        <v/>
      </c>
      <c r="H1438" s="8">
        <f>IF(F1438&lt;&gt;"",HYPERLINK("https://waze.com/ul?ll="&amp;SUBSTITUTE(F1438," ","")&amp;"&amp;navigate=yes","🚗 Waze"),"")</f>
        <v/>
      </c>
      <c r="I1438" s="8">
        <f>IF(F1438&lt;&gt;"",HYPERLINK("https://m.uber.com/ul/?action=setPickup&amp;pickup=my_location&amp;dropoff[latitude]="&amp;LEFT(SUBSTITUTE(F1438," ",""),FIND(",",SUBSTITUTE(F1438," ",""))-1)&amp;"&amp;dropoff[longitude]="&amp;MID(SUBSTITUTE(F1438," ",""),FIND(",",SUBSTITUTE(F1438," ",""))+1,99),"🚕 Uber"),"")</f>
        <v/>
      </c>
      <c r="J1438" s="8">
        <f>IF(F1438&lt;&gt;"","https://api.qrserver.com/v1/create-qr-code/?size=200x200&amp;data="&amp;ENCODEURL("https://www.google.com/maps/search/?api=1&amp;query="&amp;SUBSTITUTE(F1438," ","")),"")</f>
        <v/>
      </c>
      <c r="K1438" s="8">
        <f>IF(C1438&lt;&gt;"",HYPERLINK("https://wa.me/507"&amp;REGEXREPLACE(C1438,"[^0-9]","")&amp;"?text="&amp;ENCODEURL("Ya llegue. Codigo: "&amp;A1438&amp;". Ubicacion: "&amp;"https://www.google.com/maps/search/?api=1&amp;query="&amp;SUBSTITUTE(F1438," ","")),"📲 Avisar al cliente"),"")</f>
        <v/>
      </c>
      <c r="L1438" s="8">
        <f>IF(C1438&lt;&gt;"","https://api.qrserver.com/v1/create-qr-code/?size=200x200&amp;data="&amp;ENCODEURL("https://wa.me/507"&amp;REGEXREPLACE(C1438,"[^0-9]","")&amp;"?text="&amp;ENCODEURL("Ya llegue. Codigo: "&amp;A1438&amp;". Ubicacion: "&amp;"https://www.google.com/maps/search/?api=1&amp;query="&amp;SUBSTITUTE(F1438," ",""))),"")</f>
        <v/>
      </c>
      <c r="M1438" s="8">
        <f>IF(B1438&lt;&gt;"",TODAY(),"")</f>
        <v/>
      </c>
      <c r="N1438" s="8">
        <f>IF(F1438&lt;&gt;"",IFERROR(IF(AND(REGEXMATCH(SUBSTITUTE(TRIM(F1438)," ",""),"^-?\d+(\.\d+)?,-?\d+(\.\d+)?$"),VALUE(REGEXEXTRACT(SUBSTITUTE(TRIM(F1438)," ",""),"^-?\d+(\.\d+)?"))&gt;=-90,VALUE(REGEXEXTRACT(SUBSTITUTE(TRIM(F1438)," ",""),"^-?\d+(\.\d+)?"))&lt;=90,VALUE(REGEXEXTRACT(SUBSTITUTE(TRIM(F1438)," ",""),"-?\d+(\.\d+)?$"))&gt;=-180,VALUE(REGEXEXTRACT(SUBSTITUTE(TRIM(F1438)," ",""),"-?\d+(\.\d+)?$"))&lt;=180),"OK","REVISAR"),"REVISAR"),"")</f>
        <v/>
      </c>
      <c r="O1438">
        <f>IF(A1438&lt;&gt;"","https://direcciones507.github.io/direcciones507/panel.html?codigo="&amp;A1438&amp;"&amp;nombre="&amp;ENCODEURL(B1438)&amp;"&amp;telefono="&amp;SUBSTITUTE(C1438,"-","")&amp;"&amp;referencia="&amp;ENCODEURL(E1438)&amp;"&amp;lat="&amp;IZQUIERDA(SUBSTITUTE(F1438," ",""),ENCONTRAR(",",SUBSTITUTE(F1438," ",""))-1)&amp;"&amp;lng="&amp;DERECHA(SUBSTITUTE(F1438," ",""),LARGO(SUBSTITUTE(F1438," ",""))-ENCONTRAR(",",SUBSTITUTE(F1438," ",""))),"")</f>
        <v/>
      </c>
    </row>
    <row r="1439" ht="15.75" customHeight="1" s="10">
      <c r="A1439" s="8">
        <f>CONCAT("AD507-",TEXT(ROW()-2,"0000"))</f>
        <v/>
      </c>
      <c r="C1439" s="8" t="n"/>
      <c r="F1439" s="8" t="n"/>
      <c r="G1439" s="8">
        <f>IF(F1439&lt;&gt;"",HYPERLINK("https://www.google.com/maps/search/?api=1&amp;query="&amp;SUBSTITUTE(F1439," ",""),"🗺 Google Maps"),"")</f>
        <v/>
      </c>
      <c r="H1439" s="8">
        <f>IF(F1439&lt;&gt;"",HYPERLINK("https://waze.com/ul?ll="&amp;SUBSTITUTE(F1439," ","")&amp;"&amp;navigate=yes","🚗 Waze"),"")</f>
        <v/>
      </c>
      <c r="I1439" s="8">
        <f>IF(F1439&lt;&gt;"",HYPERLINK("https://m.uber.com/ul/?action=setPickup&amp;pickup=my_location&amp;dropoff[latitude]="&amp;LEFT(SUBSTITUTE(F1439," ",""),FIND(",",SUBSTITUTE(F1439," ",""))-1)&amp;"&amp;dropoff[longitude]="&amp;MID(SUBSTITUTE(F1439," ",""),FIND(",",SUBSTITUTE(F1439," ",""))+1,99),"🚕 Uber"),"")</f>
        <v/>
      </c>
      <c r="J1439" s="8">
        <f>IF(F1439&lt;&gt;"","https://api.qrserver.com/v1/create-qr-code/?size=200x200&amp;data="&amp;ENCODEURL("https://www.google.com/maps/search/?api=1&amp;query="&amp;SUBSTITUTE(F1439," ","")),"")</f>
        <v/>
      </c>
      <c r="K1439" s="8">
        <f>IF(C1439&lt;&gt;"",HYPERLINK("https://wa.me/507"&amp;REGEXREPLACE(C1439,"[^0-9]","")&amp;"?text="&amp;ENCODEURL("Ya llegue. Codigo: "&amp;A1439&amp;". Ubicacion: "&amp;"https://www.google.com/maps/search/?api=1&amp;query="&amp;SUBSTITUTE(F1439," ","")),"📲 Avisar al cliente"),"")</f>
        <v/>
      </c>
      <c r="L1439" s="8">
        <f>IF(C1439&lt;&gt;"","https://api.qrserver.com/v1/create-qr-code/?size=200x200&amp;data="&amp;ENCODEURL("https://wa.me/507"&amp;REGEXREPLACE(C1439,"[^0-9]","")&amp;"?text="&amp;ENCODEURL("Ya llegue. Codigo: "&amp;A1439&amp;". Ubicacion: "&amp;"https://www.google.com/maps/search/?api=1&amp;query="&amp;SUBSTITUTE(F1439," ",""))),"")</f>
        <v/>
      </c>
      <c r="M1439" s="8">
        <f>IF(B1439&lt;&gt;"",TODAY(),"")</f>
        <v/>
      </c>
      <c r="N1439" s="8">
        <f>IF(F1439&lt;&gt;"",IFERROR(IF(AND(REGEXMATCH(SUBSTITUTE(TRIM(F1439)," ",""),"^-?\d+(\.\d+)?,-?\d+(\.\d+)?$"),VALUE(REGEXEXTRACT(SUBSTITUTE(TRIM(F1439)," ",""),"^-?\d+(\.\d+)?"))&gt;=-90,VALUE(REGEXEXTRACT(SUBSTITUTE(TRIM(F1439)," ",""),"^-?\d+(\.\d+)?"))&lt;=90,VALUE(REGEXEXTRACT(SUBSTITUTE(TRIM(F1439)," ",""),"-?\d+(\.\d+)?$"))&gt;=-180,VALUE(REGEXEXTRACT(SUBSTITUTE(TRIM(F1439)," ",""),"-?\d+(\.\d+)?$"))&lt;=180),"OK","REVISAR"),"REVISAR"),"")</f>
        <v/>
      </c>
      <c r="O1439">
        <f>IF(A1439&lt;&gt;"","https://direcciones507.github.io/direcciones507/panel.html?codigo="&amp;A1439&amp;"&amp;nombre="&amp;ENCODEURL(B1439)&amp;"&amp;telefono="&amp;SUBSTITUTE(C1439,"-","")&amp;"&amp;referencia="&amp;ENCODEURL(E1439)&amp;"&amp;lat="&amp;IZQUIERDA(SUBSTITUTE(F1439," ",""),ENCONTRAR(",",SUBSTITUTE(F1439," ",""))-1)&amp;"&amp;lng="&amp;DERECHA(SUBSTITUTE(F1439," ",""),LARGO(SUBSTITUTE(F1439," ",""))-ENCONTRAR(",",SUBSTITUTE(F1439," ",""))),"")</f>
        <v/>
      </c>
    </row>
    <row r="1440" ht="15.75" customHeight="1" s="10">
      <c r="A1440" s="8">
        <f>CONCAT("AD507-",TEXT(ROW()-2,"0000"))</f>
        <v/>
      </c>
      <c r="C1440" s="8" t="n"/>
      <c r="F1440" s="8" t="n"/>
      <c r="G1440" s="8">
        <f>IF(F1440&lt;&gt;"",HYPERLINK("https://www.google.com/maps/search/?api=1&amp;query="&amp;SUBSTITUTE(F1440," ",""),"🗺 Google Maps"),"")</f>
        <v/>
      </c>
      <c r="H1440" s="8">
        <f>IF(F1440&lt;&gt;"",HYPERLINK("https://waze.com/ul?ll="&amp;SUBSTITUTE(F1440," ","")&amp;"&amp;navigate=yes","🚗 Waze"),"")</f>
        <v/>
      </c>
      <c r="I1440" s="8">
        <f>IF(F1440&lt;&gt;"",HYPERLINK("https://m.uber.com/ul/?action=setPickup&amp;pickup=my_location&amp;dropoff[latitude]="&amp;LEFT(SUBSTITUTE(F1440," ",""),FIND(",",SUBSTITUTE(F1440," ",""))-1)&amp;"&amp;dropoff[longitude]="&amp;MID(SUBSTITUTE(F1440," ",""),FIND(",",SUBSTITUTE(F1440," ",""))+1,99),"🚕 Uber"),"")</f>
        <v/>
      </c>
      <c r="J1440" s="8">
        <f>IF(F1440&lt;&gt;"","https://api.qrserver.com/v1/create-qr-code/?size=200x200&amp;data="&amp;ENCODEURL("https://www.google.com/maps/search/?api=1&amp;query="&amp;SUBSTITUTE(F1440," ","")),"")</f>
        <v/>
      </c>
      <c r="K1440" s="8">
        <f>IF(C1440&lt;&gt;"",HYPERLINK("https://wa.me/507"&amp;REGEXREPLACE(C1440,"[^0-9]","")&amp;"?text="&amp;ENCODEURL("Ya llegue. Codigo: "&amp;A1440&amp;". Ubicacion: "&amp;"https://www.google.com/maps/search/?api=1&amp;query="&amp;SUBSTITUTE(F1440," ","")),"📲 Avisar al cliente"),"")</f>
        <v/>
      </c>
      <c r="L1440" s="8">
        <f>IF(C1440&lt;&gt;"","https://api.qrserver.com/v1/create-qr-code/?size=200x200&amp;data="&amp;ENCODEURL("https://wa.me/507"&amp;REGEXREPLACE(C1440,"[^0-9]","")&amp;"?text="&amp;ENCODEURL("Ya llegue. Codigo: "&amp;A1440&amp;". Ubicacion: "&amp;"https://www.google.com/maps/search/?api=1&amp;query="&amp;SUBSTITUTE(F1440," ",""))),"")</f>
        <v/>
      </c>
      <c r="M1440" s="8">
        <f>IF(B1440&lt;&gt;"",TODAY(),"")</f>
        <v/>
      </c>
      <c r="N1440" s="8">
        <f>IF(F1440&lt;&gt;"",IFERROR(IF(AND(REGEXMATCH(SUBSTITUTE(TRIM(F1440)," ",""),"^-?\d+(\.\d+)?,-?\d+(\.\d+)?$"),VALUE(REGEXEXTRACT(SUBSTITUTE(TRIM(F1440)," ",""),"^-?\d+(\.\d+)?"))&gt;=-90,VALUE(REGEXEXTRACT(SUBSTITUTE(TRIM(F1440)," ",""),"^-?\d+(\.\d+)?"))&lt;=90,VALUE(REGEXEXTRACT(SUBSTITUTE(TRIM(F1440)," ",""),"-?\d+(\.\d+)?$"))&gt;=-180,VALUE(REGEXEXTRACT(SUBSTITUTE(TRIM(F1440)," ",""),"-?\d+(\.\d+)?$"))&lt;=180),"OK","REVISAR"),"REVISAR"),"")</f>
        <v/>
      </c>
      <c r="O1440">
        <f>IF(A1440&lt;&gt;"","https://direcciones507.github.io/direcciones507/panel.html?codigo="&amp;A1440&amp;"&amp;nombre="&amp;ENCODEURL(B1440)&amp;"&amp;telefono="&amp;SUBSTITUTE(C1440,"-","")&amp;"&amp;referencia="&amp;ENCODEURL(E1440)&amp;"&amp;lat="&amp;IZQUIERDA(SUBSTITUTE(F1440," ",""),ENCONTRAR(",",SUBSTITUTE(F1440," ",""))-1)&amp;"&amp;lng="&amp;DERECHA(SUBSTITUTE(F1440," ",""),LARGO(SUBSTITUTE(F1440," ",""))-ENCONTRAR(",",SUBSTITUTE(F1440," ",""))),"")</f>
        <v/>
      </c>
    </row>
    <row r="1441" ht="15.75" customHeight="1" s="10">
      <c r="A1441" s="8">
        <f>CONCAT("AD507-",TEXT(ROW()-2,"0000"))</f>
        <v/>
      </c>
      <c r="C1441" s="8" t="n"/>
      <c r="F1441" s="8" t="n"/>
      <c r="G1441" s="8">
        <f>IF(F1441&lt;&gt;"",HYPERLINK("https://www.google.com/maps/search/?api=1&amp;query="&amp;SUBSTITUTE(F1441," ",""),"🗺 Google Maps"),"")</f>
        <v/>
      </c>
      <c r="H1441" s="8">
        <f>IF(F1441&lt;&gt;"",HYPERLINK("https://waze.com/ul?ll="&amp;SUBSTITUTE(F1441," ","")&amp;"&amp;navigate=yes","🚗 Waze"),"")</f>
        <v/>
      </c>
      <c r="I1441" s="8">
        <f>IF(F1441&lt;&gt;"",HYPERLINK("https://m.uber.com/ul/?action=setPickup&amp;pickup=my_location&amp;dropoff[latitude]="&amp;LEFT(SUBSTITUTE(F1441," ",""),FIND(",",SUBSTITUTE(F1441," ",""))-1)&amp;"&amp;dropoff[longitude]="&amp;MID(SUBSTITUTE(F1441," ",""),FIND(",",SUBSTITUTE(F1441," ",""))+1,99),"🚕 Uber"),"")</f>
        <v/>
      </c>
      <c r="J1441" s="8">
        <f>IF(F1441&lt;&gt;"","https://api.qrserver.com/v1/create-qr-code/?size=200x200&amp;data="&amp;ENCODEURL("https://www.google.com/maps/search/?api=1&amp;query="&amp;SUBSTITUTE(F1441," ","")),"")</f>
        <v/>
      </c>
      <c r="K1441" s="8">
        <f>IF(C1441&lt;&gt;"",HYPERLINK("https://wa.me/507"&amp;REGEXREPLACE(C1441,"[^0-9]","")&amp;"?text="&amp;ENCODEURL("Ya llegue. Codigo: "&amp;A1441&amp;". Ubicacion: "&amp;"https://www.google.com/maps/search/?api=1&amp;query="&amp;SUBSTITUTE(F1441," ","")),"📲 Avisar al cliente"),"")</f>
        <v/>
      </c>
      <c r="L1441" s="8">
        <f>IF(C1441&lt;&gt;"","https://api.qrserver.com/v1/create-qr-code/?size=200x200&amp;data="&amp;ENCODEURL("https://wa.me/507"&amp;REGEXREPLACE(C1441,"[^0-9]","")&amp;"?text="&amp;ENCODEURL("Ya llegue. Codigo: "&amp;A1441&amp;". Ubicacion: "&amp;"https://www.google.com/maps/search/?api=1&amp;query="&amp;SUBSTITUTE(F1441," ",""))),"")</f>
        <v/>
      </c>
      <c r="M1441" s="8">
        <f>IF(B1441&lt;&gt;"",TODAY(),"")</f>
        <v/>
      </c>
      <c r="N1441" s="8">
        <f>IF(F1441&lt;&gt;"",IFERROR(IF(AND(REGEXMATCH(SUBSTITUTE(TRIM(F1441)," ",""),"^-?\d+(\.\d+)?,-?\d+(\.\d+)?$"),VALUE(REGEXEXTRACT(SUBSTITUTE(TRIM(F1441)," ",""),"^-?\d+(\.\d+)?"))&gt;=-90,VALUE(REGEXEXTRACT(SUBSTITUTE(TRIM(F1441)," ",""),"^-?\d+(\.\d+)?"))&lt;=90,VALUE(REGEXEXTRACT(SUBSTITUTE(TRIM(F1441)," ",""),"-?\d+(\.\d+)?$"))&gt;=-180,VALUE(REGEXEXTRACT(SUBSTITUTE(TRIM(F1441)," ",""),"-?\d+(\.\d+)?$"))&lt;=180),"OK","REVISAR"),"REVISAR"),"")</f>
        <v/>
      </c>
      <c r="O1441">
        <f>IF(A1441&lt;&gt;"","https://direcciones507.github.io/direcciones507/panel.html?codigo="&amp;A1441&amp;"&amp;nombre="&amp;ENCODEURL(B1441)&amp;"&amp;telefono="&amp;SUBSTITUTE(C1441,"-","")&amp;"&amp;referencia="&amp;ENCODEURL(E1441)&amp;"&amp;lat="&amp;IZQUIERDA(SUBSTITUTE(F1441," ",""),ENCONTRAR(",",SUBSTITUTE(F1441," ",""))-1)&amp;"&amp;lng="&amp;DERECHA(SUBSTITUTE(F1441," ",""),LARGO(SUBSTITUTE(F1441," ",""))-ENCONTRAR(",",SUBSTITUTE(F1441," ",""))),"")</f>
        <v/>
      </c>
    </row>
    <row r="1442" ht="15.75" customHeight="1" s="10">
      <c r="A1442" s="8">
        <f>CONCAT("AD507-",TEXT(ROW()-2,"0000"))</f>
        <v/>
      </c>
      <c r="C1442" s="8" t="n"/>
      <c r="F1442" s="8" t="n"/>
      <c r="G1442" s="8">
        <f>IF(F1442&lt;&gt;"",HYPERLINK("https://www.google.com/maps/search/?api=1&amp;query="&amp;SUBSTITUTE(F1442," ",""),"🗺 Google Maps"),"")</f>
        <v/>
      </c>
      <c r="H1442" s="8">
        <f>IF(F1442&lt;&gt;"",HYPERLINK("https://waze.com/ul?ll="&amp;SUBSTITUTE(F1442," ","")&amp;"&amp;navigate=yes","🚗 Waze"),"")</f>
        <v/>
      </c>
      <c r="I1442" s="8">
        <f>IF(F1442&lt;&gt;"",HYPERLINK("https://m.uber.com/ul/?action=setPickup&amp;pickup=my_location&amp;dropoff[latitude]="&amp;LEFT(SUBSTITUTE(F1442," ",""),FIND(",",SUBSTITUTE(F1442," ",""))-1)&amp;"&amp;dropoff[longitude]="&amp;MID(SUBSTITUTE(F1442," ",""),FIND(",",SUBSTITUTE(F1442," ",""))+1,99),"🚕 Uber"),"")</f>
        <v/>
      </c>
      <c r="J1442" s="8">
        <f>IF(F1442&lt;&gt;"","https://api.qrserver.com/v1/create-qr-code/?size=200x200&amp;data="&amp;ENCODEURL("https://www.google.com/maps/search/?api=1&amp;query="&amp;SUBSTITUTE(F1442," ","")),"")</f>
        <v/>
      </c>
      <c r="K1442" s="8">
        <f>IF(C1442&lt;&gt;"",HYPERLINK("https://wa.me/507"&amp;REGEXREPLACE(C1442,"[^0-9]","")&amp;"?text="&amp;ENCODEURL("Ya llegue. Codigo: "&amp;A1442&amp;". Ubicacion: "&amp;"https://www.google.com/maps/search/?api=1&amp;query="&amp;SUBSTITUTE(F1442," ","")),"📲 Avisar al cliente"),"")</f>
        <v/>
      </c>
      <c r="L1442" s="8">
        <f>IF(C1442&lt;&gt;"","https://api.qrserver.com/v1/create-qr-code/?size=200x200&amp;data="&amp;ENCODEURL("https://wa.me/507"&amp;REGEXREPLACE(C1442,"[^0-9]","")&amp;"?text="&amp;ENCODEURL("Ya llegue. Codigo: "&amp;A1442&amp;". Ubicacion: "&amp;"https://www.google.com/maps/search/?api=1&amp;query="&amp;SUBSTITUTE(F1442," ",""))),"")</f>
        <v/>
      </c>
      <c r="M1442" s="8">
        <f>IF(B1442&lt;&gt;"",TODAY(),"")</f>
        <v/>
      </c>
      <c r="N1442" s="8">
        <f>IF(F1442&lt;&gt;"",IFERROR(IF(AND(REGEXMATCH(SUBSTITUTE(TRIM(F1442)," ",""),"^-?\d+(\.\d+)?,-?\d+(\.\d+)?$"),VALUE(REGEXEXTRACT(SUBSTITUTE(TRIM(F1442)," ",""),"^-?\d+(\.\d+)?"))&gt;=-90,VALUE(REGEXEXTRACT(SUBSTITUTE(TRIM(F1442)," ",""),"^-?\d+(\.\d+)?"))&lt;=90,VALUE(REGEXEXTRACT(SUBSTITUTE(TRIM(F1442)," ",""),"-?\d+(\.\d+)?$"))&gt;=-180,VALUE(REGEXEXTRACT(SUBSTITUTE(TRIM(F1442)," ",""),"-?\d+(\.\d+)?$"))&lt;=180),"OK","REVISAR"),"REVISAR"),"")</f>
        <v/>
      </c>
      <c r="O1442">
        <f>IF(A1442&lt;&gt;"","https://direcciones507.github.io/direcciones507/panel.html?codigo="&amp;A1442&amp;"&amp;nombre="&amp;ENCODEURL(B1442)&amp;"&amp;telefono="&amp;SUBSTITUTE(C1442,"-","")&amp;"&amp;referencia="&amp;ENCODEURL(E1442)&amp;"&amp;lat="&amp;IZQUIERDA(SUBSTITUTE(F1442," ",""),ENCONTRAR(",",SUBSTITUTE(F1442," ",""))-1)&amp;"&amp;lng="&amp;DERECHA(SUBSTITUTE(F1442," ",""),LARGO(SUBSTITUTE(F1442," ",""))-ENCONTRAR(",",SUBSTITUTE(F1442," ",""))),"")</f>
        <v/>
      </c>
    </row>
    <row r="1443" ht="15.75" customHeight="1" s="10">
      <c r="A1443" s="8">
        <f>CONCAT("AD507-",TEXT(ROW()-2,"0000"))</f>
        <v/>
      </c>
      <c r="C1443" s="8" t="n"/>
      <c r="F1443" s="8" t="n"/>
      <c r="G1443" s="8">
        <f>IF(F1443&lt;&gt;"",HYPERLINK("https://www.google.com/maps/search/?api=1&amp;query="&amp;SUBSTITUTE(F1443," ",""),"🗺 Google Maps"),"")</f>
        <v/>
      </c>
      <c r="H1443" s="8">
        <f>IF(F1443&lt;&gt;"",HYPERLINK("https://waze.com/ul?ll="&amp;SUBSTITUTE(F1443," ","")&amp;"&amp;navigate=yes","🚗 Waze"),"")</f>
        <v/>
      </c>
      <c r="I1443" s="8">
        <f>IF(F1443&lt;&gt;"",HYPERLINK("https://m.uber.com/ul/?action=setPickup&amp;pickup=my_location&amp;dropoff[latitude]="&amp;LEFT(SUBSTITUTE(F1443," ",""),FIND(",",SUBSTITUTE(F1443," ",""))-1)&amp;"&amp;dropoff[longitude]="&amp;MID(SUBSTITUTE(F1443," ",""),FIND(",",SUBSTITUTE(F1443," ",""))+1,99),"🚕 Uber"),"")</f>
        <v/>
      </c>
      <c r="J1443" s="8">
        <f>IF(F1443&lt;&gt;"","https://api.qrserver.com/v1/create-qr-code/?size=200x200&amp;data="&amp;ENCODEURL("https://www.google.com/maps/search/?api=1&amp;query="&amp;SUBSTITUTE(F1443," ","")),"")</f>
        <v/>
      </c>
      <c r="K1443" s="8">
        <f>IF(C1443&lt;&gt;"",HYPERLINK("https://wa.me/507"&amp;REGEXREPLACE(C1443,"[^0-9]","")&amp;"?text="&amp;ENCODEURL("Ya llegue. Codigo: "&amp;A1443&amp;". Ubicacion: "&amp;"https://www.google.com/maps/search/?api=1&amp;query="&amp;SUBSTITUTE(F1443," ","")),"📲 Avisar al cliente"),"")</f>
        <v/>
      </c>
      <c r="L1443" s="8">
        <f>IF(C1443&lt;&gt;"","https://api.qrserver.com/v1/create-qr-code/?size=200x200&amp;data="&amp;ENCODEURL("https://wa.me/507"&amp;REGEXREPLACE(C1443,"[^0-9]","")&amp;"?text="&amp;ENCODEURL("Ya llegue. Codigo: "&amp;A1443&amp;". Ubicacion: "&amp;"https://www.google.com/maps/search/?api=1&amp;query="&amp;SUBSTITUTE(F1443," ",""))),"")</f>
        <v/>
      </c>
      <c r="M1443" s="8">
        <f>IF(B1443&lt;&gt;"",TODAY(),"")</f>
        <v/>
      </c>
      <c r="N1443" s="8">
        <f>IF(F1443&lt;&gt;"",IFERROR(IF(AND(REGEXMATCH(SUBSTITUTE(TRIM(F1443)," ",""),"^-?\d+(\.\d+)?,-?\d+(\.\d+)?$"),VALUE(REGEXEXTRACT(SUBSTITUTE(TRIM(F1443)," ",""),"^-?\d+(\.\d+)?"))&gt;=-90,VALUE(REGEXEXTRACT(SUBSTITUTE(TRIM(F1443)," ",""),"^-?\d+(\.\d+)?"))&lt;=90,VALUE(REGEXEXTRACT(SUBSTITUTE(TRIM(F1443)," ",""),"-?\d+(\.\d+)?$"))&gt;=-180,VALUE(REGEXEXTRACT(SUBSTITUTE(TRIM(F1443)," ",""),"-?\d+(\.\d+)?$"))&lt;=180),"OK","REVISAR"),"REVISAR"),"")</f>
        <v/>
      </c>
      <c r="O1443">
        <f>IF(A1443&lt;&gt;"","https://direcciones507.github.io/direcciones507/panel.html?codigo="&amp;A1443&amp;"&amp;nombre="&amp;ENCODEURL(B1443)&amp;"&amp;telefono="&amp;SUBSTITUTE(C1443,"-","")&amp;"&amp;referencia="&amp;ENCODEURL(E1443)&amp;"&amp;lat="&amp;IZQUIERDA(SUBSTITUTE(F1443," ",""),ENCONTRAR(",",SUBSTITUTE(F1443," ",""))-1)&amp;"&amp;lng="&amp;DERECHA(SUBSTITUTE(F1443," ",""),LARGO(SUBSTITUTE(F1443," ",""))-ENCONTRAR(",",SUBSTITUTE(F1443," ",""))),"")</f>
        <v/>
      </c>
    </row>
    <row r="1444" ht="15.75" customHeight="1" s="10">
      <c r="A1444" s="8">
        <f>CONCAT("AD507-",TEXT(ROW()-2,"0000"))</f>
        <v/>
      </c>
      <c r="C1444" s="8" t="n"/>
      <c r="F1444" s="8" t="n"/>
      <c r="G1444" s="8">
        <f>IF(F1444&lt;&gt;"",HYPERLINK("https://www.google.com/maps/search/?api=1&amp;query="&amp;SUBSTITUTE(F1444," ",""),"🗺 Google Maps"),"")</f>
        <v/>
      </c>
      <c r="H1444" s="8">
        <f>IF(F1444&lt;&gt;"",HYPERLINK("https://waze.com/ul?ll="&amp;SUBSTITUTE(F1444," ","")&amp;"&amp;navigate=yes","🚗 Waze"),"")</f>
        <v/>
      </c>
      <c r="I1444" s="8">
        <f>IF(F1444&lt;&gt;"",HYPERLINK("https://m.uber.com/ul/?action=setPickup&amp;pickup=my_location&amp;dropoff[latitude]="&amp;LEFT(SUBSTITUTE(F1444," ",""),FIND(",",SUBSTITUTE(F1444," ",""))-1)&amp;"&amp;dropoff[longitude]="&amp;MID(SUBSTITUTE(F1444," ",""),FIND(",",SUBSTITUTE(F1444," ",""))+1,99),"🚕 Uber"),"")</f>
        <v/>
      </c>
      <c r="J1444" s="8">
        <f>IF(F1444&lt;&gt;"","https://api.qrserver.com/v1/create-qr-code/?size=200x200&amp;data="&amp;ENCODEURL("https://www.google.com/maps/search/?api=1&amp;query="&amp;SUBSTITUTE(F1444," ","")),"")</f>
        <v/>
      </c>
      <c r="K1444" s="8">
        <f>IF(C1444&lt;&gt;"",HYPERLINK("https://wa.me/507"&amp;REGEXREPLACE(C1444,"[^0-9]","")&amp;"?text="&amp;ENCODEURL("Ya llegue. Codigo: "&amp;A1444&amp;". Ubicacion: "&amp;"https://www.google.com/maps/search/?api=1&amp;query="&amp;SUBSTITUTE(F1444," ","")),"📲 Avisar al cliente"),"")</f>
        <v/>
      </c>
      <c r="L1444" s="8">
        <f>IF(C1444&lt;&gt;"","https://api.qrserver.com/v1/create-qr-code/?size=200x200&amp;data="&amp;ENCODEURL("https://wa.me/507"&amp;REGEXREPLACE(C1444,"[^0-9]","")&amp;"?text="&amp;ENCODEURL("Ya llegue. Codigo: "&amp;A1444&amp;". Ubicacion: "&amp;"https://www.google.com/maps/search/?api=1&amp;query="&amp;SUBSTITUTE(F1444," ",""))),"")</f>
        <v/>
      </c>
      <c r="M1444" s="8">
        <f>IF(B1444&lt;&gt;"",TODAY(),"")</f>
        <v/>
      </c>
      <c r="N1444" s="8">
        <f>IF(F1444&lt;&gt;"",IFERROR(IF(AND(REGEXMATCH(SUBSTITUTE(TRIM(F1444)," ",""),"^-?\d+(\.\d+)?,-?\d+(\.\d+)?$"),VALUE(REGEXEXTRACT(SUBSTITUTE(TRIM(F1444)," ",""),"^-?\d+(\.\d+)?"))&gt;=-90,VALUE(REGEXEXTRACT(SUBSTITUTE(TRIM(F1444)," ",""),"^-?\d+(\.\d+)?"))&lt;=90,VALUE(REGEXEXTRACT(SUBSTITUTE(TRIM(F1444)," ",""),"-?\d+(\.\d+)?$"))&gt;=-180,VALUE(REGEXEXTRACT(SUBSTITUTE(TRIM(F1444)," ",""),"-?\d+(\.\d+)?$"))&lt;=180),"OK","REVISAR"),"REVISAR"),"")</f>
        <v/>
      </c>
      <c r="O1444">
        <f>IF(A1444&lt;&gt;"","https://direcciones507.github.io/direcciones507/panel.html?codigo="&amp;A1444&amp;"&amp;nombre="&amp;ENCODEURL(B1444)&amp;"&amp;telefono="&amp;SUBSTITUTE(C1444,"-","")&amp;"&amp;referencia="&amp;ENCODEURL(E1444)&amp;"&amp;lat="&amp;IZQUIERDA(SUBSTITUTE(F1444," ",""),ENCONTRAR(",",SUBSTITUTE(F1444," ",""))-1)&amp;"&amp;lng="&amp;DERECHA(SUBSTITUTE(F1444," ",""),LARGO(SUBSTITUTE(F1444," ",""))-ENCONTRAR(",",SUBSTITUTE(F1444," ",""))),"")</f>
        <v/>
      </c>
    </row>
    <row r="1445" ht="15.75" customHeight="1" s="10">
      <c r="A1445" s="8">
        <f>CONCAT("AD507-",TEXT(ROW()-2,"0000"))</f>
        <v/>
      </c>
      <c r="C1445" s="8" t="n"/>
      <c r="F1445" s="8" t="n"/>
      <c r="G1445" s="8">
        <f>IF(F1445&lt;&gt;"",HYPERLINK("https://www.google.com/maps/search/?api=1&amp;query="&amp;SUBSTITUTE(F1445," ",""),"🗺 Google Maps"),"")</f>
        <v/>
      </c>
      <c r="H1445" s="8">
        <f>IF(F1445&lt;&gt;"",HYPERLINK("https://waze.com/ul?ll="&amp;SUBSTITUTE(F1445," ","")&amp;"&amp;navigate=yes","🚗 Waze"),"")</f>
        <v/>
      </c>
      <c r="I1445" s="8">
        <f>IF(F1445&lt;&gt;"",HYPERLINK("https://m.uber.com/ul/?action=setPickup&amp;pickup=my_location&amp;dropoff[latitude]="&amp;LEFT(SUBSTITUTE(F1445," ",""),FIND(",",SUBSTITUTE(F1445," ",""))-1)&amp;"&amp;dropoff[longitude]="&amp;MID(SUBSTITUTE(F1445," ",""),FIND(",",SUBSTITUTE(F1445," ",""))+1,99),"🚕 Uber"),"")</f>
        <v/>
      </c>
      <c r="J1445" s="8">
        <f>IF(F1445&lt;&gt;"","https://api.qrserver.com/v1/create-qr-code/?size=200x200&amp;data="&amp;ENCODEURL("https://www.google.com/maps/search/?api=1&amp;query="&amp;SUBSTITUTE(F1445," ","")),"")</f>
        <v/>
      </c>
      <c r="K1445" s="8">
        <f>IF(C1445&lt;&gt;"",HYPERLINK("https://wa.me/507"&amp;REGEXREPLACE(C1445,"[^0-9]","")&amp;"?text="&amp;ENCODEURL("Ya llegue. Codigo: "&amp;A1445&amp;". Ubicacion: "&amp;"https://www.google.com/maps/search/?api=1&amp;query="&amp;SUBSTITUTE(F1445," ","")),"📲 Avisar al cliente"),"")</f>
        <v/>
      </c>
      <c r="L1445" s="8">
        <f>IF(C1445&lt;&gt;"","https://api.qrserver.com/v1/create-qr-code/?size=200x200&amp;data="&amp;ENCODEURL("https://wa.me/507"&amp;REGEXREPLACE(C1445,"[^0-9]","")&amp;"?text="&amp;ENCODEURL("Ya llegue. Codigo: "&amp;A1445&amp;". Ubicacion: "&amp;"https://www.google.com/maps/search/?api=1&amp;query="&amp;SUBSTITUTE(F1445," ",""))),"")</f>
        <v/>
      </c>
      <c r="M1445" s="8">
        <f>IF(B1445&lt;&gt;"",TODAY(),"")</f>
        <v/>
      </c>
      <c r="N1445" s="8">
        <f>IF(F1445&lt;&gt;"",IFERROR(IF(AND(REGEXMATCH(SUBSTITUTE(TRIM(F1445)," ",""),"^-?\d+(\.\d+)?,-?\d+(\.\d+)?$"),VALUE(REGEXEXTRACT(SUBSTITUTE(TRIM(F1445)," ",""),"^-?\d+(\.\d+)?"))&gt;=-90,VALUE(REGEXEXTRACT(SUBSTITUTE(TRIM(F1445)," ",""),"^-?\d+(\.\d+)?"))&lt;=90,VALUE(REGEXEXTRACT(SUBSTITUTE(TRIM(F1445)," ",""),"-?\d+(\.\d+)?$"))&gt;=-180,VALUE(REGEXEXTRACT(SUBSTITUTE(TRIM(F1445)," ",""),"-?\d+(\.\d+)?$"))&lt;=180),"OK","REVISAR"),"REVISAR"),"")</f>
        <v/>
      </c>
      <c r="O1445">
        <f>IF(A1445&lt;&gt;"","https://direcciones507.github.io/direcciones507/panel.html?codigo="&amp;A1445&amp;"&amp;nombre="&amp;ENCODEURL(B1445)&amp;"&amp;telefono="&amp;SUBSTITUTE(C1445,"-","")&amp;"&amp;referencia="&amp;ENCODEURL(E1445)&amp;"&amp;lat="&amp;IZQUIERDA(SUBSTITUTE(F1445," ",""),ENCONTRAR(",",SUBSTITUTE(F1445," ",""))-1)&amp;"&amp;lng="&amp;DERECHA(SUBSTITUTE(F1445," ",""),LARGO(SUBSTITUTE(F1445," ",""))-ENCONTRAR(",",SUBSTITUTE(F1445," ",""))),"")</f>
        <v/>
      </c>
    </row>
    <row r="1446" ht="15.75" customHeight="1" s="10">
      <c r="A1446" s="8">
        <f>CONCAT("AD507-",TEXT(ROW()-2,"0000"))</f>
        <v/>
      </c>
      <c r="C1446" s="8" t="n"/>
      <c r="F1446" s="8" t="n"/>
      <c r="G1446" s="8">
        <f>IF(F1446&lt;&gt;"",HYPERLINK("https://www.google.com/maps/search/?api=1&amp;query="&amp;SUBSTITUTE(F1446," ",""),"🗺 Google Maps"),"")</f>
        <v/>
      </c>
      <c r="H1446" s="8">
        <f>IF(F1446&lt;&gt;"",HYPERLINK("https://waze.com/ul?ll="&amp;SUBSTITUTE(F1446," ","")&amp;"&amp;navigate=yes","🚗 Waze"),"")</f>
        <v/>
      </c>
      <c r="I1446" s="8">
        <f>IF(F1446&lt;&gt;"",HYPERLINK("https://m.uber.com/ul/?action=setPickup&amp;pickup=my_location&amp;dropoff[latitude]="&amp;LEFT(SUBSTITUTE(F1446," ",""),FIND(",",SUBSTITUTE(F1446," ",""))-1)&amp;"&amp;dropoff[longitude]="&amp;MID(SUBSTITUTE(F1446," ",""),FIND(",",SUBSTITUTE(F1446," ",""))+1,99),"🚕 Uber"),"")</f>
        <v/>
      </c>
      <c r="J1446" s="8">
        <f>IF(F1446&lt;&gt;"","https://api.qrserver.com/v1/create-qr-code/?size=200x200&amp;data="&amp;ENCODEURL("https://www.google.com/maps/search/?api=1&amp;query="&amp;SUBSTITUTE(F1446," ","")),"")</f>
        <v/>
      </c>
      <c r="K1446" s="8">
        <f>IF(C1446&lt;&gt;"",HYPERLINK("https://wa.me/507"&amp;REGEXREPLACE(C1446,"[^0-9]","")&amp;"?text="&amp;ENCODEURL("Ya llegue. Codigo: "&amp;A1446&amp;". Ubicacion: "&amp;"https://www.google.com/maps/search/?api=1&amp;query="&amp;SUBSTITUTE(F1446," ","")),"📲 Avisar al cliente"),"")</f>
        <v/>
      </c>
      <c r="L1446" s="8">
        <f>IF(C1446&lt;&gt;"","https://api.qrserver.com/v1/create-qr-code/?size=200x200&amp;data="&amp;ENCODEURL("https://wa.me/507"&amp;REGEXREPLACE(C1446,"[^0-9]","")&amp;"?text="&amp;ENCODEURL("Ya llegue. Codigo: "&amp;A1446&amp;". Ubicacion: "&amp;"https://www.google.com/maps/search/?api=1&amp;query="&amp;SUBSTITUTE(F1446," ",""))),"")</f>
        <v/>
      </c>
      <c r="M1446" s="8">
        <f>IF(B1446&lt;&gt;"",TODAY(),"")</f>
        <v/>
      </c>
      <c r="N1446" s="8">
        <f>IF(F1446&lt;&gt;"",IFERROR(IF(AND(REGEXMATCH(SUBSTITUTE(TRIM(F1446)," ",""),"^-?\d+(\.\d+)?,-?\d+(\.\d+)?$"),VALUE(REGEXEXTRACT(SUBSTITUTE(TRIM(F1446)," ",""),"^-?\d+(\.\d+)?"))&gt;=-90,VALUE(REGEXEXTRACT(SUBSTITUTE(TRIM(F1446)," ",""),"^-?\d+(\.\d+)?"))&lt;=90,VALUE(REGEXEXTRACT(SUBSTITUTE(TRIM(F1446)," ",""),"-?\d+(\.\d+)?$"))&gt;=-180,VALUE(REGEXEXTRACT(SUBSTITUTE(TRIM(F1446)," ",""),"-?\d+(\.\d+)?$"))&lt;=180),"OK","REVISAR"),"REVISAR"),"")</f>
        <v/>
      </c>
      <c r="O1446">
        <f>IF(A1446&lt;&gt;"","https://direcciones507.github.io/direcciones507/panel.html?codigo="&amp;A1446&amp;"&amp;nombre="&amp;ENCODEURL(B1446)&amp;"&amp;telefono="&amp;SUBSTITUTE(C1446,"-","")&amp;"&amp;referencia="&amp;ENCODEURL(E1446)&amp;"&amp;lat="&amp;IZQUIERDA(SUBSTITUTE(F1446," ",""),ENCONTRAR(",",SUBSTITUTE(F1446," ",""))-1)&amp;"&amp;lng="&amp;DERECHA(SUBSTITUTE(F1446," ",""),LARGO(SUBSTITUTE(F1446," ",""))-ENCONTRAR(",",SUBSTITUTE(F1446," ",""))),"")</f>
        <v/>
      </c>
    </row>
    <row r="1447" ht="15.75" customHeight="1" s="10">
      <c r="A1447" s="8">
        <f>CONCAT("AD507-",TEXT(ROW()-2,"0000"))</f>
        <v/>
      </c>
      <c r="C1447" s="8" t="n"/>
      <c r="F1447" s="8" t="n"/>
      <c r="G1447" s="8">
        <f>IF(F1447&lt;&gt;"",HYPERLINK("https://www.google.com/maps/search/?api=1&amp;query="&amp;SUBSTITUTE(F1447," ",""),"🗺 Google Maps"),"")</f>
        <v/>
      </c>
      <c r="H1447" s="8">
        <f>IF(F1447&lt;&gt;"",HYPERLINK("https://waze.com/ul?ll="&amp;SUBSTITUTE(F1447," ","")&amp;"&amp;navigate=yes","🚗 Waze"),"")</f>
        <v/>
      </c>
      <c r="I1447" s="8">
        <f>IF(F1447&lt;&gt;"",HYPERLINK("https://m.uber.com/ul/?action=setPickup&amp;pickup=my_location&amp;dropoff[latitude]="&amp;LEFT(SUBSTITUTE(F1447," ",""),FIND(",",SUBSTITUTE(F1447," ",""))-1)&amp;"&amp;dropoff[longitude]="&amp;MID(SUBSTITUTE(F1447," ",""),FIND(",",SUBSTITUTE(F1447," ",""))+1,99),"🚕 Uber"),"")</f>
        <v/>
      </c>
      <c r="J1447" s="8">
        <f>IF(F1447&lt;&gt;"","https://api.qrserver.com/v1/create-qr-code/?size=200x200&amp;data="&amp;ENCODEURL("https://www.google.com/maps/search/?api=1&amp;query="&amp;SUBSTITUTE(F1447," ","")),"")</f>
        <v/>
      </c>
      <c r="K1447" s="8">
        <f>IF(C1447&lt;&gt;"",HYPERLINK("https://wa.me/507"&amp;REGEXREPLACE(C1447,"[^0-9]","")&amp;"?text="&amp;ENCODEURL("Ya llegue. Codigo: "&amp;A1447&amp;". Ubicacion: "&amp;"https://www.google.com/maps/search/?api=1&amp;query="&amp;SUBSTITUTE(F1447," ","")),"📲 Avisar al cliente"),"")</f>
        <v/>
      </c>
      <c r="L1447" s="8">
        <f>IF(C1447&lt;&gt;"","https://api.qrserver.com/v1/create-qr-code/?size=200x200&amp;data="&amp;ENCODEURL("https://wa.me/507"&amp;REGEXREPLACE(C1447,"[^0-9]","")&amp;"?text="&amp;ENCODEURL("Ya llegue. Codigo: "&amp;A1447&amp;". Ubicacion: "&amp;"https://www.google.com/maps/search/?api=1&amp;query="&amp;SUBSTITUTE(F1447," ",""))),"")</f>
        <v/>
      </c>
      <c r="M1447" s="8">
        <f>IF(B1447&lt;&gt;"",TODAY(),"")</f>
        <v/>
      </c>
      <c r="N1447" s="8">
        <f>IF(F1447&lt;&gt;"",IFERROR(IF(AND(REGEXMATCH(SUBSTITUTE(TRIM(F1447)," ",""),"^-?\d+(\.\d+)?,-?\d+(\.\d+)?$"),VALUE(REGEXEXTRACT(SUBSTITUTE(TRIM(F1447)," ",""),"^-?\d+(\.\d+)?"))&gt;=-90,VALUE(REGEXEXTRACT(SUBSTITUTE(TRIM(F1447)," ",""),"^-?\d+(\.\d+)?"))&lt;=90,VALUE(REGEXEXTRACT(SUBSTITUTE(TRIM(F1447)," ",""),"-?\d+(\.\d+)?$"))&gt;=-180,VALUE(REGEXEXTRACT(SUBSTITUTE(TRIM(F1447)," ",""),"-?\d+(\.\d+)?$"))&lt;=180),"OK","REVISAR"),"REVISAR"),"")</f>
        <v/>
      </c>
      <c r="O1447">
        <f>IF(A1447&lt;&gt;"","https://direcciones507.github.io/direcciones507/panel.html?codigo="&amp;A1447&amp;"&amp;nombre="&amp;ENCODEURL(B1447)&amp;"&amp;telefono="&amp;SUBSTITUTE(C1447,"-","")&amp;"&amp;referencia="&amp;ENCODEURL(E1447)&amp;"&amp;lat="&amp;IZQUIERDA(SUBSTITUTE(F1447," ",""),ENCONTRAR(",",SUBSTITUTE(F1447," ",""))-1)&amp;"&amp;lng="&amp;DERECHA(SUBSTITUTE(F1447," ",""),LARGO(SUBSTITUTE(F1447," ",""))-ENCONTRAR(",",SUBSTITUTE(F1447," ",""))),"")</f>
        <v/>
      </c>
    </row>
    <row r="1448" ht="15.75" customHeight="1" s="10">
      <c r="A1448" s="8">
        <f>CONCAT("AD507-",TEXT(ROW()-2,"0000"))</f>
        <v/>
      </c>
      <c r="C1448" s="8" t="n"/>
      <c r="F1448" s="8" t="n"/>
      <c r="G1448" s="8">
        <f>IF(F1448&lt;&gt;"",HYPERLINK("https://www.google.com/maps/search/?api=1&amp;query="&amp;SUBSTITUTE(F1448," ",""),"🗺 Google Maps"),"")</f>
        <v/>
      </c>
      <c r="H1448" s="8">
        <f>IF(F1448&lt;&gt;"",HYPERLINK("https://waze.com/ul?ll="&amp;SUBSTITUTE(F1448," ","")&amp;"&amp;navigate=yes","🚗 Waze"),"")</f>
        <v/>
      </c>
      <c r="I1448" s="8">
        <f>IF(F1448&lt;&gt;"",HYPERLINK("https://m.uber.com/ul/?action=setPickup&amp;pickup=my_location&amp;dropoff[latitude]="&amp;LEFT(SUBSTITUTE(F1448," ",""),FIND(",",SUBSTITUTE(F1448," ",""))-1)&amp;"&amp;dropoff[longitude]="&amp;MID(SUBSTITUTE(F1448," ",""),FIND(",",SUBSTITUTE(F1448," ",""))+1,99),"🚕 Uber"),"")</f>
        <v/>
      </c>
      <c r="J1448" s="8">
        <f>IF(F1448&lt;&gt;"","https://api.qrserver.com/v1/create-qr-code/?size=200x200&amp;data="&amp;ENCODEURL("https://www.google.com/maps/search/?api=1&amp;query="&amp;SUBSTITUTE(F1448," ","")),"")</f>
        <v/>
      </c>
      <c r="K1448" s="8">
        <f>IF(C1448&lt;&gt;"",HYPERLINK("https://wa.me/507"&amp;REGEXREPLACE(C1448,"[^0-9]","")&amp;"?text="&amp;ENCODEURL("Ya llegue. Codigo: "&amp;A1448&amp;". Ubicacion: "&amp;"https://www.google.com/maps/search/?api=1&amp;query="&amp;SUBSTITUTE(F1448," ","")),"📲 Avisar al cliente"),"")</f>
        <v/>
      </c>
      <c r="L1448" s="8">
        <f>IF(C1448&lt;&gt;"","https://api.qrserver.com/v1/create-qr-code/?size=200x200&amp;data="&amp;ENCODEURL("https://wa.me/507"&amp;REGEXREPLACE(C1448,"[^0-9]","")&amp;"?text="&amp;ENCODEURL("Ya llegue. Codigo: "&amp;A1448&amp;". Ubicacion: "&amp;"https://www.google.com/maps/search/?api=1&amp;query="&amp;SUBSTITUTE(F1448," ",""))),"")</f>
        <v/>
      </c>
      <c r="M1448" s="8">
        <f>IF(B1448&lt;&gt;"",TODAY(),"")</f>
        <v/>
      </c>
      <c r="N1448" s="8">
        <f>IF(F1448&lt;&gt;"",IFERROR(IF(AND(REGEXMATCH(SUBSTITUTE(TRIM(F1448)," ",""),"^-?\d+(\.\d+)?,-?\d+(\.\d+)?$"),VALUE(REGEXEXTRACT(SUBSTITUTE(TRIM(F1448)," ",""),"^-?\d+(\.\d+)?"))&gt;=-90,VALUE(REGEXEXTRACT(SUBSTITUTE(TRIM(F1448)," ",""),"^-?\d+(\.\d+)?"))&lt;=90,VALUE(REGEXEXTRACT(SUBSTITUTE(TRIM(F1448)," ",""),"-?\d+(\.\d+)?$"))&gt;=-180,VALUE(REGEXEXTRACT(SUBSTITUTE(TRIM(F1448)," ",""),"-?\d+(\.\d+)?$"))&lt;=180),"OK","REVISAR"),"REVISAR"),"")</f>
        <v/>
      </c>
      <c r="O1448">
        <f>IF(A1448&lt;&gt;"","https://direcciones507.github.io/direcciones507/panel.html?codigo="&amp;A1448&amp;"&amp;nombre="&amp;ENCODEURL(B1448)&amp;"&amp;telefono="&amp;SUBSTITUTE(C1448,"-","")&amp;"&amp;referencia="&amp;ENCODEURL(E1448)&amp;"&amp;lat="&amp;IZQUIERDA(SUBSTITUTE(F1448," ",""),ENCONTRAR(",",SUBSTITUTE(F1448," ",""))-1)&amp;"&amp;lng="&amp;DERECHA(SUBSTITUTE(F1448," ",""),LARGO(SUBSTITUTE(F1448," ",""))-ENCONTRAR(",",SUBSTITUTE(F1448," ",""))),"")</f>
        <v/>
      </c>
    </row>
    <row r="1449" ht="15.75" customHeight="1" s="10">
      <c r="A1449" s="8">
        <f>CONCAT("AD507-",TEXT(ROW()-2,"0000"))</f>
        <v/>
      </c>
      <c r="C1449" s="8" t="n"/>
      <c r="F1449" s="8" t="n"/>
      <c r="G1449" s="8">
        <f>IF(F1449&lt;&gt;"",HYPERLINK("https://www.google.com/maps/search/?api=1&amp;query="&amp;SUBSTITUTE(F1449," ",""),"🗺 Google Maps"),"")</f>
        <v/>
      </c>
      <c r="H1449" s="8">
        <f>IF(F1449&lt;&gt;"",HYPERLINK("https://waze.com/ul?ll="&amp;SUBSTITUTE(F1449," ","")&amp;"&amp;navigate=yes","🚗 Waze"),"")</f>
        <v/>
      </c>
      <c r="I1449" s="8">
        <f>IF(F1449&lt;&gt;"",HYPERLINK("https://m.uber.com/ul/?action=setPickup&amp;pickup=my_location&amp;dropoff[latitude]="&amp;LEFT(SUBSTITUTE(F1449," ",""),FIND(",",SUBSTITUTE(F1449," ",""))-1)&amp;"&amp;dropoff[longitude]="&amp;MID(SUBSTITUTE(F1449," ",""),FIND(",",SUBSTITUTE(F1449," ",""))+1,99),"🚕 Uber"),"")</f>
        <v/>
      </c>
      <c r="J1449" s="8">
        <f>IF(F1449&lt;&gt;"","https://api.qrserver.com/v1/create-qr-code/?size=200x200&amp;data="&amp;ENCODEURL("https://www.google.com/maps/search/?api=1&amp;query="&amp;SUBSTITUTE(F1449," ","")),"")</f>
        <v/>
      </c>
      <c r="K1449" s="8">
        <f>IF(C1449&lt;&gt;"",HYPERLINK("https://wa.me/507"&amp;REGEXREPLACE(C1449,"[^0-9]","")&amp;"?text="&amp;ENCODEURL("Ya llegue. Codigo: "&amp;A1449&amp;". Ubicacion: "&amp;"https://www.google.com/maps/search/?api=1&amp;query="&amp;SUBSTITUTE(F1449," ","")),"📲 Avisar al cliente"),"")</f>
        <v/>
      </c>
      <c r="L1449" s="8">
        <f>IF(C1449&lt;&gt;"","https://api.qrserver.com/v1/create-qr-code/?size=200x200&amp;data="&amp;ENCODEURL("https://wa.me/507"&amp;REGEXREPLACE(C1449,"[^0-9]","")&amp;"?text="&amp;ENCODEURL("Ya llegue. Codigo: "&amp;A1449&amp;". Ubicacion: "&amp;"https://www.google.com/maps/search/?api=1&amp;query="&amp;SUBSTITUTE(F1449," ",""))),"")</f>
        <v/>
      </c>
      <c r="M1449" s="8">
        <f>IF(B1449&lt;&gt;"",TODAY(),"")</f>
        <v/>
      </c>
      <c r="N1449" s="8">
        <f>IF(F1449&lt;&gt;"",IFERROR(IF(AND(REGEXMATCH(SUBSTITUTE(TRIM(F1449)," ",""),"^-?\d+(\.\d+)?,-?\d+(\.\d+)?$"),VALUE(REGEXEXTRACT(SUBSTITUTE(TRIM(F1449)," ",""),"^-?\d+(\.\d+)?"))&gt;=-90,VALUE(REGEXEXTRACT(SUBSTITUTE(TRIM(F1449)," ",""),"^-?\d+(\.\d+)?"))&lt;=90,VALUE(REGEXEXTRACT(SUBSTITUTE(TRIM(F1449)," ",""),"-?\d+(\.\d+)?$"))&gt;=-180,VALUE(REGEXEXTRACT(SUBSTITUTE(TRIM(F1449)," ",""),"-?\d+(\.\d+)?$"))&lt;=180),"OK","REVISAR"),"REVISAR"),"")</f>
        <v/>
      </c>
      <c r="O1449">
        <f>IF(A1449&lt;&gt;"","https://direcciones507.github.io/direcciones507/panel.html?codigo="&amp;A1449&amp;"&amp;nombre="&amp;ENCODEURL(B1449)&amp;"&amp;telefono="&amp;SUBSTITUTE(C1449,"-","")&amp;"&amp;referencia="&amp;ENCODEURL(E1449)&amp;"&amp;lat="&amp;IZQUIERDA(SUBSTITUTE(F1449," ",""),ENCONTRAR(",",SUBSTITUTE(F1449," ",""))-1)&amp;"&amp;lng="&amp;DERECHA(SUBSTITUTE(F1449," ",""),LARGO(SUBSTITUTE(F1449," ",""))-ENCONTRAR(",",SUBSTITUTE(F1449," ",""))),"")</f>
        <v/>
      </c>
    </row>
    <row r="1450" ht="15.75" customHeight="1" s="10">
      <c r="A1450" s="8">
        <f>CONCAT("AD507-",TEXT(ROW()-2,"0000"))</f>
        <v/>
      </c>
      <c r="C1450" s="8" t="n"/>
      <c r="F1450" s="8" t="n"/>
      <c r="G1450" s="8">
        <f>IF(F1450&lt;&gt;"",HYPERLINK("https://www.google.com/maps/search/?api=1&amp;query="&amp;SUBSTITUTE(F1450," ",""),"🗺 Google Maps"),"")</f>
        <v/>
      </c>
      <c r="H1450" s="8">
        <f>IF(F1450&lt;&gt;"",HYPERLINK("https://waze.com/ul?ll="&amp;SUBSTITUTE(F1450," ","")&amp;"&amp;navigate=yes","🚗 Waze"),"")</f>
        <v/>
      </c>
      <c r="I1450" s="8">
        <f>IF(F1450&lt;&gt;"",HYPERLINK("https://m.uber.com/ul/?action=setPickup&amp;pickup=my_location&amp;dropoff[latitude]="&amp;LEFT(SUBSTITUTE(F1450," ",""),FIND(",",SUBSTITUTE(F1450," ",""))-1)&amp;"&amp;dropoff[longitude]="&amp;MID(SUBSTITUTE(F1450," ",""),FIND(",",SUBSTITUTE(F1450," ",""))+1,99),"🚕 Uber"),"")</f>
        <v/>
      </c>
      <c r="J1450" s="8">
        <f>IF(F1450&lt;&gt;"","https://api.qrserver.com/v1/create-qr-code/?size=200x200&amp;data="&amp;ENCODEURL("https://www.google.com/maps/search/?api=1&amp;query="&amp;SUBSTITUTE(F1450," ","")),"")</f>
        <v/>
      </c>
      <c r="K1450" s="8">
        <f>IF(C1450&lt;&gt;"",HYPERLINK("https://wa.me/507"&amp;REGEXREPLACE(C1450,"[^0-9]","")&amp;"?text="&amp;ENCODEURL("Ya llegue. Codigo: "&amp;A1450&amp;". Ubicacion: "&amp;"https://www.google.com/maps/search/?api=1&amp;query="&amp;SUBSTITUTE(F1450," ","")),"📲 Avisar al cliente"),"")</f>
        <v/>
      </c>
      <c r="L1450" s="8">
        <f>IF(C1450&lt;&gt;"","https://api.qrserver.com/v1/create-qr-code/?size=200x200&amp;data="&amp;ENCODEURL("https://wa.me/507"&amp;REGEXREPLACE(C1450,"[^0-9]","")&amp;"?text="&amp;ENCODEURL("Ya llegue. Codigo: "&amp;A1450&amp;". Ubicacion: "&amp;"https://www.google.com/maps/search/?api=1&amp;query="&amp;SUBSTITUTE(F1450," ",""))),"")</f>
        <v/>
      </c>
      <c r="M1450" s="8">
        <f>IF(B1450&lt;&gt;"",TODAY(),"")</f>
        <v/>
      </c>
      <c r="N1450" s="8">
        <f>IF(F1450&lt;&gt;"",IFERROR(IF(AND(REGEXMATCH(SUBSTITUTE(TRIM(F1450)," ",""),"^-?\d+(\.\d+)?,-?\d+(\.\d+)?$"),VALUE(REGEXEXTRACT(SUBSTITUTE(TRIM(F1450)," ",""),"^-?\d+(\.\d+)?"))&gt;=-90,VALUE(REGEXEXTRACT(SUBSTITUTE(TRIM(F1450)," ",""),"^-?\d+(\.\d+)?"))&lt;=90,VALUE(REGEXEXTRACT(SUBSTITUTE(TRIM(F1450)," ",""),"-?\d+(\.\d+)?$"))&gt;=-180,VALUE(REGEXEXTRACT(SUBSTITUTE(TRIM(F1450)," ",""),"-?\d+(\.\d+)?$"))&lt;=180),"OK","REVISAR"),"REVISAR"),"")</f>
        <v/>
      </c>
      <c r="O1450">
        <f>IF(A1450&lt;&gt;"","https://direcciones507.github.io/direcciones507/panel.html?codigo="&amp;A1450&amp;"&amp;nombre="&amp;ENCODEURL(B1450)&amp;"&amp;telefono="&amp;SUBSTITUTE(C1450,"-","")&amp;"&amp;referencia="&amp;ENCODEURL(E1450)&amp;"&amp;lat="&amp;IZQUIERDA(SUBSTITUTE(F1450," ",""),ENCONTRAR(",",SUBSTITUTE(F1450," ",""))-1)&amp;"&amp;lng="&amp;DERECHA(SUBSTITUTE(F1450," ",""),LARGO(SUBSTITUTE(F1450," ",""))-ENCONTRAR(",",SUBSTITUTE(F1450," ",""))),"")</f>
        <v/>
      </c>
    </row>
    <row r="1451" ht="15.75" customHeight="1" s="10">
      <c r="A1451" s="8">
        <f>CONCAT("AD507-",TEXT(ROW()-2,"0000"))</f>
        <v/>
      </c>
      <c r="C1451" s="8" t="n"/>
      <c r="F1451" s="8" t="n"/>
      <c r="G1451" s="8">
        <f>IF(F1451&lt;&gt;"",HYPERLINK("https://www.google.com/maps/search/?api=1&amp;query="&amp;SUBSTITUTE(F1451," ",""),"🗺 Google Maps"),"")</f>
        <v/>
      </c>
      <c r="H1451" s="8">
        <f>IF(F1451&lt;&gt;"",HYPERLINK("https://waze.com/ul?ll="&amp;SUBSTITUTE(F1451," ","")&amp;"&amp;navigate=yes","🚗 Waze"),"")</f>
        <v/>
      </c>
      <c r="I1451" s="8">
        <f>IF(F1451&lt;&gt;"",HYPERLINK("https://m.uber.com/ul/?action=setPickup&amp;pickup=my_location&amp;dropoff[latitude]="&amp;LEFT(SUBSTITUTE(F1451," ",""),FIND(",",SUBSTITUTE(F1451," ",""))-1)&amp;"&amp;dropoff[longitude]="&amp;MID(SUBSTITUTE(F1451," ",""),FIND(",",SUBSTITUTE(F1451," ",""))+1,99),"🚕 Uber"),"")</f>
        <v/>
      </c>
      <c r="J1451" s="8">
        <f>IF(F1451&lt;&gt;"","https://api.qrserver.com/v1/create-qr-code/?size=200x200&amp;data="&amp;ENCODEURL("https://www.google.com/maps/search/?api=1&amp;query="&amp;SUBSTITUTE(F1451," ","")),"")</f>
        <v/>
      </c>
      <c r="K1451" s="8">
        <f>IF(C1451&lt;&gt;"",HYPERLINK("https://wa.me/507"&amp;REGEXREPLACE(C1451,"[^0-9]","")&amp;"?text="&amp;ENCODEURL("Ya llegue. Codigo: "&amp;A1451&amp;". Ubicacion: "&amp;"https://www.google.com/maps/search/?api=1&amp;query="&amp;SUBSTITUTE(F1451," ","")),"📲 Avisar al cliente"),"")</f>
        <v/>
      </c>
      <c r="L1451" s="8">
        <f>IF(C1451&lt;&gt;"","https://api.qrserver.com/v1/create-qr-code/?size=200x200&amp;data="&amp;ENCODEURL("https://wa.me/507"&amp;REGEXREPLACE(C1451,"[^0-9]","")&amp;"?text="&amp;ENCODEURL("Ya llegue. Codigo: "&amp;A1451&amp;". Ubicacion: "&amp;"https://www.google.com/maps/search/?api=1&amp;query="&amp;SUBSTITUTE(F1451," ",""))),"")</f>
        <v/>
      </c>
      <c r="M1451" s="8">
        <f>IF(B1451&lt;&gt;"",TODAY(),"")</f>
        <v/>
      </c>
      <c r="N1451" s="8">
        <f>IF(F1451&lt;&gt;"",IFERROR(IF(AND(REGEXMATCH(SUBSTITUTE(TRIM(F1451)," ",""),"^-?\d+(\.\d+)?,-?\d+(\.\d+)?$"),VALUE(REGEXEXTRACT(SUBSTITUTE(TRIM(F1451)," ",""),"^-?\d+(\.\d+)?"))&gt;=-90,VALUE(REGEXEXTRACT(SUBSTITUTE(TRIM(F1451)," ",""),"^-?\d+(\.\d+)?"))&lt;=90,VALUE(REGEXEXTRACT(SUBSTITUTE(TRIM(F1451)," ",""),"-?\d+(\.\d+)?$"))&gt;=-180,VALUE(REGEXEXTRACT(SUBSTITUTE(TRIM(F1451)," ",""),"-?\d+(\.\d+)?$"))&lt;=180),"OK","REVISAR"),"REVISAR"),"")</f>
        <v/>
      </c>
      <c r="O1451">
        <f>IF(A1451&lt;&gt;"","https://direcciones507.github.io/direcciones507/panel.html?codigo="&amp;A1451&amp;"&amp;nombre="&amp;ENCODEURL(B1451)&amp;"&amp;telefono="&amp;SUBSTITUTE(C1451,"-","")&amp;"&amp;referencia="&amp;ENCODEURL(E1451)&amp;"&amp;lat="&amp;IZQUIERDA(SUBSTITUTE(F1451," ",""),ENCONTRAR(",",SUBSTITUTE(F1451," ",""))-1)&amp;"&amp;lng="&amp;DERECHA(SUBSTITUTE(F1451," ",""),LARGO(SUBSTITUTE(F1451," ",""))-ENCONTRAR(",",SUBSTITUTE(F1451," ",""))),"")</f>
        <v/>
      </c>
    </row>
    <row r="1452" ht="15.75" customHeight="1" s="10">
      <c r="A1452" s="8">
        <f>CONCAT("AD507-",TEXT(ROW()-2,"0000"))</f>
        <v/>
      </c>
      <c r="C1452" s="8" t="n"/>
      <c r="F1452" s="8" t="n"/>
      <c r="G1452" s="8">
        <f>IF(F1452&lt;&gt;"",HYPERLINK("https://www.google.com/maps/search/?api=1&amp;query="&amp;SUBSTITUTE(F1452," ",""),"🗺 Google Maps"),"")</f>
        <v/>
      </c>
      <c r="H1452" s="8">
        <f>IF(F1452&lt;&gt;"",HYPERLINK("https://waze.com/ul?ll="&amp;SUBSTITUTE(F1452," ","")&amp;"&amp;navigate=yes","🚗 Waze"),"")</f>
        <v/>
      </c>
      <c r="I1452" s="8">
        <f>IF(F1452&lt;&gt;"",HYPERLINK("https://m.uber.com/ul/?action=setPickup&amp;pickup=my_location&amp;dropoff[latitude]="&amp;LEFT(SUBSTITUTE(F1452," ",""),FIND(",",SUBSTITUTE(F1452," ",""))-1)&amp;"&amp;dropoff[longitude]="&amp;MID(SUBSTITUTE(F1452," ",""),FIND(",",SUBSTITUTE(F1452," ",""))+1,99),"🚕 Uber"),"")</f>
        <v/>
      </c>
      <c r="J1452" s="8">
        <f>IF(F1452&lt;&gt;"","https://api.qrserver.com/v1/create-qr-code/?size=200x200&amp;data="&amp;ENCODEURL("https://www.google.com/maps/search/?api=1&amp;query="&amp;SUBSTITUTE(F1452," ","")),"")</f>
        <v/>
      </c>
      <c r="K1452" s="8">
        <f>IF(C1452&lt;&gt;"",HYPERLINK("https://wa.me/507"&amp;REGEXREPLACE(C1452,"[^0-9]","")&amp;"?text="&amp;ENCODEURL("Ya llegue. Codigo: "&amp;A1452&amp;". Ubicacion: "&amp;"https://www.google.com/maps/search/?api=1&amp;query="&amp;SUBSTITUTE(F1452," ","")),"📲 Avisar al cliente"),"")</f>
        <v/>
      </c>
      <c r="L1452" s="8">
        <f>IF(C1452&lt;&gt;"","https://api.qrserver.com/v1/create-qr-code/?size=200x200&amp;data="&amp;ENCODEURL("https://wa.me/507"&amp;REGEXREPLACE(C1452,"[^0-9]","")&amp;"?text="&amp;ENCODEURL("Ya llegue. Codigo: "&amp;A1452&amp;". Ubicacion: "&amp;"https://www.google.com/maps/search/?api=1&amp;query="&amp;SUBSTITUTE(F1452," ",""))),"")</f>
        <v/>
      </c>
      <c r="M1452" s="8">
        <f>IF(B1452&lt;&gt;"",TODAY(),"")</f>
        <v/>
      </c>
      <c r="N1452" s="8">
        <f>IF(F1452&lt;&gt;"",IFERROR(IF(AND(REGEXMATCH(SUBSTITUTE(TRIM(F1452)," ",""),"^-?\d+(\.\d+)?,-?\d+(\.\d+)?$"),VALUE(REGEXEXTRACT(SUBSTITUTE(TRIM(F1452)," ",""),"^-?\d+(\.\d+)?"))&gt;=-90,VALUE(REGEXEXTRACT(SUBSTITUTE(TRIM(F1452)," ",""),"^-?\d+(\.\d+)?"))&lt;=90,VALUE(REGEXEXTRACT(SUBSTITUTE(TRIM(F1452)," ",""),"-?\d+(\.\d+)?$"))&gt;=-180,VALUE(REGEXEXTRACT(SUBSTITUTE(TRIM(F1452)," ",""),"-?\d+(\.\d+)?$"))&lt;=180),"OK","REVISAR"),"REVISAR"),"")</f>
        <v/>
      </c>
      <c r="O1452">
        <f>IF(A1452&lt;&gt;"","https://direcciones507.github.io/direcciones507/panel.html?codigo="&amp;A1452&amp;"&amp;nombre="&amp;ENCODEURL(B1452)&amp;"&amp;telefono="&amp;SUBSTITUTE(C1452,"-","")&amp;"&amp;referencia="&amp;ENCODEURL(E1452)&amp;"&amp;lat="&amp;IZQUIERDA(SUBSTITUTE(F1452," ",""),ENCONTRAR(",",SUBSTITUTE(F1452," ",""))-1)&amp;"&amp;lng="&amp;DERECHA(SUBSTITUTE(F1452," ",""),LARGO(SUBSTITUTE(F1452," ",""))-ENCONTRAR(",",SUBSTITUTE(F1452," ",""))),"")</f>
        <v/>
      </c>
    </row>
    <row r="1453" ht="15.75" customHeight="1" s="10">
      <c r="A1453" s="8">
        <f>CONCAT("AD507-",TEXT(ROW()-2,"0000"))</f>
        <v/>
      </c>
      <c r="C1453" s="8" t="n"/>
      <c r="F1453" s="8" t="n"/>
      <c r="G1453" s="8">
        <f>IF(F1453&lt;&gt;"",HYPERLINK("https://www.google.com/maps/search/?api=1&amp;query="&amp;SUBSTITUTE(F1453," ",""),"🗺 Google Maps"),"")</f>
        <v/>
      </c>
      <c r="H1453" s="8">
        <f>IF(F1453&lt;&gt;"",HYPERLINK("https://waze.com/ul?ll="&amp;SUBSTITUTE(F1453," ","")&amp;"&amp;navigate=yes","🚗 Waze"),"")</f>
        <v/>
      </c>
      <c r="I1453" s="8">
        <f>IF(F1453&lt;&gt;"",HYPERLINK("https://m.uber.com/ul/?action=setPickup&amp;pickup=my_location&amp;dropoff[latitude]="&amp;LEFT(SUBSTITUTE(F1453," ",""),FIND(",",SUBSTITUTE(F1453," ",""))-1)&amp;"&amp;dropoff[longitude]="&amp;MID(SUBSTITUTE(F1453," ",""),FIND(",",SUBSTITUTE(F1453," ",""))+1,99),"🚕 Uber"),"")</f>
        <v/>
      </c>
      <c r="J1453" s="8">
        <f>IF(F1453&lt;&gt;"","https://api.qrserver.com/v1/create-qr-code/?size=200x200&amp;data="&amp;ENCODEURL("https://www.google.com/maps/search/?api=1&amp;query="&amp;SUBSTITUTE(F1453," ","")),"")</f>
        <v/>
      </c>
      <c r="K1453" s="8">
        <f>IF(C1453&lt;&gt;"",HYPERLINK("https://wa.me/507"&amp;REGEXREPLACE(C1453,"[^0-9]","")&amp;"?text="&amp;ENCODEURL("Ya llegue. Codigo: "&amp;A1453&amp;". Ubicacion: "&amp;"https://www.google.com/maps/search/?api=1&amp;query="&amp;SUBSTITUTE(F1453," ","")),"📲 Avisar al cliente"),"")</f>
        <v/>
      </c>
      <c r="L1453" s="8">
        <f>IF(C1453&lt;&gt;"","https://api.qrserver.com/v1/create-qr-code/?size=200x200&amp;data="&amp;ENCODEURL("https://wa.me/507"&amp;REGEXREPLACE(C1453,"[^0-9]","")&amp;"?text="&amp;ENCODEURL("Ya llegue. Codigo: "&amp;A1453&amp;". Ubicacion: "&amp;"https://www.google.com/maps/search/?api=1&amp;query="&amp;SUBSTITUTE(F1453," ",""))),"")</f>
        <v/>
      </c>
      <c r="M1453" s="8">
        <f>IF(B1453&lt;&gt;"",TODAY(),"")</f>
        <v/>
      </c>
      <c r="N1453" s="8">
        <f>IF(F1453&lt;&gt;"",IFERROR(IF(AND(REGEXMATCH(SUBSTITUTE(TRIM(F1453)," ",""),"^-?\d+(\.\d+)?,-?\d+(\.\d+)?$"),VALUE(REGEXEXTRACT(SUBSTITUTE(TRIM(F1453)," ",""),"^-?\d+(\.\d+)?"))&gt;=-90,VALUE(REGEXEXTRACT(SUBSTITUTE(TRIM(F1453)," ",""),"^-?\d+(\.\d+)?"))&lt;=90,VALUE(REGEXEXTRACT(SUBSTITUTE(TRIM(F1453)," ",""),"-?\d+(\.\d+)?$"))&gt;=-180,VALUE(REGEXEXTRACT(SUBSTITUTE(TRIM(F1453)," ",""),"-?\d+(\.\d+)?$"))&lt;=180),"OK","REVISAR"),"REVISAR"),"")</f>
        <v/>
      </c>
      <c r="O1453">
        <f>IF(A1453&lt;&gt;"","https://direcciones507.github.io/direcciones507/panel.html?codigo="&amp;A1453&amp;"&amp;nombre="&amp;ENCODEURL(B1453)&amp;"&amp;telefono="&amp;SUBSTITUTE(C1453,"-","")&amp;"&amp;referencia="&amp;ENCODEURL(E1453)&amp;"&amp;lat="&amp;IZQUIERDA(SUBSTITUTE(F1453," ",""),ENCONTRAR(",",SUBSTITUTE(F1453," ",""))-1)&amp;"&amp;lng="&amp;DERECHA(SUBSTITUTE(F1453," ",""),LARGO(SUBSTITUTE(F1453," ",""))-ENCONTRAR(",",SUBSTITUTE(F1453," ",""))),"")</f>
        <v/>
      </c>
    </row>
    <row r="1454" ht="15.75" customHeight="1" s="10">
      <c r="A1454" s="8">
        <f>CONCAT("AD507-",TEXT(ROW()-2,"0000"))</f>
        <v/>
      </c>
      <c r="C1454" s="8" t="n"/>
      <c r="F1454" s="8" t="n"/>
      <c r="G1454" s="8">
        <f>IF(F1454&lt;&gt;"",HYPERLINK("https://www.google.com/maps/search/?api=1&amp;query="&amp;SUBSTITUTE(F1454," ",""),"🗺 Google Maps"),"")</f>
        <v/>
      </c>
      <c r="H1454" s="8">
        <f>IF(F1454&lt;&gt;"",HYPERLINK("https://waze.com/ul?ll="&amp;SUBSTITUTE(F1454," ","")&amp;"&amp;navigate=yes","🚗 Waze"),"")</f>
        <v/>
      </c>
      <c r="I1454" s="8">
        <f>IF(F1454&lt;&gt;"",HYPERLINK("https://m.uber.com/ul/?action=setPickup&amp;pickup=my_location&amp;dropoff[latitude]="&amp;LEFT(SUBSTITUTE(F1454," ",""),FIND(",",SUBSTITUTE(F1454," ",""))-1)&amp;"&amp;dropoff[longitude]="&amp;MID(SUBSTITUTE(F1454," ",""),FIND(",",SUBSTITUTE(F1454," ",""))+1,99),"🚕 Uber"),"")</f>
        <v/>
      </c>
      <c r="J1454" s="8">
        <f>IF(F1454&lt;&gt;"","https://api.qrserver.com/v1/create-qr-code/?size=200x200&amp;data="&amp;ENCODEURL("https://www.google.com/maps/search/?api=1&amp;query="&amp;SUBSTITUTE(F1454," ","")),"")</f>
        <v/>
      </c>
      <c r="K1454" s="8">
        <f>IF(C1454&lt;&gt;"",HYPERLINK("https://wa.me/507"&amp;REGEXREPLACE(C1454,"[^0-9]","")&amp;"?text="&amp;ENCODEURL("Ya llegue. Codigo: "&amp;A1454&amp;". Ubicacion: "&amp;"https://www.google.com/maps/search/?api=1&amp;query="&amp;SUBSTITUTE(F1454," ","")),"📲 Avisar al cliente"),"")</f>
        <v/>
      </c>
      <c r="L1454" s="8">
        <f>IF(C1454&lt;&gt;"","https://api.qrserver.com/v1/create-qr-code/?size=200x200&amp;data="&amp;ENCODEURL("https://wa.me/507"&amp;REGEXREPLACE(C1454,"[^0-9]","")&amp;"?text="&amp;ENCODEURL("Ya llegue. Codigo: "&amp;A1454&amp;". Ubicacion: "&amp;"https://www.google.com/maps/search/?api=1&amp;query="&amp;SUBSTITUTE(F1454," ",""))),"")</f>
        <v/>
      </c>
      <c r="M1454" s="8">
        <f>IF(B1454&lt;&gt;"",TODAY(),"")</f>
        <v/>
      </c>
      <c r="N1454" s="8">
        <f>IF(F1454&lt;&gt;"",IFERROR(IF(AND(REGEXMATCH(SUBSTITUTE(TRIM(F1454)," ",""),"^-?\d+(\.\d+)?,-?\d+(\.\d+)?$"),VALUE(REGEXEXTRACT(SUBSTITUTE(TRIM(F1454)," ",""),"^-?\d+(\.\d+)?"))&gt;=-90,VALUE(REGEXEXTRACT(SUBSTITUTE(TRIM(F1454)," ",""),"^-?\d+(\.\d+)?"))&lt;=90,VALUE(REGEXEXTRACT(SUBSTITUTE(TRIM(F1454)," ",""),"-?\d+(\.\d+)?$"))&gt;=-180,VALUE(REGEXEXTRACT(SUBSTITUTE(TRIM(F1454)," ",""),"-?\d+(\.\d+)?$"))&lt;=180),"OK","REVISAR"),"REVISAR"),"")</f>
        <v/>
      </c>
      <c r="O1454">
        <f>IF(A1454&lt;&gt;"","https://direcciones507.github.io/direcciones507/panel.html?codigo="&amp;A1454&amp;"&amp;nombre="&amp;ENCODEURL(B1454)&amp;"&amp;telefono="&amp;SUBSTITUTE(C1454,"-","")&amp;"&amp;referencia="&amp;ENCODEURL(E1454)&amp;"&amp;lat="&amp;IZQUIERDA(SUBSTITUTE(F1454," ",""),ENCONTRAR(",",SUBSTITUTE(F1454," ",""))-1)&amp;"&amp;lng="&amp;DERECHA(SUBSTITUTE(F1454," ",""),LARGO(SUBSTITUTE(F1454," ",""))-ENCONTRAR(",",SUBSTITUTE(F1454," ",""))),"")</f>
        <v/>
      </c>
    </row>
    <row r="1455" ht="15.75" customHeight="1" s="10">
      <c r="A1455" s="8">
        <f>CONCAT("AD507-",TEXT(ROW()-2,"0000"))</f>
        <v/>
      </c>
      <c r="C1455" s="8" t="n"/>
      <c r="F1455" s="8" t="n"/>
      <c r="G1455" s="8">
        <f>IF(F1455&lt;&gt;"",HYPERLINK("https://www.google.com/maps/search/?api=1&amp;query="&amp;SUBSTITUTE(F1455," ",""),"🗺 Google Maps"),"")</f>
        <v/>
      </c>
      <c r="H1455" s="8">
        <f>IF(F1455&lt;&gt;"",HYPERLINK("https://waze.com/ul?ll="&amp;SUBSTITUTE(F1455," ","")&amp;"&amp;navigate=yes","🚗 Waze"),"")</f>
        <v/>
      </c>
      <c r="I1455" s="8">
        <f>IF(F1455&lt;&gt;"",HYPERLINK("https://m.uber.com/ul/?action=setPickup&amp;pickup=my_location&amp;dropoff[latitude]="&amp;LEFT(SUBSTITUTE(F1455," ",""),FIND(",",SUBSTITUTE(F1455," ",""))-1)&amp;"&amp;dropoff[longitude]="&amp;MID(SUBSTITUTE(F1455," ",""),FIND(",",SUBSTITUTE(F1455," ",""))+1,99),"🚕 Uber"),"")</f>
        <v/>
      </c>
      <c r="J1455" s="8">
        <f>IF(F1455&lt;&gt;"","https://api.qrserver.com/v1/create-qr-code/?size=200x200&amp;data="&amp;ENCODEURL("https://www.google.com/maps/search/?api=1&amp;query="&amp;SUBSTITUTE(F1455," ","")),"")</f>
        <v/>
      </c>
      <c r="K1455" s="8">
        <f>IF(C1455&lt;&gt;"",HYPERLINK("https://wa.me/507"&amp;REGEXREPLACE(C1455,"[^0-9]","")&amp;"?text="&amp;ENCODEURL("Ya llegue. Codigo: "&amp;A1455&amp;". Ubicacion: "&amp;"https://www.google.com/maps/search/?api=1&amp;query="&amp;SUBSTITUTE(F1455," ","")),"📲 Avisar al cliente"),"")</f>
        <v/>
      </c>
      <c r="L1455" s="8">
        <f>IF(C1455&lt;&gt;"","https://api.qrserver.com/v1/create-qr-code/?size=200x200&amp;data="&amp;ENCODEURL("https://wa.me/507"&amp;REGEXREPLACE(C1455,"[^0-9]","")&amp;"?text="&amp;ENCODEURL("Ya llegue. Codigo: "&amp;A1455&amp;". Ubicacion: "&amp;"https://www.google.com/maps/search/?api=1&amp;query="&amp;SUBSTITUTE(F1455," ",""))),"")</f>
        <v/>
      </c>
      <c r="M1455" s="8">
        <f>IF(B1455&lt;&gt;"",TODAY(),"")</f>
        <v/>
      </c>
      <c r="N1455" s="8">
        <f>IF(F1455&lt;&gt;"",IFERROR(IF(AND(REGEXMATCH(SUBSTITUTE(TRIM(F1455)," ",""),"^-?\d+(\.\d+)?,-?\d+(\.\d+)?$"),VALUE(REGEXEXTRACT(SUBSTITUTE(TRIM(F1455)," ",""),"^-?\d+(\.\d+)?"))&gt;=-90,VALUE(REGEXEXTRACT(SUBSTITUTE(TRIM(F1455)," ",""),"^-?\d+(\.\d+)?"))&lt;=90,VALUE(REGEXEXTRACT(SUBSTITUTE(TRIM(F1455)," ",""),"-?\d+(\.\d+)?$"))&gt;=-180,VALUE(REGEXEXTRACT(SUBSTITUTE(TRIM(F1455)," ",""),"-?\d+(\.\d+)?$"))&lt;=180),"OK","REVISAR"),"REVISAR"),"")</f>
        <v/>
      </c>
      <c r="O1455">
        <f>IF(A1455&lt;&gt;"","https://direcciones507.github.io/direcciones507/panel.html?codigo="&amp;A1455&amp;"&amp;nombre="&amp;ENCODEURL(B1455)&amp;"&amp;telefono="&amp;SUBSTITUTE(C1455,"-","")&amp;"&amp;referencia="&amp;ENCODEURL(E1455)&amp;"&amp;lat="&amp;IZQUIERDA(SUBSTITUTE(F1455," ",""),ENCONTRAR(",",SUBSTITUTE(F1455," ",""))-1)&amp;"&amp;lng="&amp;DERECHA(SUBSTITUTE(F1455," ",""),LARGO(SUBSTITUTE(F1455," ",""))-ENCONTRAR(",",SUBSTITUTE(F1455," ",""))),"")</f>
        <v/>
      </c>
    </row>
    <row r="1456" ht="15.75" customHeight="1" s="10">
      <c r="A1456" s="8">
        <f>CONCAT("AD507-",TEXT(ROW()-2,"0000"))</f>
        <v/>
      </c>
      <c r="C1456" s="8" t="n"/>
      <c r="F1456" s="8" t="n"/>
      <c r="G1456" s="8">
        <f>IF(F1456&lt;&gt;"",HYPERLINK("https://www.google.com/maps/search/?api=1&amp;query="&amp;SUBSTITUTE(F1456," ",""),"🗺 Google Maps"),"")</f>
        <v/>
      </c>
      <c r="H1456" s="8">
        <f>IF(F1456&lt;&gt;"",HYPERLINK("https://waze.com/ul?ll="&amp;SUBSTITUTE(F1456," ","")&amp;"&amp;navigate=yes","🚗 Waze"),"")</f>
        <v/>
      </c>
      <c r="I1456" s="8">
        <f>IF(F1456&lt;&gt;"",HYPERLINK("https://m.uber.com/ul/?action=setPickup&amp;pickup=my_location&amp;dropoff[latitude]="&amp;LEFT(SUBSTITUTE(F1456," ",""),FIND(",",SUBSTITUTE(F1456," ",""))-1)&amp;"&amp;dropoff[longitude]="&amp;MID(SUBSTITUTE(F1456," ",""),FIND(",",SUBSTITUTE(F1456," ",""))+1,99),"🚕 Uber"),"")</f>
        <v/>
      </c>
      <c r="J1456" s="8">
        <f>IF(F1456&lt;&gt;"","https://api.qrserver.com/v1/create-qr-code/?size=200x200&amp;data="&amp;ENCODEURL("https://www.google.com/maps/search/?api=1&amp;query="&amp;SUBSTITUTE(F1456," ","")),"")</f>
        <v/>
      </c>
      <c r="K1456" s="8">
        <f>IF(C1456&lt;&gt;"",HYPERLINK("https://wa.me/507"&amp;REGEXREPLACE(C1456,"[^0-9]","")&amp;"?text="&amp;ENCODEURL("Ya llegue. Codigo: "&amp;A1456&amp;". Ubicacion: "&amp;"https://www.google.com/maps/search/?api=1&amp;query="&amp;SUBSTITUTE(F1456," ","")),"📲 Avisar al cliente"),"")</f>
        <v/>
      </c>
      <c r="L1456" s="8">
        <f>IF(C1456&lt;&gt;"","https://api.qrserver.com/v1/create-qr-code/?size=200x200&amp;data="&amp;ENCODEURL("https://wa.me/507"&amp;REGEXREPLACE(C1456,"[^0-9]","")&amp;"?text="&amp;ENCODEURL("Ya llegue. Codigo: "&amp;A1456&amp;". Ubicacion: "&amp;"https://www.google.com/maps/search/?api=1&amp;query="&amp;SUBSTITUTE(F1456," ",""))),"")</f>
        <v/>
      </c>
      <c r="M1456" s="8">
        <f>IF(B1456&lt;&gt;"",TODAY(),"")</f>
        <v/>
      </c>
      <c r="N1456" s="8">
        <f>IF(F1456&lt;&gt;"",IFERROR(IF(AND(REGEXMATCH(SUBSTITUTE(TRIM(F1456)," ",""),"^-?\d+(\.\d+)?,-?\d+(\.\d+)?$"),VALUE(REGEXEXTRACT(SUBSTITUTE(TRIM(F1456)," ",""),"^-?\d+(\.\d+)?"))&gt;=-90,VALUE(REGEXEXTRACT(SUBSTITUTE(TRIM(F1456)," ",""),"^-?\d+(\.\d+)?"))&lt;=90,VALUE(REGEXEXTRACT(SUBSTITUTE(TRIM(F1456)," ",""),"-?\d+(\.\d+)?$"))&gt;=-180,VALUE(REGEXEXTRACT(SUBSTITUTE(TRIM(F1456)," ",""),"-?\d+(\.\d+)?$"))&lt;=180),"OK","REVISAR"),"REVISAR"),"")</f>
        <v/>
      </c>
      <c r="O1456">
        <f>IF(A1456&lt;&gt;"","https://direcciones507.github.io/direcciones507/panel.html?codigo="&amp;A1456&amp;"&amp;nombre="&amp;ENCODEURL(B1456)&amp;"&amp;telefono="&amp;SUBSTITUTE(C1456,"-","")&amp;"&amp;referencia="&amp;ENCODEURL(E1456)&amp;"&amp;lat="&amp;IZQUIERDA(SUBSTITUTE(F1456," ",""),ENCONTRAR(",",SUBSTITUTE(F1456," ",""))-1)&amp;"&amp;lng="&amp;DERECHA(SUBSTITUTE(F1456," ",""),LARGO(SUBSTITUTE(F1456," ",""))-ENCONTRAR(",",SUBSTITUTE(F1456," ",""))),"")</f>
        <v/>
      </c>
    </row>
    <row r="1457" ht="15.75" customHeight="1" s="10">
      <c r="A1457" s="8">
        <f>CONCAT("AD507-",TEXT(ROW()-2,"0000"))</f>
        <v/>
      </c>
      <c r="C1457" s="8" t="n"/>
      <c r="F1457" s="8" t="n"/>
      <c r="G1457" s="8">
        <f>IF(F1457&lt;&gt;"",HYPERLINK("https://www.google.com/maps/search/?api=1&amp;query="&amp;SUBSTITUTE(F1457," ",""),"🗺 Google Maps"),"")</f>
        <v/>
      </c>
      <c r="H1457" s="8">
        <f>IF(F1457&lt;&gt;"",HYPERLINK("https://waze.com/ul?ll="&amp;SUBSTITUTE(F1457," ","")&amp;"&amp;navigate=yes","🚗 Waze"),"")</f>
        <v/>
      </c>
      <c r="I1457" s="8">
        <f>IF(F1457&lt;&gt;"",HYPERLINK("https://m.uber.com/ul/?action=setPickup&amp;pickup=my_location&amp;dropoff[latitude]="&amp;LEFT(SUBSTITUTE(F1457," ",""),FIND(",",SUBSTITUTE(F1457," ",""))-1)&amp;"&amp;dropoff[longitude]="&amp;MID(SUBSTITUTE(F1457," ",""),FIND(",",SUBSTITUTE(F1457," ",""))+1,99),"🚕 Uber"),"")</f>
        <v/>
      </c>
      <c r="J1457" s="8">
        <f>IF(F1457&lt;&gt;"","https://api.qrserver.com/v1/create-qr-code/?size=200x200&amp;data="&amp;ENCODEURL("https://www.google.com/maps/search/?api=1&amp;query="&amp;SUBSTITUTE(F1457," ","")),"")</f>
        <v/>
      </c>
      <c r="K1457" s="8">
        <f>IF(C1457&lt;&gt;"",HYPERLINK("https://wa.me/507"&amp;REGEXREPLACE(C1457,"[^0-9]","")&amp;"?text="&amp;ENCODEURL("Ya llegue. Codigo: "&amp;A1457&amp;". Ubicacion: "&amp;"https://www.google.com/maps/search/?api=1&amp;query="&amp;SUBSTITUTE(F1457," ","")),"📲 Avisar al cliente"),"")</f>
        <v/>
      </c>
      <c r="L1457" s="8">
        <f>IF(C1457&lt;&gt;"","https://api.qrserver.com/v1/create-qr-code/?size=200x200&amp;data="&amp;ENCODEURL("https://wa.me/507"&amp;REGEXREPLACE(C1457,"[^0-9]","")&amp;"?text="&amp;ENCODEURL("Ya llegue. Codigo: "&amp;A1457&amp;". Ubicacion: "&amp;"https://www.google.com/maps/search/?api=1&amp;query="&amp;SUBSTITUTE(F1457," ",""))),"")</f>
        <v/>
      </c>
      <c r="M1457" s="8">
        <f>IF(B1457&lt;&gt;"",TODAY(),"")</f>
        <v/>
      </c>
      <c r="N1457" s="8">
        <f>IF(F1457&lt;&gt;"",IFERROR(IF(AND(REGEXMATCH(SUBSTITUTE(TRIM(F1457)," ",""),"^-?\d+(\.\d+)?,-?\d+(\.\d+)?$"),VALUE(REGEXEXTRACT(SUBSTITUTE(TRIM(F1457)," ",""),"^-?\d+(\.\d+)?"))&gt;=-90,VALUE(REGEXEXTRACT(SUBSTITUTE(TRIM(F1457)," ",""),"^-?\d+(\.\d+)?"))&lt;=90,VALUE(REGEXEXTRACT(SUBSTITUTE(TRIM(F1457)," ",""),"-?\d+(\.\d+)?$"))&gt;=-180,VALUE(REGEXEXTRACT(SUBSTITUTE(TRIM(F1457)," ",""),"-?\d+(\.\d+)?$"))&lt;=180),"OK","REVISAR"),"REVISAR"),"")</f>
        <v/>
      </c>
      <c r="O1457">
        <f>IF(A1457&lt;&gt;"","https://direcciones507.github.io/direcciones507/panel.html?codigo="&amp;A1457&amp;"&amp;nombre="&amp;ENCODEURL(B1457)&amp;"&amp;telefono="&amp;SUBSTITUTE(C1457,"-","")&amp;"&amp;referencia="&amp;ENCODEURL(E1457)&amp;"&amp;lat="&amp;IZQUIERDA(SUBSTITUTE(F1457," ",""),ENCONTRAR(",",SUBSTITUTE(F1457," ",""))-1)&amp;"&amp;lng="&amp;DERECHA(SUBSTITUTE(F1457," ",""),LARGO(SUBSTITUTE(F1457," ",""))-ENCONTRAR(",",SUBSTITUTE(F1457," ",""))),"")</f>
        <v/>
      </c>
    </row>
    <row r="1458" ht="15.75" customHeight="1" s="10">
      <c r="A1458" s="8">
        <f>CONCAT("AD507-",TEXT(ROW()-2,"0000"))</f>
        <v/>
      </c>
      <c r="C1458" s="8" t="n"/>
      <c r="F1458" s="8" t="n"/>
      <c r="G1458" s="8">
        <f>IF(F1458&lt;&gt;"",HYPERLINK("https://www.google.com/maps/search/?api=1&amp;query="&amp;SUBSTITUTE(F1458," ",""),"🗺 Google Maps"),"")</f>
        <v/>
      </c>
      <c r="H1458" s="8">
        <f>IF(F1458&lt;&gt;"",HYPERLINK("https://waze.com/ul?ll="&amp;SUBSTITUTE(F1458," ","")&amp;"&amp;navigate=yes","🚗 Waze"),"")</f>
        <v/>
      </c>
      <c r="I1458" s="8">
        <f>IF(F1458&lt;&gt;"",HYPERLINK("https://m.uber.com/ul/?action=setPickup&amp;pickup=my_location&amp;dropoff[latitude]="&amp;LEFT(SUBSTITUTE(F1458," ",""),FIND(",",SUBSTITUTE(F1458," ",""))-1)&amp;"&amp;dropoff[longitude]="&amp;MID(SUBSTITUTE(F1458," ",""),FIND(",",SUBSTITUTE(F1458," ",""))+1,99),"🚕 Uber"),"")</f>
        <v/>
      </c>
      <c r="J1458" s="8">
        <f>IF(F1458&lt;&gt;"","https://api.qrserver.com/v1/create-qr-code/?size=200x200&amp;data="&amp;ENCODEURL("https://www.google.com/maps/search/?api=1&amp;query="&amp;SUBSTITUTE(F1458," ","")),"")</f>
        <v/>
      </c>
      <c r="K1458" s="8">
        <f>IF(C1458&lt;&gt;"",HYPERLINK("https://wa.me/507"&amp;REGEXREPLACE(C1458,"[^0-9]","")&amp;"?text="&amp;ENCODEURL("Ya llegue. Codigo: "&amp;A1458&amp;". Ubicacion: "&amp;"https://www.google.com/maps/search/?api=1&amp;query="&amp;SUBSTITUTE(F1458," ","")),"📲 Avisar al cliente"),"")</f>
        <v/>
      </c>
      <c r="L1458" s="8">
        <f>IF(C1458&lt;&gt;"","https://api.qrserver.com/v1/create-qr-code/?size=200x200&amp;data="&amp;ENCODEURL("https://wa.me/507"&amp;REGEXREPLACE(C1458,"[^0-9]","")&amp;"?text="&amp;ENCODEURL("Ya llegue. Codigo: "&amp;A1458&amp;". Ubicacion: "&amp;"https://www.google.com/maps/search/?api=1&amp;query="&amp;SUBSTITUTE(F1458," ",""))),"")</f>
        <v/>
      </c>
      <c r="M1458" s="8">
        <f>IF(B1458&lt;&gt;"",TODAY(),"")</f>
        <v/>
      </c>
      <c r="N1458" s="8">
        <f>IF(F1458&lt;&gt;"",IFERROR(IF(AND(REGEXMATCH(SUBSTITUTE(TRIM(F1458)," ",""),"^-?\d+(\.\d+)?,-?\d+(\.\d+)?$"),VALUE(REGEXEXTRACT(SUBSTITUTE(TRIM(F1458)," ",""),"^-?\d+(\.\d+)?"))&gt;=-90,VALUE(REGEXEXTRACT(SUBSTITUTE(TRIM(F1458)," ",""),"^-?\d+(\.\d+)?"))&lt;=90,VALUE(REGEXEXTRACT(SUBSTITUTE(TRIM(F1458)," ",""),"-?\d+(\.\d+)?$"))&gt;=-180,VALUE(REGEXEXTRACT(SUBSTITUTE(TRIM(F1458)," ",""),"-?\d+(\.\d+)?$"))&lt;=180),"OK","REVISAR"),"REVISAR"),"")</f>
        <v/>
      </c>
      <c r="O1458">
        <f>IF(A1458&lt;&gt;"","https://direcciones507.github.io/direcciones507/panel.html?codigo="&amp;A1458&amp;"&amp;nombre="&amp;ENCODEURL(B1458)&amp;"&amp;telefono="&amp;SUBSTITUTE(C1458,"-","")&amp;"&amp;referencia="&amp;ENCODEURL(E1458)&amp;"&amp;lat="&amp;IZQUIERDA(SUBSTITUTE(F1458," ",""),ENCONTRAR(",",SUBSTITUTE(F1458," ",""))-1)&amp;"&amp;lng="&amp;DERECHA(SUBSTITUTE(F1458," ",""),LARGO(SUBSTITUTE(F1458," ",""))-ENCONTRAR(",",SUBSTITUTE(F1458," ",""))),"")</f>
        <v/>
      </c>
    </row>
    <row r="1459" ht="15.75" customHeight="1" s="10">
      <c r="A1459" s="8">
        <f>CONCAT("AD507-",TEXT(ROW()-2,"0000"))</f>
        <v/>
      </c>
      <c r="C1459" s="8" t="n"/>
      <c r="F1459" s="8" t="n"/>
      <c r="G1459" s="8">
        <f>IF(F1459&lt;&gt;"",HYPERLINK("https://www.google.com/maps/search/?api=1&amp;query="&amp;SUBSTITUTE(F1459," ",""),"🗺 Google Maps"),"")</f>
        <v/>
      </c>
      <c r="H1459" s="8">
        <f>IF(F1459&lt;&gt;"",HYPERLINK("https://waze.com/ul?ll="&amp;SUBSTITUTE(F1459," ","")&amp;"&amp;navigate=yes","🚗 Waze"),"")</f>
        <v/>
      </c>
      <c r="I1459" s="8">
        <f>IF(F1459&lt;&gt;"",HYPERLINK("https://m.uber.com/ul/?action=setPickup&amp;pickup=my_location&amp;dropoff[latitude]="&amp;LEFT(SUBSTITUTE(F1459," ",""),FIND(",",SUBSTITUTE(F1459," ",""))-1)&amp;"&amp;dropoff[longitude]="&amp;MID(SUBSTITUTE(F1459," ",""),FIND(",",SUBSTITUTE(F1459," ",""))+1,99),"🚕 Uber"),"")</f>
        <v/>
      </c>
      <c r="J1459" s="8">
        <f>IF(F1459&lt;&gt;"","https://api.qrserver.com/v1/create-qr-code/?size=200x200&amp;data="&amp;ENCODEURL("https://www.google.com/maps/search/?api=1&amp;query="&amp;SUBSTITUTE(F1459," ","")),"")</f>
        <v/>
      </c>
      <c r="K1459" s="8">
        <f>IF(C1459&lt;&gt;"",HYPERLINK("https://wa.me/507"&amp;REGEXREPLACE(C1459,"[^0-9]","")&amp;"?text="&amp;ENCODEURL("Ya llegue. Codigo: "&amp;A1459&amp;". Ubicacion: "&amp;"https://www.google.com/maps/search/?api=1&amp;query="&amp;SUBSTITUTE(F1459," ","")),"📲 Avisar al cliente"),"")</f>
        <v/>
      </c>
      <c r="L1459" s="8">
        <f>IF(C1459&lt;&gt;"","https://api.qrserver.com/v1/create-qr-code/?size=200x200&amp;data="&amp;ENCODEURL("https://wa.me/507"&amp;REGEXREPLACE(C1459,"[^0-9]","")&amp;"?text="&amp;ENCODEURL("Ya llegue. Codigo: "&amp;A1459&amp;". Ubicacion: "&amp;"https://www.google.com/maps/search/?api=1&amp;query="&amp;SUBSTITUTE(F1459," ",""))),"")</f>
        <v/>
      </c>
      <c r="M1459" s="8">
        <f>IF(B1459&lt;&gt;"",TODAY(),"")</f>
        <v/>
      </c>
      <c r="N1459" s="8">
        <f>IF(F1459&lt;&gt;"",IFERROR(IF(AND(REGEXMATCH(SUBSTITUTE(TRIM(F1459)," ",""),"^-?\d+(\.\d+)?,-?\d+(\.\d+)?$"),VALUE(REGEXEXTRACT(SUBSTITUTE(TRIM(F1459)," ",""),"^-?\d+(\.\d+)?"))&gt;=-90,VALUE(REGEXEXTRACT(SUBSTITUTE(TRIM(F1459)," ",""),"^-?\d+(\.\d+)?"))&lt;=90,VALUE(REGEXEXTRACT(SUBSTITUTE(TRIM(F1459)," ",""),"-?\d+(\.\d+)?$"))&gt;=-180,VALUE(REGEXEXTRACT(SUBSTITUTE(TRIM(F1459)," ",""),"-?\d+(\.\d+)?$"))&lt;=180),"OK","REVISAR"),"REVISAR"),"")</f>
        <v/>
      </c>
      <c r="O1459">
        <f>IF(A1459&lt;&gt;"","https://direcciones507.github.io/direcciones507/panel.html?codigo="&amp;A1459&amp;"&amp;nombre="&amp;ENCODEURL(B1459)&amp;"&amp;telefono="&amp;SUBSTITUTE(C1459,"-","")&amp;"&amp;referencia="&amp;ENCODEURL(E1459)&amp;"&amp;lat="&amp;IZQUIERDA(SUBSTITUTE(F1459," ",""),ENCONTRAR(",",SUBSTITUTE(F1459," ",""))-1)&amp;"&amp;lng="&amp;DERECHA(SUBSTITUTE(F1459," ",""),LARGO(SUBSTITUTE(F1459," ",""))-ENCONTRAR(",",SUBSTITUTE(F1459," ",""))),"")</f>
        <v/>
      </c>
    </row>
    <row r="1460" ht="15.75" customHeight="1" s="10">
      <c r="A1460" s="8">
        <f>CONCAT("AD507-",TEXT(ROW()-2,"0000"))</f>
        <v/>
      </c>
      <c r="C1460" s="8" t="n"/>
      <c r="F1460" s="8" t="n"/>
      <c r="G1460" s="8">
        <f>IF(F1460&lt;&gt;"",HYPERLINK("https://www.google.com/maps/search/?api=1&amp;query="&amp;SUBSTITUTE(F1460," ",""),"🗺 Google Maps"),"")</f>
        <v/>
      </c>
      <c r="H1460" s="8">
        <f>IF(F1460&lt;&gt;"",HYPERLINK("https://waze.com/ul?ll="&amp;SUBSTITUTE(F1460," ","")&amp;"&amp;navigate=yes","🚗 Waze"),"")</f>
        <v/>
      </c>
      <c r="I1460" s="8">
        <f>IF(F1460&lt;&gt;"",HYPERLINK("https://m.uber.com/ul/?action=setPickup&amp;pickup=my_location&amp;dropoff[latitude]="&amp;LEFT(SUBSTITUTE(F1460," ",""),FIND(",",SUBSTITUTE(F1460," ",""))-1)&amp;"&amp;dropoff[longitude]="&amp;MID(SUBSTITUTE(F1460," ",""),FIND(",",SUBSTITUTE(F1460," ",""))+1,99),"🚕 Uber"),"")</f>
        <v/>
      </c>
      <c r="J1460" s="8">
        <f>IF(F1460&lt;&gt;"","https://api.qrserver.com/v1/create-qr-code/?size=200x200&amp;data="&amp;ENCODEURL("https://www.google.com/maps/search/?api=1&amp;query="&amp;SUBSTITUTE(F1460," ","")),"")</f>
        <v/>
      </c>
      <c r="K1460" s="8">
        <f>IF(C1460&lt;&gt;"",HYPERLINK("https://wa.me/507"&amp;REGEXREPLACE(C1460,"[^0-9]","")&amp;"?text="&amp;ENCODEURL("Ya llegue. Codigo: "&amp;A1460&amp;". Ubicacion: "&amp;"https://www.google.com/maps/search/?api=1&amp;query="&amp;SUBSTITUTE(F1460," ","")),"📲 Avisar al cliente"),"")</f>
        <v/>
      </c>
      <c r="L1460" s="8">
        <f>IF(C1460&lt;&gt;"","https://api.qrserver.com/v1/create-qr-code/?size=200x200&amp;data="&amp;ENCODEURL("https://wa.me/507"&amp;REGEXREPLACE(C1460,"[^0-9]","")&amp;"?text="&amp;ENCODEURL("Ya llegue. Codigo: "&amp;A1460&amp;". Ubicacion: "&amp;"https://www.google.com/maps/search/?api=1&amp;query="&amp;SUBSTITUTE(F1460," ",""))),"")</f>
        <v/>
      </c>
      <c r="M1460" s="8">
        <f>IF(B1460&lt;&gt;"",TODAY(),"")</f>
        <v/>
      </c>
      <c r="N1460" s="8">
        <f>IF(F1460&lt;&gt;"",IFERROR(IF(AND(REGEXMATCH(SUBSTITUTE(TRIM(F1460)," ",""),"^-?\d+(\.\d+)?,-?\d+(\.\d+)?$"),VALUE(REGEXEXTRACT(SUBSTITUTE(TRIM(F1460)," ",""),"^-?\d+(\.\d+)?"))&gt;=-90,VALUE(REGEXEXTRACT(SUBSTITUTE(TRIM(F1460)," ",""),"^-?\d+(\.\d+)?"))&lt;=90,VALUE(REGEXEXTRACT(SUBSTITUTE(TRIM(F1460)," ",""),"-?\d+(\.\d+)?$"))&gt;=-180,VALUE(REGEXEXTRACT(SUBSTITUTE(TRIM(F1460)," ",""),"-?\d+(\.\d+)?$"))&lt;=180),"OK","REVISAR"),"REVISAR"),"")</f>
        <v/>
      </c>
      <c r="O1460">
        <f>IF(A1460&lt;&gt;"","https://direcciones507.github.io/direcciones507/panel.html?codigo="&amp;A1460&amp;"&amp;nombre="&amp;ENCODEURL(B1460)&amp;"&amp;telefono="&amp;SUBSTITUTE(C1460,"-","")&amp;"&amp;referencia="&amp;ENCODEURL(E1460)&amp;"&amp;lat="&amp;IZQUIERDA(SUBSTITUTE(F1460," ",""),ENCONTRAR(",",SUBSTITUTE(F1460," ",""))-1)&amp;"&amp;lng="&amp;DERECHA(SUBSTITUTE(F1460," ",""),LARGO(SUBSTITUTE(F1460," ",""))-ENCONTRAR(",",SUBSTITUTE(F1460," ",""))),"")</f>
        <v/>
      </c>
    </row>
    <row r="1461" ht="15.75" customHeight="1" s="10">
      <c r="A1461" s="8">
        <f>CONCAT("AD507-",TEXT(ROW()-2,"0000"))</f>
        <v/>
      </c>
      <c r="C1461" s="8" t="n"/>
      <c r="F1461" s="8" t="n"/>
      <c r="G1461" s="8">
        <f>IF(F1461&lt;&gt;"",HYPERLINK("https://www.google.com/maps/search/?api=1&amp;query="&amp;SUBSTITUTE(F1461," ",""),"🗺 Google Maps"),"")</f>
        <v/>
      </c>
      <c r="H1461" s="8">
        <f>IF(F1461&lt;&gt;"",HYPERLINK("https://waze.com/ul?ll="&amp;SUBSTITUTE(F1461," ","")&amp;"&amp;navigate=yes","🚗 Waze"),"")</f>
        <v/>
      </c>
      <c r="I1461" s="8">
        <f>IF(F1461&lt;&gt;"",HYPERLINK("https://m.uber.com/ul/?action=setPickup&amp;pickup=my_location&amp;dropoff[latitude]="&amp;LEFT(SUBSTITUTE(F1461," ",""),FIND(",",SUBSTITUTE(F1461," ",""))-1)&amp;"&amp;dropoff[longitude]="&amp;MID(SUBSTITUTE(F1461," ",""),FIND(",",SUBSTITUTE(F1461," ",""))+1,99),"🚕 Uber"),"")</f>
        <v/>
      </c>
      <c r="J1461" s="8">
        <f>IF(F1461&lt;&gt;"","https://api.qrserver.com/v1/create-qr-code/?size=200x200&amp;data="&amp;ENCODEURL("https://www.google.com/maps/search/?api=1&amp;query="&amp;SUBSTITUTE(F1461," ","")),"")</f>
        <v/>
      </c>
      <c r="K1461" s="8">
        <f>IF(C1461&lt;&gt;"",HYPERLINK("https://wa.me/507"&amp;REGEXREPLACE(C1461,"[^0-9]","")&amp;"?text="&amp;ENCODEURL("Ya llegue. Codigo: "&amp;A1461&amp;". Ubicacion: "&amp;"https://www.google.com/maps/search/?api=1&amp;query="&amp;SUBSTITUTE(F1461," ","")),"📲 Avisar al cliente"),"")</f>
        <v/>
      </c>
      <c r="L1461" s="8">
        <f>IF(C1461&lt;&gt;"","https://api.qrserver.com/v1/create-qr-code/?size=200x200&amp;data="&amp;ENCODEURL("https://wa.me/507"&amp;REGEXREPLACE(C1461,"[^0-9]","")&amp;"?text="&amp;ENCODEURL("Ya llegue. Codigo: "&amp;A1461&amp;". Ubicacion: "&amp;"https://www.google.com/maps/search/?api=1&amp;query="&amp;SUBSTITUTE(F1461," ",""))),"")</f>
        <v/>
      </c>
      <c r="M1461" s="8">
        <f>IF(B1461&lt;&gt;"",TODAY(),"")</f>
        <v/>
      </c>
      <c r="N1461" s="8">
        <f>IF(F1461&lt;&gt;"",IFERROR(IF(AND(REGEXMATCH(SUBSTITUTE(TRIM(F1461)," ",""),"^-?\d+(\.\d+)?,-?\d+(\.\d+)?$"),VALUE(REGEXEXTRACT(SUBSTITUTE(TRIM(F1461)," ",""),"^-?\d+(\.\d+)?"))&gt;=-90,VALUE(REGEXEXTRACT(SUBSTITUTE(TRIM(F1461)," ",""),"^-?\d+(\.\d+)?"))&lt;=90,VALUE(REGEXEXTRACT(SUBSTITUTE(TRIM(F1461)," ",""),"-?\d+(\.\d+)?$"))&gt;=-180,VALUE(REGEXEXTRACT(SUBSTITUTE(TRIM(F1461)," ",""),"-?\d+(\.\d+)?$"))&lt;=180),"OK","REVISAR"),"REVISAR"),"")</f>
        <v/>
      </c>
      <c r="O1461">
        <f>IF(A1461&lt;&gt;"","https://direcciones507.github.io/direcciones507/panel.html?codigo="&amp;A1461&amp;"&amp;nombre="&amp;ENCODEURL(B1461)&amp;"&amp;telefono="&amp;SUBSTITUTE(C1461,"-","")&amp;"&amp;referencia="&amp;ENCODEURL(E1461)&amp;"&amp;lat="&amp;IZQUIERDA(SUBSTITUTE(F1461," ",""),ENCONTRAR(",",SUBSTITUTE(F1461," ",""))-1)&amp;"&amp;lng="&amp;DERECHA(SUBSTITUTE(F1461," ",""),LARGO(SUBSTITUTE(F1461," ",""))-ENCONTRAR(",",SUBSTITUTE(F1461," ",""))),"")</f>
        <v/>
      </c>
    </row>
    <row r="1462" ht="15.75" customHeight="1" s="10">
      <c r="A1462" s="8">
        <f>CONCAT("AD507-",TEXT(ROW()-2,"0000"))</f>
        <v/>
      </c>
      <c r="C1462" s="8" t="n"/>
      <c r="F1462" s="8" t="n"/>
      <c r="G1462" s="8">
        <f>IF(F1462&lt;&gt;"",HYPERLINK("https://www.google.com/maps/search/?api=1&amp;query="&amp;SUBSTITUTE(F1462," ",""),"🗺 Google Maps"),"")</f>
        <v/>
      </c>
      <c r="H1462" s="8">
        <f>IF(F1462&lt;&gt;"",HYPERLINK("https://waze.com/ul?ll="&amp;SUBSTITUTE(F1462," ","")&amp;"&amp;navigate=yes","🚗 Waze"),"")</f>
        <v/>
      </c>
      <c r="I1462" s="8">
        <f>IF(F1462&lt;&gt;"",HYPERLINK("https://m.uber.com/ul/?action=setPickup&amp;pickup=my_location&amp;dropoff[latitude]="&amp;LEFT(SUBSTITUTE(F1462," ",""),FIND(",",SUBSTITUTE(F1462," ",""))-1)&amp;"&amp;dropoff[longitude]="&amp;MID(SUBSTITUTE(F1462," ",""),FIND(",",SUBSTITUTE(F1462," ",""))+1,99),"🚕 Uber"),"")</f>
        <v/>
      </c>
      <c r="J1462" s="8">
        <f>IF(F1462&lt;&gt;"","https://api.qrserver.com/v1/create-qr-code/?size=200x200&amp;data="&amp;ENCODEURL("https://www.google.com/maps/search/?api=1&amp;query="&amp;SUBSTITUTE(F1462," ","")),"")</f>
        <v/>
      </c>
      <c r="K1462" s="8">
        <f>IF(C1462&lt;&gt;"",HYPERLINK("https://wa.me/507"&amp;REGEXREPLACE(C1462,"[^0-9]","")&amp;"?text="&amp;ENCODEURL("Ya llegue. Codigo: "&amp;A1462&amp;". Ubicacion: "&amp;"https://www.google.com/maps/search/?api=1&amp;query="&amp;SUBSTITUTE(F1462," ","")),"📲 Avisar al cliente"),"")</f>
        <v/>
      </c>
      <c r="L1462" s="8">
        <f>IF(C1462&lt;&gt;"","https://api.qrserver.com/v1/create-qr-code/?size=200x200&amp;data="&amp;ENCODEURL("https://wa.me/507"&amp;REGEXREPLACE(C1462,"[^0-9]","")&amp;"?text="&amp;ENCODEURL("Ya llegue. Codigo: "&amp;A1462&amp;". Ubicacion: "&amp;"https://www.google.com/maps/search/?api=1&amp;query="&amp;SUBSTITUTE(F1462," ",""))),"")</f>
        <v/>
      </c>
      <c r="M1462" s="8">
        <f>IF(B1462&lt;&gt;"",TODAY(),"")</f>
        <v/>
      </c>
      <c r="N1462" s="8">
        <f>IF(F1462&lt;&gt;"",IFERROR(IF(AND(REGEXMATCH(SUBSTITUTE(TRIM(F1462)," ",""),"^-?\d+(\.\d+)?,-?\d+(\.\d+)?$"),VALUE(REGEXEXTRACT(SUBSTITUTE(TRIM(F1462)," ",""),"^-?\d+(\.\d+)?"))&gt;=-90,VALUE(REGEXEXTRACT(SUBSTITUTE(TRIM(F1462)," ",""),"^-?\d+(\.\d+)?"))&lt;=90,VALUE(REGEXEXTRACT(SUBSTITUTE(TRIM(F1462)," ",""),"-?\d+(\.\d+)?$"))&gt;=-180,VALUE(REGEXEXTRACT(SUBSTITUTE(TRIM(F1462)," ",""),"-?\d+(\.\d+)?$"))&lt;=180),"OK","REVISAR"),"REVISAR"),"")</f>
        <v/>
      </c>
      <c r="O1462">
        <f>IF(A1462&lt;&gt;"","https://direcciones507.github.io/direcciones507/panel.html?codigo="&amp;A1462&amp;"&amp;nombre="&amp;ENCODEURL(B1462)&amp;"&amp;telefono="&amp;SUBSTITUTE(C1462,"-","")&amp;"&amp;referencia="&amp;ENCODEURL(E1462)&amp;"&amp;lat="&amp;IZQUIERDA(SUBSTITUTE(F1462," ",""),ENCONTRAR(",",SUBSTITUTE(F1462," ",""))-1)&amp;"&amp;lng="&amp;DERECHA(SUBSTITUTE(F1462," ",""),LARGO(SUBSTITUTE(F1462," ",""))-ENCONTRAR(",",SUBSTITUTE(F1462," ",""))),"")</f>
        <v/>
      </c>
    </row>
    <row r="1463" ht="15.75" customHeight="1" s="10">
      <c r="A1463" s="8">
        <f>CONCAT("AD507-",TEXT(ROW()-2,"0000"))</f>
        <v/>
      </c>
      <c r="C1463" s="8" t="n"/>
      <c r="F1463" s="8" t="n"/>
      <c r="G1463" s="8">
        <f>IF(F1463&lt;&gt;"",HYPERLINK("https://www.google.com/maps/search/?api=1&amp;query="&amp;SUBSTITUTE(F1463," ",""),"🗺 Google Maps"),"")</f>
        <v/>
      </c>
      <c r="H1463" s="8">
        <f>IF(F1463&lt;&gt;"",HYPERLINK("https://waze.com/ul?ll="&amp;SUBSTITUTE(F1463," ","")&amp;"&amp;navigate=yes","🚗 Waze"),"")</f>
        <v/>
      </c>
      <c r="I1463" s="8">
        <f>IF(F1463&lt;&gt;"",HYPERLINK("https://m.uber.com/ul/?action=setPickup&amp;pickup=my_location&amp;dropoff[latitude]="&amp;LEFT(SUBSTITUTE(F1463," ",""),FIND(",",SUBSTITUTE(F1463," ",""))-1)&amp;"&amp;dropoff[longitude]="&amp;MID(SUBSTITUTE(F1463," ",""),FIND(",",SUBSTITUTE(F1463," ",""))+1,99),"🚕 Uber"),"")</f>
        <v/>
      </c>
      <c r="J1463" s="8">
        <f>IF(F1463&lt;&gt;"","https://api.qrserver.com/v1/create-qr-code/?size=200x200&amp;data="&amp;ENCODEURL("https://www.google.com/maps/search/?api=1&amp;query="&amp;SUBSTITUTE(F1463," ","")),"")</f>
        <v/>
      </c>
      <c r="K1463" s="8">
        <f>IF(C1463&lt;&gt;"",HYPERLINK("https://wa.me/507"&amp;REGEXREPLACE(C1463,"[^0-9]","")&amp;"?text="&amp;ENCODEURL("Ya llegue. Codigo: "&amp;A1463&amp;". Ubicacion: "&amp;"https://www.google.com/maps/search/?api=1&amp;query="&amp;SUBSTITUTE(F1463," ","")),"📲 Avisar al cliente"),"")</f>
        <v/>
      </c>
      <c r="L1463" s="8">
        <f>IF(C1463&lt;&gt;"","https://api.qrserver.com/v1/create-qr-code/?size=200x200&amp;data="&amp;ENCODEURL("https://wa.me/507"&amp;REGEXREPLACE(C1463,"[^0-9]","")&amp;"?text="&amp;ENCODEURL("Ya llegue. Codigo: "&amp;A1463&amp;". Ubicacion: "&amp;"https://www.google.com/maps/search/?api=1&amp;query="&amp;SUBSTITUTE(F1463," ",""))),"")</f>
        <v/>
      </c>
      <c r="M1463" s="8">
        <f>IF(B1463&lt;&gt;"",TODAY(),"")</f>
        <v/>
      </c>
      <c r="N1463" s="8">
        <f>IF(F1463&lt;&gt;"",IFERROR(IF(AND(REGEXMATCH(SUBSTITUTE(TRIM(F1463)," ",""),"^-?\d+(\.\d+)?,-?\d+(\.\d+)?$"),VALUE(REGEXEXTRACT(SUBSTITUTE(TRIM(F1463)," ",""),"^-?\d+(\.\d+)?"))&gt;=-90,VALUE(REGEXEXTRACT(SUBSTITUTE(TRIM(F1463)," ",""),"^-?\d+(\.\d+)?"))&lt;=90,VALUE(REGEXEXTRACT(SUBSTITUTE(TRIM(F1463)," ",""),"-?\d+(\.\d+)?$"))&gt;=-180,VALUE(REGEXEXTRACT(SUBSTITUTE(TRIM(F1463)," ",""),"-?\d+(\.\d+)?$"))&lt;=180),"OK","REVISAR"),"REVISAR"),"")</f>
        <v/>
      </c>
      <c r="O1463">
        <f>IF(A1463&lt;&gt;"","https://direcciones507.github.io/direcciones507/panel.html?codigo="&amp;A1463&amp;"&amp;nombre="&amp;ENCODEURL(B1463)&amp;"&amp;telefono="&amp;SUBSTITUTE(C1463,"-","")&amp;"&amp;referencia="&amp;ENCODEURL(E1463)&amp;"&amp;lat="&amp;IZQUIERDA(SUBSTITUTE(F1463," ",""),ENCONTRAR(",",SUBSTITUTE(F1463," ",""))-1)&amp;"&amp;lng="&amp;DERECHA(SUBSTITUTE(F1463," ",""),LARGO(SUBSTITUTE(F1463," ",""))-ENCONTRAR(",",SUBSTITUTE(F1463," ",""))),"")</f>
        <v/>
      </c>
    </row>
    <row r="1464" ht="15.75" customHeight="1" s="10">
      <c r="A1464" s="8">
        <f>CONCAT("AD507-",TEXT(ROW()-2,"0000"))</f>
        <v/>
      </c>
      <c r="C1464" s="8" t="n"/>
      <c r="F1464" s="8" t="n"/>
      <c r="G1464" s="8">
        <f>IF(F1464&lt;&gt;"",HYPERLINK("https://www.google.com/maps/search/?api=1&amp;query="&amp;SUBSTITUTE(F1464," ",""),"🗺 Google Maps"),"")</f>
        <v/>
      </c>
      <c r="H1464" s="8">
        <f>IF(F1464&lt;&gt;"",HYPERLINK("https://waze.com/ul?ll="&amp;SUBSTITUTE(F1464," ","")&amp;"&amp;navigate=yes","🚗 Waze"),"")</f>
        <v/>
      </c>
      <c r="I1464" s="8">
        <f>IF(F1464&lt;&gt;"",HYPERLINK("https://m.uber.com/ul/?action=setPickup&amp;pickup=my_location&amp;dropoff[latitude]="&amp;LEFT(SUBSTITUTE(F1464," ",""),FIND(",",SUBSTITUTE(F1464," ",""))-1)&amp;"&amp;dropoff[longitude]="&amp;MID(SUBSTITUTE(F1464," ",""),FIND(",",SUBSTITUTE(F1464," ",""))+1,99),"🚕 Uber"),"")</f>
        <v/>
      </c>
      <c r="J1464" s="8">
        <f>IF(F1464&lt;&gt;"","https://api.qrserver.com/v1/create-qr-code/?size=200x200&amp;data="&amp;ENCODEURL("https://www.google.com/maps/search/?api=1&amp;query="&amp;SUBSTITUTE(F1464," ","")),"")</f>
        <v/>
      </c>
      <c r="K1464" s="8">
        <f>IF(C1464&lt;&gt;"",HYPERLINK("https://wa.me/507"&amp;REGEXREPLACE(C1464,"[^0-9]","")&amp;"?text="&amp;ENCODEURL("Ya llegue. Codigo: "&amp;A1464&amp;". Ubicacion: "&amp;"https://www.google.com/maps/search/?api=1&amp;query="&amp;SUBSTITUTE(F1464," ","")),"📲 Avisar al cliente"),"")</f>
        <v/>
      </c>
      <c r="L1464" s="8">
        <f>IF(C1464&lt;&gt;"","https://api.qrserver.com/v1/create-qr-code/?size=200x200&amp;data="&amp;ENCODEURL("https://wa.me/507"&amp;REGEXREPLACE(C1464,"[^0-9]","")&amp;"?text="&amp;ENCODEURL("Ya llegue. Codigo: "&amp;A1464&amp;". Ubicacion: "&amp;"https://www.google.com/maps/search/?api=1&amp;query="&amp;SUBSTITUTE(F1464," ",""))),"")</f>
        <v/>
      </c>
      <c r="M1464" s="8">
        <f>IF(B1464&lt;&gt;"",TODAY(),"")</f>
        <v/>
      </c>
      <c r="N1464" s="8">
        <f>IF(F1464&lt;&gt;"",IFERROR(IF(AND(REGEXMATCH(SUBSTITUTE(TRIM(F1464)," ",""),"^-?\d+(\.\d+)?,-?\d+(\.\d+)?$"),VALUE(REGEXEXTRACT(SUBSTITUTE(TRIM(F1464)," ",""),"^-?\d+(\.\d+)?"))&gt;=-90,VALUE(REGEXEXTRACT(SUBSTITUTE(TRIM(F1464)," ",""),"^-?\d+(\.\d+)?"))&lt;=90,VALUE(REGEXEXTRACT(SUBSTITUTE(TRIM(F1464)," ",""),"-?\d+(\.\d+)?$"))&gt;=-180,VALUE(REGEXEXTRACT(SUBSTITUTE(TRIM(F1464)," ",""),"-?\d+(\.\d+)?$"))&lt;=180),"OK","REVISAR"),"REVISAR"),"")</f>
        <v/>
      </c>
      <c r="O1464">
        <f>IF(A1464&lt;&gt;"","https://direcciones507.github.io/direcciones507/panel.html?codigo="&amp;A1464&amp;"&amp;nombre="&amp;ENCODEURL(B1464)&amp;"&amp;telefono="&amp;SUBSTITUTE(C1464,"-","")&amp;"&amp;referencia="&amp;ENCODEURL(E1464)&amp;"&amp;lat="&amp;IZQUIERDA(SUBSTITUTE(F1464," ",""),ENCONTRAR(",",SUBSTITUTE(F1464," ",""))-1)&amp;"&amp;lng="&amp;DERECHA(SUBSTITUTE(F1464," ",""),LARGO(SUBSTITUTE(F1464," ",""))-ENCONTRAR(",",SUBSTITUTE(F1464," ",""))),"")</f>
        <v/>
      </c>
    </row>
    <row r="1465" ht="15.75" customHeight="1" s="10">
      <c r="A1465" s="8">
        <f>CONCAT("AD507-",TEXT(ROW()-2,"0000"))</f>
        <v/>
      </c>
      <c r="C1465" s="8" t="n"/>
      <c r="F1465" s="8" t="n"/>
      <c r="G1465" s="8">
        <f>IF(F1465&lt;&gt;"",HYPERLINK("https://www.google.com/maps/search/?api=1&amp;query="&amp;SUBSTITUTE(F1465," ",""),"🗺 Google Maps"),"")</f>
        <v/>
      </c>
      <c r="H1465" s="8">
        <f>IF(F1465&lt;&gt;"",HYPERLINK("https://waze.com/ul?ll="&amp;SUBSTITUTE(F1465," ","")&amp;"&amp;navigate=yes","🚗 Waze"),"")</f>
        <v/>
      </c>
      <c r="I1465" s="8">
        <f>IF(F1465&lt;&gt;"",HYPERLINK("https://m.uber.com/ul/?action=setPickup&amp;pickup=my_location&amp;dropoff[latitude]="&amp;LEFT(SUBSTITUTE(F1465," ",""),FIND(",",SUBSTITUTE(F1465," ",""))-1)&amp;"&amp;dropoff[longitude]="&amp;MID(SUBSTITUTE(F1465," ",""),FIND(",",SUBSTITUTE(F1465," ",""))+1,99),"🚕 Uber"),"")</f>
        <v/>
      </c>
      <c r="J1465" s="8">
        <f>IF(F1465&lt;&gt;"","https://api.qrserver.com/v1/create-qr-code/?size=200x200&amp;data="&amp;ENCODEURL("https://www.google.com/maps/search/?api=1&amp;query="&amp;SUBSTITUTE(F1465," ","")),"")</f>
        <v/>
      </c>
      <c r="K1465" s="8">
        <f>IF(C1465&lt;&gt;"",HYPERLINK("https://wa.me/507"&amp;REGEXREPLACE(C1465,"[^0-9]","")&amp;"?text="&amp;ENCODEURL("Ya llegue. Codigo: "&amp;A1465&amp;". Ubicacion: "&amp;"https://www.google.com/maps/search/?api=1&amp;query="&amp;SUBSTITUTE(F1465," ","")),"📲 Avisar al cliente"),"")</f>
        <v/>
      </c>
      <c r="L1465" s="8">
        <f>IF(C1465&lt;&gt;"","https://api.qrserver.com/v1/create-qr-code/?size=200x200&amp;data="&amp;ENCODEURL("https://wa.me/507"&amp;REGEXREPLACE(C1465,"[^0-9]","")&amp;"?text="&amp;ENCODEURL("Ya llegue. Codigo: "&amp;A1465&amp;". Ubicacion: "&amp;"https://www.google.com/maps/search/?api=1&amp;query="&amp;SUBSTITUTE(F1465," ",""))),"")</f>
        <v/>
      </c>
      <c r="M1465" s="8">
        <f>IF(B1465&lt;&gt;"",TODAY(),"")</f>
        <v/>
      </c>
      <c r="N1465" s="8">
        <f>IF(F1465&lt;&gt;"",IFERROR(IF(AND(REGEXMATCH(SUBSTITUTE(TRIM(F1465)," ",""),"^-?\d+(\.\d+)?,-?\d+(\.\d+)?$"),VALUE(REGEXEXTRACT(SUBSTITUTE(TRIM(F1465)," ",""),"^-?\d+(\.\d+)?"))&gt;=-90,VALUE(REGEXEXTRACT(SUBSTITUTE(TRIM(F1465)," ",""),"^-?\d+(\.\d+)?"))&lt;=90,VALUE(REGEXEXTRACT(SUBSTITUTE(TRIM(F1465)," ",""),"-?\d+(\.\d+)?$"))&gt;=-180,VALUE(REGEXEXTRACT(SUBSTITUTE(TRIM(F1465)," ",""),"-?\d+(\.\d+)?$"))&lt;=180),"OK","REVISAR"),"REVISAR"),"")</f>
        <v/>
      </c>
      <c r="O1465">
        <f>IF(A1465&lt;&gt;"","https://direcciones507.github.io/direcciones507/panel.html?codigo="&amp;A1465&amp;"&amp;nombre="&amp;ENCODEURL(B1465)&amp;"&amp;telefono="&amp;SUBSTITUTE(C1465,"-","")&amp;"&amp;referencia="&amp;ENCODEURL(E1465)&amp;"&amp;lat="&amp;IZQUIERDA(SUBSTITUTE(F1465," ",""),ENCONTRAR(",",SUBSTITUTE(F1465," ",""))-1)&amp;"&amp;lng="&amp;DERECHA(SUBSTITUTE(F1465," ",""),LARGO(SUBSTITUTE(F1465," ",""))-ENCONTRAR(",",SUBSTITUTE(F1465," ",""))),"")</f>
        <v/>
      </c>
    </row>
    <row r="1466" ht="15.75" customHeight="1" s="10">
      <c r="A1466" s="8">
        <f>CONCAT("AD507-",TEXT(ROW()-2,"0000"))</f>
        <v/>
      </c>
      <c r="C1466" s="8" t="n"/>
      <c r="F1466" s="8" t="n"/>
      <c r="G1466" s="8">
        <f>IF(F1466&lt;&gt;"",HYPERLINK("https://www.google.com/maps/search/?api=1&amp;query="&amp;SUBSTITUTE(F1466," ",""),"🗺 Google Maps"),"")</f>
        <v/>
      </c>
      <c r="H1466" s="8">
        <f>IF(F1466&lt;&gt;"",HYPERLINK("https://waze.com/ul?ll="&amp;SUBSTITUTE(F1466," ","")&amp;"&amp;navigate=yes","🚗 Waze"),"")</f>
        <v/>
      </c>
      <c r="I1466" s="8">
        <f>IF(F1466&lt;&gt;"",HYPERLINK("https://m.uber.com/ul/?action=setPickup&amp;pickup=my_location&amp;dropoff[latitude]="&amp;LEFT(SUBSTITUTE(F1466," ",""),FIND(",",SUBSTITUTE(F1466," ",""))-1)&amp;"&amp;dropoff[longitude]="&amp;MID(SUBSTITUTE(F1466," ",""),FIND(",",SUBSTITUTE(F1466," ",""))+1,99),"🚕 Uber"),"")</f>
        <v/>
      </c>
      <c r="J1466" s="8">
        <f>IF(F1466&lt;&gt;"","https://api.qrserver.com/v1/create-qr-code/?size=200x200&amp;data="&amp;ENCODEURL("https://www.google.com/maps/search/?api=1&amp;query="&amp;SUBSTITUTE(F1466," ","")),"")</f>
        <v/>
      </c>
      <c r="K1466" s="8">
        <f>IF(C1466&lt;&gt;"",HYPERLINK("https://wa.me/507"&amp;REGEXREPLACE(C1466,"[^0-9]","")&amp;"?text="&amp;ENCODEURL("Ya llegue. Codigo: "&amp;A1466&amp;". Ubicacion: "&amp;"https://www.google.com/maps/search/?api=1&amp;query="&amp;SUBSTITUTE(F1466," ","")),"📲 Avisar al cliente"),"")</f>
        <v/>
      </c>
      <c r="L1466" s="8">
        <f>IF(C1466&lt;&gt;"","https://api.qrserver.com/v1/create-qr-code/?size=200x200&amp;data="&amp;ENCODEURL("https://wa.me/507"&amp;REGEXREPLACE(C1466,"[^0-9]","")&amp;"?text="&amp;ENCODEURL("Ya llegue. Codigo: "&amp;A1466&amp;". Ubicacion: "&amp;"https://www.google.com/maps/search/?api=1&amp;query="&amp;SUBSTITUTE(F1466," ",""))),"")</f>
        <v/>
      </c>
      <c r="M1466" s="8">
        <f>IF(B1466&lt;&gt;"",TODAY(),"")</f>
        <v/>
      </c>
      <c r="N1466" s="8">
        <f>IF(F1466&lt;&gt;"",IFERROR(IF(AND(REGEXMATCH(SUBSTITUTE(TRIM(F1466)," ",""),"^-?\d+(\.\d+)?,-?\d+(\.\d+)?$"),VALUE(REGEXEXTRACT(SUBSTITUTE(TRIM(F1466)," ",""),"^-?\d+(\.\d+)?"))&gt;=-90,VALUE(REGEXEXTRACT(SUBSTITUTE(TRIM(F1466)," ",""),"^-?\d+(\.\d+)?"))&lt;=90,VALUE(REGEXEXTRACT(SUBSTITUTE(TRIM(F1466)," ",""),"-?\d+(\.\d+)?$"))&gt;=-180,VALUE(REGEXEXTRACT(SUBSTITUTE(TRIM(F1466)," ",""),"-?\d+(\.\d+)?$"))&lt;=180),"OK","REVISAR"),"REVISAR"),"")</f>
        <v/>
      </c>
      <c r="O1466">
        <f>IF(A1466&lt;&gt;"","https://direcciones507.github.io/direcciones507/panel.html?codigo="&amp;A1466&amp;"&amp;nombre="&amp;ENCODEURL(B1466)&amp;"&amp;telefono="&amp;SUBSTITUTE(C1466,"-","")&amp;"&amp;referencia="&amp;ENCODEURL(E1466)&amp;"&amp;lat="&amp;IZQUIERDA(SUBSTITUTE(F1466," ",""),ENCONTRAR(",",SUBSTITUTE(F1466," ",""))-1)&amp;"&amp;lng="&amp;DERECHA(SUBSTITUTE(F1466," ",""),LARGO(SUBSTITUTE(F1466," ",""))-ENCONTRAR(",",SUBSTITUTE(F1466," ",""))),"")</f>
        <v/>
      </c>
    </row>
    <row r="1467" ht="15.75" customHeight="1" s="10">
      <c r="A1467" s="8">
        <f>CONCAT("AD507-",TEXT(ROW()-2,"0000"))</f>
        <v/>
      </c>
      <c r="C1467" s="8" t="n"/>
      <c r="F1467" s="8" t="n"/>
      <c r="G1467" s="8">
        <f>IF(F1467&lt;&gt;"",HYPERLINK("https://www.google.com/maps/search/?api=1&amp;query="&amp;SUBSTITUTE(F1467," ",""),"🗺 Google Maps"),"")</f>
        <v/>
      </c>
      <c r="H1467" s="8">
        <f>IF(F1467&lt;&gt;"",HYPERLINK("https://waze.com/ul?ll="&amp;SUBSTITUTE(F1467," ","")&amp;"&amp;navigate=yes","🚗 Waze"),"")</f>
        <v/>
      </c>
      <c r="I1467" s="8">
        <f>IF(F1467&lt;&gt;"",HYPERLINK("https://m.uber.com/ul/?action=setPickup&amp;pickup=my_location&amp;dropoff[latitude]="&amp;LEFT(SUBSTITUTE(F1467," ",""),FIND(",",SUBSTITUTE(F1467," ",""))-1)&amp;"&amp;dropoff[longitude]="&amp;MID(SUBSTITUTE(F1467," ",""),FIND(",",SUBSTITUTE(F1467," ",""))+1,99),"🚕 Uber"),"")</f>
        <v/>
      </c>
      <c r="J1467" s="8">
        <f>IF(F1467&lt;&gt;"","https://api.qrserver.com/v1/create-qr-code/?size=200x200&amp;data="&amp;ENCODEURL("https://www.google.com/maps/search/?api=1&amp;query="&amp;SUBSTITUTE(F1467," ","")),"")</f>
        <v/>
      </c>
      <c r="K1467" s="8">
        <f>IF(C1467&lt;&gt;"",HYPERLINK("https://wa.me/507"&amp;REGEXREPLACE(C1467,"[^0-9]","")&amp;"?text="&amp;ENCODEURL("Ya llegue. Codigo: "&amp;A1467&amp;". Ubicacion: "&amp;"https://www.google.com/maps/search/?api=1&amp;query="&amp;SUBSTITUTE(F1467," ","")),"📲 Avisar al cliente"),"")</f>
        <v/>
      </c>
      <c r="L1467" s="8">
        <f>IF(C1467&lt;&gt;"","https://api.qrserver.com/v1/create-qr-code/?size=200x200&amp;data="&amp;ENCODEURL("https://wa.me/507"&amp;REGEXREPLACE(C1467,"[^0-9]","")&amp;"?text="&amp;ENCODEURL("Ya llegue. Codigo: "&amp;A1467&amp;". Ubicacion: "&amp;"https://www.google.com/maps/search/?api=1&amp;query="&amp;SUBSTITUTE(F1467," ",""))),"")</f>
        <v/>
      </c>
      <c r="M1467" s="8">
        <f>IF(B1467&lt;&gt;"",TODAY(),"")</f>
        <v/>
      </c>
      <c r="N1467" s="8">
        <f>IF(F1467&lt;&gt;"",IFERROR(IF(AND(REGEXMATCH(SUBSTITUTE(TRIM(F1467)," ",""),"^-?\d+(\.\d+)?,-?\d+(\.\d+)?$"),VALUE(REGEXEXTRACT(SUBSTITUTE(TRIM(F1467)," ",""),"^-?\d+(\.\d+)?"))&gt;=-90,VALUE(REGEXEXTRACT(SUBSTITUTE(TRIM(F1467)," ",""),"^-?\d+(\.\d+)?"))&lt;=90,VALUE(REGEXEXTRACT(SUBSTITUTE(TRIM(F1467)," ",""),"-?\d+(\.\d+)?$"))&gt;=-180,VALUE(REGEXEXTRACT(SUBSTITUTE(TRIM(F1467)," ",""),"-?\d+(\.\d+)?$"))&lt;=180),"OK","REVISAR"),"REVISAR"),"")</f>
        <v/>
      </c>
      <c r="O1467">
        <f>IF(A1467&lt;&gt;"","https://direcciones507.github.io/direcciones507/panel.html?codigo="&amp;A1467&amp;"&amp;nombre="&amp;ENCODEURL(B1467)&amp;"&amp;telefono="&amp;SUBSTITUTE(C1467,"-","")&amp;"&amp;referencia="&amp;ENCODEURL(E1467)&amp;"&amp;lat="&amp;IZQUIERDA(SUBSTITUTE(F1467," ",""),ENCONTRAR(",",SUBSTITUTE(F1467," ",""))-1)&amp;"&amp;lng="&amp;DERECHA(SUBSTITUTE(F1467," ",""),LARGO(SUBSTITUTE(F1467," ",""))-ENCONTRAR(",",SUBSTITUTE(F1467," ",""))),"")</f>
        <v/>
      </c>
    </row>
    <row r="1468" ht="15.75" customHeight="1" s="10">
      <c r="A1468" s="8">
        <f>CONCAT("AD507-",TEXT(ROW()-2,"0000"))</f>
        <v/>
      </c>
      <c r="C1468" s="8" t="n"/>
      <c r="F1468" s="8" t="n"/>
      <c r="G1468" s="8">
        <f>IF(F1468&lt;&gt;"",HYPERLINK("https://www.google.com/maps/search/?api=1&amp;query="&amp;SUBSTITUTE(F1468," ",""),"🗺 Google Maps"),"")</f>
        <v/>
      </c>
      <c r="H1468" s="8">
        <f>IF(F1468&lt;&gt;"",HYPERLINK("https://waze.com/ul?ll="&amp;SUBSTITUTE(F1468," ","")&amp;"&amp;navigate=yes","🚗 Waze"),"")</f>
        <v/>
      </c>
      <c r="I1468" s="8">
        <f>IF(F1468&lt;&gt;"",HYPERLINK("https://m.uber.com/ul/?action=setPickup&amp;pickup=my_location&amp;dropoff[latitude]="&amp;LEFT(SUBSTITUTE(F1468," ",""),FIND(",",SUBSTITUTE(F1468," ",""))-1)&amp;"&amp;dropoff[longitude]="&amp;MID(SUBSTITUTE(F1468," ",""),FIND(",",SUBSTITUTE(F1468," ",""))+1,99),"🚕 Uber"),"")</f>
        <v/>
      </c>
      <c r="J1468" s="8">
        <f>IF(F1468&lt;&gt;"","https://api.qrserver.com/v1/create-qr-code/?size=200x200&amp;data="&amp;ENCODEURL("https://www.google.com/maps/search/?api=1&amp;query="&amp;SUBSTITUTE(F1468," ","")),"")</f>
        <v/>
      </c>
      <c r="K1468" s="8">
        <f>IF(C1468&lt;&gt;"",HYPERLINK("https://wa.me/507"&amp;REGEXREPLACE(C1468,"[^0-9]","")&amp;"?text="&amp;ENCODEURL("Ya llegue. Codigo: "&amp;A1468&amp;". Ubicacion: "&amp;"https://www.google.com/maps/search/?api=1&amp;query="&amp;SUBSTITUTE(F1468," ","")),"📲 Avisar al cliente"),"")</f>
        <v/>
      </c>
      <c r="L1468" s="8">
        <f>IF(C1468&lt;&gt;"","https://api.qrserver.com/v1/create-qr-code/?size=200x200&amp;data="&amp;ENCODEURL("https://wa.me/507"&amp;REGEXREPLACE(C1468,"[^0-9]","")&amp;"?text="&amp;ENCODEURL("Ya llegue. Codigo: "&amp;A1468&amp;". Ubicacion: "&amp;"https://www.google.com/maps/search/?api=1&amp;query="&amp;SUBSTITUTE(F1468," ",""))),"")</f>
        <v/>
      </c>
      <c r="M1468" s="8">
        <f>IF(B1468&lt;&gt;"",TODAY(),"")</f>
        <v/>
      </c>
      <c r="N1468" s="8">
        <f>IF(F1468&lt;&gt;"",IFERROR(IF(AND(REGEXMATCH(SUBSTITUTE(TRIM(F1468)," ",""),"^-?\d+(\.\d+)?,-?\d+(\.\d+)?$"),VALUE(REGEXEXTRACT(SUBSTITUTE(TRIM(F1468)," ",""),"^-?\d+(\.\d+)?"))&gt;=-90,VALUE(REGEXEXTRACT(SUBSTITUTE(TRIM(F1468)," ",""),"^-?\d+(\.\d+)?"))&lt;=90,VALUE(REGEXEXTRACT(SUBSTITUTE(TRIM(F1468)," ",""),"-?\d+(\.\d+)?$"))&gt;=-180,VALUE(REGEXEXTRACT(SUBSTITUTE(TRIM(F1468)," ",""),"-?\d+(\.\d+)?$"))&lt;=180),"OK","REVISAR"),"REVISAR"),"")</f>
        <v/>
      </c>
      <c r="O1468">
        <f>IF(A1468&lt;&gt;"","https://direcciones507.github.io/direcciones507/panel.html?codigo="&amp;A1468&amp;"&amp;nombre="&amp;ENCODEURL(B1468)&amp;"&amp;telefono="&amp;SUBSTITUTE(C1468,"-","")&amp;"&amp;referencia="&amp;ENCODEURL(E1468)&amp;"&amp;lat="&amp;IZQUIERDA(SUBSTITUTE(F1468," ",""),ENCONTRAR(",",SUBSTITUTE(F1468," ",""))-1)&amp;"&amp;lng="&amp;DERECHA(SUBSTITUTE(F1468," ",""),LARGO(SUBSTITUTE(F1468," ",""))-ENCONTRAR(",",SUBSTITUTE(F1468," ",""))),"")</f>
        <v/>
      </c>
    </row>
    <row r="1469" ht="15.75" customHeight="1" s="10">
      <c r="A1469" s="8">
        <f>CONCAT("AD507-",TEXT(ROW()-2,"0000"))</f>
        <v/>
      </c>
      <c r="C1469" s="8" t="n"/>
      <c r="F1469" s="8" t="n"/>
      <c r="G1469" s="8">
        <f>IF(F1469&lt;&gt;"",HYPERLINK("https://www.google.com/maps/search/?api=1&amp;query="&amp;SUBSTITUTE(F1469," ",""),"🗺 Google Maps"),"")</f>
        <v/>
      </c>
      <c r="H1469" s="8">
        <f>IF(F1469&lt;&gt;"",HYPERLINK("https://waze.com/ul?ll="&amp;SUBSTITUTE(F1469," ","")&amp;"&amp;navigate=yes","🚗 Waze"),"")</f>
        <v/>
      </c>
      <c r="I1469" s="8">
        <f>IF(F1469&lt;&gt;"",HYPERLINK("https://m.uber.com/ul/?action=setPickup&amp;pickup=my_location&amp;dropoff[latitude]="&amp;LEFT(SUBSTITUTE(F1469," ",""),FIND(",",SUBSTITUTE(F1469," ",""))-1)&amp;"&amp;dropoff[longitude]="&amp;MID(SUBSTITUTE(F1469," ",""),FIND(",",SUBSTITUTE(F1469," ",""))+1,99),"🚕 Uber"),"")</f>
        <v/>
      </c>
      <c r="J1469" s="8">
        <f>IF(F1469&lt;&gt;"","https://api.qrserver.com/v1/create-qr-code/?size=200x200&amp;data="&amp;ENCODEURL("https://www.google.com/maps/search/?api=1&amp;query="&amp;SUBSTITUTE(F1469," ","")),"")</f>
        <v/>
      </c>
      <c r="K1469" s="8">
        <f>IF(C1469&lt;&gt;"",HYPERLINK("https://wa.me/507"&amp;REGEXREPLACE(C1469,"[^0-9]","")&amp;"?text="&amp;ENCODEURL("Ya llegue. Codigo: "&amp;A1469&amp;". Ubicacion: "&amp;"https://www.google.com/maps/search/?api=1&amp;query="&amp;SUBSTITUTE(F1469," ","")),"📲 Avisar al cliente"),"")</f>
        <v/>
      </c>
      <c r="L1469" s="8">
        <f>IF(C1469&lt;&gt;"","https://api.qrserver.com/v1/create-qr-code/?size=200x200&amp;data="&amp;ENCODEURL("https://wa.me/507"&amp;REGEXREPLACE(C1469,"[^0-9]","")&amp;"?text="&amp;ENCODEURL("Ya llegue. Codigo: "&amp;A1469&amp;". Ubicacion: "&amp;"https://www.google.com/maps/search/?api=1&amp;query="&amp;SUBSTITUTE(F1469," ",""))),"")</f>
        <v/>
      </c>
      <c r="M1469" s="8">
        <f>IF(B1469&lt;&gt;"",TODAY(),"")</f>
        <v/>
      </c>
      <c r="N1469" s="8">
        <f>IF(F1469&lt;&gt;"",IFERROR(IF(AND(REGEXMATCH(SUBSTITUTE(TRIM(F1469)," ",""),"^-?\d+(\.\d+)?,-?\d+(\.\d+)?$"),VALUE(REGEXEXTRACT(SUBSTITUTE(TRIM(F1469)," ",""),"^-?\d+(\.\d+)?"))&gt;=-90,VALUE(REGEXEXTRACT(SUBSTITUTE(TRIM(F1469)," ",""),"^-?\d+(\.\d+)?"))&lt;=90,VALUE(REGEXEXTRACT(SUBSTITUTE(TRIM(F1469)," ",""),"-?\d+(\.\d+)?$"))&gt;=-180,VALUE(REGEXEXTRACT(SUBSTITUTE(TRIM(F1469)," ",""),"-?\d+(\.\d+)?$"))&lt;=180),"OK","REVISAR"),"REVISAR"),"")</f>
        <v/>
      </c>
      <c r="O1469">
        <f>IF(A1469&lt;&gt;"","https://direcciones507.github.io/direcciones507/panel.html?codigo="&amp;A1469&amp;"&amp;nombre="&amp;ENCODEURL(B1469)&amp;"&amp;telefono="&amp;SUBSTITUTE(C1469,"-","")&amp;"&amp;referencia="&amp;ENCODEURL(E1469)&amp;"&amp;lat="&amp;IZQUIERDA(SUBSTITUTE(F1469," ",""),ENCONTRAR(",",SUBSTITUTE(F1469," ",""))-1)&amp;"&amp;lng="&amp;DERECHA(SUBSTITUTE(F1469," ",""),LARGO(SUBSTITUTE(F1469," ",""))-ENCONTRAR(",",SUBSTITUTE(F1469," ",""))),"")</f>
        <v/>
      </c>
    </row>
    <row r="1470" ht="15.75" customHeight="1" s="10">
      <c r="A1470" s="8">
        <f>CONCAT("AD507-",TEXT(ROW()-2,"0000"))</f>
        <v/>
      </c>
      <c r="C1470" s="8" t="n"/>
      <c r="F1470" s="8" t="n"/>
      <c r="G1470" s="8">
        <f>IF(F1470&lt;&gt;"",HYPERLINK("https://www.google.com/maps/search/?api=1&amp;query="&amp;SUBSTITUTE(F1470," ",""),"🗺 Google Maps"),"")</f>
        <v/>
      </c>
      <c r="H1470" s="8">
        <f>IF(F1470&lt;&gt;"",HYPERLINK("https://waze.com/ul?ll="&amp;SUBSTITUTE(F1470," ","")&amp;"&amp;navigate=yes","🚗 Waze"),"")</f>
        <v/>
      </c>
      <c r="I1470" s="8">
        <f>IF(F1470&lt;&gt;"",HYPERLINK("https://m.uber.com/ul/?action=setPickup&amp;pickup=my_location&amp;dropoff[latitude]="&amp;LEFT(SUBSTITUTE(F1470," ",""),FIND(",",SUBSTITUTE(F1470," ",""))-1)&amp;"&amp;dropoff[longitude]="&amp;MID(SUBSTITUTE(F1470," ",""),FIND(",",SUBSTITUTE(F1470," ",""))+1,99),"🚕 Uber"),"")</f>
        <v/>
      </c>
      <c r="J1470" s="8">
        <f>IF(F1470&lt;&gt;"","https://api.qrserver.com/v1/create-qr-code/?size=200x200&amp;data="&amp;ENCODEURL("https://www.google.com/maps/search/?api=1&amp;query="&amp;SUBSTITUTE(F1470," ","")),"")</f>
        <v/>
      </c>
      <c r="K1470" s="8">
        <f>IF(C1470&lt;&gt;"",HYPERLINK("https://wa.me/507"&amp;REGEXREPLACE(C1470,"[^0-9]","")&amp;"?text="&amp;ENCODEURL("Ya llegue. Codigo: "&amp;A1470&amp;". Ubicacion: "&amp;"https://www.google.com/maps/search/?api=1&amp;query="&amp;SUBSTITUTE(F1470," ","")),"📲 Avisar al cliente"),"")</f>
        <v/>
      </c>
      <c r="L1470" s="8">
        <f>IF(C1470&lt;&gt;"","https://api.qrserver.com/v1/create-qr-code/?size=200x200&amp;data="&amp;ENCODEURL("https://wa.me/507"&amp;REGEXREPLACE(C1470,"[^0-9]","")&amp;"?text="&amp;ENCODEURL("Ya llegue. Codigo: "&amp;A1470&amp;". Ubicacion: "&amp;"https://www.google.com/maps/search/?api=1&amp;query="&amp;SUBSTITUTE(F1470," ",""))),"")</f>
        <v/>
      </c>
      <c r="M1470" s="8">
        <f>IF(B1470&lt;&gt;"",TODAY(),"")</f>
        <v/>
      </c>
      <c r="N1470" s="8">
        <f>IF(F1470&lt;&gt;"",IFERROR(IF(AND(REGEXMATCH(SUBSTITUTE(TRIM(F1470)," ",""),"^-?\d+(\.\d+)?,-?\d+(\.\d+)?$"),VALUE(REGEXEXTRACT(SUBSTITUTE(TRIM(F1470)," ",""),"^-?\d+(\.\d+)?"))&gt;=-90,VALUE(REGEXEXTRACT(SUBSTITUTE(TRIM(F1470)," ",""),"^-?\d+(\.\d+)?"))&lt;=90,VALUE(REGEXEXTRACT(SUBSTITUTE(TRIM(F1470)," ",""),"-?\d+(\.\d+)?$"))&gt;=-180,VALUE(REGEXEXTRACT(SUBSTITUTE(TRIM(F1470)," ",""),"-?\d+(\.\d+)?$"))&lt;=180),"OK","REVISAR"),"REVISAR"),"")</f>
        <v/>
      </c>
      <c r="O1470">
        <f>IF(A1470&lt;&gt;"","https://direcciones507.github.io/direcciones507/panel.html?codigo="&amp;A1470&amp;"&amp;nombre="&amp;ENCODEURL(B1470)&amp;"&amp;telefono="&amp;SUBSTITUTE(C1470,"-","")&amp;"&amp;referencia="&amp;ENCODEURL(E1470)&amp;"&amp;lat="&amp;IZQUIERDA(SUBSTITUTE(F1470," ",""),ENCONTRAR(",",SUBSTITUTE(F1470," ",""))-1)&amp;"&amp;lng="&amp;DERECHA(SUBSTITUTE(F1470," ",""),LARGO(SUBSTITUTE(F1470," ",""))-ENCONTRAR(",",SUBSTITUTE(F1470," ",""))),"")</f>
        <v/>
      </c>
    </row>
    <row r="1471" ht="15.75" customHeight="1" s="10">
      <c r="A1471" s="8">
        <f>CONCAT("AD507-",TEXT(ROW()-2,"0000"))</f>
        <v/>
      </c>
      <c r="C1471" s="8" t="n"/>
      <c r="F1471" s="8" t="n"/>
      <c r="G1471" s="8">
        <f>IF(F1471&lt;&gt;"",HYPERLINK("https://www.google.com/maps/search/?api=1&amp;query="&amp;SUBSTITUTE(F1471," ",""),"🗺 Google Maps"),"")</f>
        <v/>
      </c>
      <c r="H1471" s="8">
        <f>IF(F1471&lt;&gt;"",HYPERLINK("https://waze.com/ul?ll="&amp;SUBSTITUTE(F1471," ","")&amp;"&amp;navigate=yes","🚗 Waze"),"")</f>
        <v/>
      </c>
      <c r="I1471" s="8">
        <f>IF(F1471&lt;&gt;"",HYPERLINK("https://m.uber.com/ul/?action=setPickup&amp;pickup=my_location&amp;dropoff[latitude]="&amp;LEFT(SUBSTITUTE(F1471," ",""),FIND(",",SUBSTITUTE(F1471," ",""))-1)&amp;"&amp;dropoff[longitude]="&amp;MID(SUBSTITUTE(F1471," ",""),FIND(",",SUBSTITUTE(F1471," ",""))+1,99),"🚕 Uber"),"")</f>
        <v/>
      </c>
      <c r="J1471" s="8">
        <f>IF(F1471&lt;&gt;"","https://api.qrserver.com/v1/create-qr-code/?size=200x200&amp;data="&amp;ENCODEURL("https://www.google.com/maps/search/?api=1&amp;query="&amp;SUBSTITUTE(F1471," ","")),"")</f>
        <v/>
      </c>
      <c r="K1471" s="8">
        <f>IF(C1471&lt;&gt;"",HYPERLINK("https://wa.me/507"&amp;REGEXREPLACE(C1471,"[^0-9]","")&amp;"?text="&amp;ENCODEURL("Ya llegue. Codigo: "&amp;A1471&amp;". Ubicacion: "&amp;"https://www.google.com/maps/search/?api=1&amp;query="&amp;SUBSTITUTE(F1471," ","")),"📲 Avisar al cliente"),"")</f>
        <v/>
      </c>
      <c r="L1471" s="8">
        <f>IF(C1471&lt;&gt;"","https://api.qrserver.com/v1/create-qr-code/?size=200x200&amp;data="&amp;ENCODEURL("https://wa.me/507"&amp;REGEXREPLACE(C1471,"[^0-9]","")&amp;"?text="&amp;ENCODEURL("Ya llegue. Codigo: "&amp;A1471&amp;". Ubicacion: "&amp;"https://www.google.com/maps/search/?api=1&amp;query="&amp;SUBSTITUTE(F1471," ",""))),"")</f>
        <v/>
      </c>
      <c r="M1471" s="8">
        <f>IF(B1471&lt;&gt;"",TODAY(),"")</f>
        <v/>
      </c>
      <c r="N1471" s="8">
        <f>IF(F1471&lt;&gt;"",IFERROR(IF(AND(REGEXMATCH(SUBSTITUTE(TRIM(F1471)," ",""),"^-?\d+(\.\d+)?,-?\d+(\.\d+)?$"),VALUE(REGEXEXTRACT(SUBSTITUTE(TRIM(F1471)," ",""),"^-?\d+(\.\d+)?"))&gt;=-90,VALUE(REGEXEXTRACT(SUBSTITUTE(TRIM(F1471)," ",""),"^-?\d+(\.\d+)?"))&lt;=90,VALUE(REGEXEXTRACT(SUBSTITUTE(TRIM(F1471)," ",""),"-?\d+(\.\d+)?$"))&gt;=-180,VALUE(REGEXEXTRACT(SUBSTITUTE(TRIM(F1471)," ",""),"-?\d+(\.\d+)?$"))&lt;=180),"OK","REVISAR"),"REVISAR"),"")</f>
        <v/>
      </c>
      <c r="O1471">
        <f>IF(A1471&lt;&gt;"","https://direcciones507.github.io/direcciones507/panel.html?codigo="&amp;A1471&amp;"&amp;nombre="&amp;ENCODEURL(B1471)&amp;"&amp;telefono="&amp;SUBSTITUTE(C1471,"-","")&amp;"&amp;referencia="&amp;ENCODEURL(E1471)&amp;"&amp;lat="&amp;IZQUIERDA(SUBSTITUTE(F1471," ",""),ENCONTRAR(",",SUBSTITUTE(F1471," ",""))-1)&amp;"&amp;lng="&amp;DERECHA(SUBSTITUTE(F1471," ",""),LARGO(SUBSTITUTE(F1471," ",""))-ENCONTRAR(",",SUBSTITUTE(F1471," ",""))),"")</f>
        <v/>
      </c>
    </row>
    <row r="1472" ht="15.75" customHeight="1" s="10">
      <c r="A1472" s="8">
        <f>CONCAT("AD507-",TEXT(ROW()-2,"0000"))</f>
        <v/>
      </c>
      <c r="C1472" s="8" t="n"/>
      <c r="F1472" s="8" t="n"/>
      <c r="G1472" s="8">
        <f>IF(F1472&lt;&gt;"",HYPERLINK("https://www.google.com/maps/search/?api=1&amp;query="&amp;SUBSTITUTE(F1472," ",""),"🗺 Google Maps"),"")</f>
        <v/>
      </c>
      <c r="H1472" s="8">
        <f>IF(F1472&lt;&gt;"",HYPERLINK("https://waze.com/ul?ll="&amp;SUBSTITUTE(F1472," ","")&amp;"&amp;navigate=yes","🚗 Waze"),"")</f>
        <v/>
      </c>
      <c r="I1472" s="8">
        <f>IF(F1472&lt;&gt;"",HYPERLINK("https://m.uber.com/ul/?action=setPickup&amp;pickup=my_location&amp;dropoff[latitude]="&amp;LEFT(SUBSTITUTE(F1472," ",""),FIND(",",SUBSTITUTE(F1472," ",""))-1)&amp;"&amp;dropoff[longitude]="&amp;MID(SUBSTITUTE(F1472," ",""),FIND(",",SUBSTITUTE(F1472," ",""))+1,99),"🚕 Uber"),"")</f>
        <v/>
      </c>
      <c r="J1472" s="8">
        <f>IF(F1472&lt;&gt;"","https://api.qrserver.com/v1/create-qr-code/?size=200x200&amp;data="&amp;ENCODEURL("https://www.google.com/maps/search/?api=1&amp;query="&amp;SUBSTITUTE(F1472," ","")),"")</f>
        <v/>
      </c>
      <c r="K1472" s="8">
        <f>IF(C1472&lt;&gt;"",HYPERLINK("https://wa.me/507"&amp;REGEXREPLACE(C1472,"[^0-9]","")&amp;"?text="&amp;ENCODEURL("Ya llegue. Codigo: "&amp;A1472&amp;". Ubicacion: "&amp;"https://www.google.com/maps/search/?api=1&amp;query="&amp;SUBSTITUTE(F1472," ","")),"📲 Avisar al cliente"),"")</f>
        <v/>
      </c>
      <c r="L1472" s="8">
        <f>IF(C1472&lt;&gt;"","https://api.qrserver.com/v1/create-qr-code/?size=200x200&amp;data="&amp;ENCODEURL("https://wa.me/507"&amp;REGEXREPLACE(C1472,"[^0-9]","")&amp;"?text="&amp;ENCODEURL("Ya llegue. Codigo: "&amp;A1472&amp;". Ubicacion: "&amp;"https://www.google.com/maps/search/?api=1&amp;query="&amp;SUBSTITUTE(F1472," ",""))),"")</f>
        <v/>
      </c>
      <c r="M1472" s="8">
        <f>IF(B1472&lt;&gt;"",TODAY(),"")</f>
        <v/>
      </c>
      <c r="N1472" s="8">
        <f>IF(F1472&lt;&gt;"",IFERROR(IF(AND(REGEXMATCH(SUBSTITUTE(TRIM(F1472)," ",""),"^-?\d+(\.\d+)?,-?\d+(\.\d+)?$"),VALUE(REGEXEXTRACT(SUBSTITUTE(TRIM(F1472)," ",""),"^-?\d+(\.\d+)?"))&gt;=-90,VALUE(REGEXEXTRACT(SUBSTITUTE(TRIM(F1472)," ",""),"^-?\d+(\.\d+)?"))&lt;=90,VALUE(REGEXEXTRACT(SUBSTITUTE(TRIM(F1472)," ",""),"-?\d+(\.\d+)?$"))&gt;=-180,VALUE(REGEXEXTRACT(SUBSTITUTE(TRIM(F1472)," ",""),"-?\d+(\.\d+)?$"))&lt;=180),"OK","REVISAR"),"REVISAR"),"")</f>
        <v/>
      </c>
      <c r="O1472">
        <f>IF(A1472&lt;&gt;"","https://direcciones507.github.io/direcciones507/panel.html?codigo="&amp;A1472&amp;"&amp;nombre="&amp;ENCODEURL(B1472)&amp;"&amp;telefono="&amp;SUBSTITUTE(C1472,"-","")&amp;"&amp;referencia="&amp;ENCODEURL(E1472)&amp;"&amp;lat="&amp;IZQUIERDA(SUBSTITUTE(F1472," ",""),ENCONTRAR(",",SUBSTITUTE(F1472," ",""))-1)&amp;"&amp;lng="&amp;DERECHA(SUBSTITUTE(F1472," ",""),LARGO(SUBSTITUTE(F1472," ",""))-ENCONTRAR(",",SUBSTITUTE(F1472," ",""))),"")</f>
        <v/>
      </c>
    </row>
    <row r="1473" ht="15.75" customHeight="1" s="10">
      <c r="A1473" s="8">
        <f>CONCAT("AD507-",TEXT(ROW()-2,"0000"))</f>
        <v/>
      </c>
      <c r="C1473" s="8" t="n"/>
      <c r="F1473" s="8" t="n"/>
      <c r="G1473" s="8">
        <f>IF(F1473&lt;&gt;"",HYPERLINK("https://www.google.com/maps/search/?api=1&amp;query="&amp;SUBSTITUTE(F1473," ",""),"🗺 Google Maps"),"")</f>
        <v/>
      </c>
      <c r="H1473" s="8">
        <f>IF(F1473&lt;&gt;"",HYPERLINK("https://waze.com/ul?ll="&amp;SUBSTITUTE(F1473," ","")&amp;"&amp;navigate=yes","🚗 Waze"),"")</f>
        <v/>
      </c>
      <c r="I1473" s="8">
        <f>IF(F1473&lt;&gt;"",HYPERLINK("https://m.uber.com/ul/?action=setPickup&amp;pickup=my_location&amp;dropoff[latitude]="&amp;LEFT(SUBSTITUTE(F1473," ",""),FIND(",",SUBSTITUTE(F1473," ",""))-1)&amp;"&amp;dropoff[longitude]="&amp;MID(SUBSTITUTE(F1473," ",""),FIND(",",SUBSTITUTE(F1473," ",""))+1,99),"🚕 Uber"),"")</f>
        <v/>
      </c>
      <c r="J1473" s="8">
        <f>IF(F1473&lt;&gt;"","https://api.qrserver.com/v1/create-qr-code/?size=200x200&amp;data="&amp;ENCODEURL("https://www.google.com/maps/search/?api=1&amp;query="&amp;SUBSTITUTE(F1473," ","")),"")</f>
        <v/>
      </c>
      <c r="K1473" s="8">
        <f>IF(C1473&lt;&gt;"",HYPERLINK("https://wa.me/507"&amp;REGEXREPLACE(C1473,"[^0-9]","")&amp;"?text="&amp;ENCODEURL("Ya llegue. Codigo: "&amp;A1473&amp;". Ubicacion: "&amp;"https://www.google.com/maps/search/?api=1&amp;query="&amp;SUBSTITUTE(F1473," ","")),"📲 Avisar al cliente"),"")</f>
        <v/>
      </c>
      <c r="L1473" s="8">
        <f>IF(C1473&lt;&gt;"","https://api.qrserver.com/v1/create-qr-code/?size=200x200&amp;data="&amp;ENCODEURL("https://wa.me/507"&amp;REGEXREPLACE(C1473,"[^0-9]","")&amp;"?text="&amp;ENCODEURL("Ya llegue. Codigo: "&amp;A1473&amp;". Ubicacion: "&amp;"https://www.google.com/maps/search/?api=1&amp;query="&amp;SUBSTITUTE(F1473," ",""))),"")</f>
        <v/>
      </c>
      <c r="M1473" s="8">
        <f>IF(B1473&lt;&gt;"",TODAY(),"")</f>
        <v/>
      </c>
      <c r="N1473" s="8">
        <f>IF(F1473&lt;&gt;"",IFERROR(IF(AND(REGEXMATCH(SUBSTITUTE(TRIM(F1473)," ",""),"^-?\d+(\.\d+)?,-?\d+(\.\d+)?$"),VALUE(REGEXEXTRACT(SUBSTITUTE(TRIM(F1473)," ",""),"^-?\d+(\.\d+)?"))&gt;=-90,VALUE(REGEXEXTRACT(SUBSTITUTE(TRIM(F1473)," ",""),"^-?\d+(\.\d+)?"))&lt;=90,VALUE(REGEXEXTRACT(SUBSTITUTE(TRIM(F1473)," ",""),"-?\d+(\.\d+)?$"))&gt;=-180,VALUE(REGEXEXTRACT(SUBSTITUTE(TRIM(F1473)," ",""),"-?\d+(\.\d+)?$"))&lt;=180),"OK","REVISAR"),"REVISAR"),"")</f>
        <v/>
      </c>
      <c r="O1473">
        <f>IF(A1473&lt;&gt;"","https://direcciones507.github.io/direcciones507/panel.html?codigo="&amp;A1473&amp;"&amp;nombre="&amp;ENCODEURL(B1473)&amp;"&amp;telefono="&amp;SUBSTITUTE(C1473,"-","")&amp;"&amp;referencia="&amp;ENCODEURL(E1473)&amp;"&amp;lat="&amp;IZQUIERDA(SUBSTITUTE(F1473," ",""),ENCONTRAR(",",SUBSTITUTE(F1473," ",""))-1)&amp;"&amp;lng="&amp;DERECHA(SUBSTITUTE(F1473," ",""),LARGO(SUBSTITUTE(F1473," ",""))-ENCONTRAR(",",SUBSTITUTE(F1473," ",""))),"")</f>
        <v/>
      </c>
    </row>
    <row r="1474" ht="15.75" customHeight="1" s="10">
      <c r="A1474" s="8">
        <f>CONCAT("AD507-",TEXT(ROW()-2,"0000"))</f>
        <v/>
      </c>
      <c r="C1474" s="8" t="n"/>
      <c r="F1474" s="8" t="n"/>
      <c r="G1474" s="8">
        <f>IF(F1474&lt;&gt;"",HYPERLINK("https://www.google.com/maps/search/?api=1&amp;query="&amp;SUBSTITUTE(F1474," ",""),"🗺 Google Maps"),"")</f>
        <v/>
      </c>
      <c r="H1474" s="8">
        <f>IF(F1474&lt;&gt;"",HYPERLINK("https://waze.com/ul?ll="&amp;SUBSTITUTE(F1474," ","")&amp;"&amp;navigate=yes","🚗 Waze"),"")</f>
        <v/>
      </c>
      <c r="I1474" s="8">
        <f>IF(F1474&lt;&gt;"",HYPERLINK("https://m.uber.com/ul/?action=setPickup&amp;pickup=my_location&amp;dropoff[latitude]="&amp;LEFT(SUBSTITUTE(F1474," ",""),FIND(",",SUBSTITUTE(F1474," ",""))-1)&amp;"&amp;dropoff[longitude]="&amp;MID(SUBSTITUTE(F1474," ",""),FIND(",",SUBSTITUTE(F1474," ",""))+1,99),"🚕 Uber"),"")</f>
        <v/>
      </c>
      <c r="J1474" s="8">
        <f>IF(F1474&lt;&gt;"","https://api.qrserver.com/v1/create-qr-code/?size=200x200&amp;data="&amp;ENCODEURL("https://www.google.com/maps/search/?api=1&amp;query="&amp;SUBSTITUTE(F1474," ","")),"")</f>
        <v/>
      </c>
      <c r="K1474" s="8">
        <f>IF(C1474&lt;&gt;"",HYPERLINK("https://wa.me/507"&amp;REGEXREPLACE(C1474,"[^0-9]","")&amp;"?text="&amp;ENCODEURL("Ya llegue. Codigo: "&amp;A1474&amp;". Ubicacion: "&amp;"https://www.google.com/maps/search/?api=1&amp;query="&amp;SUBSTITUTE(F1474," ","")),"📲 Avisar al cliente"),"")</f>
        <v/>
      </c>
      <c r="L1474" s="8">
        <f>IF(C1474&lt;&gt;"","https://api.qrserver.com/v1/create-qr-code/?size=200x200&amp;data="&amp;ENCODEURL("https://wa.me/507"&amp;REGEXREPLACE(C1474,"[^0-9]","")&amp;"?text="&amp;ENCODEURL("Ya llegue. Codigo: "&amp;A1474&amp;". Ubicacion: "&amp;"https://www.google.com/maps/search/?api=1&amp;query="&amp;SUBSTITUTE(F1474," ",""))),"")</f>
        <v/>
      </c>
      <c r="M1474" s="8">
        <f>IF(B1474&lt;&gt;"",TODAY(),"")</f>
        <v/>
      </c>
      <c r="N1474" s="8">
        <f>IF(F1474&lt;&gt;"",IFERROR(IF(AND(REGEXMATCH(SUBSTITUTE(TRIM(F1474)," ",""),"^-?\d+(\.\d+)?,-?\d+(\.\d+)?$"),VALUE(REGEXEXTRACT(SUBSTITUTE(TRIM(F1474)," ",""),"^-?\d+(\.\d+)?"))&gt;=-90,VALUE(REGEXEXTRACT(SUBSTITUTE(TRIM(F1474)," ",""),"^-?\d+(\.\d+)?"))&lt;=90,VALUE(REGEXEXTRACT(SUBSTITUTE(TRIM(F1474)," ",""),"-?\d+(\.\d+)?$"))&gt;=-180,VALUE(REGEXEXTRACT(SUBSTITUTE(TRIM(F1474)," ",""),"-?\d+(\.\d+)?$"))&lt;=180),"OK","REVISAR"),"REVISAR"),"")</f>
        <v/>
      </c>
      <c r="O1474">
        <f>IF(A1474&lt;&gt;"","https://direcciones507.github.io/direcciones507/panel.html?codigo="&amp;A1474&amp;"&amp;nombre="&amp;ENCODEURL(B1474)&amp;"&amp;telefono="&amp;SUBSTITUTE(C1474,"-","")&amp;"&amp;referencia="&amp;ENCODEURL(E1474)&amp;"&amp;lat="&amp;IZQUIERDA(SUBSTITUTE(F1474," ",""),ENCONTRAR(",",SUBSTITUTE(F1474," ",""))-1)&amp;"&amp;lng="&amp;DERECHA(SUBSTITUTE(F1474," ",""),LARGO(SUBSTITUTE(F1474," ",""))-ENCONTRAR(",",SUBSTITUTE(F1474," ",""))),"")</f>
        <v/>
      </c>
    </row>
    <row r="1475" ht="15.75" customHeight="1" s="10">
      <c r="A1475" s="8">
        <f>CONCAT("AD507-",TEXT(ROW()-2,"0000"))</f>
        <v/>
      </c>
      <c r="C1475" s="8" t="n"/>
      <c r="F1475" s="8" t="n"/>
      <c r="G1475" s="8">
        <f>IF(F1475&lt;&gt;"",HYPERLINK("https://www.google.com/maps/search/?api=1&amp;query="&amp;SUBSTITUTE(F1475," ",""),"🗺 Google Maps"),"")</f>
        <v/>
      </c>
      <c r="H1475" s="8">
        <f>IF(F1475&lt;&gt;"",HYPERLINK("https://waze.com/ul?ll="&amp;SUBSTITUTE(F1475," ","")&amp;"&amp;navigate=yes","🚗 Waze"),"")</f>
        <v/>
      </c>
      <c r="I1475" s="8">
        <f>IF(F1475&lt;&gt;"",HYPERLINK("https://m.uber.com/ul/?action=setPickup&amp;pickup=my_location&amp;dropoff[latitude]="&amp;LEFT(SUBSTITUTE(F1475," ",""),FIND(",",SUBSTITUTE(F1475," ",""))-1)&amp;"&amp;dropoff[longitude]="&amp;MID(SUBSTITUTE(F1475," ",""),FIND(",",SUBSTITUTE(F1475," ",""))+1,99),"🚕 Uber"),"")</f>
        <v/>
      </c>
      <c r="J1475" s="8">
        <f>IF(F1475&lt;&gt;"","https://api.qrserver.com/v1/create-qr-code/?size=200x200&amp;data="&amp;ENCODEURL("https://www.google.com/maps/search/?api=1&amp;query="&amp;SUBSTITUTE(F1475," ","")),"")</f>
        <v/>
      </c>
      <c r="K1475" s="8">
        <f>IF(C1475&lt;&gt;"",HYPERLINK("https://wa.me/507"&amp;REGEXREPLACE(C1475,"[^0-9]","")&amp;"?text="&amp;ENCODEURL("Ya llegue. Codigo: "&amp;A1475&amp;". Ubicacion: "&amp;"https://www.google.com/maps/search/?api=1&amp;query="&amp;SUBSTITUTE(F1475," ","")),"📲 Avisar al cliente"),"")</f>
        <v/>
      </c>
      <c r="L1475" s="8">
        <f>IF(C1475&lt;&gt;"","https://api.qrserver.com/v1/create-qr-code/?size=200x200&amp;data="&amp;ENCODEURL("https://wa.me/507"&amp;REGEXREPLACE(C1475,"[^0-9]","")&amp;"?text="&amp;ENCODEURL("Ya llegue. Codigo: "&amp;A1475&amp;". Ubicacion: "&amp;"https://www.google.com/maps/search/?api=1&amp;query="&amp;SUBSTITUTE(F1475," ",""))),"")</f>
        <v/>
      </c>
      <c r="M1475" s="8">
        <f>IF(B1475&lt;&gt;"",TODAY(),"")</f>
        <v/>
      </c>
      <c r="N1475" s="8">
        <f>IF(F1475&lt;&gt;"",IFERROR(IF(AND(REGEXMATCH(SUBSTITUTE(TRIM(F1475)," ",""),"^-?\d+(\.\d+)?,-?\d+(\.\d+)?$"),VALUE(REGEXEXTRACT(SUBSTITUTE(TRIM(F1475)," ",""),"^-?\d+(\.\d+)?"))&gt;=-90,VALUE(REGEXEXTRACT(SUBSTITUTE(TRIM(F1475)," ",""),"^-?\d+(\.\d+)?"))&lt;=90,VALUE(REGEXEXTRACT(SUBSTITUTE(TRIM(F1475)," ",""),"-?\d+(\.\d+)?$"))&gt;=-180,VALUE(REGEXEXTRACT(SUBSTITUTE(TRIM(F1475)," ",""),"-?\d+(\.\d+)?$"))&lt;=180),"OK","REVISAR"),"REVISAR"),"")</f>
        <v/>
      </c>
      <c r="O1475">
        <f>IF(A1475&lt;&gt;"","https://direcciones507.github.io/direcciones507/panel.html?codigo="&amp;A1475&amp;"&amp;nombre="&amp;ENCODEURL(B1475)&amp;"&amp;telefono="&amp;SUBSTITUTE(C1475,"-","")&amp;"&amp;referencia="&amp;ENCODEURL(E1475)&amp;"&amp;lat="&amp;IZQUIERDA(SUBSTITUTE(F1475," ",""),ENCONTRAR(",",SUBSTITUTE(F1475," ",""))-1)&amp;"&amp;lng="&amp;DERECHA(SUBSTITUTE(F1475," ",""),LARGO(SUBSTITUTE(F1475," ",""))-ENCONTRAR(",",SUBSTITUTE(F1475," ",""))),"")</f>
        <v/>
      </c>
    </row>
    <row r="1476" ht="15.75" customHeight="1" s="10">
      <c r="A1476" s="8">
        <f>CONCAT("AD507-",TEXT(ROW()-2,"0000"))</f>
        <v/>
      </c>
      <c r="C1476" s="8" t="n"/>
      <c r="F1476" s="8" t="n"/>
      <c r="G1476" s="8">
        <f>IF(F1476&lt;&gt;"",HYPERLINK("https://www.google.com/maps/search/?api=1&amp;query="&amp;SUBSTITUTE(F1476," ",""),"🗺 Google Maps"),"")</f>
        <v/>
      </c>
      <c r="H1476" s="8">
        <f>IF(F1476&lt;&gt;"",HYPERLINK("https://waze.com/ul?ll="&amp;SUBSTITUTE(F1476," ","")&amp;"&amp;navigate=yes","🚗 Waze"),"")</f>
        <v/>
      </c>
      <c r="I1476" s="8">
        <f>IF(F1476&lt;&gt;"",HYPERLINK("https://m.uber.com/ul/?action=setPickup&amp;pickup=my_location&amp;dropoff[latitude]="&amp;LEFT(SUBSTITUTE(F1476," ",""),FIND(",",SUBSTITUTE(F1476," ",""))-1)&amp;"&amp;dropoff[longitude]="&amp;MID(SUBSTITUTE(F1476," ",""),FIND(",",SUBSTITUTE(F1476," ",""))+1,99),"🚕 Uber"),"")</f>
        <v/>
      </c>
      <c r="J1476" s="8">
        <f>IF(F1476&lt;&gt;"","https://api.qrserver.com/v1/create-qr-code/?size=200x200&amp;data="&amp;ENCODEURL("https://www.google.com/maps/search/?api=1&amp;query="&amp;SUBSTITUTE(F1476," ","")),"")</f>
        <v/>
      </c>
      <c r="K1476" s="8">
        <f>IF(C1476&lt;&gt;"",HYPERLINK("https://wa.me/507"&amp;REGEXREPLACE(C1476,"[^0-9]","")&amp;"?text="&amp;ENCODEURL("Ya llegue. Codigo: "&amp;A1476&amp;". Ubicacion: "&amp;"https://www.google.com/maps/search/?api=1&amp;query="&amp;SUBSTITUTE(F1476," ","")),"📲 Avisar al cliente"),"")</f>
        <v/>
      </c>
      <c r="L1476" s="8">
        <f>IF(C1476&lt;&gt;"","https://api.qrserver.com/v1/create-qr-code/?size=200x200&amp;data="&amp;ENCODEURL("https://wa.me/507"&amp;REGEXREPLACE(C1476,"[^0-9]","")&amp;"?text="&amp;ENCODEURL("Ya llegue. Codigo: "&amp;A1476&amp;". Ubicacion: "&amp;"https://www.google.com/maps/search/?api=1&amp;query="&amp;SUBSTITUTE(F1476," ",""))),"")</f>
        <v/>
      </c>
      <c r="M1476" s="8">
        <f>IF(B1476&lt;&gt;"",TODAY(),"")</f>
        <v/>
      </c>
      <c r="N1476" s="8">
        <f>IF(F1476&lt;&gt;"",IFERROR(IF(AND(REGEXMATCH(SUBSTITUTE(TRIM(F1476)," ",""),"^-?\d+(\.\d+)?,-?\d+(\.\d+)?$"),VALUE(REGEXEXTRACT(SUBSTITUTE(TRIM(F1476)," ",""),"^-?\d+(\.\d+)?"))&gt;=-90,VALUE(REGEXEXTRACT(SUBSTITUTE(TRIM(F1476)," ",""),"^-?\d+(\.\d+)?"))&lt;=90,VALUE(REGEXEXTRACT(SUBSTITUTE(TRIM(F1476)," ",""),"-?\d+(\.\d+)?$"))&gt;=-180,VALUE(REGEXEXTRACT(SUBSTITUTE(TRIM(F1476)," ",""),"-?\d+(\.\d+)?$"))&lt;=180),"OK","REVISAR"),"REVISAR"),"")</f>
        <v/>
      </c>
      <c r="O1476">
        <f>IF(A1476&lt;&gt;"","https://direcciones507.github.io/direcciones507/panel.html?codigo="&amp;A1476&amp;"&amp;nombre="&amp;ENCODEURL(B1476)&amp;"&amp;telefono="&amp;SUBSTITUTE(C1476,"-","")&amp;"&amp;referencia="&amp;ENCODEURL(E1476)&amp;"&amp;lat="&amp;IZQUIERDA(SUBSTITUTE(F1476," ",""),ENCONTRAR(",",SUBSTITUTE(F1476," ",""))-1)&amp;"&amp;lng="&amp;DERECHA(SUBSTITUTE(F1476," ",""),LARGO(SUBSTITUTE(F1476," ",""))-ENCONTRAR(",",SUBSTITUTE(F1476," ",""))),"")</f>
        <v/>
      </c>
    </row>
    <row r="1477" ht="15.75" customHeight="1" s="10">
      <c r="A1477" s="8">
        <f>CONCAT("AD507-",TEXT(ROW()-2,"0000"))</f>
        <v/>
      </c>
      <c r="C1477" s="8" t="n"/>
      <c r="F1477" s="8" t="n"/>
      <c r="G1477" s="8">
        <f>IF(F1477&lt;&gt;"",HYPERLINK("https://www.google.com/maps/search/?api=1&amp;query="&amp;SUBSTITUTE(F1477," ",""),"🗺 Google Maps"),"")</f>
        <v/>
      </c>
      <c r="H1477" s="8">
        <f>IF(F1477&lt;&gt;"",HYPERLINK("https://waze.com/ul?ll="&amp;SUBSTITUTE(F1477," ","")&amp;"&amp;navigate=yes","🚗 Waze"),"")</f>
        <v/>
      </c>
      <c r="I1477" s="8">
        <f>IF(F1477&lt;&gt;"",HYPERLINK("https://m.uber.com/ul/?action=setPickup&amp;pickup=my_location&amp;dropoff[latitude]="&amp;LEFT(SUBSTITUTE(F1477," ",""),FIND(",",SUBSTITUTE(F1477," ",""))-1)&amp;"&amp;dropoff[longitude]="&amp;MID(SUBSTITUTE(F1477," ",""),FIND(",",SUBSTITUTE(F1477," ",""))+1,99),"🚕 Uber"),"")</f>
        <v/>
      </c>
      <c r="J1477" s="8">
        <f>IF(F1477&lt;&gt;"","https://api.qrserver.com/v1/create-qr-code/?size=200x200&amp;data="&amp;ENCODEURL("https://www.google.com/maps/search/?api=1&amp;query="&amp;SUBSTITUTE(F1477," ","")),"")</f>
        <v/>
      </c>
      <c r="K1477" s="8">
        <f>IF(C1477&lt;&gt;"",HYPERLINK("https://wa.me/507"&amp;REGEXREPLACE(C1477,"[^0-9]","")&amp;"?text="&amp;ENCODEURL("Ya llegue. Codigo: "&amp;A1477&amp;". Ubicacion: "&amp;"https://www.google.com/maps/search/?api=1&amp;query="&amp;SUBSTITUTE(F1477," ","")),"📲 Avisar al cliente"),"")</f>
        <v/>
      </c>
      <c r="L1477" s="8">
        <f>IF(C1477&lt;&gt;"","https://api.qrserver.com/v1/create-qr-code/?size=200x200&amp;data="&amp;ENCODEURL("https://wa.me/507"&amp;REGEXREPLACE(C1477,"[^0-9]","")&amp;"?text="&amp;ENCODEURL("Ya llegue. Codigo: "&amp;A1477&amp;". Ubicacion: "&amp;"https://www.google.com/maps/search/?api=1&amp;query="&amp;SUBSTITUTE(F1477," ",""))),"")</f>
        <v/>
      </c>
      <c r="M1477" s="8">
        <f>IF(B1477&lt;&gt;"",TODAY(),"")</f>
        <v/>
      </c>
      <c r="N1477" s="8">
        <f>IF(F1477&lt;&gt;"",IFERROR(IF(AND(REGEXMATCH(SUBSTITUTE(TRIM(F1477)," ",""),"^-?\d+(\.\d+)?,-?\d+(\.\d+)?$"),VALUE(REGEXEXTRACT(SUBSTITUTE(TRIM(F1477)," ",""),"^-?\d+(\.\d+)?"))&gt;=-90,VALUE(REGEXEXTRACT(SUBSTITUTE(TRIM(F1477)," ",""),"^-?\d+(\.\d+)?"))&lt;=90,VALUE(REGEXEXTRACT(SUBSTITUTE(TRIM(F1477)," ",""),"-?\d+(\.\d+)?$"))&gt;=-180,VALUE(REGEXEXTRACT(SUBSTITUTE(TRIM(F1477)," ",""),"-?\d+(\.\d+)?$"))&lt;=180),"OK","REVISAR"),"REVISAR"),"")</f>
        <v/>
      </c>
      <c r="O1477">
        <f>IF(A1477&lt;&gt;"","https://direcciones507.github.io/direcciones507/panel.html?codigo="&amp;A1477&amp;"&amp;nombre="&amp;ENCODEURL(B1477)&amp;"&amp;telefono="&amp;SUBSTITUTE(C1477,"-","")&amp;"&amp;referencia="&amp;ENCODEURL(E1477)&amp;"&amp;lat="&amp;IZQUIERDA(SUBSTITUTE(F1477," ",""),ENCONTRAR(",",SUBSTITUTE(F1477," ",""))-1)&amp;"&amp;lng="&amp;DERECHA(SUBSTITUTE(F1477," ",""),LARGO(SUBSTITUTE(F1477," ",""))-ENCONTRAR(",",SUBSTITUTE(F1477," ",""))),"")</f>
        <v/>
      </c>
    </row>
    <row r="1478" ht="15.75" customHeight="1" s="10">
      <c r="A1478" s="8">
        <f>CONCAT("AD507-",TEXT(ROW()-2,"0000"))</f>
        <v/>
      </c>
      <c r="C1478" s="8" t="n"/>
      <c r="F1478" s="8" t="n"/>
      <c r="G1478" s="8">
        <f>IF(F1478&lt;&gt;"",HYPERLINK("https://www.google.com/maps/search/?api=1&amp;query="&amp;SUBSTITUTE(F1478," ",""),"🗺 Google Maps"),"")</f>
        <v/>
      </c>
      <c r="H1478" s="8">
        <f>IF(F1478&lt;&gt;"",HYPERLINK("https://waze.com/ul?ll="&amp;SUBSTITUTE(F1478," ","")&amp;"&amp;navigate=yes","🚗 Waze"),"")</f>
        <v/>
      </c>
      <c r="I1478" s="8">
        <f>IF(F1478&lt;&gt;"",HYPERLINK("https://m.uber.com/ul/?action=setPickup&amp;pickup=my_location&amp;dropoff[latitude]="&amp;LEFT(SUBSTITUTE(F1478," ",""),FIND(",",SUBSTITUTE(F1478," ",""))-1)&amp;"&amp;dropoff[longitude]="&amp;MID(SUBSTITUTE(F1478," ",""),FIND(",",SUBSTITUTE(F1478," ",""))+1,99),"🚕 Uber"),"")</f>
        <v/>
      </c>
      <c r="J1478" s="8">
        <f>IF(F1478&lt;&gt;"","https://api.qrserver.com/v1/create-qr-code/?size=200x200&amp;data="&amp;ENCODEURL("https://www.google.com/maps/search/?api=1&amp;query="&amp;SUBSTITUTE(F1478," ","")),"")</f>
        <v/>
      </c>
      <c r="K1478" s="8">
        <f>IF(C1478&lt;&gt;"",HYPERLINK("https://wa.me/507"&amp;REGEXREPLACE(C1478,"[^0-9]","")&amp;"?text="&amp;ENCODEURL("Ya llegue. Codigo: "&amp;A1478&amp;". Ubicacion: "&amp;"https://www.google.com/maps/search/?api=1&amp;query="&amp;SUBSTITUTE(F1478," ","")),"📲 Avisar al cliente"),"")</f>
        <v/>
      </c>
      <c r="L1478" s="8">
        <f>IF(C1478&lt;&gt;"","https://api.qrserver.com/v1/create-qr-code/?size=200x200&amp;data="&amp;ENCODEURL("https://wa.me/507"&amp;REGEXREPLACE(C1478,"[^0-9]","")&amp;"?text="&amp;ENCODEURL("Ya llegue. Codigo: "&amp;A1478&amp;". Ubicacion: "&amp;"https://www.google.com/maps/search/?api=1&amp;query="&amp;SUBSTITUTE(F1478," ",""))),"")</f>
        <v/>
      </c>
      <c r="M1478" s="8">
        <f>IF(B1478&lt;&gt;"",TODAY(),"")</f>
        <v/>
      </c>
      <c r="N1478" s="8">
        <f>IF(F1478&lt;&gt;"",IFERROR(IF(AND(REGEXMATCH(SUBSTITUTE(TRIM(F1478)," ",""),"^-?\d+(\.\d+)?,-?\d+(\.\d+)?$"),VALUE(REGEXEXTRACT(SUBSTITUTE(TRIM(F1478)," ",""),"^-?\d+(\.\d+)?"))&gt;=-90,VALUE(REGEXEXTRACT(SUBSTITUTE(TRIM(F1478)," ",""),"^-?\d+(\.\d+)?"))&lt;=90,VALUE(REGEXEXTRACT(SUBSTITUTE(TRIM(F1478)," ",""),"-?\d+(\.\d+)?$"))&gt;=-180,VALUE(REGEXEXTRACT(SUBSTITUTE(TRIM(F1478)," ",""),"-?\d+(\.\d+)?$"))&lt;=180),"OK","REVISAR"),"REVISAR"),"")</f>
        <v/>
      </c>
      <c r="O1478">
        <f>IF(A1478&lt;&gt;"","https://direcciones507.github.io/direcciones507/panel.html?codigo="&amp;A1478&amp;"&amp;nombre="&amp;ENCODEURL(B1478)&amp;"&amp;telefono="&amp;SUBSTITUTE(C1478,"-","")&amp;"&amp;referencia="&amp;ENCODEURL(E1478)&amp;"&amp;lat="&amp;IZQUIERDA(SUBSTITUTE(F1478," ",""),ENCONTRAR(",",SUBSTITUTE(F1478," ",""))-1)&amp;"&amp;lng="&amp;DERECHA(SUBSTITUTE(F1478," ",""),LARGO(SUBSTITUTE(F1478," ",""))-ENCONTRAR(",",SUBSTITUTE(F1478," ",""))),"")</f>
        <v/>
      </c>
    </row>
    <row r="1479" ht="15.75" customHeight="1" s="10">
      <c r="A1479" s="8">
        <f>CONCAT("AD507-",TEXT(ROW()-2,"0000"))</f>
        <v/>
      </c>
      <c r="C1479" s="8" t="n"/>
      <c r="F1479" s="8" t="n"/>
      <c r="G1479" s="8">
        <f>IF(F1479&lt;&gt;"",HYPERLINK("https://www.google.com/maps/search/?api=1&amp;query="&amp;SUBSTITUTE(F1479," ",""),"🗺 Google Maps"),"")</f>
        <v/>
      </c>
      <c r="H1479" s="8">
        <f>IF(F1479&lt;&gt;"",HYPERLINK("https://waze.com/ul?ll="&amp;SUBSTITUTE(F1479," ","")&amp;"&amp;navigate=yes","🚗 Waze"),"")</f>
        <v/>
      </c>
      <c r="I1479" s="8">
        <f>IF(F1479&lt;&gt;"",HYPERLINK("https://m.uber.com/ul/?action=setPickup&amp;pickup=my_location&amp;dropoff[latitude]="&amp;LEFT(SUBSTITUTE(F1479," ",""),FIND(",",SUBSTITUTE(F1479," ",""))-1)&amp;"&amp;dropoff[longitude]="&amp;MID(SUBSTITUTE(F1479," ",""),FIND(",",SUBSTITUTE(F1479," ",""))+1,99),"🚕 Uber"),"")</f>
        <v/>
      </c>
      <c r="J1479" s="8">
        <f>IF(F1479&lt;&gt;"","https://api.qrserver.com/v1/create-qr-code/?size=200x200&amp;data="&amp;ENCODEURL("https://www.google.com/maps/search/?api=1&amp;query="&amp;SUBSTITUTE(F1479," ","")),"")</f>
        <v/>
      </c>
      <c r="K1479" s="8">
        <f>IF(C1479&lt;&gt;"",HYPERLINK("https://wa.me/507"&amp;REGEXREPLACE(C1479,"[^0-9]","")&amp;"?text="&amp;ENCODEURL("Ya llegue. Codigo: "&amp;A1479&amp;". Ubicacion: "&amp;"https://www.google.com/maps/search/?api=1&amp;query="&amp;SUBSTITUTE(F1479," ","")),"📲 Avisar al cliente"),"")</f>
        <v/>
      </c>
      <c r="L1479" s="8">
        <f>IF(C1479&lt;&gt;"","https://api.qrserver.com/v1/create-qr-code/?size=200x200&amp;data="&amp;ENCODEURL("https://wa.me/507"&amp;REGEXREPLACE(C1479,"[^0-9]","")&amp;"?text="&amp;ENCODEURL("Ya llegue. Codigo: "&amp;A1479&amp;". Ubicacion: "&amp;"https://www.google.com/maps/search/?api=1&amp;query="&amp;SUBSTITUTE(F1479," ",""))),"")</f>
        <v/>
      </c>
      <c r="M1479" s="8">
        <f>IF(B1479&lt;&gt;"",TODAY(),"")</f>
        <v/>
      </c>
      <c r="N1479" s="8">
        <f>IF(F1479&lt;&gt;"",IFERROR(IF(AND(REGEXMATCH(SUBSTITUTE(TRIM(F1479)," ",""),"^-?\d+(\.\d+)?,-?\d+(\.\d+)?$"),VALUE(REGEXEXTRACT(SUBSTITUTE(TRIM(F1479)," ",""),"^-?\d+(\.\d+)?"))&gt;=-90,VALUE(REGEXEXTRACT(SUBSTITUTE(TRIM(F1479)," ",""),"^-?\d+(\.\d+)?"))&lt;=90,VALUE(REGEXEXTRACT(SUBSTITUTE(TRIM(F1479)," ",""),"-?\d+(\.\d+)?$"))&gt;=-180,VALUE(REGEXEXTRACT(SUBSTITUTE(TRIM(F1479)," ",""),"-?\d+(\.\d+)?$"))&lt;=180),"OK","REVISAR"),"REVISAR"),"")</f>
        <v/>
      </c>
      <c r="O1479">
        <f>IF(A1479&lt;&gt;"","https://direcciones507.github.io/direcciones507/panel.html?codigo="&amp;A1479&amp;"&amp;nombre="&amp;ENCODEURL(B1479)&amp;"&amp;telefono="&amp;SUBSTITUTE(C1479,"-","")&amp;"&amp;referencia="&amp;ENCODEURL(E1479)&amp;"&amp;lat="&amp;IZQUIERDA(SUBSTITUTE(F1479," ",""),ENCONTRAR(",",SUBSTITUTE(F1479," ",""))-1)&amp;"&amp;lng="&amp;DERECHA(SUBSTITUTE(F1479," ",""),LARGO(SUBSTITUTE(F1479," ",""))-ENCONTRAR(",",SUBSTITUTE(F1479," ",""))),"")</f>
        <v/>
      </c>
    </row>
    <row r="1480" ht="15.75" customHeight="1" s="10">
      <c r="A1480" s="8">
        <f>CONCAT("AD507-",TEXT(ROW()-2,"0000"))</f>
        <v/>
      </c>
      <c r="C1480" s="8" t="n"/>
      <c r="F1480" s="8" t="n"/>
      <c r="G1480" s="8">
        <f>IF(F1480&lt;&gt;"",HYPERLINK("https://www.google.com/maps/search/?api=1&amp;query="&amp;SUBSTITUTE(F1480," ",""),"🗺 Google Maps"),"")</f>
        <v/>
      </c>
      <c r="H1480" s="8">
        <f>IF(F1480&lt;&gt;"",HYPERLINK("https://waze.com/ul?ll="&amp;SUBSTITUTE(F1480," ","")&amp;"&amp;navigate=yes","🚗 Waze"),"")</f>
        <v/>
      </c>
      <c r="I1480" s="8">
        <f>IF(F1480&lt;&gt;"",HYPERLINK("https://m.uber.com/ul/?action=setPickup&amp;pickup=my_location&amp;dropoff[latitude]="&amp;LEFT(SUBSTITUTE(F1480," ",""),FIND(",",SUBSTITUTE(F1480," ",""))-1)&amp;"&amp;dropoff[longitude]="&amp;MID(SUBSTITUTE(F1480," ",""),FIND(",",SUBSTITUTE(F1480," ",""))+1,99),"🚕 Uber"),"")</f>
        <v/>
      </c>
      <c r="J1480" s="8">
        <f>IF(F1480&lt;&gt;"","https://api.qrserver.com/v1/create-qr-code/?size=200x200&amp;data="&amp;ENCODEURL("https://www.google.com/maps/search/?api=1&amp;query="&amp;SUBSTITUTE(F1480," ","")),"")</f>
        <v/>
      </c>
      <c r="K1480" s="8">
        <f>IF(C1480&lt;&gt;"",HYPERLINK("https://wa.me/507"&amp;REGEXREPLACE(C1480,"[^0-9]","")&amp;"?text="&amp;ENCODEURL("Ya llegue. Codigo: "&amp;A1480&amp;". Ubicacion: "&amp;"https://www.google.com/maps/search/?api=1&amp;query="&amp;SUBSTITUTE(F1480," ","")),"📲 Avisar al cliente"),"")</f>
        <v/>
      </c>
      <c r="L1480" s="8">
        <f>IF(C1480&lt;&gt;"","https://api.qrserver.com/v1/create-qr-code/?size=200x200&amp;data="&amp;ENCODEURL("https://wa.me/507"&amp;REGEXREPLACE(C1480,"[^0-9]","")&amp;"?text="&amp;ENCODEURL("Ya llegue. Codigo: "&amp;A1480&amp;". Ubicacion: "&amp;"https://www.google.com/maps/search/?api=1&amp;query="&amp;SUBSTITUTE(F1480," ",""))),"")</f>
        <v/>
      </c>
      <c r="M1480" s="8">
        <f>IF(B1480&lt;&gt;"",TODAY(),"")</f>
        <v/>
      </c>
      <c r="N1480" s="8">
        <f>IF(F1480&lt;&gt;"",IFERROR(IF(AND(REGEXMATCH(SUBSTITUTE(TRIM(F1480)," ",""),"^-?\d+(\.\d+)?,-?\d+(\.\d+)?$"),VALUE(REGEXEXTRACT(SUBSTITUTE(TRIM(F1480)," ",""),"^-?\d+(\.\d+)?"))&gt;=-90,VALUE(REGEXEXTRACT(SUBSTITUTE(TRIM(F1480)," ",""),"^-?\d+(\.\d+)?"))&lt;=90,VALUE(REGEXEXTRACT(SUBSTITUTE(TRIM(F1480)," ",""),"-?\d+(\.\d+)?$"))&gt;=-180,VALUE(REGEXEXTRACT(SUBSTITUTE(TRIM(F1480)," ",""),"-?\d+(\.\d+)?$"))&lt;=180),"OK","REVISAR"),"REVISAR"),"")</f>
        <v/>
      </c>
      <c r="O1480">
        <f>IF(A1480&lt;&gt;"","https://direcciones507.github.io/direcciones507/panel.html?codigo="&amp;A1480&amp;"&amp;nombre="&amp;ENCODEURL(B1480)&amp;"&amp;telefono="&amp;SUBSTITUTE(C1480,"-","")&amp;"&amp;referencia="&amp;ENCODEURL(E1480)&amp;"&amp;lat="&amp;IZQUIERDA(SUBSTITUTE(F1480," ",""),ENCONTRAR(",",SUBSTITUTE(F1480," ",""))-1)&amp;"&amp;lng="&amp;DERECHA(SUBSTITUTE(F1480," ",""),LARGO(SUBSTITUTE(F1480," ",""))-ENCONTRAR(",",SUBSTITUTE(F1480," ",""))),"")</f>
        <v/>
      </c>
    </row>
    <row r="1481" ht="15.75" customHeight="1" s="10">
      <c r="A1481" s="8">
        <f>CONCAT("AD507-",TEXT(ROW()-2,"0000"))</f>
        <v/>
      </c>
      <c r="C1481" s="8" t="n"/>
      <c r="F1481" s="8" t="n"/>
      <c r="G1481" s="8">
        <f>IF(F1481&lt;&gt;"",HYPERLINK("https://www.google.com/maps/search/?api=1&amp;query="&amp;SUBSTITUTE(F1481," ",""),"🗺 Google Maps"),"")</f>
        <v/>
      </c>
      <c r="H1481" s="8">
        <f>IF(F1481&lt;&gt;"",HYPERLINK("https://waze.com/ul?ll="&amp;SUBSTITUTE(F1481," ","")&amp;"&amp;navigate=yes","🚗 Waze"),"")</f>
        <v/>
      </c>
      <c r="I1481" s="8">
        <f>IF(F1481&lt;&gt;"",HYPERLINK("https://m.uber.com/ul/?action=setPickup&amp;pickup=my_location&amp;dropoff[latitude]="&amp;LEFT(SUBSTITUTE(F1481," ",""),FIND(",",SUBSTITUTE(F1481," ",""))-1)&amp;"&amp;dropoff[longitude]="&amp;MID(SUBSTITUTE(F1481," ",""),FIND(",",SUBSTITUTE(F1481," ",""))+1,99),"🚕 Uber"),"")</f>
        <v/>
      </c>
      <c r="J1481" s="8">
        <f>IF(F1481&lt;&gt;"","https://api.qrserver.com/v1/create-qr-code/?size=200x200&amp;data="&amp;ENCODEURL("https://www.google.com/maps/search/?api=1&amp;query="&amp;SUBSTITUTE(F1481," ","")),"")</f>
        <v/>
      </c>
      <c r="K1481" s="8">
        <f>IF(C1481&lt;&gt;"",HYPERLINK("https://wa.me/507"&amp;REGEXREPLACE(C1481,"[^0-9]","")&amp;"?text="&amp;ENCODEURL("Ya llegue. Codigo: "&amp;A1481&amp;". Ubicacion: "&amp;"https://www.google.com/maps/search/?api=1&amp;query="&amp;SUBSTITUTE(F1481," ","")),"📲 Avisar al cliente"),"")</f>
        <v/>
      </c>
      <c r="L1481" s="8">
        <f>IF(C1481&lt;&gt;"","https://api.qrserver.com/v1/create-qr-code/?size=200x200&amp;data="&amp;ENCODEURL("https://wa.me/507"&amp;REGEXREPLACE(C1481,"[^0-9]","")&amp;"?text="&amp;ENCODEURL("Ya llegue. Codigo: "&amp;A1481&amp;". Ubicacion: "&amp;"https://www.google.com/maps/search/?api=1&amp;query="&amp;SUBSTITUTE(F1481," ",""))),"")</f>
        <v/>
      </c>
      <c r="M1481" s="8">
        <f>IF(B1481&lt;&gt;"",TODAY(),"")</f>
        <v/>
      </c>
      <c r="N1481" s="8">
        <f>IF(F1481&lt;&gt;"",IFERROR(IF(AND(REGEXMATCH(SUBSTITUTE(TRIM(F1481)," ",""),"^-?\d+(\.\d+)?,-?\d+(\.\d+)?$"),VALUE(REGEXEXTRACT(SUBSTITUTE(TRIM(F1481)," ",""),"^-?\d+(\.\d+)?"))&gt;=-90,VALUE(REGEXEXTRACT(SUBSTITUTE(TRIM(F1481)," ",""),"^-?\d+(\.\d+)?"))&lt;=90,VALUE(REGEXEXTRACT(SUBSTITUTE(TRIM(F1481)," ",""),"-?\d+(\.\d+)?$"))&gt;=-180,VALUE(REGEXEXTRACT(SUBSTITUTE(TRIM(F1481)," ",""),"-?\d+(\.\d+)?$"))&lt;=180),"OK","REVISAR"),"REVISAR"),"")</f>
        <v/>
      </c>
      <c r="O1481">
        <f>IF(A1481&lt;&gt;"","https://direcciones507.github.io/direcciones507/panel.html?codigo="&amp;A1481&amp;"&amp;nombre="&amp;ENCODEURL(B1481)&amp;"&amp;telefono="&amp;SUBSTITUTE(C1481,"-","")&amp;"&amp;referencia="&amp;ENCODEURL(E1481)&amp;"&amp;lat="&amp;IZQUIERDA(SUBSTITUTE(F1481," ",""),ENCONTRAR(",",SUBSTITUTE(F1481," ",""))-1)&amp;"&amp;lng="&amp;DERECHA(SUBSTITUTE(F1481," ",""),LARGO(SUBSTITUTE(F1481," ",""))-ENCONTRAR(",",SUBSTITUTE(F1481," ",""))),"")</f>
        <v/>
      </c>
    </row>
    <row r="1482" ht="15.75" customHeight="1" s="10">
      <c r="A1482" s="8">
        <f>CONCAT("AD507-",TEXT(ROW()-2,"0000"))</f>
        <v/>
      </c>
      <c r="C1482" s="8" t="n"/>
      <c r="F1482" s="8" t="n"/>
      <c r="G1482" s="8">
        <f>IF(F1482&lt;&gt;"",HYPERLINK("https://www.google.com/maps/search/?api=1&amp;query="&amp;SUBSTITUTE(F1482," ",""),"🗺 Google Maps"),"")</f>
        <v/>
      </c>
      <c r="H1482" s="8">
        <f>IF(F1482&lt;&gt;"",HYPERLINK("https://waze.com/ul?ll="&amp;SUBSTITUTE(F1482," ","")&amp;"&amp;navigate=yes","🚗 Waze"),"")</f>
        <v/>
      </c>
      <c r="I1482" s="8">
        <f>IF(F1482&lt;&gt;"",HYPERLINK("https://m.uber.com/ul/?action=setPickup&amp;pickup=my_location&amp;dropoff[latitude]="&amp;LEFT(SUBSTITUTE(F1482," ",""),FIND(",",SUBSTITUTE(F1482," ",""))-1)&amp;"&amp;dropoff[longitude]="&amp;MID(SUBSTITUTE(F1482," ",""),FIND(",",SUBSTITUTE(F1482," ",""))+1,99),"🚕 Uber"),"")</f>
        <v/>
      </c>
      <c r="J1482" s="8">
        <f>IF(F1482&lt;&gt;"","https://api.qrserver.com/v1/create-qr-code/?size=200x200&amp;data="&amp;ENCODEURL("https://www.google.com/maps/search/?api=1&amp;query="&amp;SUBSTITUTE(F1482," ","")),"")</f>
        <v/>
      </c>
      <c r="K1482" s="8">
        <f>IF(C1482&lt;&gt;"",HYPERLINK("https://wa.me/507"&amp;REGEXREPLACE(C1482,"[^0-9]","")&amp;"?text="&amp;ENCODEURL("Ya llegue. Codigo: "&amp;A1482&amp;". Ubicacion: "&amp;"https://www.google.com/maps/search/?api=1&amp;query="&amp;SUBSTITUTE(F1482," ","")),"📲 Avisar al cliente"),"")</f>
        <v/>
      </c>
      <c r="L1482" s="8">
        <f>IF(C1482&lt;&gt;"","https://api.qrserver.com/v1/create-qr-code/?size=200x200&amp;data="&amp;ENCODEURL("https://wa.me/507"&amp;REGEXREPLACE(C1482,"[^0-9]","")&amp;"?text="&amp;ENCODEURL("Ya llegue. Codigo: "&amp;A1482&amp;". Ubicacion: "&amp;"https://www.google.com/maps/search/?api=1&amp;query="&amp;SUBSTITUTE(F1482," ",""))),"")</f>
        <v/>
      </c>
      <c r="M1482" s="8">
        <f>IF(B1482&lt;&gt;"",TODAY(),"")</f>
        <v/>
      </c>
      <c r="N1482" s="8">
        <f>IF(F1482&lt;&gt;"",IFERROR(IF(AND(REGEXMATCH(SUBSTITUTE(TRIM(F1482)," ",""),"^-?\d+(\.\d+)?,-?\d+(\.\d+)?$"),VALUE(REGEXEXTRACT(SUBSTITUTE(TRIM(F1482)," ",""),"^-?\d+(\.\d+)?"))&gt;=-90,VALUE(REGEXEXTRACT(SUBSTITUTE(TRIM(F1482)," ",""),"^-?\d+(\.\d+)?"))&lt;=90,VALUE(REGEXEXTRACT(SUBSTITUTE(TRIM(F1482)," ",""),"-?\d+(\.\d+)?$"))&gt;=-180,VALUE(REGEXEXTRACT(SUBSTITUTE(TRIM(F1482)," ",""),"-?\d+(\.\d+)?$"))&lt;=180),"OK","REVISAR"),"REVISAR"),"")</f>
        <v/>
      </c>
      <c r="O1482">
        <f>IF(A1482&lt;&gt;"","https://direcciones507.github.io/direcciones507/panel.html?codigo="&amp;A1482&amp;"&amp;nombre="&amp;ENCODEURL(B1482)&amp;"&amp;telefono="&amp;SUBSTITUTE(C1482,"-","")&amp;"&amp;referencia="&amp;ENCODEURL(E1482)&amp;"&amp;lat="&amp;IZQUIERDA(SUBSTITUTE(F1482," ",""),ENCONTRAR(",",SUBSTITUTE(F1482," ",""))-1)&amp;"&amp;lng="&amp;DERECHA(SUBSTITUTE(F1482," ",""),LARGO(SUBSTITUTE(F1482," ",""))-ENCONTRAR(",",SUBSTITUTE(F1482," ",""))),"")</f>
        <v/>
      </c>
    </row>
    <row r="1483" ht="15.75" customHeight="1" s="10">
      <c r="A1483" s="8">
        <f>CONCAT("AD507-",TEXT(ROW()-2,"0000"))</f>
        <v/>
      </c>
      <c r="C1483" s="8" t="n"/>
      <c r="F1483" s="8" t="n"/>
      <c r="G1483" s="8">
        <f>IF(F1483&lt;&gt;"",HYPERLINK("https://www.google.com/maps/search/?api=1&amp;query="&amp;SUBSTITUTE(F1483," ",""),"🗺 Google Maps"),"")</f>
        <v/>
      </c>
      <c r="H1483" s="8">
        <f>IF(F1483&lt;&gt;"",HYPERLINK("https://waze.com/ul?ll="&amp;SUBSTITUTE(F1483," ","")&amp;"&amp;navigate=yes","🚗 Waze"),"")</f>
        <v/>
      </c>
      <c r="I1483" s="8">
        <f>IF(F1483&lt;&gt;"",HYPERLINK("https://m.uber.com/ul/?action=setPickup&amp;pickup=my_location&amp;dropoff[latitude]="&amp;LEFT(SUBSTITUTE(F1483," ",""),FIND(",",SUBSTITUTE(F1483," ",""))-1)&amp;"&amp;dropoff[longitude]="&amp;MID(SUBSTITUTE(F1483," ",""),FIND(",",SUBSTITUTE(F1483," ",""))+1,99),"🚕 Uber"),"")</f>
        <v/>
      </c>
      <c r="J1483" s="8">
        <f>IF(F1483&lt;&gt;"","https://api.qrserver.com/v1/create-qr-code/?size=200x200&amp;data="&amp;ENCODEURL("https://www.google.com/maps/search/?api=1&amp;query="&amp;SUBSTITUTE(F1483," ","")),"")</f>
        <v/>
      </c>
      <c r="K1483" s="8">
        <f>IF(C1483&lt;&gt;"",HYPERLINK("https://wa.me/507"&amp;REGEXREPLACE(C1483,"[^0-9]","")&amp;"?text="&amp;ENCODEURL("Ya llegue. Codigo: "&amp;A1483&amp;". Ubicacion: "&amp;"https://www.google.com/maps/search/?api=1&amp;query="&amp;SUBSTITUTE(F1483," ","")),"📲 Avisar al cliente"),"")</f>
        <v/>
      </c>
      <c r="L1483" s="8">
        <f>IF(C1483&lt;&gt;"","https://api.qrserver.com/v1/create-qr-code/?size=200x200&amp;data="&amp;ENCODEURL("https://wa.me/507"&amp;REGEXREPLACE(C1483,"[^0-9]","")&amp;"?text="&amp;ENCODEURL("Ya llegue. Codigo: "&amp;A1483&amp;". Ubicacion: "&amp;"https://www.google.com/maps/search/?api=1&amp;query="&amp;SUBSTITUTE(F1483," ",""))),"")</f>
        <v/>
      </c>
      <c r="M1483" s="8">
        <f>IF(B1483&lt;&gt;"",TODAY(),"")</f>
        <v/>
      </c>
      <c r="N1483" s="8">
        <f>IF(F1483&lt;&gt;"",IFERROR(IF(AND(REGEXMATCH(SUBSTITUTE(TRIM(F1483)," ",""),"^-?\d+(\.\d+)?,-?\d+(\.\d+)?$"),VALUE(REGEXEXTRACT(SUBSTITUTE(TRIM(F1483)," ",""),"^-?\d+(\.\d+)?"))&gt;=-90,VALUE(REGEXEXTRACT(SUBSTITUTE(TRIM(F1483)," ",""),"^-?\d+(\.\d+)?"))&lt;=90,VALUE(REGEXEXTRACT(SUBSTITUTE(TRIM(F1483)," ",""),"-?\d+(\.\d+)?$"))&gt;=-180,VALUE(REGEXEXTRACT(SUBSTITUTE(TRIM(F1483)," ",""),"-?\d+(\.\d+)?$"))&lt;=180),"OK","REVISAR"),"REVISAR"),"")</f>
        <v/>
      </c>
      <c r="O1483">
        <f>IF(A1483&lt;&gt;"","https://direcciones507.github.io/direcciones507/panel.html?codigo="&amp;A1483&amp;"&amp;nombre="&amp;ENCODEURL(B1483)&amp;"&amp;telefono="&amp;SUBSTITUTE(C1483,"-","")&amp;"&amp;referencia="&amp;ENCODEURL(E1483)&amp;"&amp;lat="&amp;IZQUIERDA(SUBSTITUTE(F1483," ",""),ENCONTRAR(",",SUBSTITUTE(F1483," ",""))-1)&amp;"&amp;lng="&amp;DERECHA(SUBSTITUTE(F1483," ",""),LARGO(SUBSTITUTE(F1483," ",""))-ENCONTRAR(",",SUBSTITUTE(F1483," ",""))),"")</f>
        <v/>
      </c>
    </row>
    <row r="1484" ht="15.75" customHeight="1" s="10">
      <c r="A1484" s="8">
        <f>CONCAT("AD507-",TEXT(ROW()-2,"0000"))</f>
        <v/>
      </c>
      <c r="C1484" s="8" t="n"/>
      <c r="F1484" s="8" t="n"/>
      <c r="G1484" s="8">
        <f>IF(F1484&lt;&gt;"",HYPERLINK("https://www.google.com/maps/search/?api=1&amp;query="&amp;SUBSTITUTE(F1484," ",""),"🗺 Google Maps"),"")</f>
        <v/>
      </c>
      <c r="H1484" s="8">
        <f>IF(F1484&lt;&gt;"",HYPERLINK("https://waze.com/ul?ll="&amp;SUBSTITUTE(F1484," ","")&amp;"&amp;navigate=yes","🚗 Waze"),"")</f>
        <v/>
      </c>
      <c r="I1484" s="8">
        <f>IF(F1484&lt;&gt;"",HYPERLINK("https://m.uber.com/ul/?action=setPickup&amp;pickup=my_location&amp;dropoff[latitude]="&amp;LEFT(SUBSTITUTE(F1484," ",""),FIND(",",SUBSTITUTE(F1484," ",""))-1)&amp;"&amp;dropoff[longitude]="&amp;MID(SUBSTITUTE(F1484," ",""),FIND(",",SUBSTITUTE(F1484," ",""))+1,99),"🚕 Uber"),"")</f>
        <v/>
      </c>
      <c r="J1484" s="8">
        <f>IF(F1484&lt;&gt;"","https://api.qrserver.com/v1/create-qr-code/?size=200x200&amp;data="&amp;ENCODEURL("https://www.google.com/maps/search/?api=1&amp;query="&amp;SUBSTITUTE(F1484," ","")),"")</f>
        <v/>
      </c>
      <c r="K1484" s="8">
        <f>IF(C1484&lt;&gt;"",HYPERLINK("https://wa.me/507"&amp;REGEXREPLACE(C1484,"[^0-9]","")&amp;"?text="&amp;ENCODEURL("Ya llegue. Codigo: "&amp;A1484&amp;". Ubicacion: "&amp;"https://www.google.com/maps/search/?api=1&amp;query="&amp;SUBSTITUTE(F1484," ","")),"📲 Avisar al cliente"),"")</f>
        <v/>
      </c>
      <c r="L1484" s="8">
        <f>IF(C1484&lt;&gt;"","https://api.qrserver.com/v1/create-qr-code/?size=200x200&amp;data="&amp;ENCODEURL("https://wa.me/507"&amp;REGEXREPLACE(C1484,"[^0-9]","")&amp;"?text="&amp;ENCODEURL("Ya llegue. Codigo: "&amp;A1484&amp;". Ubicacion: "&amp;"https://www.google.com/maps/search/?api=1&amp;query="&amp;SUBSTITUTE(F1484," ",""))),"")</f>
        <v/>
      </c>
      <c r="M1484" s="8">
        <f>IF(B1484&lt;&gt;"",TODAY(),"")</f>
        <v/>
      </c>
      <c r="N1484" s="8">
        <f>IF(F1484&lt;&gt;"",IFERROR(IF(AND(REGEXMATCH(SUBSTITUTE(TRIM(F1484)," ",""),"^-?\d+(\.\d+)?,-?\d+(\.\d+)?$"),VALUE(REGEXEXTRACT(SUBSTITUTE(TRIM(F1484)," ",""),"^-?\d+(\.\d+)?"))&gt;=-90,VALUE(REGEXEXTRACT(SUBSTITUTE(TRIM(F1484)," ",""),"^-?\d+(\.\d+)?"))&lt;=90,VALUE(REGEXEXTRACT(SUBSTITUTE(TRIM(F1484)," ",""),"-?\d+(\.\d+)?$"))&gt;=-180,VALUE(REGEXEXTRACT(SUBSTITUTE(TRIM(F1484)," ",""),"-?\d+(\.\d+)?$"))&lt;=180),"OK","REVISAR"),"REVISAR"),"")</f>
        <v/>
      </c>
      <c r="O1484">
        <f>IF(A1484&lt;&gt;"","https://direcciones507.github.io/direcciones507/panel.html?codigo="&amp;A1484&amp;"&amp;nombre="&amp;ENCODEURL(B1484)&amp;"&amp;telefono="&amp;SUBSTITUTE(C1484,"-","")&amp;"&amp;referencia="&amp;ENCODEURL(E1484)&amp;"&amp;lat="&amp;IZQUIERDA(SUBSTITUTE(F1484," ",""),ENCONTRAR(",",SUBSTITUTE(F1484," ",""))-1)&amp;"&amp;lng="&amp;DERECHA(SUBSTITUTE(F1484," ",""),LARGO(SUBSTITUTE(F1484," ",""))-ENCONTRAR(",",SUBSTITUTE(F1484," ",""))),"")</f>
        <v/>
      </c>
    </row>
    <row r="1485" ht="15.75" customHeight="1" s="10">
      <c r="A1485" s="8">
        <f>CONCAT("AD507-",TEXT(ROW()-2,"0000"))</f>
        <v/>
      </c>
      <c r="C1485" s="8" t="n"/>
      <c r="F1485" s="8" t="n"/>
      <c r="G1485" s="8">
        <f>IF(F1485&lt;&gt;"",HYPERLINK("https://www.google.com/maps/search/?api=1&amp;query="&amp;SUBSTITUTE(F1485," ",""),"🗺 Google Maps"),"")</f>
        <v/>
      </c>
      <c r="H1485" s="8">
        <f>IF(F1485&lt;&gt;"",HYPERLINK("https://waze.com/ul?ll="&amp;SUBSTITUTE(F1485," ","")&amp;"&amp;navigate=yes","🚗 Waze"),"")</f>
        <v/>
      </c>
      <c r="I1485" s="8">
        <f>IF(F1485&lt;&gt;"",HYPERLINK("https://m.uber.com/ul/?action=setPickup&amp;pickup=my_location&amp;dropoff[latitude]="&amp;LEFT(SUBSTITUTE(F1485," ",""),FIND(",",SUBSTITUTE(F1485," ",""))-1)&amp;"&amp;dropoff[longitude]="&amp;MID(SUBSTITUTE(F1485," ",""),FIND(",",SUBSTITUTE(F1485," ",""))+1,99),"🚕 Uber"),"")</f>
        <v/>
      </c>
      <c r="J1485" s="8">
        <f>IF(F1485&lt;&gt;"","https://api.qrserver.com/v1/create-qr-code/?size=200x200&amp;data="&amp;ENCODEURL("https://www.google.com/maps/search/?api=1&amp;query="&amp;SUBSTITUTE(F1485," ","")),"")</f>
        <v/>
      </c>
      <c r="K1485" s="8">
        <f>IF(C1485&lt;&gt;"",HYPERLINK("https://wa.me/507"&amp;REGEXREPLACE(C1485,"[^0-9]","")&amp;"?text="&amp;ENCODEURL("Ya llegue. Codigo: "&amp;A1485&amp;". Ubicacion: "&amp;"https://www.google.com/maps/search/?api=1&amp;query="&amp;SUBSTITUTE(F1485," ","")),"📲 Avisar al cliente"),"")</f>
        <v/>
      </c>
      <c r="L1485" s="8">
        <f>IF(C1485&lt;&gt;"","https://api.qrserver.com/v1/create-qr-code/?size=200x200&amp;data="&amp;ENCODEURL("https://wa.me/507"&amp;REGEXREPLACE(C1485,"[^0-9]","")&amp;"?text="&amp;ENCODEURL("Ya llegue. Codigo: "&amp;A1485&amp;". Ubicacion: "&amp;"https://www.google.com/maps/search/?api=1&amp;query="&amp;SUBSTITUTE(F1485," ",""))),"")</f>
        <v/>
      </c>
      <c r="M1485" s="8">
        <f>IF(B1485&lt;&gt;"",TODAY(),"")</f>
        <v/>
      </c>
      <c r="N1485" s="8">
        <f>IF(F1485&lt;&gt;"",IFERROR(IF(AND(REGEXMATCH(SUBSTITUTE(TRIM(F1485)," ",""),"^-?\d+(\.\d+)?,-?\d+(\.\d+)?$"),VALUE(REGEXEXTRACT(SUBSTITUTE(TRIM(F1485)," ",""),"^-?\d+(\.\d+)?"))&gt;=-90,VALUE(REGEXEXTRACT(SUBSTITUTE(TRIM(F1485)," ",""),"^-?\d+(\.\d+)?"))&lt;=90,VALUE(REGEXEXTRACT(SUBSTITUTE(TRIM(F1485)," ",""),"-?\d+(\.\d+)?$"))&gt;=-180,VALUE(REGEXEXTRACT(SUBSTITUTE(TRIM(F1485)," ",""),"-?\d+(\.\d+)?$"))&lt;=180),"OK","REVISAR"),"REVISAR"),"")</f>
        <v/>
      </c>
      <c r="O1485">
        <f>IF(A1485&lt;&gt;"","https://direcciones507.github.io/direcciones507/panel.html?codigo="&amp;A1485&amp;"&amp;nombre="&amp;ENCODEURL(B1485)&amp;"&amp;telefono="&amp;SUBSTITUTE(C1485,"-","")&amp;"&amp;referencia="&amp;ENCODEURL(E1485)&amp;"&amp;lat="&amp;IZQUIERDA(SUBSTITUTE(F1485," ",""),ENCONTRAR(",",SUBSTITUTE(F1485," ",""))-1)&amp;"&amp;lng="&amp;DERECHA(SUBSTITUTE(F1485," ",""),LARGO(SUBSTITUTE(F1485," ",""))-ENCONTRAR(",",SUBSTITUTE(F1485," ",""))),"")</f>
        <v/>
      </c>
    </row>
    <row r="1486" ht="15.75" customHeight="1" s="10">
      <c r="A1486" s="8">
        <f>CONCAT("AD507-",TEXT(ROW()-2,"0000"))</f>
        <v/>
      </c>
      <c r="C1486" s="8" t="n"/>
      <c r="F1486" s="8" t="n"/>
      <c r="G1486" s="8">
        <f>IF(F1486&lt;&gt;"",HYPERLINK("https://www.google.com/maps/search/?api=1&amp;query="&amp;SUBSTITUTE(F1486," ",""),"🗺 Google Maps"),"")</f>
        <v/>
      </c>
      <c r="H1486" s="8">
        <f>IF(F1486&lt;&gt;"",HYPERLINK("https://waze.com/ul?ll="&amp;SUBSTITUTE(F1486," ","")&amp;"&amp;navigate=yes","🚗 Waze"),"")</f>
        <v/>
      </c>
      <c r="I1486" s="8">
        <f>IF(F1486&lt;&gt;"",HYPERLINK("https://m.uber.com/ul/?action=setPickup&amp;pickup=my_location&amp;dropoff[latitude]="&amp;LEFT(SUBSTITUTE(F1486," ",""),FIND(",",SUBSTITUTE(F1486," ",""))-1)&amp;"&amp;dropoff[longitude]="&amp;MID(SUBSTITUTE(F1486," ",""),FIND(",",SUBSTITUTE(F1486," ",""))+1,99),"🚕 Uber"),"")</f>
        <v/>
      </c>
      <c r="J1486" s="8">
        <f>IF(F1486&lt;&gt;"","https://api.qrserver.com/v1/create-qr-code/?size=200x200&amp;data="&amp;ENCODEURL("https://www.google.com/maps/search/?api=1&amp;query="&amp;SUBSTITUTE(F1486," ","")),"")</f>
        <v/>
      </c>
      <c r="K1486" s="8">
        <f>IF(C1486&lt;&gt;"",HYPERLINK("https://wa.me/507"&amp;REGEXREPLACE(C1486,"[^0-9]","")&amp;"?text="&amp;ENCODEURL("Ya llegue. Codigo: "&amp;A1486&amp;". Ubicacion: "&amp;"https://www.google.com/maps/search/?api=1&amp;query="&amp;SUBSTITUTE(F1486," ","")),"📲 Avisar al cliente"),"")</f>
        <v/>
      </c>
      <c r="L1486" s="8">
        <f>IF(C1486&lt;&gt;"","https://api.qrserver.com/v1/create-qr-code/?size=200x200&amp;data="&amp;ENCODEURL("https://wa.me/507"&amp;REGEXREPLACE(C1486,"[^0-9]","")&amp;"?text="&amp;ENCODEURL("Ya llegue. Codigo: "&amp;A1486&amp;". Ubicacion: "&amp;"https://www.google.com/maps/search/?api=1&amp;query="&amp;SUBSTITUTE(F1486," ",""))),"")</f>
        <v/>
      </c>
      <c r="M1486" s="8">
        <f>IF(B1486&lt;&gt;"",TODAY(),"")</f>
        <v/>
      </c>
      <c r="N1486" s="8">
        <f>IF(F1486&lt;&gt;"",IFERROR(IF(AND(REGEXMATCH(SUBSTITUTE(TRIM(F1486)," ",""),"^-?\d+(\.\d+)?,-?\d+(\.\d+)?$"),VALUE(REGEXEXTRACT(SUBSTITUTE(TRIM(F1486)," ",""),"^-?\d+(\.\d+)?"))&gt;=-90,VALUE(REGEXEXTRACT(SUBSTITUTE(TRIM(F1486)," ",""),"^-?\d+(\.\d+)?"))&lt;=90,VALUE(REGEXEXTRACT(SUBSTITUTE(TRIM(F1486)," ",""),"-?\d+(\.\d+)?$"))&gt;=-180,VALUE(REGEXEXTRACT(SUBSTITUTE(TRIM(F1486)," ",""),"-?\d+(\.\d+)?$"))&lt;=180),"OK","REVISAR"),"REVISAR"),"")</f>
        <v/>
      </c>
      <c r="O1486">
        <f>IF(A1486&lt;&gt;"","https://direcciones507.github.io/direcciones507/panel.html?codigo="&amp;A1486&amp;"&amp;nombre="&amp;ENCODEURL(B1486)&amp;"&amp;telefono="&amp;SUBSTITUTE(C1486,"-","")&amp;"&amp;referencia="&amp;ENCODEURL(E1486)&amp;"&amp;lat="&amp;IZQUIERDA(SUBSTITUTE(F1486," ",""),ENCONTRAR(",",SUBSTITUTE(F1486," ",""))-1)&amp;"&amp;lng="&amp;DERECHA(SUBSTITUTE(F1486," ",""),LARGO(SUBSTITUTE(F1486," ",""))-ENCONTRAR(",",SUBSTITUTE(F1486," ",""))),"")</f>
        <v/>
      </c>
    </row>
    <row r="1487" ht="15.75" customHeight="1" s="10">
      <c r="A1487" s="8">
        <f>CONCAT("AD507-",TEXT(ROW()-2,"0000"))</f>
        <v/>
      </c>
      <c r="C1487" s="8" t="n"/>
      <c r="F1487" s="8" t="n"/>
      <c r="G1487" s="8">
        <f>IF(F1487&lt;&gt;"",HYPERLINK("https://www.google.com/maps/search/?api=1&amp;query="&amp;SUBSTITUTE(F1487," ",""),"🗺 Google Maps"),"")</f>
        <v/>
      </c>
      <c r="H1487" s="8">
        <f>IF(F1487&lt;&gt;"",HYPERLINK("https://waze.com/ul?ll="&amp;SUBSTITUTE(F1487," ","")&amp;"&amp;navigate=yes","🚗 Waze"),"")</f>
        <v/>
      </c>
      <c r="I1487" s="8">
        <f>IF(F1487&lt;&gt;"",HYPERLINK("https://m.uber.com/ul/?action=setPickup&amp;pickup=my_location&amp;dropoff[latitude]="&amp;LEFT(SUBSTITUTE(F1487," ",""),FIND(",",SUBSTITUTE(F1487," ",""))-1)&amp;"&amp;dropoff[longitude]="&amp;MID(SUBSTITUTE(F1487," ",""),FIND(",",SUBSTITUTE(F1487," ",""))+1,99),"🚕 Uber"),"")</f>
        <v/>
      </c>
      <c r="J1487" s="8">
        <f>IF(F1487&lt;&gt;"","https://api.qrserver.com/v1/create-qr-code/?size=200x200&amp;data="&amp;ENCODEURL("https://www.google.com/maps/search/?api=1&amp;query="&amp;SUBSTITUTE(F1487," ","")),"")</f>
        <v/>
      </c>
      <c r="K1487" s="8">
        <f>IF(C1487&lt;&gt;"",HYPERLINK("https://wa.me/507"&amp;REGEXREPLACE(C1487,"[^0-9]","")&amp;"?text="&amp;ENCODEURL("Ya llegue. Codigo: "&amp;A1487&amp;". Ubicacion: "&amp;"https://www.google.com/maps/search/?api=1&amp;query="&amp;SUBSTITUTE(F1487," ","")),"📲 Avisar al cliente"),"")</f>
        <v/>
      </c>
      <c r="L1487" s="8">
        <f>IF(C1487&lt;&gt;"","https://api.qrserver.com/v1/create-qr-code/?size=200x200&amp;data="&amp;ENCODEURL("https://wa.me/507"&amp;REGEXREPLACE(C1487,"[^0-9]","")&amp;"?text="&amp;ENCODEURL("Ya llegue. Codigo: "&amp;A1487&amp;". Ubicacion: "&amp;"https://www.google.com/maps/search/?api=1&amp;query="&amp;SUBSTITUTE(F1487," ",""))),"")</f>
        <v/>
      </c>
      <c r="M1487" s="8">
        <f>IF(B1487&lt;&gt;"",TODAY(),"")</f>
        <v/>
      </c>
      <c r="N1487" s="8">
        <f>IF(F1487&lt;&gt;"",IFERROR(IF(AND(REGEXMATCH(SUBSTITUTE(TRIM(F1487)," ",""),"^-?\d+(\.\d+)?,-?\d+(\.\d+)?$"),VALUE(REGEXEXTRACT(SUBSTITUTE(TRIM(F1487)," ",""),"^-?\d+(\.\d+)?"))&gt;=-90,VALUE(REGEXEXTRACT(SUBSTITUTE(TRIM(F1487)," ",""),"^-?\d+(\.\d+)?"))&lt;=90,VALUE(REGEXEXTRACT(SUBSTITUTE(TRIM(F1487)," ",""),"-?\d+(\.\d+)?$"))&gt;=-180,VALUE(REGEXEXTRACT(SUBSTITUTE(TRIM(F1487)," ",""),"-?\d+(\.\d+)?$"))&lt;=180),"OK","REVISAR"),"REVISAR"),"")</f>
        <v/>
      </c>
      <c r="O1487">
        <f>IF(A1487&lt;&gt;"","https://direcciones507.github.io/direcciones507/panel.html?codigo="&amp;A1487&amp;"&amp;nombre="&amp;ENCODEURL(B1487)&amp;"&amp;telefono="&amp;SUBSTITUTE(C1487,"-","")&amp;"&amp;referencia="&amp;ENCODEURL(E1487)&amp;"&amp;lat="&amp;IZQUIERDA(SUBSTITUTE(F1487," ",""),ENCONTRAR(",",SUBSTITUTE(F1487," ",""))-1)&amp;"&amp;lng="&amp;DERECHA(SUBSTITUTE(F1487," ",""),LARGO(SUBSTITUTE(F1487," ",""))-ENCONTRAR(",",SUBSTITUTE(F1487," ",""))),"")</f>
        <v/>
      </c>
    </row>
    <row r="1488" ht="15.75" customHeight="1" s="10">
      <c r="A1488" s="8">
        <f>CONCAT("AD507-",TEXT(ROW()-2,"0000"))</f>
        <v/>
      </c>
      <c r="C1488" s="8" t="n"/>
      <c r="F1488" s="8" t="n"/>
      <c r="G1488" s="8">
        <f>IF(F1488&lt;&gt;"",HYPERLINK("https://www.google.com/maps/search/?api=1&amp;query="&amp;SUBSTITUTE(F1488," ",""),"🗺 Google Maps"),"")</f>
        <v/>
      </c>
      <c r="H1488" s="8">
        <f>IF(F1488&lt;&gt;"",HYPERLINK("https://waze.com/ul?ll="&amp;SUBSTITUTE(F1488," ","")&amp;"&amp;navigate=yes","🚗 Waze"),"")</f>
        <v/>
      </c>
      <c r="I1488" s="8">
        <f>IF(F1488&lt;&gt;"",HYPERLINK("https://m.uber.com/ul/?action=setPickup&amp;pickup=my_location&amp;dropoff[latitude]="&amp;LEFT(SUBSTITUTE(F1488," ",""),FIND(",",SUBSTITUTE(F1488," ",""))-1)&amp;"&amp;dropoff[longitude]="&amp;MID(SUBSTITUTE(F1488," ",""),FIND(",",SUBSTITUTE(F1488," ",""))+1,99),"🚕 Uber"),"")</f>
        <v/>
      </c>
      <c r="J1488" s="8">
        <f>IF(F1488&lt;&gt;"","https://api.qrserver.com/v1/create-qr-code/?size=200x200&amp;data="&amp;ENCODEURL("https://www.google.com/maps/search/?api=1&amp;query="&amp;SUBSTITUTE(F1488," ","")),"")</f>
        <v/>
      </c>
      <c r="K1488" s="8">
        <f>IF(C1488&lt;&gt;"",HYPERLINK("https://wa.me/507"&amp;REGEXREPLACE(C1488,"[^0-9]","")&amp;"?text="&amp;ENCODEURL("Ya llegue. Codigo: "&amp;A1488&amp;". Ubicacion: "&amp;"https://www.google.com/maps/search/?api=1&amp;query="&amp;SUBSTITUTE(F1488," ","")),"📲 Avisar al cliente"),"")</f>
        <v/>
      </c>
      <c r="L1488" s="8">
        <f>IF(C1488&lt;&gt;"","https://api.qrserver.com/v1/create-qr-code/?size=200x200&amp;data="&amp;ENCODEURL("https://wa.me/507"&amp;REGEXREPLACE(C1488,"[^0-9]","")&amp;"?text="&amp;ENCODEURL("Ya llegue. Codigo: "&amp;A1488&amp;". Ubicacion: "&amp;"https://www.google.com/maps/search/?api=1&amp;query="&amp;SUBSTITUTE(F1488," ",""))),"")</f>
        <v/>
      </c>
      <c r="M1488" s="8">
        <f>IF(B1488&lt;&gt;"",TODAY(),"")</f>
        <v/>
      </c>
      <c r="N1488" s="8">
        <f>IF(F1488&lt;&gt;"",IFERROR(IF(AND(REGEXMATCH(SUBSTITUTE(TRIM(F1488)," ",""),"^-?\d+(\.\d+)?,-?\d+(\.\d+)?$"),VALUE(REGEXEXTRACT(SUBSTITUTE(TRIM(F1488)," ",""),"^-?\d+(\.\d+)?"))&gt;=-90,VALUE(REGEXEXTRACT(SUBSTITUTE(TRIM(F1488)," ",""),"^-?\d+(\.\d+)?"))&lt;=90,VALUE(REGEXEXTRACT(SUBSTITUTE(TRIM(F1488)," ",""),"-?\d+(\.\d+)?$"))&gt;=-180,VALUE(REGEXEXTRACT(SUBSTITUTE(TRIM(F1488)," ",""),"-?\d+(\.\d+)?$"))&lt;=180),"OK","REVISAR"),"REVISAR"),"")</f>
        <v/>
      </c>
      <c r="O1488">
        <f>IF(A1488&lt;&gt;"","https://direcciones507.github.io/direcciones507/panel.html?codigo="&amp;A1488&amp;"&amp;nombre="&amp;ENCODEURL(B1488)&amp;"&amp;telefono="&amp;SUBSTITUTE(C1488,"-","")&amp;"&amp;referencia="&amp;ENCODEURL(E1488)&amp;"&amp;lat="&amp;IZQUIERDA(SUBSTITUTE(F1488," ",""),ENCONTRAR(",",SUBSTITUTE(F1488," ",""))-1)&amp;"&amp;lng="&amp;DERECHA(SUBSTITUTE(F1488," ",""),LARGO(SUBSTITUTE(F1488," ",""))-ENCONTRAR(",",SUBSTITUTE(F1488," ",""))),"")</f>
        <v/>
      </c>
    </row>
    <row r="1489" ht="15.75" customHeight="1" s="10">
      <c r="A1489" s="8">
        <f>CONCAT("AD507-",TEXT(ROW()-2,"0000"))</f>
        <v/>
      </c>
      <c r="C1489" s="8" t="n"/>
      <c r="F1489" s="8" t="n"/>
      <c r="G1489" s="8">
        <f>IF(F1489&lt;&gt;"",HYPERLINK("https://www.google.com/maps/search/?api=1&amp;query="&amp;SUBSTITUTE(F1489," ",""),"🗺 Google Maps"),"")</f>
        <v/>
      </c>
      <c r="H1489" s="8">
        <f>IF(F1489&lt;&gt;"",HYPERLINK("https://waze.com/ul?ll="&amp;SUBSTITUTE(F1489," ","")&amp;"&amp;navigate=yes","🚗 Waze"),"")</f>
        <v/>
      </c>
      <c r="I1489" s="8">
        <f>IF(F1489&lt;&gt;"",HYPERLINK("https://m.uber.com/ul/?action=setPickup&amp;pickup=my_location&amp;dropoff[latitude]="&amp;LEFT(SUBSTITUTE(F1489," ",""),FIND(",",SUBSTITUTE(F1489," ",""))-1)&amp;"&amp;dropoff[longitude]="&amp;MID(SUBSTITUTE(F1489," ",""),FIND(",",SUBSTITUTE(F1489," ",""))+1,99),"🚕 Uber"),"")</f>
        <v/>
      </c>
      <c r="J1489" s="8">
        <f>IF(F1489&lt;&gt;"","https://api.qrserver.com/v1/create-qr-code/?size=200x200&amp;data="&amp;ENCODEURL("https://www.google.com/maps/search/?api=1&amp;query="&amp;SUBSTITUTE(F1489," ","")),"")</f>
        <v/>
      </c>
      <c r="K1489" s="8">
        <f>IF(C1489&lt;&gt;"",HYPERLINK("https://wa.me/507"&amp;REGEXREPLACE(C1489,"[^0-9]","")&amp;"?text="&amp;ENCODEURL("Ya llegue. Codigo: "&amp;A1489&amp;". Ubicacion: "&amp;"https://www.google.com/maps/search/?api=1&amp;query="&amp;SUBSTITUTE(F1489," ","")),"📲 Avisar al cliente"),"")</f>
        <v/>
      </c>
      <c r="L1489" s="8">
        <f>IF(C1489&lt;&gt;"","https://api.qrserver.com/v1/create-qr-code/?size=200x200&amp;data="&amp;ENCODEURL("https://wa.me/507"&amp;REGEXREPLACE(C1489,"[^0-9]","")&amp;"?text="&amp;ENCODEURL("Ya llegue. Codigo: "&amp;A1489&amp;". Ubicacion: "&amp;"https://www.google.com/maps/search/?api=1&amp;query="&amp;SUBSTITUTE(F1489," ",""))),"")</f>
        <v/>
      </c>
      <c r="M1489" s="8">
        <f>IF(B1489&lt;&gt;"",TODAY(),"")</f>
        <v/>
      </c>
      <c r="N1489" s="8">
        <f>IF(F1489&lt;&gt;"",IFERROR(IF(AND(REGEXMATCH(SUBSTITUTE(TRIM(F1489)," ",""),"^-?\d+(\.\d+)?,-?\d+(\.\d+)?$"),VALUE(REGEXEXTRACT(SUBSTITUTE(TRIM(F1489)," ",""),"^-?\d+(\.\d+)?"))&gt;=-90,VALUE(REGEXEXTRACT(SUBSTITUTE(TRIM(F1489)," ",""),"^-?\d+(\.\d+)?"))&lt;=90,VALUE(REGEXEXTRACT(SUBSTITUTE(TRIM(F1489)," ",""),"-?\d+(\.\d+)?$"))&gt;=-180,VALUE(REGEXEXTRACT(SUBSTITUTE(TRIM(F1489)," ",""),"-?\d+(\.\d+)?$"))&lt;=180),"OK","REVISAR"),"REVISAR"),"")</f>
        <v/>
      </c>
      <c r="O1489">
        <f>IF(A1489&lt;&gt;"","https://direcciones507.github.io/direcciones507/panel.html?codigo="&amp;A1489&amp;"&amp;nombre="&amp;ENCODEURL(B1489)&amp;"&amp;telefono="&amp;SUBSTITUTE(C1489,"-","")&amp;"&amp;referencia="&amp;ENCODEURL(E1489)&amp;"&amp;lat="&amp;IZQUIERDA(SUBSTITUTE(F1489," ",""),ENCONTRAR(",",SUBSTITUTE(F1489," ",""))-1)&amp;"&amp;lng="&amp;DERECHA(SUBSTITUTE(F1489," ",""),LARGO(SUBSTITUTE(F1489," ",""))-ENCONTRAR(",",SUBSTITUTE(F1489," ",""))),"")</f>
        <v/>
      </c>
    </row>
    <row r="1490" ht="15.75" customHeight="1" s="10">
      <c r="A1490" s="8">
        <f>CONCAT("AD507-",TEXT(ROW()-2,"0000"))</f>
        <v/>
      </c>
      <c r="C1490" s="8" t="n"/>
      <c r="F1490" s="8" t="n"/>
      <c r="G1490" s="8">
        <f>IF(F1490&lt;&gt;"",HYPERLINK("https://www.google.com/maps/search/?api=1&amp;query="&amp;SUBSTITUTE(F1490," ",""),"🗺 Google Maps"),"")</f>
        <v/>
      </c>
      <c r="H1490" s="8">
        <f>IF(F1490&lt;&gt;"",HYPERLINK("https://waze.com/ul?ll="&amp;SUBSTITUTE(F1490," ","")&amp;"&amp;navigate=yes","🚗 Waze"),"")</f>
        <v/>
      </c>
      <c r="I1490" s="8">
        <f>IF(F1490&lt;&gt;"",HYPERLINK("https://m.uber.com/ul/?action=setPickup&amp;pickup=my_location&amp;dropoff[latitude]="&amp;LEFT(SUBSTITUTE(F1490," ",""),FIND(",",SUBSTITUTE(F1490," ",""))-1)&amp;"&amp;dropoff[longitude]="&amp;MID(SUBSTITUTE(F1490," ",""),FIND(",",SUBSTITUTE(F1490," ",""))+1,99),"🚕 Uber"),"")</f>
        <v/>
      </c>
      <c r="J1490" s="8">
        <f>IF(F1490&lt;&gt;"","https://api.qrserver.com/v1/create-qr-code/?size=200x200&amp;data="&amp;ENCODEURL("https://www.google.com/maps/search/?api=1&amp;query="&amp;SUBSTITUTE(F1490," ","")),"")</f>
        <v/>
      </c>
      <c r="K1490" s="8">
        <f>IF(C1490&lt;&gt;"",HYPERLINK("https://wa.me/507"&amp;REGEXREPLACE(C1490,"[^0-9]","")&amp;"?text="&amp;ENCODEURL("Ya llegue. Codigo: "&amp;A1490&amp;". Ubicacion: "&amp;"https://www.google.com/maps/search/?api=1&amp;query="&amp;SUBSTITUTE(F1490," ","")),"📲 Avisar al cliente"),"")</f>
        <v/>
      </c>
      <c r="L1490" s="8">
        <f>IF(C1490&lt;&gt;"","https://api.qrserver.com/v1/create-qr-code/?size=200x200&amp;data="&amp;ENCODEURL("https://wa.me/507"&amp;REGEXREPLACE(C1490,"[^0-9]","")&amp;"?text="&amp;ENCODEURL("Ya llegue. Codigo: "&amp;A1490&amp;". Ubicacion: "&amp;"https://www.google.com/maps/search/?api=1&amp;query="&amp;SUBSTITUTE(F1490," ",""))),"")</f>
        <v/>
      </c>
      <c r="M1490" s="8">
        <f>IF(B1490&lt;&gt;"",TODAY(),"")</f>
        <v/>
      </c>
      <c r="N1490" s="8">
        <f>IF(F1490&lt;&gt;"",IFERROR(IF(AND(REGEXMATCH(SUBSTITUTE(TRIM(F1490)," ",""),"^-?\d+(\.\d+)?,-?\d+(\.\d+)?$"),VALUE(REGEXEXTRACT(SUBSTITUTE(TRIM(F1490)," ",""),"^-?\d+(\.\d+)?"))&gt;=-90,VALUE(REGEXEXTRACT(SUBSTITUTE(TRIM(F1490)," ",""),"^-?\d+(\.\d+)?"))&lt;=90,VALUE(REGEXEXTRACT(SUBSTITUTE(TRIM(F1490)," ",""),"-?\d+(\.\d+)?$"))&gt;=-180,VALUE(REGEXEXTRACT(SUBSTITUTE(TRIM(F1490)," ",""),"-?\d+(\.\d+)?$"))&lt;=180),"OK","REVISAR"),"REVISAR"),"")</f>
        <v/>
      </c>
      <c r="O1490">
        <f>IF(A1490&lt;&gt;"","https://direcciones507.github.io/direcciones507/panel.html?codigo="&amp;A1490&amp;"&amp;nombre="&amp;ENCODEURL(B1490)&amp;"&amp;telefono="&amp;SUBSTITUTE(C1490,"-","")&amp;"&amp;referencia="&amp;ENCODEURL(E1490)&amp;"&amp;lat="&amp;IZQUIERDA(SUBSTITUTE(F1490," ",""),ENCONTRAR(",",SUBSTITUTE(F1490," ",""))-1)&amp;"&amp;lng="&amp;DERECHA(SUBSTITUTE(F1490," ",""),LARGO(SUBSTITUTE(F1490," ",""))-ENCONTRAR(",",SUBSTITUTE(F1490," ",""))),"")</f>
        <v/>
      </c>
    </row>
    <row r="1491" ht="15.75" customHeight="1" s="10">
      <c r="A1491" s="8">
        <f>CONCAT("AD507-",TEXT(ROW()-2,"0000"))</f>
        <v/>
      </c>
      <c r="C1491" s="8" t="n"/>
      <c r="F1491" s="8" t="n"/>
      <c r="G1491" s="8">
        <f>IF(F1491&lt;&gt;"",HYPERLINK("https://www.google.com/maps/search/?api=1&amp;query="&amp;SUBSTITUTE(F1491," ",""),"🗺 Google Maps"),"")</f>
        <v/>
      </c>
      <c r="H1491" s="8">
        <f>IF(F1491&lt;&gt;"",HYPERLINK("https://waze.com/ul?ll="&amp;SUBSTITUTE(F1491," ","")&amp;"&amp;navigate=yes","🚗 Waze"),"")</f>
        <v/>
      </c>
      <c r="I1491" s="8">
        <f>IF(F1491&lt;&gt;"",HYPERLINK("https://m.uber.com/ul/?action=setPickup&amp;pickup=my_location&amp;dropoff[latitude]="&amp;LEFT(SUBSTITUTE(F1491," ",""),FIND(",",SUBSTITUTE(F1491," ",""))-1)&amp;"&amp;dropoff[longitude]="&amp;MID(SUBSTITUTE(F1491," ",""),FIND(",",SUBSTITUTE(F1491," ",""))+1,99),"🚕 Uber"),"")</f>
        <v/>
      </c>
      <c r="J1491" s="8">
        <f>IF(F1491&lt;&gt;"","https://api.qrserver.com/v1/create-qr-code/?size=200x200&amp;data="&amp;ENCODEURL("https://www.google.com/maps/search/?api=1&amp;query="&amp;SUBSTITUTE(F1491," ","")),"")</f>
        <v/>
      </c>
      <c r="K1491" s="8">
        <f>IF(C1491&lt;&gt;"",HYPERLINK("https://wa.me/507"&amp;REGEXREPLACE(C1491,"[^0-9]","")&amp;"?text="&amp;ENCODEURL("Ya llegue. Codigo: "&amp;A1491&amp;". Ubicacion: "&amp;"https://www.google.com/maps/search/?api=1&amp;query="&amp;SUBSTITUTE(F1491," ","")),"📲 Avisar al cliente"),"")</f>
        <v/>
      </c>
      <c r="L1491" s="8">
        <f>IF(C1491&lt;&gt;"","https://api.qrserver.com/v1/create-qr-code/?size=200x200&amp;data="&amp;ENCODEURL("https://wa.me/507"&amp;REGEXREPLACE(C1491,"[^0-9]","")&amp;"?text="&amp;ENCODEURL("Ya llegue. Codigo: "&amp;A1491&amp;". Ubicacion: "&amp;"https://www.google.com/maps/search/?api=1&amp;query="&amp;SUBSTITUTE(F1491," ",""))),"")</f>
        <v/>
      </c>
      <c r="M1491" s="8">
        <f>IF(B1491&lt;&gt;"",TODAY(),"")</f>
        <v/>
      </c>
      <c r="N1491" s="8">
        <f>IF(F1491&lt;&gt;"",IFERROR(IF(AND(REGEXMATCH(SUBSTITUTE(TRIM(F1491)," ",""),"^-?\d+(\.\d+)?,-?\d+(\.\d+)?$"),VALUE(REGEXEXTRACT(SUBSTITUTE(TRIM(F1491)," ",""),"^-?\d+(\.\d+)?"))&gt;=-90,VALUE(REGEXEXTRACT(SUBSTITUTE(TRIM(F1491)," ",""),"^-?\d+(\.\d+)?"))&lt;=90,VALUE(REGEXEXTRACT(SUBSTITUTE(TRIM(F1491)," ",""),"-?\d+(\.\d+)?$"))&gt;=-180,VALUE(REGEXEXTRACT(SUBSTITUTE(TRIM(F1491)," ",""),"-?\d+(\.\d+)?$"))&lt;=180),"OK","REVISAR"),"REVISAR"),"")</f>
        <v/>
      </c>
      <c r="O1491">
        <f>IF(A1491&lt;&gt;"","https://direcciones507.github.io/direcciones507/panel.html?codigo="&amp;A1491&amp;"&amp;nombre="&amp;ENCODEURL(B1491)&amp;"&amp;telefono="&amp;SUBSTITUTE(C1491,"-","")&amp;"&amp;referencia="&amp;ENCODEURL(E1491)&amp;"&amp;lat="&amp;IZQUIERDA(SUBSTITUTE(F1491," ",""),ENCONTRAR(",",SUBSTITUTE(F1491," ",""))-1)&amp;"&amp;lng="&amp;DERECHA(SUBSTITUTE(F1491," ",""),LARGO(SUBSTITUTE(F1491," ",""))-ENCONTRAR(",",SUBSTITUTE(F1491," ",""))),"")</f>
        <v/>
      </c>
    </row>
    <row r="1492" ht="15.75" customHeight="1" s="10">
      <c r="A1492" s="8">
        <f>CONCAT("AD507-",TEXT(ROW()-2,"0000"))</f>
        <v/>
      </c>
      <c r="C1492" s="8" t="n"/>
      <c r="F1492" s="8" t="n"/>
      <c r="G1492" s="8">
        <f>IF(F1492&lt;&gt;"",HYPERLINK("https://www.google.com/maps/search/?api=1&amp;query="&amp;SUBSTITUTE(F1492," ",""),"🗺 Google Maps"),"")</f>
        <v/>
      </c>
      <c r="H1492" s="8">
        <f>IF(F1492&lt;&gt;"",HYPERLINK("https://waze.com/ul?ll="&amp;SUBSTITUTE(F1492," ","")&amp;"&amp;navigate=yes","🚗 Waze"),"")</f>
        <v/>
      </c>
      <c r="I1492" s="8">
        <f>IF(F1492&lt;&gt;"",HYPERLINK("https://m.uber.com/ul/?action=setPickup&amp;pickup=my_location&amp;dropoff[latitude]="&amp;LEFT(SUBSTITUTE(F1492," ",""),FIND(",",SUBSTITUTE(F1492," ",""))-1)&amp;"&amp;dropoff[longitude]="&amp;MID(SUBSTITUTE(F1492," ",""),FIND(",",SUBSTITUTE(F1492," ",""))+1,99),"🚕 Uber"),"")</f>
        <v/>
      </c>
      <c r="J1492" s="8">
        <f>IF(F1492&lt;&gt;"","https://api.qrserver.com/v1/create-qr-code/?size=200x200&amp;data="&amp;ENCODEURL("https://www.google.com/maps/search/?api=1&amp;query="&amp;SUBSTITUTE(F1492," ","")),"")</f>
        <v/>
      </c>
      <c r="K1492" s="8">
        <f>IF(C1492&lt;&gt;"",HYPERLINK("https://wa.me/507"&amp;REGEXREPLACE(C1492,"[^0-9]","")&amp;"?text="&amp;ENCODEURL("Ya llegue. Codigo: "&amp;A1492&amp;". Ubicacion: "&amp;"https://www.google.com/maps/search/?api=1&amp;query="&amp;SUBSTITUTE(F1492," ","")),"📲 Avisar al cliente"),"")</f>
        <v/>
      </c>
      <c r="L1492" s="8">
        <f>IF(C1492&lt;&gt;"","https://api.qrserver.com/v1/create-qr-code/?size=200x200&amp;data="&amp;ENCODEURL("https://wa.me/507"&amp;REGEXREPLACE(C1492,"[^0-9]","")&amp;"?text="&amp;ENCODEURL("Ya llegue. Codigo: "&amp;A1492&amp;". Ubicacion: "&amp;"https://www.google.com/maps/search/?api=1&amp;query="&amp;SUBSTITUTE(F1492," ",""))),"")</f>
        <v/>
      </c>
      <c r="M1492" s="8">
        <f>IF(B1492&lt;&gt;"",TODAY(),"")</f>
        <v/>
      </c>
      <c r="N1492" s="8">
        <f>IF(F1492&lt;&gt;"",IFERROR(IF(AND(REGEXMATCH(SUBSTITUTE(TRIM(F1492)," ",""),"^-?\d+(\.\d+)?,-?\d+(\.\d+)?$"),VALUE(REGEXEXTRACT(SUBSTITUTE(TRIM(F1492)," ",""),"^-?\d+(\.\d+)?"))&gt;=-90,VALUE(REGEXEXTRACT(SUBSTITUTE(TRIM(F1492)," ",""),"^-?\d+(\.\d+)?"))&lt;=90,VALUE(REGEXEXTRACT(SUBSTITUTE(TRIM(F1492)," ",""),"-?\d+(\.\d+)?$"))&gt;=-180,VALUE(REGEXEXTRACT(SUBSTITUTE(TRIM(F1492)," ",""),"-?\d+(\.\d+)?$"))&lt;=180),"OK","REVISAR"),"REVISAR"),"")</f>
        <v/>
      </c>
      <c r="O1492">
        <f>IF(A1492&lt;&gt;"","https://direcciones507.github.io/direcciones507/panel.html?codigo="&amp;A1492&amp;"&amp;nombre="&amp;ENCODEURL(B1492)&amp;"&amp;telefono="&amp;SUBSTITUTE(C1492,"-","")&amp;"&amp;referencia="&amp;ENCODEURL(E1492)&amp;"&amp;lat="&amp;IZQUIERDA(SUBSTITUTE(F1492," ",""),ENCONTRAR(",",SUBSTITUTE(F1492," ",""))-1)&amp;"&amp;lng="&amp;DERECHA(SUBSTITUTE(F1492," ",""),LARGO(SUBSTITUTE(F1492," ",""))-ENCONTRAR(",",SUBSTITUTE(F1492," ",""))),"")</f>
        <v/>
      </c>
    </row>
    <row r="1493" ht="15.75" customHeight="1" s="10">
      <c r="A1493" s="8">
        <f>CONCAT("AD507-",TEXT(ROW()-2,"0000"))</f>
        <v/>
      </c>
      <c r="C1493" s="8" t="n"/>
      <c r="F1493" s="8" t="n"/>
      <c r="G1493" s="8">
        <f>IF(F1493&lt;&gt;"",HYPERLINK("https://www.google.com/maps/search/?api=1&amp;query="&amp;SUBSTITUTE(F1493," ",""),"🗺 Google Maps"),"")</f>
        <v/>
      </c>
      <c r="H1493" s="8">
        <f>IF(F1493&lt;&gt;"",HYPERLINK("https://waze.com/ul?ll="&amp;SUBSTITUTE(F1493," ","")&amp;"&amp;navigate=yes","🚗 Waze"),"")</f>
        <v/>
      </c>
      <c r="I1493" s="8">
        <f>IF(F1493&lt;&gt;"",HYPERLINK("https://m.uber.com/ul/?action=setPickup&amp;pickup=my_location&amp;dropoff[latitude]="&amp;LEFT(SUBSTITUTE(F1493," ",""),FIND(",",SUBSTITUTE(F1493," ",""))-1)&amp;"&amp;dropoff[longitude]="&amp;MID(SUBSTITUTE(F1493," ",""),FIND(",",SUBSTITUTE(F1493," ",""))+1,99),"🚕 Uber"),"")</f>
        <v/>
      </c>
      <c r="J1493" s="8">
        <f>IF(F1493&lt;&gt;"","https://api.qrserver.com/v1/create-qr-code/?size=200x200&amp;data="&amp;ENCODEURL("https://www.google.com/maps/search/?api=1&amp;query="&amp;SUBSTITUTE(F1493," ","")),"")</f>
        <v/>
      </c>
      <c r="K1493" s="8">
        <f>IF(C1493&lt;&gt;"",HYPERLINK("https://wa.me/507"&amp;REGEXREPLACE(C1493,"[^0-9]","")&amp;"?text="&amp;ENCODEURL("Ya llegue. Codigo: "&amp;A1493&amp;". Ubicacion: "&amp;"https://www.google.com/maps/search/?api=1&amp;query="&amp;SUBSTITUTE(F1493," ","")),"📲 Avisar al cliente"),"")</f>
        <v/>
      </c>
      <c r="L1493" s="8">
        <f>IF(C1493&lt;&gt;"","https://api.qrserver.com/v1/create-qr-code/?size=200x200&amp;data="&amp;ENCODEURL("https://wa.me/507"&amp;REGEXREPLACE(C1493,"[^0-9]","")&amp;"?text="&amp;ENCODEURL("Ya llegue. Codigo: "&amp;A1493&amp;". Ubicacion: "&amp;"https://www.google.com/maps/search/?api=1&amp;query="&amp;SUBSTITUTE(F1493," ",""))),"")</f>
        <v/>
      </c>
      <c r="M1493" s="8">
        <f>IF(B1493&lt;&gt;"",TODAY(),"")</f>
        <v/>
      </c>
      <c r="N1493" s="8">
        <f>IF(F1493&lt;&gt;"",IFERROR(IF(AND(REGEXMATCH(SUBSTITUTE(TRIM(F1493)," ",""),"^-?\d+(\.\d+)?,-?\d+(\.\d+)?$"),VALUE(REGEXEXTRACT(SUBSTITUTE(TRIM(F1493)," ",""),"^-?\d+(\.\d+)?"))&gt;=-90,VALUE(REGEXEXTRACT(SUBSTITUTE(TRIM(F1493)," ",""),"^-?\d+(\.\d+)?"))&lt;=90,VALUE(REGEXEXTRACT(SUBSTITUTE(TRIM(F1493)," ",""),"-?\d+(\.\d+)?$"))&gt;=-180,VALUE(REGEXEXTRACT(SUBSTITUTE(TRIM(F1493)," ",""),"-?\d+(\.\d+)?$"))&lt;=180),"OK","REVISAR"),"REVISAR"),"")</f>
        <v/>
      </c>
      <c r="O1493">
        <f>IF(A1493&lt;&gt;"","https://direcciones507.github.io/direcciones507/panel.html?codigo="&amp;A1493&amp;"&amp;nombre="&amp;ENCODEURL(B1493)&amp;"&amp;telefono="&amp;SUBSTITUTE(C1493,"-","")&amp;"&amp;referencia="&amp;ENCODEURL(E1493)&amp;"&amp;lat="&amp;IZQUIERDA(SUBSTITUTE(F1493," ",""),ENCONTRAR(",",SUBSTITUTE(F1493," ",""))-1)&amp;"&amp;lng="&amp;DERECHA(SUBSTITUTE(F1493," ",""),LARGO(SUBSTITUTE(F1493," ",""))-ENCONTRAR(",",SUBSTITUTE(F1493," ",""))),"")</f>
        <v/>
      </c>
    </row>
    <row r="1494" ht="15.75" customHeight="1" s="10">
      <c r="A1494" s="8">
        <f>CONCAT("AD507-",TEXT(ROW()-2,"0000"))</f>
        <v/>
      </c>
      <c r="C1494" s="8" t="n"/>
      <c r="F1494" s="8" t="n"/>
      <c r="G1494" s="8">
        <f>IF(F1494&lt;&gt;"",HYPERLINK("https://www.google.com/maps/search/?api=1&amp;query="&amp;SUBSTITUTE(F1494," ",""),"🗺 Google Maps"),"")</f>
        <v/>
      </c>
      <c r="H1494" s="8">
        <f>IF(F1494&lt;&gt;"",HYPERLINK("https://waze.com/ul?ll="&amp;SUBSTITUTE(F1494," ","")&amp;"&amp;navigate=yes","🚗 Waze"),"")</f>
        <v/>
      </c>
      <c r="I1494" s="8">
        <f>IF(F1494&lt;&gt;"",HYPERLINK("https://m.uber.com/ul/?action=setPickup&amp;pickup=my_location&amp;dropoff[latitude]="&amp;LEFT(SUBSTITUTE(F1494," ",""),FIND(",",SUBSTITUTE(F1494," ",""))-1)&amp;"&amp;dropoff[longitude]="&amp;MID(SUBSTITUTE(F1494," ",""),FIND(",",SUBSTITUTE(F1494," ",""))+1,99),"🚕 Uber"),"")</f>
        <v/>
      </c>
      <c r="J1494" s="8">
        <f>IF(F1494&lt;&gt;"","https://api.qrserver.com/v1/create-qr-code/?size=200x200&amp;data="&amp;ENCODEURL("https://www.google.com/maps/search/?api=1&amp;query="&amp;SUBSTITUTE(F1494," ","")),"")</f>
        <v/>
      </c>
      <c r="K1494" s="8">
        <f>IF(C1494&lt;&gt;"",HYPERLINK("https://wa.me/507"&amp;REGEXREPLACE(C1494,"[^0-9]","")&amp;"?text="&amp;ENCODEURL("Ya llegue. Codigo: "&amp;A1494&amp;". Ubicacion: "&amp;"https://www.google.com/maps/search/?api=1&amp;query="&amp;SUBSTITUTE(F1494," ","")),"📲 Avisar al cliente"),"")</f>
        <v/>
      </c>
      <c r="L1494" s="8">
        <f>IF(C1494&lt;&gt;"","https://api.qrserver.com/v1/create-qr-code/?size=200x200&amp;data="&amp;ENCODEURL("https://wa.me/507"&amp;REGEXREPLACE(C1494,"[^0-9]","")&amp;"?text="&amp;ENCODEURL("Ya llegue. Codigo: "&amp;A1494&amp;". Ubicacion: "&amp;"https://www.google.com/maps/search/?api=1&amp;query="&amp;SUBSTITUTE(F1494," ",""))),"")</f>
        <v/>
      </c>
      <c r="M1494" s="8">
        <f>IF(B1494&lt;&gt;"",TODAY(),"")</f>
        <v/>
      </c>
      <c r="N1494" s="8">
        <f>IF(F1494&lt;&gt;"",IFERROR(IF(AND(REGEXMATCH(SUBSTITUTE(TRIM(F1494)," ",""),"^-?\d+(\.\d+)?,-?\d+(\.\d+)?$"),VALUE(REGEXEXTRACT(SUBSTITUTE(TRIM(F1494)," ",""),"^-?\d+(\.\d+)?"))&gt;=-90,VALUE(REGEXEXTRACT(SUBSTITUTE(TRIM(F1494)," ",""),"^-?\d+(\.\d+)?"))&lt;=90,VALUE(REGEXEXTRACT(SUBSTITUTE(TRIM(F1494)," ",""),"-?\d+(\.\d+)?$"))&gt;=-180,VALUE(REGEXEXTRACT(SUBSTITUTE(TRIM(F1494)," ",""),"-?\d+(\.\d+)?$"))&lt;=180),"OK","REVISAR"),"REVISAR"),"")</f>
        <v/>
      </c>
      <c r="O1494">
        <f>IF(A1494&lt;&gt;"","https://direcciones507.github.io/direcciones507/panel.html?codigo="&amp;A1494&amp;"&amp;nombre="&amp;ENCODEURL(B1494)&amp;"&amp;telefono="&amp;SUBSTITUTE(C1494,"-","")&amp;"&amp;referencia="&amp;ENCODEURL(E1494)&amp;"&amp;lat="&amp;IZQUIERDA(SUBSTITUTE(F1494," ",""),ENCONTRAR(",",SUBSTITUTE(F1494," ",""))-1)&amp;"&amp;lng="&amp;DERECHA(SUBSTITUTE(F1494," ",""),LARGO(SUBSTITUTE(F1494," ",""))-ENCONTRAR(",",SUBSTITUTE(F1494," ",""))),"")</f>
        <v/>
      </c>
    </row>
    <row r="1495" ht="15.75" customHeight="1" s="10">
      <c r="A1495" s="8">
        <f>CONCAT("AD507-",TEXT(ROW()-2,"0000"))</f>
        <v/>
      </c>
      <c r="C1495" s="8" t="n"/>
      <c r="F1495" s="8" t="n"/>
      <c r="G1495" s="8">
        <f>IF(F1495&lt;&gt;"",HYPERLINK("https://www.google.com/maps/search/?api=1&amp;query="&amp;SUBSTITUTE(F1495," ",""),"🗺 Google Maps"),"")</f>
        <v/>
      </c>
      <c r="H1495" s="8">
        <f>IF(F1495&lt;&gt;"",HYPERLINK("https://waze.com/ul?ll="&amp;SUBSTITUTE(F1495," ","")&amp;"&amp;navigate=yes","🚗 Waze"),"")</f>
        <v/>
      </c>
      <c r="I1495" s="8">
        <f>IF(F1495&lt;&gt;"",HYPERLINK("https://m.uber.com/ul/?action=setPickup&amp;pickup=my_location&amp;dropoff[latitude]="&amp;LEFT(SUBSTITUTE(F1495," ",""),FIND(",",SUBSTITUTE(F1495," ",""))-1)&amp;"&amp;dropoff[longitude]="&amp;MID(SUBSTITUTE(F1495," ",""),FIND(",",SUBSTITUTE(F1495," ",""))+1,99),"🚕 Uber"),"")</f>
        <v/>
      </c>
      <c r="J1495" s="8">
        <f>IF(F1495&lt;&gt;"","https://api.qrserver.com/v1/create-qr-code/?size=200x200&amp;data="&amp;ENCODEURL("https://www.google.com/maps/search/?api=1&amp;query="&amp;SUBSTITUTE(F1495," ","")),"")</f>
        <v/>
      </c>
      <c r="K1495" s="8">
        <f>IF(C1495&lt;&gt;"",HYPERLINK("https://wa.me/507"&amp;REGEXREPLACE(C1495,"[^0-9]","")&amp;"?text="&amp;ENCODEURL("Ya llegue. Codigo: "&amp;A1495&amp;". Ubicacion: "&amp;"https://www.google.com/maps/search/?api=1&amp;query="&amp;SUBSTITUTE(F1495," ","")),"📲 Avisar al cliente"),"")</f>
        <v/>
      </c>
      <c r="L1495" s="8">
        <f>IF(C1495&lt;&gt;"","https://api.qrserver.com/v1/create-qr-code/?size=200x200&amp;data="&amp;ENCODEURL("https://wa.me/507"&amp;REGEXREPLACE(C1495,"[^0-9]","")&amp;"?text="&amp;ENCODEURL("Ya llegue. Codigo: "&amp;A1495&amp;". Ubicacion: "&amp;"https://www.google.com/maps/search/?api=1&amp;query="&amp;SUBSTITUTE(F1495," ",""))),"")</f>
        <v/>
      </c>
      <c r="M1495" s="8">
        <f>IF(B1495&lt;&gt;"",TODAY(),"")</f>
        <v/>
      </c>
      <c r="N1495" s="8">
        <f>IF(F1495&lt;&gt;"",IFERROR(IF(AND(REGEXMATCH(SUBSTITUTE(TRIM(F1495)," ",""),"^-?\d+(\.\d+)?,-?\d+(\.\d+)?$"),VALUE(REGEXEXTRACT(SUBSTITUTE(TRIM(F1495)," ",""),"^-?\d+(\.\d+)?"))&gt;=-90,VALUE(REGEXEXTRACT(SUBSTITUTE(TRIM(F1495)," ",""),"^-?\d+(\.\d+)?"))&lt;=90,VALUE(REGEXEXTRACT(SUBSTITUTE(TRIM(F1495)," ",""),"-?\d+(\.\d+)?$"))&gt;=-180,VALUE(REGEXEXTRACT(SUBSTITUTE(TRIM(F1495)," ",""),"-?\d+(\.\d+)?$"))&lt;=180),"OK","REVISAR"),"REVISAR"),"")</f>
        <v/>
      </c>
      <c r="O1495">
        <f>IF(A1495&lt;&gt;"","https://direcciones507.github.io/direcciones507/panel.html?codigo="&amp;A1495&amp;"&amp;nombre="&amp;ENCODEURL(B1495)&amp;"&amp;telefono="&amp;SUBSTITUTE(C1495,"-","")&amp;"&amp;referencia="&amp;ENCODEURL(E1495)&amp;"&amp;lat="&amp;IZQUIERDA(SUBSTITUTE(F1495," ",""),ENCONTRAR(",",SUBSTITUTE(F1495," ",""))-1)&amp;"&amp;lng="&amp;DERECHA(SUBSTITUTE(F1495," ",""),LARGO(SUBSTITUTE(F1495," ",""))-ENCONTRAR(",",SUBSTITUTE(F1495," ",""))),"")</f>
        <v/>
      </c>
    </row>
    <row r="1496" ht="15.75" customHeight="1" s="10">
      <c r="A1496" s="8">
        <f>CONCAT("AD507-",TEXT(ROW()-2,"0000"))</f>
        <v/>
      </c>
      <c r="C1496" s="8" t="n"/>
      <c r="F1496" s="8" t="n"/>
      <c r="G1496" s="8">
        <f>IF(F1496&lt;&gt;"",HYPERLINK("https://www.google.com/maps/search/?api=1&amp;query="&amp;SUBSTITUTE(F1496," ",""),"🗺 Google Maps"),"")</f>
        <v/>
      </c>
      <c r="H1496" s="8">
        <f>IF(F1496&lt;&gt;"",HYPERLINK("https://waze.com/ul?ll="&amp;SUBSTITUTE(F1496," ","")&amp;"&amp;navigate=yes","🚗 Waze"),"")</f>
        <v/>
      </c>
      <c r="I1496" s="8">
        <f>IF(F1496&lt;&gt;"",HYPERLINK("https://m.uber.com/ul/?action=setPickup&amp;pickup=my_location&amp;dropoff[latitude]="&amp;LEFT(SUBSTITUTE(F1496," ",""),FIND(",",SUBSTITUTE(F1496," ",""))-1)&amp;"&amp;dropoff[longitude]="&amp;MID(SUBSTITUTE(F1496," ",""),FIND(",",SUBSTITUTE(F1496," ",""))+1,99),"🚕 Uber"),"")</f>
        <v/>
      </c>
      <c r="J1496" s="8">
        <f>IF(F1496&lt;&gt;"","https://api.qrserver.com/v1/create-qr-code/?size=200x200&amp;data="&amp;ENCODEURL("https://www.google.com/maps/search/?api=1&amp;query="&amp;SUBSTITUTE(F1496," ","")),"")</f>
        <v/>
      </c>
      <c r="K1496" s="8">
        <f>IF(C1496&lt;&gt;"",HYPERLINK("https://wa.me/507"&amp;REGEXREPLACE(C1496,"[^0-9]","")&amp;"?text="&amp;ENCODEURL("Ya llegue. Codigo: "&amp;A1496&amp;". Ubicacion: "&amp;"https://www.google.com/maps/search/?api=1&amp;query="&amp;SUBSTITUTE(F1496," ","")),"📲 Avisar al cliente"),"")</f>
        <v/>
      </c>
      <c r="L1496" s="8">
        <f>IF(C1496&lt;&gt;"","https://api.qrserver.com/v1/create-qr-code/?size=200x200&amp;data="&amp;ENCODEURL("https://wa.me/507"&amp;REGEXREPLACE(C1496,"[^0-9]","")&amp;"?text="&amp;ENCODEURL("Ya llegue. Codigo: "&amp;A1496&amp;". Ubicacion: "&amp;"https://www.google.com/maps/search/?api=1&amp;query="&amp;SUBSTITUTE(F1496," ",""))),"")</f>
        <v/>
      </c>
      <c r="M1496" s="8">
        <f>IF(B1496&lt;&gt;"",TODAY(),"")</f>
        <v/>
      </c>
      <c r="N1496" s="8">
        <f>IF(F1496&lt;&gt;"",IFERROR(IF(AND(REGEXMATCH(SUBSTITUTE(TRIM(F1496)," ",""),"^-?\d+(\.\d+)?,-?\d+(\.\d+)?$"),VALUE(REGEXEXTRACT(SUBSTITUTE(TRIM(F1496)," ",""),"^-?\d+(\.\d+)?"))&gt;=-90,VALUE(REGEXEXTRACT(SUBSTITUTE(TRIM(F1496)," ",""),"^-?\d+(\.\d+)?"))&lt;=90,VALUE(REGEXEXTRACT(SUBSTITUTE(TRIM(F1496)," ",""),"-?\d+(\.\d+)?$"))&gt;=-180,VALUE(REGEXEXTRACT(SUBSTITUTE(TRIM(F1496)," ",""),"-?\d+(\.\d+)?$"))&lt;=180),"OK","REVISAR"),"REVISAR"),"")</f>
        <v/>
      </c>
      <c r="O1496">
        <f>IF(A1496&lt;&gt;"","https://direcciones507.github.io/direcciones507/panel.html?codigo="&amp;A1496&amp;"&amp;nombre="&amp;ENCODEURL(B1496)&amp;"&amp;telefono="&amp;SUBSTITUTE(C1496,"-","")&amp;"&amp;referencia="&amp;ENCODEURL(E1496)&amp;"&amp;lat="&amp;IZQUIERDA(SUBSTITUTE(F1496," ",""),ENCONTRAR(",",SUBSTITUTE(F1496," ",""))-1)&amp;"&amp;lng="&amp;DERECHA(SUBSTITUTE(F1496," ",""),LARGO(SUBSTITUTE(F1496," ",""))-ENCONTRAR(",",SUBSTITUTE(F1496," ",""))),"")</f>
        <v/>
      </c>
    </row>
    <row r="1497" ht="15.75" customHeight="1" s="10">
      <c r="A1497" s="8">
        <f>CONCAT("AD507-",TEXT(ROW()-2,"0000"))</f>
        <v/>
      </c>
      <c r="C1497" s="8" t="n"/>
      <c r="F1497" s="8" t="n"/>
      <c r="G1497" s="8">
        <f>IF(F1497&lt;&gt;"",HYPERLINK("https://www.google.com/maps/search/?api=1&amp;query="&amp;SUBSTITUTE(F1497," ",""),"🗺 Google Maps"),"")</f>
        <v/>
      </c>
      <c r="H1497" s="8">
        <f>IF(F1497&lt;&gt;"",HYPERLINK("https://waze.com/ul?ll="&amp;SUBSTITUTE(F1497," ","")&amp;"&amp;navigate=yes","🚗 Waze"),"")</f>
        <v/>
      </c>
      <c r="I1497" s="8">
        <f>IF(F1497&lt;&gt;"",HYPERLINK("https://m.uber.com/ul/?action=setPickup&amp;pickup=my_location&amp;dropoff[latitude]="&amp;LEFT(SUBSTITUTE(F1497," ",""),FIND(",",SUBSTITUTE(F1497," ",""))-1)&amp;"&amp;dropoff[longitude]="&amp;MID(SUBSTITUTE(F1497," ",""),FIND(",",SUBSTITUTE(F1497," ",""))+1,99),"🚕 Uber"),"")</f>
        <v/>
      </c>
      <c r="J1497" s="8">
        <f>IF(F1497&lt;&gt;"","https://api.qrserver.com/v1/create-qr-code/?size=200x200&amp;data="&amp;ENCODEURL("https://www.google.com/maps/search/?api=1&amp;query="&amp;SUBSTITUTE(F1497," ","")),"")</f>
        <v/>
      </c>
      <c r="K1497" s="8">
        <f>IF(C1497&lt;&gt;"",HYPERLINK("https://wa.me/507"&amp;REGEXREPLACE(C1497,"[^0-9]","")&amp;"?text="&amp;ENCODEURL("Ya llegue. Codigo: "&amp;A1497&amp;". Ubicacion: "&amp;"https://www.google.com/maps/search/?api=1&amp;query="&amp;SUBSTITUTE(F1497," ","")),"📲 Avisar al cliente"),"")</f>
        <v/>
      </c>
      <c r="L1497" s="8">
        <f>IF(C1497&lt;&gt;"","https://api.qrserver.com/v1/create-qr-code/?size=200x200&amp;data="&amp;ENCODEURL("https://wa.me/507"&amp;REGEXREPLACE(C1497,"[^0-9]","")&amp;"?text="&amp;ENCODEURL("Ya llegue. Codigo: "&amp;A1497&amp;". Ubicacion: "&amp;"https://www.google.com/maps/search/?api=1&amp;query="&amp;SUBSTITUTE(F1497," ",""))),"")</f>
        <v/>
      </c>
      <c r="M1497" s="8">
        <f>IF(B1497&lt;&gt;"",TODAY(),"")</f>
        <v/>
      </c>
      <c r="N1497" s="8">
        <f>IF(F1497&lt;&gt;"",IFERROR(IF(AND(REGEXMATCH(SUBSTITUTE(TRIM(F1497)," ",""),"^-?\d+(\.\d+)?,-?\d+(\.\d+)?$"),VALUE(REGEXEXTRACT(SUBSTITUTE(TRIM(F1497)," ",""),"^-?\d+(\.\d+)?"))&gt;=-90,VALUE(REGEXEXTRACT(SUBSTITUTE(TRIM(F1497)," ",""),"^-?\d+(\.\d+)?"))&lt;=90,VALUE(REGEXEXTRACT(SUBSTITUTE(TRIM(F1497)," ",""),"-?\d+(\.\d+)?$"))&gt;=-180,VALUE(REGEXEXTRACT(SUBSTITUTE(TRIM(F1497)," ",""),"-?\d+(\.\d+)?$"))&lt;=180),"OK","REVISAR"),"REVISAR"),"")</f>
        <v/>
      </c>
      <c r="O1497">
        <f>IF(A1497&lt;&gt;"","https://direcciones507.github.io/direcciones507/panel.html?codigo="&amp;A1497&amp;"&amp;nombre="&amp;ENCODEURL(B1497)&amp;"&amp;telefono="&amp;SUBSTITUTE(C1497,"-","")&amp;"&amp;referencia="&amp;ENCODEURL(E1497)&amp;"&amp;lat="&amp;IZQUIERDA(SUBSTITUTE(F1497," ",""),ENCONTRAR(",",SUBSTITUTE(F1497," ",""))-1)&amp;"&amp;lng="&amp;DERECHA(SUBSTITUTE(F1497," ",""),LARGO(SUBSTITUTE(F1497," ",""))-ENCONTRAR(",",SUBSTITUTE(F1497," ",""))),"")</f>
        <v/>
      </c>
    </row>
    <row r="1498" ht="15.75" customHeight="1" s="10">
      <c r="A1498" s="8">
        <f>CONCAT("AD507-",TEXT(ROW()-2,"0000"))</f>
        <v/>
      </c>
      <c r="C1498" s="8" t="n"/>
      <c r="F1498" s="8" t="n"/>
      <c r="G1498" s="8">
        <f>IF(F1498&lt;&gt;"",HYPERLINK("https://www.google.com/maps/search/?api=1&amp;query="&amp;SUBSTITUTE(F1498," ",""),"🗺 Google Maps"),"")</f>
        <v/>
      </c>
      <c r="H1498" s="8">
        <f>IF(F1498&lt;&gt;"",HYPERLINK("https://waze.com/ul?ll="&amp;SUBSTITUTE(F1498," ","")&amp;"&amp;navigate=yes","🚗 Waze"),"")</f>
        <v/>
      </c>
      <c r="I1498" s="8">
        <f>IF(F1498&lt;&gt;"",HYPERLINK("https://m.uber.com/ul/?action=setPickup&amp;pickup=my_location&amp;dropoff[latitude]="&amp;LEFT(SUBSTITUTE(F1498," ",""),FIND(",",SUBSTITUTE(F1498," ",""))-1)&amp;"&amp;dropoff[longitude]="&amp;MID(SUBSTITUTE(F1498," ",""),FIND(",",SUBSTITUTE(F1498," ",""))+1,99),"🚕 Uber"),"")</f>
        <v/>
      </c>
      <c r="J1498" s="8">
        <f>IF(F1498&lt;&gt;"","https://api.qrserver.com/v1/create-qr-code/?size=200x200&amp;data="&amp;ENCODEURL("https://www.google.com/maps/search/?api=1&amp;query="&amp;SUBSTITUTE(F1498," ","")),"")</f>
        <v/>
      </c>
      <c r="K1498" s="8">
        <f>IF(C1498&lt;&gt;"",HYPERLINK("https://wa.me/507"&amp;REGEXREPLACE(C1498,"[^0-9]","")&amp;"?text="&amp;ENCODEURL("Ya llegue. Codigo: "&amp;A1498&amp;". Ubicacion: "&amp;"https://www.google.com/maps/search/?api=1&amp;query="&amp;SUBSTITUTE(F1498," ","")),"📲 Avisar al cliente"),"")</f>
        <v/>
      </c>
      <c r="L1498" s="8">
        <f>IF(C1498&lt;&gt;"","https://api.qrserver.com/v1/create-qr-code/?size=200x200&amp;data="&amp;ENCODEURL("https://wa.me/507"&amp;REGEXREPLACE(C1498,"[^0-9]","")&amp;"?text="&amp;ENCODEURL("Ya llegue. Codigo: "&amp;A1498&amp;". Ubicacion: "&amp;"https://www.google.com/maps/search/?api=1&amp;query="&amp;SUBSTITUTE(F1498," ",""))),"")</f>
        <v/>
      </c>
      <c r="M1498" s="8">
        <f>IF(B1498&lt;&gt;"",TODAY(),"")</f>
        <v/>
      </c>
      <c r="N1498" s="8">
        <f>IF(F1498&lt;&gt;"",IFERROR(IF(AND(REGEXMATCH(SUBSTITUTE(TRIM(F1498)," ",""),"^-?\d+(\.\d+)?,-?\d+(\.\d+)?$"),VALUE(REGEXEXTRACT(SUBSTITUTE(TRIM(F1498)," ",""),"^-?\d+(\.\d+)?"))&gt;=-90,VALUE(REGEXEXTRACT(SUBSTITUTE(TRIM(F1498)," ",""),"^-?\d+(\.\d+)?"))&lt;=90,VALUE(REGEXEXTRACT(SUBSTITUTE(TRIM(F1498)," ",""),"-?\d+(\.\d+)?$"))&gt;=-180,VALUE(REGEXEXTRACT(SUBSTITUTE(TRIM(F1498)," ",""),"-?\d+(\.\d+)?$"))&lt;=180),"OK","REVISAR"),"REVISAR"),"")</f>
        <v/>
      </c>
      <c r="O1498">
        <f>IF(A1498&lt;&gt;"","https://direcciones507.github.io/direcciones507/panel.html?codigo="&amp;A1498&amp;"&amp;nombre="&amp;ENCODEURL(B1498)&amp;"&amp;telefono="&amp;SUBSTITUTE(C1498,"-","")&amp;"&amp;referencia="&amp;ENCODEURL(E1498)&amp;"&amp;lat="&amp;IZQUIERDA(SUBSTITUTE(F1498," ",""),ENCONTRAR(",",SUBSTITUTE(F1498," ",""))-1)&amp;"&amp;lng="&amp;DERECHA(SUBSTITUTE(F1498," ",""),LARGO(SUBSTITUTE(F1498," ",""))-ENCONTRAR(",",SUBSTITUTE(F1498," ",""))),"")</f>
        <v/>
      </c>
    </row>
    <row r="1499" ht="15.75" customHeight="1" s="10">
      <c r="A1499" s="8">
        <f>CONCAT("AD507-",TEXT(ROW()-2,"0000"))</f>
        <v/>
      </c>
      <c r="C1499" s="8" t="n"/>
      <c r="F1499" s="8" t="n"/>
      <c r="G1499" s="8">
        <f>IF(F1499&lt;&gt;"",HYPERLINK("https://www.google.com/maps/search/?api=1&amp;query="&amp;SUBSTITUTE(F1499," ",""),"🗺 Google Maps"),"")</f>
        <v/>
      </c>
      <c r="H1499" s="8">
        <f>IF(F1499&lt;&gt;"",HYPERLINK("https://waze.com/ul?ll="&amp;SUBSTITUTE(F1499," ","")&amp;"&amp;navigate=yes","🚗 Waze"),"")</f>
        <v/>
      </c>
      <c r="I1499" s="8">
        <f>IF(F1499&lt;&gt;"",HYPERLINK("https://m.uber.com/ul/?action=setPickup&amp;pickup=my_location&amp;dropoff[latitude]="&amp;LEFT(SUBSTITUTE(F1499," ",""),FIND(",",SUBSTITUTE(F1499," ",""))-1)&amp;"&amp;dropoff[longitude]="&amp;MID(SUBSTITUTE(F1499," ",""),FIND(",",SUBSTITUTE(F1499," ",""))+1,99),"🚕 Uber"),"")</f>
        <v/>
      </c>
      <c r="J1499" s="8">
        <f>IF(F1499&lt;&gt;"","https://api.qrserver.com/v1/create-qr-code/?size=200x200&amp;data="&amp;ENCODEURL("https://www.google.com/maps/search/?api=1&amp;query="&amp;SUBSTITUTE(F1499," ","")),"")</f>
        <v/>
      </c>
      <c r="K1499" s="8">
        <f>IF(C1499&lt;&gt;"",HYPERLINK("https://wa.me/507"&amp;REGEXREPLACE(C1499,"[^0-9]","")&amp;"?text="&amp;ENCODEURL("Ya llegue. Codigo: "&amp;A1499&amp;". Ubicacion: "&amp;"https://www.google.com/maps/search/?api=1&amp;query="&amp;SUBSTITUTE(F1499," ","")),"📲 Avisar al cliente"),"")</f>
        <v/>
      </c>
      <c r="L1499" s="8">
        <f>IF(C1499&lt;&gt;"","https://api.qrserver.com/v1/create-qr-code/?size=200x200&amp;data="&amp;ENCODEURL("https://wa.me/507"&amp;REGEXREPLACE(C1499,"[^0-9]","")&amp;"?text="&amp;ENCODEURL("Ya llegue. Codigo: "&amp;A1499&amp;". Ubicacion: "&amp;"https://www.google.com/maps/search/?api=1&amp;query="&amp;SUBSTITUTE(F1499," ",""))),"")</f>
        <v/>
      </c>
      <c r="M1499" s="8">
        <f>IF(B1499&lt;&gt;"",TODAY(),"")</f>
        <v/>
      </c>
      <c r="N1499" s="8">
        <f>IF(F1499&lt;&gt;"",IFERROR(IF(AND(REGEXMATCH(SUBSTITUTE(TRIM(F1499)," ",""),"^-?\d+(\.\d+)?,-?\d+(\.\d+)?$"),VALUE(REGEXEXTRACT(SUBSTITUTE(TRIM(F1499)," ",""),"^-?\d+(\.\d+)?"))&gt;=-90,VALUE(REGEXEXTRACT(SUBSTITUTE(TRIM(F1499)," ",""),"^-?\d+(\.\d+)?"))&lt;=90,VALUE(REGEXEXTRACT(SUBSTITUTE(TRIM(F1499)," ",""),"-?\d+(\.\d+)?$"))&gt;=-180,VALUE(REGEXEXTRACT(SUBSTITUTE(TRIM(F1499)," ",""),"-?\d+(\.\d+)?$"))&lt;=180),"OK","REVISAR"),"REVISAR"),"")</f>
        <v/>
      </c>
      <c r="O1499">
        <f>IF(A1499&lt;&gt;"","https://direcciones507.github.io/direcciones507/panel.html?codigo="&amp;A1499&amp;"&amp;nombre="&amp;ENCODEURL(B1499)&amp;"&amp;telefono="&amp;SUBSTITUTE(C1499,"-","")&amp;"&amp;referencia="&amp;ENCODEURL(E1499)&amp;"&amp;lat="&amp;IZQUIERDA(SUBSTITUTE(F1499," ",""),ENCONTRAR(",",SUBSTITUTE(F1499," ",""))-1)&amp;"&amp;lng="&amp;DERECHA(SUBSTITUTE(F1499," ",""),LARGO(SUBSTITUTE(F1499," ",""))-ENCONTRAR(",",SUBSTITUTE(F1499," ",""))),"")</f>
        <v/>
      </c>
    </row>
    <row r="1500" ht="15.75" customHeight="1" s="10">
      <c r="A1500" s="8">
        <f>CONCAT("AD507-",TEXT(ROW()-2,"0000"))</f>
        <v/>
      </c>
      <c r="C1500" s="8" t="n"/>
      <c r="F1500" s="8" t="n"/>
      <c r="G1500" s="8">
        <f>IF(F1500&lt;&gt;"",HYPERLINK("https://www.google.com/maps/search/?api=1&amp;query="&amp;SUBSTITUTE(F1500," ",""),"🗺 Google Maps"),"")</f>
        <v/>
      </c>
      <c r="H1500" s="8">
        <f>IF(F1500&lt;&gt;"",HYPERLINK("https://waze.com/ul?ll="&amp;SUBSTITUTE(F1500," ","")&amp;"&amp;navigate=yes","🚗 Waze"),"")</f>
        <v/>
      </c>
      <c r="I1500" s="8">
        <f>IF(F1500&lt;&gt;"",HYPERLINK("https://m.uber.com/ul/?action=setPickup&amp;pickup=my_location&amp;dropoff[latitude]="&amp;LEFT(SUBSTITUTE(F1500," ",""),FIND(",",SUBSTITUTE(F1500," ",""))-1)&amp;"&amp;dropoff[longitude]="&amp;MID(SUBSTITUTE(F1500," ",""),FIND(",",SUBSTITUTE(F1500," ",""))+1,99),"🚕 Uber"),"")</f>
        <v/>
      </c>
      <c r="J1500" s="8">
        <f>IF(F1500&lt;&gt;"","https://api.qrserver.com/v1/create-qr-code/?size=200x200&amp;data="&amp;ENCODEURL("https://www.google.com/maps/search/?api=1&amp;query="&amp;SUBSTITUTE(F1500," ","")),"")</f>
        <v/>
      </c>
      <c r="K1500" s="8">
        <f>IF(C1500&lt;&gt;"",HYPERLINK("https://wa.me/507"&amp;REGEXREPLACE(C1500,"[^0-9]","")&amp;"?text="&amp;ENCODEURL("Ya llegue. Codigo: "&amp;A1500&amp;". Ubicacion: "&amp;"https://www.google.com/maps/search/?api=1&amp;query="&amp;SUBSTITUTE(F1500," ","")),"📲 Avisar al cliente"),"")</f>
        <v/>
      </c>
      <c r="L1500" s="8">
        <f>IF(C1500&lt;&gt;"","https://api.qrserver.com/v1/create-qr-code/?size=200x200&amp;data="&amp;ENCODEURL("https://wa.me/507"&amp;REGEXREPLACE(C1500,"[^0-9]","")&amp;"?text="&amp;ENCODEURL("Ya llegue. Codigo: "&amp;A1500&amp;". Ubicacion: "&amp;"https://www.google.com/maps/search/?api=1&amp;query="&amp;SUBSTITUTE(F1500," ",""))),"")</f>
        <v/>
      </c>
      <c r="M1500" s="8">
        <f>IF(B1500&lt;&gt;"",TODAY(),"")</f>
        <v/>
      </c>
      <c r="N1500" s="8">
        <f>IF(F1500&lt;&gt;"",IFERROR(IF(AND(REGEXMATCH(SUBSTITUTE(TRIM(F1500)," ",""),"^-?\d+(\.\d+)?,-?\d+(\.\d+)?$"),VALUE(REGEXEXTRACT(SUBSTITUTE(TRIM(F1500)," ",""),"^-?\d+(\.\d+)?"))&gt;=-90,VALUE(REGEXEXTRACT(SUBSTITUTE(TRIM(F1500)," ",""),"^-?\d+(\.\d+)?"))&lt;=90,VALUE(REGEXEXTRACT(SUBSTITUTE(TRIM(F1500)," ",""),"-?\d+(\.\d+)?$"))&gt;=-180,VALUE(REGEXEXTRACT(SUBSTITUTE(TRIM(F1500)," ",""),"-?\d+(\.\d+)?$"))&lt;=180),"OK","REVISAR"),"REVISAR"),"")</f>
        <v/>
      </c>
      <c r="O1500">
        <f>IF(A1500&lt;&gt;"","https://direcciones507.github.io/direcciones507/panel.html?codigo="&amp;A1500&amp;"&amp;nombre="&amp;ENCODEURL(B1500)&amp;"&amp;telefono="&amp;SUBSTITUTE(C1500,"-","")&amp;"&amp;referencia="&amp;ENCODEURL(E1500)&amp;"&amp;lat="&amp;IZQUIERDA(SUBSTITUTE(F1500," ",""),ENCONTRAR(",",SUBSTITUTE(F1500," ",""))-1)&amp;"&amp;lng="&amp;DERECHA(SUBSTITUTE(F1500," ",""),LARGO(SUBSTITUTE(F1500," ",""))-ENCONTRAR(",",SUBSTITUTE(F1500," ",""))),"")</f>
        <v/>
      </c>
    </row>
    <row r="1501" ht="15.75" customHeight="1" s="10">
      <c r="A1501" s="8">
        <f>CONCAT("AD507-",TEXT(ROW()-2,"0000"))</f>
        <v/>
      </c>
      <c r="C1501" s="8" t="n"/>
      <c r="F1501" s="8" t="n"/>
      <c r="G1501" s="8">
        <f>IF(F1501&lt;&gt;"",HYPERLINK("https://www.google.com/maps/search/?api=1&amp;query="&amp;SUBSTITUTE(F1501," ",""),"🗺 Google Maps"),"")</f>
        <v/>
      </c>
      <c r="H1501" s="8">
        <f>IF(F1501&lt;&gt;"",HYPERLINK("https://waze.com/ul?ll="&amp;SUBSTITUTE(F1501," ","")&amp;"&amp;navigate=yes","🚗 Waze"),"")</f>
        <v/>
      </c>
      <c r="I1501" s="8">
        <f>IF(F1501&lt;&gt;"",HYPERLINK("https://m.uber.com/ul/?action=setPickup&amp;pickup=my_location&amp;dropoff[latitude]="&amp;LEFT(SUBSTITUTE(F1501," ",""),FIND(",",SUBSTITUTE(F1501," ",""))-1)&amp;"&amp;dropoff[longitude]="&amp;MID(SUBSTITUTE(F1501," ",""),FIND(",",SUBSTITUTE(F1501," ",""))+1,99),"🚕 Uber"),"")</f>
        <v/>
      </c>
      <c r="J1501" s="8">
        <f>IF(F1501&lt;&gt;"","https://api.qrserver.com/v1/create-qr-code/?size=200x200&amp;data="&amp;ENCODEURL("https://www.google.com/maps/search/?api=1&amp;query="&amp;SUBSTITUTE(F1501," ","")),"")</f>
        <v/>
      </c>
      <c r="K1501" s="8">
        <f>IF(C1501&lt;&gt;"",HYPERLINK("https://wa.me/507"&amp;REGEXREPLACE(C1501,"[^0-9]","")&amp;"?text="&amp;ENCODEURL("Ya llegue. Codigo: "&amp;A1501&amp;". Ubicacion: "&amp;"https://www.google.com/maps/search/?api=1&amp;query="&amp;SUBSTITUTE(F1501," ","")),"📲 Avisar al cliente"),"")</f>
        <v/>
      </c>
      <c r="L1501" s="8">
        <f>IF(C1501&lt;&gt;"","https://api.qrserver.com/v1/create-qr-code/?size=200x200&amp;data="&amp;ENCODEURL("https://wa.me/507"&amp;REGEXREPLACE(C1501,"[^0-9]","")&amp;"?text="&amp;ENCODEURL("Ya llegue. Codigo: "&amp;A1501&amp;". Ubicacion: "&amp;"https://www.google.com/maps/search/?api=1&amp;query="&amp;SUBSTITUTE(F1501," ",""))),"")</f>
        <v/>
      </c>
      <c r="M1501" s="8">
        <f>IF(B1501&lt;&gt;"",TODAY(),"")</f>
        <v/>
      </c>
      <c r="N1501" s="8">
        <f>IF(F1501&lt;&gt;"",IFERROR(IF(AND(REGEXMATCH(SUBSTITUTE(TRIM(F1501)," ",""),"^-?\d+(\.\d+)?,-?\d+(\.\d+)?$"),VALUE(REGEXEXTRACT(SUBSTITUTE(TRIM(F1501)," ",""),"^-?\d+(\.\d+)?"))&gt;=-90,VALUE(REGEXEXTRACT(SUBSTITUTE(TRIM(F1501)," ",""),"^-?\d+(\.\d+)?"))&lt;=90,VALUE(REGEXEXTRACT(SUBSTITUTE(TRIM(F1501)," ",""),"-?\d+(\.\d+)?$"))&gt;=-180,VALUE(REGEXEXTRACT(SUBSTITUTE(TRIM(F1501)," ",""),"-?\d+(\.\d+)?$"))&lt;=180),"OK","REVISAR"),"REVISAR"),"")</f>
        <v/>
      </c>
      <c r="O1501">
        <f>IF(A1501&lt;&gt;"","https://direcciones507.github.io/direcciones507/panel.html?codigo="&amp;A1501&amp;"&amp;nombre="&amp;ENCODEURL(B1501)&amp;"&amp;telefono="&amp;SUBSTITUTE(C1501,"-","")&amp;"&amp;referencia="&amp;ENCODEURL(E1501)&amp;"&amp;lat="&amp;IZQUIERDA(SUBSTITUTE(F1501," ",""),ENCONTRAR(",",SUBSTITUTE(F1501," ",""))-1)&amp;"&amp;lng="&amp;DERECHA(SUBSTITUTE(F1501," ",""),LARGO(SUBSTITUTE(F1501," ",""))-ENCONTRAR(",",SUBSTITUTE(F1501," ",""))),"")</f>
        <v/>
      </c>
    </row>
    <row r="1502" ht="15.75" customHeight="1" s="10">
      <c r="A1502" s="8">
        <f>CONCAT("AD507-",TEXT(ROW()-2,"0000"))</f>
        <v/>
      </c>
      <c r="C1502" s="8" t="n"/>
      <c r="F1502" s="8" t="n"/>
      <c r="G1502" s="8">
        <f>IF(F1502&lt;&gt;"",HYPERLINK("https://www.google.com/maps/search/?api=1&amp;query="&amp;SUBSTITUTE(F1502," ",""),"🗺 Google Maps"),"")</f>
        <v/>
      </c>
      <c r="H1502" s="8">
        <f>IF(F1502&lt;&gt;"",HYPERLINK("https://waze.com/ul?ll="&amp;SUBSTITUTE(F1502," ","")&amp;"&amp;navigate=yes","🚗 Waze"),"")</f>
        <v/>
      </c>
      <c r="I1502" s="8">
        <f>IF(F1502&lt;&gt;"",HYPERLINK("https://m.uber.com/ul/?action=setPickup&amp;pickup=my_location&amp;dropoff[latitude]="&amp;LEFT(SUBSTITUTE(F1502," ",""),FIND(",",SUBSTITUTE(F1502," ",""))-1)&amp;"&amp;dropoff[longitude]="&amp;MID(SUBSTITUTE(F1502," ",""),FIND(",",SUBSTITUTE(F1502," ",""))+1,99),"🚕 Uber"),"")</f>
        <v/>
      </c>
      <c r="J1502" s="8">
        <f>IF(F1502&lt;&gt;"","https://api.qrserver.com/v1/create-qr-code/?size=200x200&amp;data="&amp;ENCODEURL("https://www.google.com/maps/search/?api=1&amp;query="&amp;SUBSTITUTE(F1502," ","")),"")</f>
        <v/>
      </c>
      <c r="K1502" s="8">
        <f>IF(C1502&lt;&gt;"",HYPERLINK("https://wa.me/507"&amp;REGEXREPLACE(C1502,"[^0-9]","")&amp;"?text="&amp;ENCODEURL("Ya llegue. Codigo: "&amp;A1502&amp;". Ubicacion: "&amp;"https://www.google.com/maps/search/?api=1&amp;query="&amp;SUBSTITUTE(F1502," ","")),"📲 Avisar al cliente"),"")</f>
        <v/>
      </c>
      <c r="L1502" s="8">
        <f>IF(C1502&lt;&gt;"","https://api.qrserver.com/v1/create-qr-code/?size=200x200&amp;data="&amp;ENCODEURL("https://wa.me/507"&amp;REGEXREPLACE(C1502,"[^0-9]","")&amp;"?text="&amp;ENCODEURL("Ya llegue. Codigo: "&amp;A1502&amp;". Ubicacion: "&amp;"https://www.google.com/maps/search/?api=1&amp;query="&amp;SUBSTITUTE(F1502," ",""))),"")</f>
        <v/>
      </c>
      <c r="M1502" s="8">
        <f>IF(B1502&lt;&gt;"",TODAY(),"")</f>
        <v/>
      </c>
      <c r="N1502" s="8">
        <f>IF(F1502&lt;&gt;"",IFERROR(IF(AND(REGEXMATCH(SUBSTITUTE(TRIM(F1502)," ",""),"^-?\d+(\.\d+)?,-?\d+(\.\d+)?$"),VALUE(REGEXEXTRACT(SUBSTITUTE(TRIM(F1502)," ",""),"^-?\d+(\.\d+)?"))&gt;=-90,VALUE(REGEXEXTRACT(SUBSTITUTE(TRIM(F1502)," ",""),"^-?\d+(\.\d+)?"))&lt;=90,VALUE(REGEXEXTRACT(SUBSTITUTE(TRIM(F1502)," ",""),"-?\d+(\.\d+)?$"))&gt;=-180,VALUE(REGEXEXTRACT(SUBSTITUTE(TRIM(F1502)," ",""),"-?\d+(\.\d+)?$"))&lt;=180),"OK","REVISAR"),"REVISAR"),"")</f>
        <v/>
      </c>
      <c r="O1502">
        <f>IF(A1502&lt;&gt;"","https://direcciones507.github.io/direcciones507/panel.html?codigo="&amp;A1502&amp;"&amp;nombre="&amp;ENCODEURL(B1502)&amp;"&amp;telefono="&amp;SUBSTITUTE(C1502,"-","")&amp;"&amp;referencia="&amp;ENCODEURL(E1502)&amp;"&amp;lat="&amp;IZQUIERDA(SUBSTITUTE(F1502," ",""),ENCONTRAR(",",SUBSTITUTE(F1502," ",""))-1)&amp;"&amp;lng="&amp;DERECHA(SUBSTITUTE(F1502," ",""),LARGO(SUBSTITUTE(F1502," ",""))-ENCONTRAR(",",SUBSTITUTE(F1502," ",""))),"")</f>
        <v/>
      </c>
    </row>
    <row r="1503" ht="15.75" customHeight="1" s="10">
      <c r="A1503" s="8">
        <f>CONCAT("AD507-",TEXT(ROW()-2,"0000"))</f>
        <v/>
      </c>
      <c r="C1503" s="8" t="n"/>
      <c r="F1503" s="8" t="n"/>
      <c r="G1503" s="8">
        <f>IF(F1503&lt;&gt;"",HYPERLINK("https://www.google.com/maps/search/?api=1&amp;query="&amp;SUBSTITUTE(F1503," ",""),"🗺 Google Maps"),"")</f>
        <v/>
      </c>
      <c r="H1503" s="8">
        <f>IF(F1503&lt;&gt;"",HYPERLINK("https://waze.com/ul?ll="&amp;SUBSTITUTE(F1503," ","")&amp;"&amp;navigate=yes","🚗 Waze"),"")</f>
        <v/>
      </c>
      <c r="I1503" s="8">
        <f>IF(F1503&lt;&gt;"",HYPERLINK("https://m.uber.com/ul/?action=setPickup&amp;pickup=my_location&amp;dropoff[latitude]="&amp;LEFT(SUBSTITUTE(F1503," ",""),FIND(",",SUBSTITUTE(F1503," ",""))-1)&amp;"&amp;dropoff[longitude]="&amp;MID(SUBSTITUTE(F1503," ",""),FIND(",",SUBSTITUTE(F1503," ",""))+1,99),"🚕 Uber"),"")</f>
        <v/>
      </c>
      <c r="J1503" s="8">
        <f>IF(F1503&lt;&gt;"","https://api.qrserver.com/v1/create-qr-code/?size=200x200&amp;data="&amp;ENCODEURL("https://www.google.com/maps/search/?api=1&amp;query="&amp;SUBSTITUTE(F1503," ","")),"")</f>
        <v/>
      </c>
      <c r="K1503" s="8">
        <f>IF(C1503&lt;&gt;"",HYPERLINK("https://wa.me/507"&amp;REGEXREPLACE(C1503,"[^0-9]","")&amp;"?text="&amp;ENCODEURL("Ya llegue. Codigo: "&amp;A1503&amp;". Ubicacion: "&amp;"https://www.google.com/maps/search/?api=1&amp;query="&amp;SUBSTITUTE(F1503," ","")),"📲 Avisar al cliente"),"")</f>
        <v/>
      </c>
      <c r="L1503" s="8">
        <f>IF(C1503&lt;&gt;"","https://api.qrserver.com/v1/create-qr-code/?size=200x200&amp;data="&amp;ENCODEURL("https://wa.me/507"&amp;REGEXREPLACE(C1503,"[^0-9]","")&amp;"?text="&amp;ENCODEURL("Ya llegue. Codigo: "&amp;A1503&amp;". Ubicacion: "&amp;"https://www.google.com/maps/search/?api=1&amp;query="&amp;SUBSTITUTE(F1503," ",""))),"")</f>
        <v/>
      </c>
      <c r="M1503" s="8">
        <f>IF(B1503&lt;&gt;"",TODAY(),"")</f>
        <v/>
      </c>
      <c r="N1503" s="8">
        <f>IF(F1503&lt;&gt;"",IFERROR(IF(AND(REGEXMATCH(SUBSTITUTE(TRIM(F1503)," ",""),"^-?\d+(\.\d+)?,-?\d+(\.\d+)?$"),VALUE(REGEXEXTRACT(SUBSTITUTE(TRIM(F1503)," ",""),"^-?\d+(\.\d+)?"))&gt;=-90,VALUE(REGEXEXTRACT(SUBSTITUTE(TRIM(F1503)," ",""),"^-?\d+(\.\d+)?"))&lt;=90,VALUE(REGEXEXTRACT(SUBSTITUTE(TRIM(F1503)," ",""),"-?\d+(\.\d+)?$"))&gt;=-180,VALUE(REGEXEXTRACT(SUBSTITUTE(TRIM(F1503)," ",""),"-?\d+(\.\d+)?$"))&lt;=180),"OK","REVISAR"),"REVISAR"),"")</f>
        <v/>
      </c>
      <c r="O1503">
        <f>IF(A1503&lt;&gt;"","https://direcciones507.github.io/direcciones507/panel.html?codigo="&amp;A1503&amp;"&amp;nombre="&amp;ENCODEURL(B1503)&amp;"&amp;telefono="&amp;SUBSTITUTE(C1503,"-","")&amp;"&amp;referencia="&amp;ENCODEURL(E1503)&amp;"&amp;lat="&amp;IZQUIERDA(SUBSTITUTE(F1503," ",""),ENCONTRAR(",",SUBSTITUTE(F1503," ",""))-1)&amp;"&amp;lng="&amp;DERECHA(SUBSTITUTE(F1503," ",""),LARGO(SUBSTITUTE(F1503," ",""))-ENCONTRAR(",",SUBSTITUTE(F1503," ",""))),"")</f>
        <v/>
      </c>
    </row>
    <row r="1504" ht="15.75" customHeight="1" s="10">
      <c r="A1504" s="8">
        <f>CONCAT("AD507-",TEXT(ROW()-2,"0000"))</f>
        <v/>
      </c>
      <c r="C1504" s="8" t="n"/>
      <c r="F1504" s="8" t="n"/>
      <c r="G1504" s="8">
        <f>IF(F1504&lt;&gt;"",HYPERLINK("https://www.google.com/maps/search/?api=1&amp;query="&amp;SUBSTITUTE(F1504," ",""),"🗺 Google Maps"),"")</f>
        <v/>
      </c>
      <c r="H1504" s="8">
        <f>IF(F1504&lt;&gt;"",HYPERLINK("https://waze.com/ul?ll="&amp;SUBSTITUTE(F1504," ","")&amp;"&amp;navigate=yes","🚗 Waze"),"")</f>
        <v/>
      </c>
      <c r="I1504" s="8">
        <f>IF(F1504&lt;&gt;"",HYPERLINK("https://m.uber.com/ul/?action=setPickup&amp;pickup=my_location&amp;dropoff[latitude]="&amp;LEFT(SUBSTITUTE(F1504," ",""),FIND(",",SUBSTITUTE(F1504," ",""))-1)&amp;"&amp;dropoff[longitude]="&amp;MID(SUBSTITUTE(F1504," ",""),FIND(",",SUBSTITUTE(F1504," ",""))+1,99),"🚕 Uber"),"")</f>
        <v/>
      </c>
      <c r="J1504" s="8">
        <f>IF(F1504&lt;&gt;"","https://api.qrserver.com/v1/create-qr-code/?size=200x200&amp;data="&amp;ENCODEURL("https://www.google.com/maps/search/?api=1&amp;query="&amp;SUBSTITUTE(F1504," ","")),"")</f>
        <v/>
      </c>
      <c r="K1504" s="8">
        <f>IF(C1504&lt;&gt;"",HYPERLINK("https://wa.me/507"&amp;REGEXREPLACE(C1504,"[^0-9]","")&amp;"?text="&amp;ENCODEURL("Ya llegue. Codigo: "&amp;A1504&amp;". Ubicacion: "&amp;"https://www.google.com/maps/search/?api=1&amp;query="&amp;SUBSTITUTE(F1504," ","")),"📲 Avisar al cliente"),"")</f>
        <v/>
      </c>
      <c r="L1504" s="8">
        <f>IF(C1504&lt;&gt;"","https://api.qrserver.com/v1/create-qr-code/?size=200x200&amp;data="&amp;ENCODEURL("https://wa.me/507"&amp;REGEXREPLACE(C1504,"[^0-9]","")&amp;"?text="&amp;ENCODEURL("Ya llegue. Codigo: "&amp;A1504&amp;". Ubicacion: "&amp;"https://www.google.com/maps/search/?api=1&amp;query="&amp;SUBSTITUTE(F1504," ",""))),"")</f>
        <v/>
      </c>
      <c r="M1504" s="8">
        <f>IF(B1504&lt;&gt;"",TODAY(),"")</f>
        <v/>
      </c>
      <c r="N1504" s="8">
        <f>IF(F1504&lt;&gt;"",IFERROR(IF(AND(REGEXMATCH(SUBSTITUTE(TRIM(F1504)," ",""),"^-?\d+(\.\d+)?,-?\d+(\.\d+)?$"),VALUE(REGEXEXTRACT(SUBSTITUTE(TRIM(F1504)," ",""),"^-?\d+(\.\d+)?"))&gt;=-90,VALUE(REGEXEXTRACT(SUBSTITUTE(TRIM(F1504)," ",""),"^-?\d+(\.\d+)?"))&lt;=90,VALUE(REGEXEXTRACT(SUBSTITUTE(TRIM(F1504)," ",""),"-?\d+(\.\d+)?$"))&gt;=-180,VALUE(REGEXEXTRACT(SUBSTITUTE(TRIM(F1504)," ",""),"-?\d+(\.\d+)?$"))&lt;=180),"OK","REVISAR"),"REVISAR"),"")</f>
        <v/>
      </c>
      <c r="O1504">
        <f>IF(A1504&lt;&gt;"","https://direcciones507.github.io/direcciones507/panel.html?codigo="&amp;A1504&amp;"&amp;nombre="&amp;ENCODEURL(B1504)&amp;"&amp;telefono="&amp;SUBSTITUTE(C1504,"-","")&amp;"&amp;referencia="&amp;ENCODEURL(E1504)&amp;"&amp;lat="&amp;IZQUIERDA(SUBSTITUTE(F1504," ",""),ENCONTRAR(",",SUBSTITUTE(F1504," ",""))-1)&amp;"&amp;lng="&amp;DERECHA(SUBSTITUTE(F1504," ",""),LARGO(SUBSTITUTE(F1504," ",""))-ENCONTRAR(",",SUBSTITUTE(F1504," ",""))),"")</f>
        <v/>
      </c>
    </row>
    <row r="1505" ht="15.75" customHeight="1" s="10">
      <c r="A1505" s="8">
        <f>CONCAT("AD507-",TEXT(ROW()-2,"0000"))</f>
        <v/>
      </c>
      <c r="C1505" s="8" t="n"/>
      <c r="F1505" s="8" t="n"/>
      <c r="G1505" s="8">
        <f>IF(F1505&lt;&gt;"",HYPERLINK("https://www.google.com/maps/search/?api=1&amp;query="&amp;SUBSTITUTE(F1505," ",""),"🗺 Google Maps"),"")</f>
        <v/>
      </c>
      <c r="H1505" s="8">
        <f>IF(F1505&lt;&gt;"",HYPERLINK("https://waze.com/ul?ll="&amp;SUBSTITUTE(F1505," ","")&amp;"&amp;navigate=yes","🚗 Waze"),"")</f>
        <v/>
      </c>
      <c r="I1505" s="8">
        <f>IF(F1505&lt;&gt;"",HYPERLINK("https://m.uber.com/ul/?action=setPickup&amp;pickup=my_location&amp;dropoff[latitude]="&amp;LEFT(SUBSTITUTE(F1505," ",""),FIND(",",SUBSTITUTE(F1505," ",""))-1)&amp;"&amp;dropoff[longitude]="&amp;MID(SUBSTITUTE(F1505," ",""),FIND(",",SUBSTITUTE(F1505," ",""))+1,99),"🚕 Uber"),"")</f>
        <v/>
      </c>
      <c r="J1505" s="8">
        <f>IF(F1505&lt;&gt;"","https://api.qrserver.com/v1/create-qr-code/?size=200x200&amp;data="&amp;ENCODEURL("https://www.google.com/maps/search/?api=1&amp;query="&amp;SUBSTITUTE(F1505," ","")),"")</f>
        <v/>
      </c>
      <c r="K1505" s="8">
        <f>IF(C1505&lt;&gt;"",HYPERLINK("https://wa.me/507"&amp;REGEXREPLACE(C1505,"[^0-9]","")&amp;"?text="&amp;ENCODEURL("Ya llegue. Codigo: "&amp;A1505&amp;". Ubicacion: "&amp;"https://www.google.com/maps/search/?api=1&amp;query="&amp;SUBSTITUTE(F1505," ","")),"📲 Avisar al cliente"),"")</f>
        <v/>
      </c>
      <c r="L1505" s="8">
        <f>IF(C1505&lt;&gt;"","https://api.qrserver.com/v1/create-qr-code/?size=200x200&amp;data="&amp;ENCODEURL("https://wa.me/507"&amp;REGEXREPLACE(C1505,"[^0-9]","")&amp;"?text="&amp;ENCODEURL("Ya llegue. Codigo: "&amp;A1505&amp;". Ubicacion: "&amp;"https://www.google.com/maps/search/?api=1&amp;query="&amp;SUBSTITUTE(F1505," ",""))),"")</f>
        <v/>
      </c>
      <c r="M1505" s="8">
        <f>IF(B1505&lt;&gt;"",TODAY(),"")</f>
        <v/>
      </c>
      <c r="N1505" s="8">
        <f>IF(F1505&lt;&gt;"",IFERROR(IF(AND(REGEXMATCH(SUBSTITUTE(TRIM(F1505)," ",""),"^-?\d+(\.\d+)?,-?\d+(\.\d+)?$"),VALUE(REGEXEXTRACT(SUBSTITUTE(TRIM(F1505)," ",""),"^-?\d+(\.\d+)?"))&gt;=-90,VALUE(REGEXEXTRACT(SUBSTITUTE(TRIM(F1505)," ",""),"^-?\d+(\.\d+)?"))&lt;=90,VALUE(REGEXEXTRACT(SUBSTITUTE(TRIM(F1505)," ",""),"-?\d+(\.\d+)?$"))&gt;=-180,VALUE(REGEXEXTRACT(SUBSTITUTE(TRIM(F1505)," ",""),"-?\d+(\.\d+)?$"))&lt;=180),"OK","REVISAR"),"REVISAR"),"")</f>
        <v/>
      </c>
      <c r="O1505">
        <f>IF(A1505&lt;&gt;"","https://direcciones507.github.io/direcciones507/panel.html?codigo="&amp;A1505&amp;"&amp;nombre="&amp;ENCODEURL(B1505)&amp;"&amp;telefono="&amp;SUBSTITUTE(C1505,"-","")&amp;"&amp;referencia="&amp;ENCODEURL(E1505)&amp;"&amp;lat="&amp;IZQUIERDA(SUBSTITUTE(F1505," ",""),ENCONTRAR(",",SUBSTITUTE(F1505," ",""))-1)&amp;"&amp;lng="&amp;DERECHA(SUBSTITUTE(F1505," ",""),LARGO(SUBSTITUTE(F1505," ",""))-ENCONTRAR(",",SUBSTITUTE(F1505," ",""))),"")</f>
        <v/>
      </c>
    </row>
    <row r="1506" ht="15.75" customHeight="1" s="10">
      <c r="A1506" s="8">
        <f>CONCAT("AD507-",TEXT(ROW()-2,"0000"))</f>
        <v/>
      </c>
      <c r="C1506" s="8" t="n"/>
      <c r="F1506" s="8" t="n"/>
      <c r="G1506" s="8">
        <f>IF(F1506&lt;&gt;"",HYPERLINK("https://www.google.com/maps/search/?api=1&amp;query="&amp;SUBSTITUTE(F1506," ",""),"🗺 Google Maps"),"")</f>
        <v/>
      </c>
      <c r="H1506" s="8">
        <f>IF(F1506&lt;&gt;"",HYPERLINK("https://waze.com/ul?ll="&amp;SUBSTITUTE(F1506," ","")&amp;"&amp;navigate=yes","🚗 Waze"),"")</f>
        <v/>
      </c>
      <c r="I1506" s="8">
        <f>IF(F1506&lt;&gt;"",HYPERLINK("https://m.uber.com/ul/?action=setPickup&amp;pickup=my_location&amp;dropoff[latitude]="&amp;LEFT(SUBSTITUTE(F1506," ",""),FIND(",",SUBSTITUTE(F1506," ",""))-1)&amp;"&amp;dropoff[longitude]="&amp;MID(SUBSTITUTE(F1506," ",""),FIND(",",SUBSTITUTE(F1506," ",""))+1,99),"🚕 Uber"),"")</f>
        <v/>
      </c>
      <c r="J1506" s="8">
        <f>IF(F1506&lt;&gt;"","https://api.qrserver.com/v1/create-qr-code/?size=200x200&amp;data="&amp;ENCODEURL("https://www.google.com/maps/search/?api=1&amp;query="&amp;SUBSTITUTE(F1506," ","")),"")</f>
        <v/>
      </c>
      <c r="K1506" s="8">
        <f>IF(C1506&lt;&gt;"",HYPERLINK("https://wa.me/507"&amp;REGEXREPLACE(C1506,"[^0-9]","")&amp;"?text="&amp;ENCODEURL("Ya llegue. Codigo: "&amp;A1506&amp;". Ubicacion: "&amp;"https://www.google.com/maps/search/?api=1&amp;query="&amp;SUBSTITUTE(F1506," ","")),"📲 Avisar al cliente"),"")</f>
        <v/>
      </c>
      <c r="L1506" s="8">
        <f>IF(C1506&lt;&gt;"","https://api.qrserver.com/v1/create-qr-code/?size=200x200&amp;data="&amp;ENCODEURL("https://wa.me/507"&amp;REGEXREPLACE(C1506,"[^0-9]","")&amp;"?text="&amp;ENCODEURL("Ya llegue. Codigo: "&amp;A1506&amp;". Ubicacion: "&amp;"https://www.google.com/maps/search/?api=1&amp;query="&amp;SUBSTITUTE(F1506," ",""))),"")</f>
        <v/>
      </c>
      <c r="M1506" s="8">
        <f>IF(B1506&lt;&gt;"",TODAY(),"")</f>
        <v/>
      </c>
      <c r="N1506" s="8">
        <f>IF(F1506&lt;&gt;"",IFERROR(IF(AND(REGEXMATCH(SUBSTITUTE(TRIM(F1506)," ",""),"^-?\d+(\.\d+)?,-?\d+(\.\d+)?$"),VALUE(REGEXEXTRACT(SUBSTITUTE(TRIM(F1506)," ",""),"^-?\d+(\.\d+)?"))&gt;=-90,VALUE(REGEXEXTRACT(SUBSTITUTE(TRIM(F1506)," ",""),"^-?\d+(\.\d+)?"))&lt;=90,VALUE(REGEXEXTRACT(SUBSTITUTE(TRIM(F1506)," ",""),"-?\d+(\.\d+)?$"))&gt;=-180,VALUE(REGEXEXTRACT(SUBSTITUTE(TRIM(F1506)," ",""),"-?\d+(\.\d+)?$"))&lt;=180),"OK","REVISAR"),"REVISAR"),"")</f>
        <v/>
      </c>
      <c r="O1506">
        <f>IF(A1506&lt;&gt;"","https://direcciones507.github.io/direcciones507/panel.html?codigo="&amp;A1506&amp;"&amp;nombre="&amp;ENCODEURL(B1506)&amp;"&amp;telefono="&amp;SUBSTITUTE(C1506,"-","")&amp;"&amp;referencia="&amp;ENCODEURL(E1506)&amp;"&amp;lat="&amp;IZQUIERDA(SUBSTITUTE(F1506," ",""),ENCONTRAR(",",SUBSTITUTE(F1506," ",""))-1)&amp;"&amp;lng="&amp;DERECHA(SUBSTITUTE(F1506," ",""),LARGO(SUBSTITUTE(F1506," ",""))-ENCONTRAR(",",SUBSTITUTE(F1506," ",""))),"")</f>
        <v/>
      </c>
    </row>
    <row r="1507" ht="15.75" customHeight="1" s="10">
      <c r="A1507" s="8">
        <f>CONCAT("AD507-",TEXT(ROW()-2,"0000"))</f>
        <v/>
      </c>
      <c r="C1507" s="8" t="n"/>
      <c r="F1507" s="8" t="n"/>
      <c r="G1507" s="8">
        <f>IF(F1507&lt;&gt;"",HYPERLINK("https://www.google.com/maps/search/?api=1&amp;query="&amp;SUBSTITUTE(F1507," ",""),"🗺 Google Maps"),"")</f>
        <v/>
      </c>
      <c r="H1507" s="8">
        <f>IF(F1507&lt;&gt;"",HYPERLINK("https://waze.com/ul?ll="&amp;SUBSTITUTE(F1507," ","")&amp;"&amp;navigate=yes","🚗 Waze"),"")</f>
        <v/>
      </c>
      <c r="I1507" s="8">
        <f>IF(F1507&lt;&gt;"",HYPERLINK("https://m.uber.com/ul/?action=setPickup&amp;pickup=my_location&amp;dropoff[latitude]="&amp;LEFT(SUBSTITUTE(F1507," ",""),FIND(",",SUBSTITUTE(F1507," ",""))-1)&amp;"&amp;dropoff[longitude]="&amp;MID(SUBSTITUTE(F1507," ",""),FIND(",",SUBSTITUTE(F1507," ",""))+1,99),"🚕 Uber"),"")</f>
        <v/>
      </c>
      <c r="J1507" s="8">
        <f>IF(F1507&lt;&gt;"","https://api.qrserver.com/v1/create-qr-code/?size=200x200&amp;data="&amp;ENCODEURL("https://www.google.com/maps/search/?api=1&amp;query="&amp;SUBSTITUTE(F1507," ","")),"")</f>
        <v/>
      </c>
      <c r="K1507" s="8">
        <f>IF(C1507&lt;&gt;"",HYPERLINK("https://wa.me/507"&amp;REGEXREPLACE(C1507,"[^0-9]","")&amp;"?text="&amp;ENCODEURL("Ya llegue. Codigo: "&amp;A1507&amp;". Ubicacion: "&amp;"https://www.google.com/maps/search/?api=1&amp;query="&amp;SUBSTITUTE(F1507," ","")),"📲 Avisar al cliente"),"")</f>
        <v/>
      </c>
      <c r="L1507" s="8">
        <f>IF(C1507&lt;&gt;"","https://api.qrserver.com/v1/create-qr-code/?size=200x200&amp;data="&amp;ENCODEURL("https://wa.me/507"&amp;REGEXREPLACE(C1507,"[^0-9]","")&amp;"?text="&amp;ENCODEURL("Ya llegue. Codigo: "&amp;A1507&amp;". Ubicacion: "&amp;"https://www.google.com/maps/search/?api=1&amp;query="&amp;SUBSTITUTE(F1507," ",""))),"")</f>
        <v/>
      </c>
      <c r="M1507" s="8">
        <f>IF(B1507&lt;&gt;"",TODAY(),"")</f>
        <v/>
      </c>
      <c r="N1507" s="8">
        <f>IF(F1507&lt;&gt;"",IFERROR(IF(AND(REGEXMATCH(SUBSTITUTE(TRIM(F1507)," ",""),"^-?\d+(\.\d+)?,-?\d+(\.\d+)?$"),VALUE(REGEXEXTRACT(SUBSTITUTE(TRIM(F1507)," ",""),"^-?\d+(\.\d+)?"))&gt;=-90,VALUE(REGEXEXTRACT(SUBSTITUTE(TRIM(F1507)," ",""),"^-?\d+(\.\d+)?"))&lt;=90,VALUE(REGEXEXTRACT(SUBSTITUTE(TRIM(F1507)," ",""),"-?\d+(\.\d+)?$"))&gt;=-180,VALUE(REGEXEXTRACT(SUBSTITUTE(TRIM(F1507)," ",""),"-?\d+(\.\d+)?$"))&lt;=180),"OK","REVISAR"),"REVISAR"),"")</f>
        <v/>
      </c>
      <c r="O1507">
        <f>IF(A1507&lt;&gt;"","https://direcciones507.github.io/direcciones507/panel.html?codigo="&amp;A1507&amp;"&amp;nombre="&amp;ENCODEURL(B1507)&amp;"&amp;telefono="&amp;SUBSTITUTE(C1507,"-","")&amp;"&amp;referencia="&amp;ENCODEURL(E1507)&amp;"&amp;lat="&amp;IZQUIERDA(SUBSTITUTE(F1507," ",""),ENCONTRAR(",",SUBSTITUTE(F1507," ",""))-1)&amp;"&amp;lng="&amp;DERECHA(SUBSTITUTE(F1507," ",""),LARGO(SUBSTITUTE(F1507," ",""))-ENCONTRAR(",",SUBSTITUTE(F1507," ",""))),"")</f>
        <v/>
      </c>
    </row>
    <row r="1508" ht="15.75" customHeight="1" s="10">
      <c r="A1508" s="8">
        <f>CONCAT("AD507-",TEXT(ROW()-2,"0000"))</f>
        <v/>
      </c>
      <c r="C1508" s="8" t="n"/>
      <c r="F1508" s="8" t="n"/>
      <c r="G1508" s="8">
        <f>IF(F1508&lt;&gt;"",HYPERLINK("https://www.google.com/maps/search/?api=1&amp;query="&amp;SUBSTITUTE(F1508," ",""),"🗺 Google Maps"),"")</f>
        <v/>
      </c>
      <c r="H1508" s="8">
        <f>IF(F1508&lt;&gt;"",HYPERLINK("https://waze.com/ul?ll="&amp;SUBSTITUTE(F1508," ","")&amp;"&amp;navigate=yes","🚗 Waze"),"")</f>
        <v/>
      </c>
      <c r="I1508" s="8">
        <f>IF(F1508&lt;&gt;"",HYPERLINK("https://m.uber.com/ul/?action=setPickup&amp;pickup=my_location&amp;dropoff[latitude]="&amp;LEFT(SUBSTITUTE(F1508," ",""),FIND(",",SUBSTITUTE(F1508," ",""))-1)&amp;"&amp;dropoff[longitude]="&amp;MID(SUBSTITUTE(F1508," ",""),FIND(",",SUBSTITUTE(F1508," ",""))+1,99),"🚕 Uber"),"")</f>
        <v/>
      </c>
      <c r="J1508" s="8">
        <f>IF(F1508&lt;&gt;"","https://api.qrserver.com/v1/create-qr-code/?size=200x200&amp;data="&amp;ENCODEURL("https://www.google.com/maps/search/?api=1&amp;query="&amp;SUBSTITUTE(F1508," ","")),"")</f>
        <v/>
      </c>
      <c r="K1508" s="8">
        <f>IF(C1508&lt;&gt;"",HYPERLINK("https://wa.me/507"&amp;REGEXREPLACE(C1508,"[^0-9]","")&amp;"?text="&amp;ENCODEURL("Ya llegue. Codigo: "&amp;A1508&amp;". Ubicacion: "&amp;"https://www.google.com/maps/search/?api=1&amp;query="&amp;SUBSTITUTE(F1508," ","")),"📲 Avisar al cliente"),"")</f>
        <v/>
      </c>
      <c r="L1508" s="8">
        <f>IF(C1508&lt;&gt;"","https://api.qrserver.com/v1/create-qr-code/?size=200x200&amp;data="&amp;ENCODEURL("https://wa.me/507"&amp;REGEXREPLACE(C1508,"[^0-9]","")&amp;"?text="&amp;ENCODEURL("Ya llegue. Codigo: "&amp;A1508&amp;". Ubicacion: "&amp;"https://www.google.com/maps/search/?api=1&amp;query="&amp;SUBSTITUTE(F1508," ",""))),"")</f>
        <v/>
      </c>
      <c r="M1508" s="8">
        <f>IF(B1508&lt;&gt;"",TODAY(),"")</f>
        <v/>
      </c>
      <c r="N1508" s="8">
        <f>IF(F1508&lt;&gt;"",IFERROR(IF(AND(REGEXMATCH(SUBSTITUTE(TRIM(F1508)," ",""),"^-?\d+(\.\d+)?,-?\d+(\.\d+)?$"),VALUE(REGEXEXTRACT(SUBSTITUTE(TRIM(F1508)," ",""),"^-?\d+(\.\d+)?"))&gt;=-90,VALUE(REGEXEXTRACT(SUBSTITUTE(TRIM(F1508)," ",""),"^-?\d+(\.\d+)?"))&lt;=90,VALUE(REGEXEXTRACT(SUBSTITUTE(TRIM(F1508)," ",""),"-?\d+(\.\d+)?$"))&gt;=-180,VALUE(REGEXEXTRACT(SUBSTITUTE(TRIM(F1508)," ",""),"-?\d+(\.\d+)?$"))&lt;=180),"OK","REVISAR"),"REVISAR"),"")</f>
        <v/>
      </c>
      <c r="O1508">
        <f>IF(A1508&lt;&gt;"","https://direcciones507.github.io/direcciones507/panel.html?codigo="&amp;A1508&amp;"&amp;nombre="&amp;ENCODEURL(B1508)&amp;"&amp;telefono="&amp;SUBSTITUTE(C1508,"-","")&amp;"&amp;referencia="&amp;ENCODEURL(E1508)&amp;"&amp;lat="&amp;IZQUIERDA(SUBSTITUTE(F1508," ",""),ENCONTRAR(",",SUBSTITUTE(F1508," ",""))-1)&amp;"&amp;lng="&amp;DERECHA(SUBSTITUTE(F1508," ",""),LARGO(SUBSTITUTE(F1508," ",""))-ENCONTRAR(",",SUBSTITUTE(F1508," ",""))),"")</f>
        <v/>
      </c>
    </row>
    <row r="1509" ht="15.75" customHeight="1" s="10">
      <c r="A1509" s="8">
        <f>CONCAT("AD507-",TEXT(ROW()-2,"0000"))</f>
        <v/>
      </c>
      <c r="C1509" s="8" t="n"/>
      <c r="F1509" s="8" t="n"/>
      <c r="G1509" s="8">
        <f>IF(F1509&lt;&gt;"",HYPERLINK("https://www.google.com/maps/search/?api=1&amp;query="&amp;SUBSTITUTE(F1509," ",""),"🗺 Google Maps"),"")</f>
        <v/>
      </c>
      <c r="H1509" s="8">
        <f>IF(F1509&lt;&gt;"",HYPERLINK("https://waze.com/ul?ll="&amp;SUBSTITUTE(F1509," ","")&amp;"&amp;navigate=yes","🚗 Waze"),"")</f>
        <v/>
      </c>
      <c r="I1509" s="8">
        <f>IF(F1509&lt;&gt;"",HYPERLINK("https://m.uber.com/ul/?action=setPickup&amp;pickup=my_location&amp;dropoff[latitude]="&amp;LEFT(SUBSTITUTE(F1509," ",""),FIND(",",SUBSTITUTE(F1509," ",""))-1)&amp;"&amp;dropoff[longitude]="&amp;MID(SUBSTITUTE(F1509," ",""),FIND(",",SUBSTITUTE(F1509," ",""))+1,99),"🚕 Uber"),"")</f>
        <v/>
      </c>
      <c r="J1509" s="8">
        <f>IF(F1509&lt;&gt;"","https://api.qrserver.com/v1/create-qr-code/?size=200x200&amp;data="&amp;ENCODEURL("https://www.google.com/maps/search/?api=1&amp;query="&amp;SUBSTITUTE(F1509," ","")),"")</f>
        <v/>
      </c>
      <c r="K1509" s="8">
        <f>IF(C1509&lt;&gt;"",HYPERLINK("https://wa.me/507"&amp;REGEXREPLACE(C1509,"[^0-9]","")&amp;"?text="&amp;ENCODEURL("Ya llegue. Codigo: "&amp;A1509&amp;". Ubicacion: "&amp;"https://www.google.com/maps/search/?api=1&amp;query="&amp;SUBSTITUTE(F1509," ","")),"📲 Avisar al cliente"),"")</f>
        <v/>
      </c>
      <c r="L1509" s="8">
        <f>IF(C1509&lt;&gt;"","https://api.qrserver.com/v1/create-qr-code/?size=200x200&amp;data="&amp;ENCODEURL("https://wa.me/507"&amp;REGEXREPLACE(C1509,"[^0-9]","")&amp;"?text="&amp;ENCODEURL("Ya llegue. Codigo: "&amp;A1509&amp;". Ubicacion: "&amp;"https://www.google.com/maps/search/?api=1&amp;query="&amp;SUBSTITUTE(F1509," ",""))),"")</f>
        <v/>
      </c>
      <c r="M1509" s="8">
        <f>IF(B1509&lt;&gt;"",TODAY(),"")</f>
        <v/>
      </c>
      <c r="N1509" s="8">
        <f>IF(F1509&lt;&gt;"",IFERROR(IF(AND(REGEXMATCH(SUBSTITUTE(TRIM(F1509)," ",""),"^-?\d+(\.\d+)?,-?\d+(\.\d+)?$"),VALUE(REGEXEXTRACT(SUBSTITUTE(TRIM(F1509)," ",""),"^-?\d+(\.\d+)?"))&gt;=-90,VALUE(REGEXEXTRACT(SUBSTITUTE(TRIM(F1509)," ",""),"^-?\d+(\.\d+)?"))&lt;=90,VALUE(REGEXEXTRACT(SUBSTITUTE(TRIM(F1509)," ",""),"-?\d+(\.\d+)?$"))&gt;=-180,VALUE(REGEXEXTRACT(SUBSTITUTE(TRIM(F1509)," ",""),"-?\d+(\.\d+)?$"))&lt;=180),"OK","REVISAR"),"REVISAR"),"")</f>
        <v/>
      </c>
      <c r="O1509">
        <f>IF(A1509&lt;&gt;"","https://direcciones507.github.io/direcciones507/panel.html?codigo="&amp;A1509&amp;"&amp;nombre="&amp;ENCODEURL(B1509)&amp;"&amp;telefono="&amp;SUBSTITUTE(C1509,"-","")&amp;"&amp;referencia="&amp;ENCODEURL(E1509)&amp;"&amp;lat="&amp;IZQUIERDA(SUBSTITUTE(F1509," ",""),ENCONTRAR(",",SUBSTITUTE(F1509," ",""))-1)&amp;"&amp;lng="&amp;DERECHA(SUBSTITUTE(F1509," ",""),LARGO(SUBSTITUTE(F1509," ",""))-ENCONTRAR(",",SUBSTITUTE(F1509," ",""))),"")</f>
        <v/>
      </c>
    </row>
    <row r="1510" ht="15.75" customHeight="1" s="10">
      <c r="A1510" s="8">
        <f>CONCAT("AD507-",TEXT(ROW()-2,"0000"))</f>
        <v/>
      </c>
      <c r="C1510" s="8" t="n"/>
      <c r="F1510" s="8" t="n"/>
      <c r="G1510" s="8">
        <f>IF(F1510&lt;&gt;"",HYPERLINK("https://www.google.com/maps/search/?api=1&amp;query="&amp;SUBSTITUTE(F1510," ",""),"🗺 Google Maps"),"")</f>
        <v/>
      </c>
      <c r="H1510" s="8">
        <f>IF(F1510&lt;&gt;"",HYPERLINK("https://waze.com/ul?ll="&amp;SUBSTITUTE(F1510," ","")&amp;"&amp;navigate=yes","🚗 Waze"),"")</f>
        <v/>
      </c>
      <c r="I1510" s="8">
        <f>IF(F1510&lt;&gt;"",HYPERLINK("https://m.uber.com/ul/?action=setPickup&amp;pickup=my_location&amp;dropoff[latitude]="&amp;LEFT(SUBSTITUTE(F1510," ",""),FIND(",",SUBSTITUTE(F1510," ",""))-1)&amp;"&amp;dropoff[longitude]="&amp;MID(SUBSTITUTE(F1510," ",""),FIND(",",SUBSTITUTE(F1510," ",""))+1,99),"🚕 Uber"),"")</f>
        <v/>
      </c>
      <c r="J1510" s="8">
        <f>IF(F1510&lt;&gt;"","https://api.qrserver.com/v1/create-qr-code/?size=200x200&amp;data="&amp;ENCODEURL("https://www.google.com/maps/search/?api=1&amp;query="&amp;SUBSTITUTE(F1510," ","")),"")</f>
        <v/>
      </c>
      <c r="K1510" s="8">
        <f>IF(C1510&lt;&gt;"",HYPERLINK("https://wa.me/507"&amp;REGEXREPLACE(C1510,"[^0-9]","")&amp;"?text="&amp;ENCODEURL("Ya llegue. Codigo: "&amp;A1510&amp;". Ubicacion: "&amp;"https://www.google.com/maps/search/?api=1&amp;query="&amp;SUBSTITUTE(F1510," ","")),"📲 Avisar al cliente"),"")</f>
        <v/>
      </c>
      <c r="L1510" s="8">
        <f>IF(C1510&lt;&gt;"","https://api.qrserver.com/v1/create-qr-code/?size=200x200&amp;data="&amp;ENCODEURL("https://wa.me/507"&amp;REGEXREPLACE(C1510,"[^0-9]","")&amp;"?text="&amp;ENCODEURL("Ya llegue. Codigo: "&amp;A1510&amp;". Ubicacion: "&amp;"https://www.google.com/maps/search/?api=1&amp;query="&amp;SUBSTITUTE(F1510," ",""))),"")</f>
        <v/>
      </c>
      <c r="M1510" s="8">
        <f>IF(B1510&lt;&gt;"",TODAY(),"")</f>
        <v/>
      </c>
      <c r="N1510" s="8">
        <f>IF(F1510&lt;&gt;"",IFERROR(IF(AND(REGEXMATCH(SUBSTITUTE(TRIM(F1510)," ",""),"^-?\d+(\.\d+)?,-?\d+(\.\d+)?$"),VALUE(REGEXEXTRACT(SUBSTITUTE(TRIM(F1510)," ",""),"^-?\d+(\.\d+)?"))&gt;=-90,VALUE(REGEXEXTRACT(SUBSTITUTE(TRIM(F1510)," ",""),"^-?\d+(\.\d+)?"))&lt;=90,VALUE(REGEXEXTRACT(SUBSTITUTE(TRIM(F1510)," ",""),"-?\d+(\.\d+)?$"))&gt;=-180,VALUE(REGEXEXTRACT(SUBSTITUTE(TRIM(F1510)," ",""),"-?\d+(\.\d+)?$"))&lt;=180),"OK","REVISAR"),"REVISAR"),"")</f>
        <v/>
      </c>
      <c r="O1510">
        <f>IF(A1510&lt;&gt;"","https://direcciones507.github.io/direcciones507/panel.html?codigo="&amp;A1510&amp;"&amp;nombre="&amp;ENCODEURL(B1510)&amp;"&amp;telefono="&amp;SUBSTITUTE(C1510,"-","")&amp;"&amp;referencia="&amp;ENCODEURL(E1510)&amp;"&amp;lat="&amp;IZQUIERDA(SUBSTITUTE(F1510," ",""),ENCONTRAR(",",SUBSTITUTE(F1510," ",""))-1)&amp;"&amp;lng="&amp;DERECHA(SUBSTITUTE(F1510," ",""),LARGO(SUBSTITUTE(F1510," ",""))-ENCONTRAR(",",SUBSTITUTE(F1510," ",""))),"")</f>
        <v/>
      </c>
    </row>
    <row r="1511" ht="15.75" customHeight="1" s="10">
      <c r="A1511" s="8">
        <f>CONCAT("AD507-",TEXT(ROW()-2,"0000"))</f>
        <v/>
      </c>
      <c r="C1511" s="8" t="n"/>
      <c r="F1511" s="8" t="n"/>
      <c r="G1511" s="8">
        <f>IF(F1511&lt;&gt;"",HYPERLINK("https://www.google.com/maps/search/?api=1&amp;query="&amp;SUBSTITUTE(F1511," ",""),"🗺 Google Maps"),"")</f>
        <v/>
      </c>
      <c r="H1511" s="8">
        <f>IF(F1511&lt;&gt;"",HYPERLINK("https://waze.com/ul?ll="&amp;SUBSTITUTE(F1511," ","")&amp;"&amp;navigate=yes","🚗 Waze"),"")</f>
        <v/>
      </c>
      <c r="I1511" s="8">
        <f>IF(F1511&lt;&gt;"",HYPERLINK("https://m.uber.com/ul/?action=setPickup&amp;pickup=my_location&amp;dropoff[latitude]="&amp;LEFT(SUBSTITUTE(F1511," ",""),FIND(",",SUBSTITUTE(F1511," ",""))-1)&amp;"&amp;dropoff[longitude]="&amp;MID(SUBSTITUTE(F1511," ",""),FIND(",",SUBSTITUTE(F1511," ",""))+1,99),"🚕 Uber"),"")</f>
        <v/>
      </c>
      <c r="J1511" s="8">
        <f>IF(F1511&lt;&gt;"","https://api.qrserver.com/v1/create-qr-code/?size=200x200&amp;data="&amp;ENCODEURL("https://www.google.com/maps/search/?api=1&amp;query="&amp;SUBSTITUTE(F1511," ","")),"")</f>
        <v/>
      </c>
      <c r="K1511" s="8">
        <f>IF(C1511&lt;&gt;"",HYPERLINK("https://wa.me/507"&amp;REGEXREPLACE(C1511,"[^0-9]","")&amp;"?text="&amp;ENCODEURL("Ya llegue. Codigo: "&amp;A1511&amp;". Ubicacion: "&amp;"https://www.google.com/maps/search/?api=1&amp;query="&amp;SUBSTITUTE(F1511," ","")),"📲 Avisar al cliente"),"")</f>
        <v/>
      </c>
      <c r="L1511" s="8">
        <f>IF(C1511&lt;&gt;"","https://api.qrserver.com/v1/create-qr-code/?size=200x200&amp;data="&amp;ENCODEURL("https://wa.me/507"&amp;REGEXREPLACE(C1511,"[^0-9]","")&amp;"?text="&amp;ENCODEURL("Ya llegue. Codigo: "&amp;A1511&amp;". Ubicacion: "&amp;"https://www.google.com/maps/search/?api=1&amp;query="&amp;SUBSTITUTE(F1511," ",""))),"")</f>
        <v/>
      </c>
      <c r="M1511" s="8">
        <f>IF(B1511&lt;&gt;"",TODAY(),"")</f>
        <v/>
      </c>
      <c r="N1511" s="8">
        <f>IF(F1511&lt;&gt;"",IFERROR(IF(AND(REGEXMATCH(SUBSTITUTE(TRIM(F1511)," ",""),"^-?\d+(\.\d+)?,-?\d+(\.\d+)?$"),VALUE(REGEXEXTRACT(SUBSTITUTE(TRIM(F1511)," ",""),"^-?\d+(\.\d+)?"))&gt;=-90,VALUE(REGEXEXTRACT(SUBSTITUTE(TRIM(F1511)," ",""),"^-?\d+(\.\d+)?"))&lt;=90,VALUE(REGEXEXTRACT(SUBSTITUTE(TRIM(F1511)," ",""),"-?\d+(\.\d+)?$"))&gt;=-180,VALUE(REGEXEXTRACT(SUBSTITUTE(TRIM(F1511)," ",""),"-?\d+(\.\d+)?$"))&lt;=180),"OK","REVISAR"),"REVISAR"),"")</f>
        <v/>
      </c>
      <c r="O1511">
        <f>IF(A1511&lt;&gt;"","https://direcciones507.github.io/direcciones507/panel.html?codigo="&amp;A1511&amp;"&amp;nombre="&amp;ENCODEURL(B1511)&amp;"&amp;telefono="&amp;SUBSTITUTE(C1511,"-","")&amp;"&amp;referencia="&amp;ENCODEURL(E1511)&amp;"&amp;lat="&amp;IZQUIERDA(SUBSTITUTE(F1511," ",""),ENCONTRAR(",",SUBSTITUTE(F1511," ",""))-1)&amp;"&amp;lng="&amp;DERECHA(SUBSTITUTE(F1511," ",""),LARGO(SUBSTITUTE(F1511," ",""))-ENCONTRAR(",",SUBSTITUTE(F1511," ",""))),"")</f>
        <v/>
      </c>
    </row>
    <row r="1512" ht="15.75" customHeight="1" s="10">
      <c r="A1512" s="8">
        <f>CONCAT("AD507-",TEXT(ROW()-2,"0000"))</f>
        <v/>
      </c>
      <c r="C1512" s="8" t="n"/>
      <c r="F1512" s="8" t="n"/>
      <c r="G1512" s="8">
        <f>IF(F1512&lt;&gt;"",HYPERLINK("https://www.google.com/maps/search/?api=1&amp;query="&amp;SUBSTITUTE(F1512," ",""),"🗺 Google Maps"),"")</f>
        <v/>
      </c>
      <c r="H1512" s="8">
        <f>IF(F1512&lt;&gt;"",HYPERLINK("https://waze.com/ul?ll="&amp;SUBSTITUTE(F1512," ","")&amp;"&amp;navigate=yes","🚗 Waze"),"")</f>
        <v/>
      </c>
      <c r="I1512" s="8">
        <f>IF(F1512&lt;&gt;"",HYPERLINK("https://m.uber.com/ul/?action=setPickup&amp;pickup=my_location&amp;dropoff[latitude]="&amp;LEFT(SUBSTITUTE(F1512," ",""),FIND(",",SUBSTITUTE(F1512," ",""))-1)&amp;"&amp;dropoff[longitude]="&amp;MID(SUBSTITUTE(F1512," ",""),FIND(",",SUBSTITUTE(F1512," ",""))+1,99),"🚕 Uber"),"")</f>
        <v/>
      </c>
      <c r="J1512" s="8">
        <f>IF(F1512&lt;&gt;"","https://api.qrserver.com/v1/create-qr-code/?size=200x200&amp;data="&amp;ENCODEURL("https://www.google.com/maps/search/?api=1&amp;query="&amp;SUBSTITUTE(F1512," ","")),"")</f>
        <v/>
      </c>
      <c r="K1512" s="8">
        <f>IF(C1512&lt;&gt;"",HYPERLINK("https://wa.me/507"&amp;REGEXREPLACE(C1512,"[^0-9]","")&amp;"?text="&amp;ENCODEURL("Ya llegue. Codigo: "&amp;A1512&amp;". Ubicacion: "&amp;"https://www.google.com/maps/search/?api=1&amp;query="&amp;SUBSTITUTE(F1512," ","")),"📲 Avisar al cliente"),"")</f>
        <v/>
      </c>
      <c r="L1512" s="8">
        <f>IF(C1512&lt;&gt;"","https://api.qrserver.com/v1/create-qr-code/?size=200x200&amp;data="&amp;ENCODEURL("https://wa.me/507"&amp;REGEXREPLACE(C1512,"[^0-9]","")&amp;"?text="&amp;ENCODEURL("Ya llegue. Codigo: "&amp;A1512&amp;". Ubicacion: "&amp;"https://www.google.com/maps/search/?api=1&amp;query="&amp;SUBSTITUTE(F1512," ",""))),"")</f>
        <v/>
      </c>
      <c r="M1512" s="8">
        <f>IF(B1512&lt;&gt;"",TODAY(),"")</f>
        <v/>
      </c>
      <c r="N1512" s="8">
        <f>IF(F1512&lt;&gt;"",IFERROR(IF(AND(REGEXMATCH(SUBSTITUTE(TRIM(F1512)," ",""),"^-?\d+(\.\d+)?,-?\d+(\.\d+)?$"),VALUE(REGEXEXTRACT(SUBSTITUTE(TRIM(F1512)," ",""),"^-?\d+(\.\d+)?"))&gt;=-90,VALUE(REGEXEXTRACT(SUBSTITUTE(TRIM(F1512)," ",""),"^-?\d+(\.\d+)?"))&lt;=90,VALUE(REGEXEXTRACT(SUBSTITUTE(TRIM(F1512)," ",""),"-?\d+(\.\d+)?$"))&gt;=-180,VALUE(REGEXEXTRACT(SUBSTITUTE(TRIM(F1512)," ",""),"-?\d+(\.\d+)?$"))&lt;=180),"OK","REVISAR"),"REVISAR"),"")</f>
        <v/>
      </c>
      <c r="O1512">
        <f>IF(A1512&lt;&gt;"","https://direcciones507.github.io/direcciones507/panel.html?codigo="&amp;A1512&amp;"&amp;nombre="&amp;ENCODEURL(B1512)&amp;"&amp;telefono="&amp;SUBSTITUTE(C1512,"-","")&amp;"&amp;referencia="&amp;ENCODEURL(E1512)&amp;"&amp;lat="&amp;IZQUIERDA(SUBSTITUTE(F1512," ",""),ENCONTRAR(",",SUBSTITUTE(F1512," ",""))-1)&amp;"&amp;lng="&amp;DERECHA(SUBSTITUTE(F1512," ",""),LARGO(SUBSTITUTE(F1512," ",""))-ENCONTRAR(",",SUBSTITUTE(F1512," ",""))),"")</f>
        <v/>
      </c>
    </row>
    <row r="1513" ht="15.75" customHeight="1" s="10">
      <c r="A1513" s="8">
        <f>CONCAT("AD507-",TEXT(ROW()-2,"0000"))</f>
        <v/>
      </c>
      <c r="C1513" s="8" t="n"/>
      <c r="F1513" s="8" t="n"/>
      <c r="G1513" s="8">
        <f>IF(F1513&lt;&gt;"",HYPERLINK("https://www.google.com/maps/search/?api=1&amp;query="&amp;SUBSTITUTE(F1513," ",""),"🗺 Google Maps"),"")</f>
        <v/>
      </c>
      <c r="H1513" s="8">
        <f>IF(F1513&lt;&gt;"",HYPERLINK("https://waze.com/ul?ll="&amp;SUBSTITUTE(F1513," ","")&amp;"&amp;navigate=yes","🚗 Waze"),"")</f>
        <v/>
      </c>
      <c r="I1513" s="8">
        <f>IF(F1513&lt;&gt;"",HYPERLINK("https://m.uber.com/ul/?action=setPickup&amp;pickup=my_location&amp;dropoff[latitude]="&amp;LEFT(SUBSTITUTE(F1513," ",""),FIND(",",SUBSTITUTE(F1513," ",""))-1)&amp;"&amp;dropoff[longitude]="&amp;MID(SUBSTITUTE(F1513," ",""),FIND(",",SUBSTITUTE(F1513," ",""))+1,99),"🚕 Uber"),"")</f>
        <v/>
      </c>
      <c r="J1513" s="8">
        <f>IF(F1513&lt;&gt;"","https://api.qrserver.com/v1/create-qr-code/?size=200x200&amp;data="&amp;ENCODEURL("https://www.google.com/maps/search/?api=1&amp;query="&amp;SUBSTITUTE(F1513," ","")),"")</f>
        <v/>
      </c>
      <c r="K1513" s="8">
        <f>IF(C1513&lt;&gt;"",HYPERLINK("https://wa.me/507"&amp;REGEXREPLACE(C1513,"[^0-9]","")&amp;"?text="&amp;ENCODEURL("Ya llegue. Codigo: "&amp;A1513&amp;". Ubicacion: "&amp;"https://www.google.com/maps/search/?api=1&amp;query="&amp;SUBSTITUTE(F1513," ","")),"📲 Avisar al cliente"),"")</f>
        <v/>
      </c>
      <c r="L1513" s="8">
        <f>IF(C1513&lt;&gt;"","https://api.qrserver.com/v1/create-qr-code/?size=200x200&amp;data="&amp;ENCODEURL("https://wa.me/507"&amp;REGEXREPLACE(C1513,"[^0-9]","")&amp;"?text="&amp;ENCODEURL("Ya llegue. Codigo: "&amp;A1513&amp;". Ubicacion: "&amp;"https://www.google.com/maps/search/?api=1&amp;query="&amp;SUBSTITUTE(F1513," ",""))),"")</f>
        <v/>
      </c>
      <c r="M1513" s="8">
        <f>IF(B1513&lt;&gt;"",TODAY(),"")</f>
        <v/>
      </c>
      <c r="N1513" s="8">
        <f>IF(F1513&lt;&gt;"",IFERROR(IF(AND(REGEXMATCH(SUBSTITUTE(TRIM(F1513)," ",""),"^-?\d+(\.\d+)?,-?\d+(\.\d+)?$"),VALUE(REGEXEXTRACT(SUBSTITUTE(TRIM(F1513)," ",""),"^-?\d+(\.\d+)?"))&gt;=-90,VALUE(REGEXEXTRACT(SUBSTITUTE(TRIM(F1513)," ",""),"^-?\d+(\.\d+)?"))&lt;=90,VALUE(REGEXEXTRACT(SUBSTITUTE(TRIM(F1513)," ",""),"-?\d+(\.\d+)?$"))&gt;=-180,VALUE(REGEXEXTRACT(SUBSTITUTE(TRIM(F1513)," ",""),"-?\d+(\.\d+)?$"))&lt;=180),"OK","REVISAR"),"REVISAR"),"")</f>
        <v/>
      </c>
      <c r="O1513">
        <f>IF(A1513&lt;&gt;"","https://direcciones507.github.io/direcciones507/panel.html?codigo="&amp;A1513&amp;"&amp;nombre="&amp;ENCODEURL(B1513)&amp;"&amp;telefono="&amp;SUBSTITUTE(C1513,"-","")&amp;"&amp;referencia="&amp;ENCODEURL(E1513)&amp;"&amp;lat="&amp;IZQUIERDA(SUBSTITUTE(F1513," ",""),ENCONTRAR(",",SUBSTITUTE(F1513," ",""))-1)&amp;"&amp;lng="&amp;DERECHA(SUBSTITUTE(F1513," ",""),LARGO(SUBSTITUTE(F1513," ",""))-ENCONTRAR(",",SUBSTITUTE(F1513," ",""))),"")</f>
        <v/>
      </c>
    </row>
    <row r="1514" ht="15.75" customHeight="1" s="10">
      <c r="A1514" s="8">
        <f>CONCAT("AD507-",TEXT(ROW()-2,"0000"))</f>
        <v/>
      </c>
      <c r="C1514" s="8" t="n"/>
      <c r="F1514" s="8" t="n"/>
      <c r="G1514" s="8">
        <f>IF(F1514&lt;&gt;"",HYPERLINK("https://www.google.com/maps/search/?api=1&amp;query="&amp;SUBSTITUTE(F1514," ",""),"🗺 Google Maps"),"")</f>
        <v/>
      </c>
      <c r="H1514" s="8">
        <f>IF(F1514&lt;&gt;"",HYPERLINK("https://waze.com/ul?ll="&amp;SUBSTITUTE(F1514," ","")&amp;"&amp;navigate=yes","🚗 Waze"),"")</f>
        <v/>
      </c>
      <c r="I1514" s="8">
        <f>IF(F1514&lt;&gt;"",HYPERLINK("https://m.uber.com/ul/?action=setPickup&amp;pickup=my_location&amp;dropoff[latitude]="&amp;LEFT(SUBSTITUTE(F1514," ",""),FIND(",",SUBSTITUTE(F1514," ",""))-1)&amp;"&amp;dropoff[longitude]="&amp;MID(SUBSTITUTE(F1514," ",""),FIND(",",SUBSTITUTE(F1514," ",""))+1,99),"🚕 Uber"),"")</f>
        <v/>
      </c>
      <c r="J1514" s="8">
        <f>IF(F1514&lt;&gt;"","https://api.qrserver.com/v1/create-qr-code/?size=200x200&amp;data="&amp;ENCODEURL("https://www.google.com/maps/search/?api=1&amp;query="&amp;SUBSTITUTE(F1514," ","")),"")</f>
        <v/>
      </c>
      <c r="K1514" s="8">
        <f>IF(C1514&lt;&gt;"",HYPERLINK("https://wa.me/507"&amp;REGEXREPLACE(C1514,"[^0-9]","")&amp;"?text="&amp;ENCODEURL("Ya llegue. Codigo: "&amp;A1514&amp;". Ubicacion: "&amp;"https://www.google.com/maps/search/?api=1&amp;query="&amp;SUBSTITUTE(F1514," ","")),"📲 Avisar al cliente"),"")</f>
        <v/>
      </c>
      <c r="L1514" s="8">
        <f>IF(C1514&lt;&gt;"","https://api.qrserver.com/v1/create-qr-code/?size=200x200&amp;data="&amp;ENCODEURL("https://wa.me/507"&amp;REGEXREPLACE(C1514,"[^0-9]","")&amp;"?text="&amp;ENCODEURL("Ya llegue. Codigo: "&amp;A1514&amp;". Ubicacion: "&amp;"https://www.google.com/maps/search/?api=1&amp;query="&amp;SUBSTITUTE(F1514," ",""))),"")</f>
        <v/>
      </c>
      <c r="M1514" s="8">
        <f>IF(B1514&lt;&gt;"",TODAY(),"")</f>
        <v/>
      </c>
      <c r="N1514" s="8">
        <f>IF(F1514&lt;&gt;"",IFERROR(IF(AND(REGEXMATCH(SUBSTITUTE(TRIM(F1514)," ",""),"^-?\d+(\.\d+)?,-?\d+(\.\d+)?$"),VALUE(REGEXEXTRACT(SUBSTITUTE(TRIM(F1514)," ",""),"^-?\d+(\.\d+)?"))&gt;=-90,VALUE(REGEXEXTRACT(SUBSTITUTE(TRIM(F1514)," ",""),"^-?\d+(\.\d+)?"))&lt;=90,VALUE(REGEXEXTRACT(SUBSTITUTE(TRIM(F1514)," ",""),"-?\d+(\.\d+)?$"))&gt;=-180,VALUE(REGEXEXTRACT(SUBSTITUTE(TRIM(F1514)," ",""),"-?\d+(\.\d+)?$"))&lt;=180),"OK","REVISAR"),"REVISAR"),"")</f>
        <v/>
      </c>
      <c r="O1514">
        <f>IF(A1514&lt;&gt;"","https://direcciones507.github.io/direcciones507/panel.html?codigo="&amp;A1514&amp;"&amp;nombre="&amp;ENCODEURL(B1514)&amp;"&amp;telefono="&amp;SUBSTITUTE(C1514,"-","")&amp;"&amp;referencia="&amp;ENCODEURL(E1514)&amp;"&amp;lat="&amp;IZQUIERDA(SUBSTITUTE(F1514," ",""),ENCONTRAR(",",SUBSTITUTE(F1514," ",""))-1)&amp;"&amp;lng="&amp;DERECHA(SUBSTITUTE(F1514," ",""),LARGO(SUBSTITUTE(F1514," ",""))-ENCONTRAR(",",SUBSTITUTE(F1514," ",""))),"")</f>
        <v/>
      </c>
    </row>
    <row r="1515" ht="15.75" customHeight="1" s="10">
      <c r="A1515" s="8">
        <f>CONCAT("AD507-",TEXT(ROW()-2,"0000"))</f>
        <v/>
      </c>
      <c r="C1515" s="8" t="n"/>
      <c r="F1515" s="8" t="n"/>
      <c r="G1515" s="8">
        <f>IF(F1515&lt;&gt;"",HYPERLINK("https://www.google.com/maps/search/?api=1&amp;query="&amp;SUBSTITUTE(F1515," ",""),"🗺 Google Maps"),"")</f>
        <v/>
      </c>
      <c r="H1515" s="8">
        <f>IF(F1515&lt;&gt;"",HYPERLINK("https://waze.com/ul?ll="&amp;SUBSTITUTE(F1515," ","")&amp;"&amp;navigate=yes","🚗 Waze"),"")</f>
        <v/>
      </c>
      <c r="I1515" s="8">
        <f>IF(F1515&lt;&gt;"",HYPERLINK("https://m.uber.com/ul/?action=setPickup&amp;pickup=my_location&amp;dropoff[latitude]="&amp;LEFT(SUBSTITUTE(F1515," ",""),FIND(",",SUBSTITUTE(F1515," ",""))-1)&amp;"&amp;dropoff[longitude]="&amp;MID(SUBSTITUTE(F1515," ",""),FIND(",",SUBSTITUTE(F1515," ",""))+1,99),"🚕 Uber"),"")</f>
        <v/>
      </c>
      <c r="J1515" s="8">
        <f>IF(F1515&lt;&gt;"","https://api.qrserver.com/v1/create-qr-code/?size=200x200&amp;data="&amp;ENCODEURL("https://www.google.com/maps/search/?api=1&amp;query="&amp;SUBSTITUTE(F1515," ","")),"")</f>
        <v/>
      </c>
      <c r="K1515" s="8">
        <f>IF(C1515&lt;&gt;"",HYPERLINK("https://wa.me/507"&amp;REGEXREPLACE(C1515,"[^0-9]","")&amp;"?text="&amp;ENCODEURL("Ya llegue. Codigo: "&amp;A1515&amp;". Ubicacion: "&amp;"https://www.google.com/maps/search/?api=1&amp;query="&amp;SUBSTITUTE(F1515," ","")),"📲 Avisar al cliente"),"")</f>
        <v/>
      </c>
      <c r="L1515" s="8">
        <f>IF(C1515&lt;&gt;"","https://api.qrserver.com/v1/create-qr-code/?size=200x200&amp;data="&amp;ENCODEURL("https://wa.me/507"&amp;REGEXREPLACE(C1515,"[^0-9]","")&amp;"?text="&amp;ENCODEURL("Ya llegue. Codigo: "&amp;A1515&amp;". Ubicacion: "&amp;"https://www.google.com/maps/search/?api=1&amp;query="&amp;SUBSTITUTE(F1515," ",""))),"")</f>
        <v/>
      </c>
      <c r="M1515" s="8">
        <f>IF(B1515&lt;&gt;"",TODAY(),"")</f>
        <v/>
      </c>
      <c r="N1515" s="8">
        <f>IF(F1515&lt;&gt;"",IFERROR(IF(AND(REGEXMATCH(SUBSTITUTE(TRIM(F1515)," ",""),"^-?\d+(\.\d+)?,-?\d+(\.\d+)?$"),VALUE(REGEXEXTRACT(SUBSTITUTE(TRIM(F1515)," ",""),"^-?\d+(\.\d+)?"))&gt;=-90,VALUE(REGEXEXTRACT(SUBSTITUTE(TRIM(F1515)," ",""),"^-?\d+(\.\d+)?"))&lt;=90,VALUE(REGEXEXTRACT(SUBSTITUTE(TRIM(F1515)," ",""),"-?\d+(\.\d+)?$"))&gt;=-180,VALUE(REGEXEXTRACT(SUBSTITUTE(TRIM(F1515)," ",""),"-?\d+(\.\d+)?$"))&lt;=180),"OK","REVISAR"),"REVISAR"),"")</f>
        <v/>
      </c>
      <c r="O1515">
        <f>IF(A1515&lt;&gt;"","https://direcciones507.github.io/direcciones507/panel.html?codigo="&amp;A1515&amp;"&amp;nombre="&amp;ENCODEURL(B1515)&amp;"&amp;telefono="&amp;SUBSTITUTE(C1515,"-","")&amp;"&amp;referencia="&amp;ENCODEURL(E1515)&amp;"&amp;lat="&amp;IZQUIERDA(SUBSTITUTE(F1515," ",""),ENCONTRAR(",",SUBSTITUTE(F1515," ",""))-1)&amp;"&amp;lng="&amp;DERECHA(SUBSTITUTE(F1515," ",""),LARGO(SUBSTITUTE(F1515," ",""))-ENCONTRAR(",",SUBSTITUTE(F1515," ",""))),"")</f>
        <v/>
      </c>
    </row>
    <row r="1516" ht="15.75" customHeight="1" s="10">
      <c r="A1516" s="8">
        <f>CONCAT("AD507-",TEXT(ROW()-2,"0000"))</f>
        <v/>
      </c>
      <c r="C1516" s="8" t="n"/>
      <c r="F1516" s="8" t="n"/>
      <c r="G1516" s="8">
        <f>IF(F1516&lt;&gt;"",HYPERLINK("https://www.google.com/maps/search/?api=1&amp;query="&amp;SUBSTITUTE(F1516," ",""),"🗺 Google Maps"),"")</f>
        <v/>
      </c>
      <c r="H1516" s="8">
        <f>IF(F1516&lt;&gt;"",HYPERLINK("https://waze.com/ul?ll="&amp;SUBSTITUTE(F1516," ","")&amp;"&amp;navigate=yes","🚗 Waze"),"")</f>
        <v/>
      </c>
      <c r="I1516" s="8">
        <f>IF(F1516&lt;&gt;"",HYPERLINK("https://m.uber.com/ul/?action=setPickup&amp;pickup=my_location&amp;dropoff[latitude]="&amp;LEFT(SUBSTITUTE(F1516," ",""),FIND(",",SUBSTITUTE(F1516," ",""))-1)&amp;"&amp;dropoff[longitude]="&amp;MID(SUBSTITUTE(F1516," ",""),FIND(",",SUBSTITUTE(F1516," ",""))+1,99),"🚕 Uber"),"")</f>
        <v/>
      </c>
      <c r="J1516" s="8">
        <f>IF(F1516&lt;&gt;"","https://api.qrserver.com/v1/create-qr-code/?size=200x200&amp;data="&amp;ENCODEURL("https://www.google.com/maps/search/?api=1&amp;query="&amp;SUBSTITUTE(F1516," ","")),"")</f>
        <v/>
      </c>
      <c r="K1516" s="8">
        <f>IF(C1516&lt;&gt;"",HYPERLINK("https://wa.me/507"&amp;REGEXREPLACE(C1516,"[^0-9]","")&amp;"?text="&amp;ENCODEURL("Ya llegue. Codigo: "&amp;A1516&amp;". Ubicacion: "&amp;"https://www.google.com/maps/search/?api=1&amp;query="&amp;SUBSTITUTE(F1516," ","")),"📲 Avisar al cliente"),"")</f>
        <v/>
      </c>
      <c r="L1516" s="8">
        <f>IF(C1516&lt;&gt;"","https://api.qrserver.com/v1/create-qr-code/?size=200x200&amp;data="&amp;ENCODEURL("https://wa.me/507"&amp;REGEXREPLACE(C1516,"[^0-9]","")&amp;"?text="&amp;ENCODEURL("Ya llegue. Codigo: "&amp;A1516&amp;". Ubicacion: "&amp;"https://www.google.com/maps/search/?api=1&amp;query="&amp;SUBSTITUTE(F1516," ",""))),"")</f>
        <v/>
      </c>
      <c r="M1516" s="8">
        <f>IF(B1516&lt;&gt;"",TODAY(),"")</f>
        <v/>
      </c>
      <c r="N1516" s="8">
        <f>IF(F1516&lt;&gt;"",IFERROR(IF(AND(REGEXMATCH(SUBSTITUTE(TRIM(F1516)," ",""),"^-?\d+(\.\d+)?,-?\d+(\.\d+)?$"),VALUE(REGEXEXTRACT(SUBSTITUTE(TRIM(F1516)," ",""),"^-?\d+(\.\d+)?"))&gt;=-90,VALUE(REGEXEXTRACT(SUBSTITUTE(TRIM(F1516)," ",""),"^-?\d+(\.\d+)?"))&lt;=90,VALUE(REGEXEXTRACT(SUBSTITUTE(TRIM(F1516)," ",""),"-?\d+(\.\d+)?$"))&gt;=-180,VALUE(REGEXEXTRACT(SUBSTITUTE(TRIM(F1516)," ",""),"-?\d+(\.\d+)?$"))&lt;=180),"OK","REVISAR"),"REVISAR"),"")</f>
        <v/>
      </c>
      <c r="O1516">
        <f>IF(A1516&lt;&gt;"","https://direcciones507.github.io/direcciones507/panel.html?codigo="&amp;A1516&amp;"&amp;nombre="&amp;ENCODEURL(B1516)&amp;"&amp;telefono="&amp;SUBSTITUTE(C1516,"-","")&amp;"&amp;referencia="&amp;ENCODEURL(E1516)&amp;"&amp;lat="&amp;IZQUIERDA(SUBSTITUTE(F1516," ",""),ENCONTRAR(",",SUBSTITUTE(F1516," ",""))-1)&amp;"&amp;lng="&amp;DERECHA(SUBSTITUTE(F1516," ",""),LARGO(SUBSTITUTE(F1516," ",""))-ENCONTRAR(",",SUBSTITUTE(F1516," ",""))),"")</f>
        <v/>
      </c>
    </row>
    <row r="1517" ht="15.75" customHeight="1" s="10">
      <c r="A1517" s="8">
        <f>CONCAT("AD507-",TEXT(ROW()-2,"0000"))</f>
        <v/>
      </c>
      <c r="C1517" s="8" t="n"/>
      <c r="F1517" s="8" t="n"/>
      <c r="G1517" s="8">
        <f>IF(F1517&lt;&gt;"",HYPERLINK("https://www.google.com/maps/search/?api=1&amp;query="&amp;SUBSTITUTE(F1517," ",""),"🗺 Google Maps"),"")</f>
        <v/>
      </c>
      <c r="H1517" s="8">
        <f>IF(F1517&lt;&gt;"",HYPERLINK("https://waze.com/ul?ll="&amp;SUBSTITUTE(F1517," ","")&amp;"&amp;navigate=yes","🚗 Waze"),"")</f>
        <v/>
      </c>
      <c r="I1517" s="8">
        <f>IF(F1517&lt;&gt;"",HYPERLINK("https://m.uber.com/ul/?action=setPickup&amp;pickup=my_location&amp;dropoff[latitude]="&amp;LEFT(SUBSTITUTE(F1517," ",""),FIND(",",SUBSTITUTE(F1517," ",""))-1)&amp;"&amp;dropoff[longitude]="&amp;MID(SUBSTITUTE(F1517," ",""),FIND(",",SUBSTITUTE(F1517," ",""))+1,99),"🚕 Uber"),"")</f>
        <v/>
      </c>
      <c r="J1517" s="8">
        <f>IF(F1517&lt;&gt;"","https://api.qrserver.com/v1/create-qr-code/?size=200x200&amp;data="&amp;ENCODEURL("https://www.google.com/maps/search/?api=1&amp;query="&amp;SUBSTITUTE(F1517," ","")),"")</f>
        <v/>
      </c>
      <c r="K1517" s="8">
        <f>IF(C1517&lt;&gt;"",HYPERLINK("https://wa.me/507"&amp;REGEXREPLACE(C1517,"[^0-9]","")&amp;"?text="&amp;ENCODEURL("Ya llegue. Codigo: "&amp;A1517&amp;". Ubicacion: "&amp;"https://www.google.com/maps/search/?api=1&amp;query="&amp;SUBSTITUTE(F1517," ","")),"📲 Avisar al cliente"),"")</f>
        <v/>
      </c>
      <c r="L1517" s="8">
        <f>IF(C1517&lt;&gt;"","https://api.qrserver.com/v1/create-qr-code/?size=200x200&amp;data="&amp;ENCODEURL("https://wa.me/507"&amp;REGEXREPLACE(C1517,"[^0-9]","")&amp;"?text="&amp;ENCODEURL("Ya llegue. Codigo: "&amp;A1517&amp;". Ubicacion: "&amp;"https://www.google.com/maps/search/?api=1&amp;query="&amp;SUBSTITUTE(F1517," ",""))),"")</f>
        <v/>
      </c>
      <c r="M1517" s="8">
        <f>IF(B1517&lt;&gt;"",TODAY(),"")</f>
        <v/>
      </c>
      <c r="N1517" s="8">
        <f>IF(F1517&lt;&gt;"",IFERROR(IF(AND(REGEXMATCH(SUBSTITUTE(TRIM(F1517)," ",""),"^-?\d+(\.\d+)?,-?\d+(\.\d+)?$"),VALUE(REGEXEXTRACT(SUBSTITUTE(TRIM(F1517)," ",""),"^-?\d+(\.\d+)?"))&gt;=-90,VALUE(REGEXEXTRACT(SUBSTITUTE(TRIM(F1517)," ",""),"^-?\d+(\.\d+)?"))&lt;=90,VALUE(REGEXEXTRACT(SUBSTITUTE(TRIM(F1517)," ",""),"-?\d+(\.\d+)?$"))&gt;=-180,VALUE(REGEXEXTRACT(SUBSTITUTE(TRIM(F1517)," ",""),"-?\d+(\.\d+)?$"))&lt;=180),"OK","REVISAR"),"REVISAR"),"")</f>
        <v/>
      </c>
      <c r="O1517">
        <f>IF(A1517&lt;&gt;"","https://direcciones507.github.io/direcciones507/panel.html?codigo="&amp;A1517&amp;"&amp;nombre="&amp;ENCODEURL(B1517)&amp;"&amp;telefono="&amp;SUBSTITUTE(C1517,"-","")&amp;"&amp;referencia="&amp;ENCODEURL(E1517)&amp;"&amp;lat="&amp;IZQUIERDA(SUBSTITUTE(F1517," ",""),ENCONTRAR(",",SUBSTITUTE(F1517," ",""))-1)&amp;"&amp;lng="&amp;DERECHA(SUBSTITUTE(F1517," ",""),LARGO(SUBSTITUTE(F1517," ",""))-ENCONTRAR(",",SUBSTITUTE(F1517," ",""))),"")</f>
        <v/>
      </c>
    </row>
    <row r="1518" ht="15.75" customHeight="1" s="10">
      <c r="A1518" s="8">
        <f>CONCAT("AD507-",TEXT(ROW()-2,"0000"))</f>
        <v/>
      </c>
      <c r="C1518" s="8" t="n"/>
      <c r="F1518" s="8" t="n"/>
      <c r="G1518" s="8">
        <f>IF(F1518&lt;&gt;"",HYPERLINK("https://www.google.com/maps/search/?api=1&amp;query="&amp;SUBSTITUTE(F1518," ",""),"🗺 Google Maps"),"")</f>
        <v/>
      </c>
      <c r="H1518" s="8">
        <f>IF(F1518&lt;&gt;"",HYPERLINK("https://waze.com/ul?ll="&amp;SUBSTITUTE(F1518," ","")&amp;"&amp;navigate=yes","🚗 Waze"),"")</f>
        <v/>
      </c>
      <c r="I1518" s="8">
        <f>IF(F1518&lt;&gt;"",HYPERLINK("https://m.uber.com/ul/?action=setPickup&amp;pickup=my_location&amp;dropoff[latitude]="&amp;LEFT(SUBSTITUTE(F1518," ",""),FIND(",",SUBSTITUTE(F1518," ",""))-1)&amp;"&amp;dropoff[longitude]="&amp;MID(SUBSTITUTE(F1518," ",""),FIND(",",SUBSTITUTE(F1518," ",""))+1,99),"🚕 Uber"),"")</f>
        <v/>
      </c>
      <c r="J1518" s="8">
        <f>IF(F1518&lt;&gt;"","https://api.qrserver.com/v1/create-qr-code/?size=200x200&amp;data="&amp;ENCODEURL("https://www.google.com/maps/search/?api=1&amp;query="&amp;SUBSTITUTE(F1518," ","")),"")</f>
        <v/>
      </c>
      <c r="K1518" s="8">
        <f>IF(C1518&lt;&gt;"",HYPERLINK("https://wa.me/507"&amp;REGEXREPLACE(C1518,"[^0-9]","")&amp;"?text="&amp;ENCODEURL("Ya llegue. Codigo: "&amp;A1518&amp;". Ubicacion: "&amp;"https://www.google.com/maps/search/?api=1&amp;query="&amp;SUBSTITUTE(F1518," ","")),"📲 Avisar al cliente"),"")</f>
        <v/>
      </c>
      <c r="L1518" s="8">
        <f>IF(C1518&lt;&gt;"","https://api.qrserver.com/v1/create-qr-code/?size=200x200&amp;data="&amp;ENCODEURL("https://wa.me/507"&amp;REGEXREPLACE(C1518,"[^0-9]","")&amp;"?text="&amp;ENCODEURL("Ya llegue. Codigo: "&amp;A1518&amp;". Ubicacion: "&amp;"https://www.google.com/maps/search/?api=1&amp;query="&amp;SUBSTITUTE(F1518," ",""))),"")</f>
        <v/>
      </c>
      <c r="M1518" s="8">
        <f>IF(B1518&lt;&gt;"",TODAY(),"")</f>
        <v/>
      </c>
      <c r="N1518" s="8">
        <f>IF(F1518&lt;&gt;"",IFERROR(IF(AND(REGEXMATCH(SUBSTITUTE(TRIM(F1518)," ",""),"^-?\d+(\.\d+)?,-?\d+(\.\d+)?$"),VALUE(REGEXEXTRACT(SUBSTITUTE(TRIM(F1518)," ",""),"^-?\d+(\.\d+)?"))&gt;=-90,VALUE(REGEXEXTRACT(SUBSTITUTE(TRIM(F1518)," ",""),"^-?\d+(\.\d+)?"))&lt;=90,VALUE(REGEXEXTRACT(SUBSTITUTE(TRIM(F1518)," ",""),"-?\d+(\.\d+)?$"))&gt;=-180,VALUE(REGEXEXTRACT(SUBSTITUTE(TRIM(F1518)," ",""),"-?\d+(\.\d+)?$"))&lt;=180),"OK","REVISAR"),"REVISAR"),"")</f>
        <v/>
      </c>
      <c r="O1518">
        <f>IF(A1518&lt;&gt;"","https://direcciones507.github.io/direcciones507/panel.html?codigo="&amp;A1518&amp;"&amp;nombre="&amp;ENCODEURL(B1518)&amp;"&amp;telefono="&amp;SUBSTITUTE(C1518,"-","")&amp;"&amp;referencia="&amp;ENCODEURL(E1518)&amp;"&amp;lat="&amp;IZQUIERDA(SUBSTITUTE(F1518," ",""),ENCONTRAR(",",SUBSTITUTE(F1518," ",""))-1)&amp;"&amp;lng="&amp;DERECHA(SUBSTITUTE(F1518," ",""),LARGO(SUBSTITUTE(F1518," ",""))-ENCONTRAR(",",SUBSTITUTE(F1518," ",""))),"")</f>
        <v/>
      </c>
    </row>
    <row r="1519" ht="15.75" customHeight="1" s="10">
      <c r="A1519" s="8">
        <f>CONCAT("AD507-",TEXT(ROW()-2,"0000"))</f>
        <v/>
      </c>
      <c r="C1519" s="8" t="n"/>
      <c r="F1519" s="8" t="n"/>
      <c r="G1519" s="8">
        <f>IF(F1519&lt;&gt;"",HYPERLINK("https://www.google.com/maps/search/?api=1&amp;query="&amp;SUBSTITUTE(F1519," ",""),"🗺 Google Maps"),"")</f>
        <v/>
      </c>
      <c r="H1519" s="8">
        <f>IF(F1519&lt;&gt;"",HYPERLINK("https://waze.com/ul?ll="&amp;SUBSTITUTE(F1519," ","")&amp;"&amp;navigate=yes","🚗 Waze"),"")</f>
        <v/>
      </c>
      <c r="I1519" s="8">
        <f>IF(F1519&lt;&gt;"",HYPERLINK("https://m.uber.com/ul/?action=setPickup&amp;pickup=my_location&amp;dropoff[latitude]="&amp;LEFT(SUBSTITUTE(F1519," ",""),FIND(",",SUBSTITUTE(F1519," ",""))-1)&amp;"&amp;dropoff[longitude]="&amp;MID(SUBSTITUTE(F1519," ",""),FIND(",",SUBSTITUTE(F1519," ",""))+1,99),"🚕 Uber"),"")</f>
        <v/>
      </c>
      <c r="J1519" s="8">
        <f>IF(F1519&lt;&gt;"","https://api.qrserver.com/v1/create-qr-code/?size=200x200&amp;data="&amp;ENCODEURL("https://www.google.com/maps/search/?api=1&amp;query="&amp;SUBSTITUTE(F1519," ","")),"")</f>
        <v/>
      </c>
      <c r="K1519" s="8">
        <f>IF(C1519&lt;&gt;"",HYPERLINK("https://wa.me/507"&amp;REGEXREPLACE(C1519,"[^0-9]","")&amp;"?text="&amp;ENCODEURL("Ya llegue. Codigo: "&amp;A1519&amp;". Ubicacion: "&amp;"https://www.google.com/maps/search/?api=1&amp;query="&amp;SUBSTITUTE(F1519," ","")),"📲 Avisar al cliente"),"")</f>
        <v/>
      </c>
      <c r="L1519" s="8">
        <f>IF(C1519&lt;&gt;"","https://api.qrserver.com/v1/create-qr-code/?size=200x200&amp;data="&amp;ENCODEURL("https://wa.me/507"&amp;REGEXREPLACE(C1519,"[^0-9]","")&amp;"?text="&amp;ENCODEURL("Ya llegue. Codigo: "&amp;A1519&amp;". Ubicacion: "&amp;"https://www.google.com/maps/search/?api=1&amp;query="&amp;SUBSTITUTE(F1519," ",""))),"")</f>
        <v/>
      </c>
      <c r="M1519" s="8">
        <f>IF(B1519&lt;&gt;"",TODAY(),"")</f>
        <v/>
      </c>
      <c r="N1519" s="8">
        <f>IF(F1519&lt;&gt;"",IFERROR(IF(AND(REGEXMATCH(SUBSTITUTE(TRIM(F1519)," ",""),"^-?\d+(\.\d+)?,-?\d+(\.\d+)?$"),VALUE(REGEXEXTRACT(SUBSTITUTE(TRIM(F1519)," ",""),"^-?\d+(\.\d+)?"))&gt;=-90,VALUE(REGEXEXTRACT(SUBSTITUTE(TRIM(F1519)," ",""),"^-?\d+(\.\d+)?"))&lt;=90,VALUE(REGEXEXTRACT(SUBSTITUTE(TRIM(F1519)," ",""),"-?\d+(\.\d+)?$"))&gt;=-180,VALUE(REGEXEXTRACT(SUBSTITUTE(TRIM(F1519)," ",""),"-?\d+(\.\d+)?$"))&lt;=180),"OK","REVISAR"),"REVISAR"),"")</f>
        <v/>
      </c>
      <c r="O1519">
        <f>IF(A1519&lt;&gt;"","https://direcciones507.github.io/direcciones507/panel.html?codigo="&amp;A1519&amp;"&amp;nombre="&amp;ENCODEURL(B1519)&amp;"&amp;telefono="&amp;SUBSTITUTE(C1519,"-","")&amp;"&amp;referencia="&amp;ENCODEURL(E1519)&amp;"&amp;lat="&amp;IZQUIERDA(SUBSTITUTE(F1519," ",""),ENCONTRAR(",",SUBSTITUTE(F1519," ",""))-1)&amp;"&amp;lng="&amp;DERECHA(SUBSTITUTE(F1519," ",""),LARGO(SUBSTITUTE(F1519," ",""))-ENCONTRAR(",",SUBSTITUTE(F1519," ",""))),"")</f>
        <v/>
      </c>
    </row>
    <row r="1520" ht="15.75" customHeight="1" s="10">
      <c r="A1520" s="8">
        <f>CONCAT("AD507-",TEXT(ROW()-2,"0000"))</f>
        <v/>
      </c>
      <c r="C1520" s="8" t="n"/>
      <c r="F1520" s="8" t="n"/>
      <c r="G1520" s="8">
        <f>IF(F1520&lt;&gt;"",HYPERLINK("https://www.google.com/maps/search/?api=1&amp;query="&amp;SUBSTITUTE(F1520," ",""),"🗺 Google Maps"),"")</f>
        <v/>
      </c>
      <c r="H1520" s="8">
        <f>IF(F1520&lt;&gt;"",HYPERLINK("https://waze.com/ul?ll="&amp;SUBSTITUTE(F1520," ","")&amp;"&amp;navigate=yes","🚗 Waze"),"")</f>
        <v/>
      </c>
      <c r="I1520" s="8">
        <f>IF(F1520&lt;&gt;"",HYPERLINK("https://m.uber.com/ul/?action=setPickup&amp;pickup=my_location&amp;dropoff[latitude]="&amp;LEFT(SUBSTITUTE(F1520," ",""),FIND(",",SUBSTITUTE(F1520," ",""))-1)&amp;"&amp;dropoff[longitude]="&amp;MID(SUBSTITUTE(F1520," ",""),FIND(",",SUBSTITUTE(F1520," ",""))+1,99),"🚕 Uber"),"")</f>
        <v/>
      </c>
      <c r="J1520" s="8">
        <f>IF(F1520&lt;&gt;"","https://api.qrserver.com/v1/create-qr-code/?size=200x200&amp;data="&amp;ENCODEURL("https://www.google.com/maps/search/?api=1&amp;query="&amp;SUBSTITUTE(F1520," ","")),"")</f>
        <v/>
      </c>
      <c r="K1520" s="8">
        <f>IF(C1520&lt;&gt;"",HYPERLINK("https://wa.me/507"&amp;REGEXREPLACE(C1520,"[^0-9]","")&amp;"?text="&amp;ENCODEURL("Ya llegue. Codigo: "&amp;A1520&amp;". Ubicacion: "&amp;"https://www.google.com/maps/search/?api=1&amp;query="&amp;SUBSTITUTE(F1520," ","")),"📲 Avisar al cliente"),"")</f>
        <v/>
      </c>
      <c r="L1520" s="8">
        <f>IF(C1520&lt;&gt;"","https://api.qrserver.com/v1/create-qr-code/?size=200x200&amp;data="&amp;ENCODEURL("https://wa.me/507"&amp;REGEXREPLACE(C1520,"[^0-9]","")&amp;"?text="&amp;ENCODEURL("Ya llegue. Codigo: "&amp;A1520&amp;". Ubicacion: "&amp;"https://www.google.com/maps/search/?api=1&amp;query="&amp;SUBSTITUTE(F1520," ",""))),"")</f>
        <v/>
      </c>
      <c r="M1520" s="8">
        <f>IF(B1520&lt;&gt;"",TODAY(),"")</f>
        <v/>
      </c>
      <c r="N1520" s="8">
        <f>IF(F1520&lt;&gt;"",IFERROR(IF(AND(REGEXMATCH(SUBSTITUTE(TRIM(F1520)," ",""),"^-?\d+(\.\d+)?,-?\d+(\.\d+)?$"),VALUE(REGEXEXTRACT(SUBSTITUTE(TRIM(F1520)," ",""),"^-?\d+(\.\d+)?"))&gt;=-90,VALUE(REGEXEXTRACT(SUBSTITUTE(TRIM(F1520)," ",""),"^-?\d+(\.\d+)?"))&lt;=90,VALUE(REGEXEXTRACT(SUBSTITUTE(TRIM(F1520)," ",""),"-?\d+(\.\d+)?$"))&gt;=-180,VALUE(REGEXEXTRACT(SUBSTITUTE(TRIM(F1520)," ",""),"-?\d+(\.\d+)?$"))&lt;=180),"OK","REVISAR"),"REVISAR"),"")</f>
        <v/>
      </c>
      <c r="O1520">
        <f>IF(A1520&lt;&gt;"","https://direcciones507.github.io/direcciones507/panel.html?codigo="&amp;A1520&amp;"&amp;nombre="&amp;ENCODEURL(B1520)&amp;"&amp;telefono="&amp;SUBSTITUTE(C1520,"-","")&amp;"&amp;referencia="&amp;ENCODEURL(E1520)&amp;"&amp;lat="&amp;IZQUIERDA(SUBSTITUTE(F1520," ",""),ENCONTRAR(",",SUBSTITUTE(F1520," ",""))-1)&amp;"&amp;lng="&amp;DERECHA(SUBSTITUTE(F1520," ",""),LARGO(SUBSTITUTE(F1520," ",""))-ENCONTRAR(",",SUBSTITUTE(F1520," ",""))),"")</f>
        <v/>
      </c>
    </row>
    <row r="1521" ht="15.75" customHeight="1" s="10">
      <c r="A1521" s="8">
        <f>CONCAT("AD507-",TEXT(ROW()-2,"0000"))</f>
        <v/>
      </c>
      <c r="C1521" s="8" t="n"/>
      <c r="F1521" s="8" t="n"/>
      <c r="G1521" s="8">
        <f>IF(F1521&lt;&gt;"",HYPERLINK("https://www.google.com/maps/search/?api=1&amp;query="&amp;SUBSTITUTE(F1521," ",""),"🗺 Google Maps"),"")</f>
        <v/>
      </c>
      <c r="H1521" s="8">
        <f>IF(F1521&lt;&gt;"",HYPERLINK("https://waze.com/ul?ll="&amp;SUBSTITUTE(F1521," ","")&amp;"&amp;navigate=yes","🚗 Waze"),"")</f>
        <v/>
      </c>
      <c r="I1521" s="8">
        <f>IF(F1521&lt;&gt;"",HYPERLINK("https://m.uber.com/ul/?action=setPickup&amp;pickup=my_location&amp;dropoff[latitude]="&amp;LEFT(SUBSTITUTE(F1521," ",""),FIND(",",SUBSTITUTE(F1521," ",""))-1)&amp;"&amp;dropoff[longitude]="&amp;MID(SUBSTITUTE(F1521," ",""),FIND(",",SUBSTITUTE(F1521," ",""))+1,99),"🚕 Uber"),"")</f>
        <v/>
      </c>
      <c r="J1521" s="8">
        <f>IF(F1521&lt;&gt;"","https://api.qrserver.com/v1/create-qr-code/?size=200x200&amp;data="&amp;ENCODEURL("https://www.google.com/maps/search/?api=1&amp;query="&amp;SUBSTITUTE(F1521," ","")),"")</f>
        <v/>
      </c>
      <c r="K1521" s="8">
        <f>IF(C1521&lt;&gt;"",HYPERLINK("https://wa.me/507"&amp;REGEXREPLACE(C1521,"[^0-9]","")&amp;"?text="&amp;ENCODEURL("Ya llegue. Codigo: "&amp;A1521&amp;". Ubicacion: "&amp;"https://www.google.com/maps/search/?api=1&amp;query="&amp;SUBSTITUTE(F1521," ","")),"📲 Avisar al cliente"),"")</f>
        <v/>
      </c>
      <c r="L1521" s="8">
        <f>IF(C1521&lt;&gt;"","https://api.qrserver.com/v1/create-qr-code/?size=200x200&amp;data="&amp;ENCODEURL("https://wa.me/507"&amp;REGEXREPLACE(C1521,"[^0-9]","")&amp;"?text="&amp;ENCODEURL("Ya llegue. Codigo: "&amp;A1521&amp;". Ubicacion: "&amp;"https://www.google.com/maps/search/?api=1&amp;query="&amp;SUBSTITUTE(F1521," ",""))),"")</f>
        <v/>
      </c>
      <c r="M1521" s="8">
        <f>IF(B1521&lt;&gt;"",TODAY(),"")</f>
        <v/>
      </c>
      <c r="N1521" s="8">
        <f>IF(F1521&lt;&gt;"",IFERROR(IF(AND(REGEXMATCH(SUBSTITUTE(TRIM(F1521)," ",""),"^-?\d+(\.\d+)?,-?\d+(\.\d+)?$"),VALUE(REGEXEXTRACT(SUBSTITUTE(TRIM(F1521)," ",""),"^-?\d+(\.\d+)?"))&gt;=-90,VALUE(REGEXEXTRACT(SUBSTITUTE(TRIM(F1521)," ",""),"^-?\d+(\.\d+)?"))&lt;=90,VALUE(REGEXEXTRACT(SUBSTITUTE(TRIM(F1521)," ",""),"-?\d+(\.\d+)?$"))&gt;=-180,VALUE(REGEXEXTRACT(SUBSTITUTE(TRIM(F1521)," ",""),"-?\d+(\.\d+)?$"))&lt;=180),"OK","REVISAR"),"REVISAR"),"")</f>
        <v/>
      </c>
      <c r="O1521">
        <f>IF(A1521&lt;&gt;"","https://direcciones507.github.io/direcciones507/panel.html?codigo="&amp;A1521&amp;"&amp;nombre="&amp;ENCODEURL(B1521)&amp;"&amp;telefono="&amp;SUBSTITUTE(C1521,"-","")&amp;"&amp;referencia="&amp;ENCODEURL(E1521)&amp;"&amp;lat="&amp;IZQUIERDA(SUBSTITUTE(F1521," ",""),ENCONTRAR(",",SUBSTITUTE(F1521," ",""))-1)&amp;"&amp;lng="&amp;DERECHA(SUBSTITUTE(F1521," ",""),LARGO(SUBSTITUTE(F1521," ",""))-ENCONTRAR(",",SUBSTITUTE(F1521," ",""))),"")</f>
        <v/>
      </c>
    </row>
    <row r="1522" ht="15.75" customHeight="1" s="10">
      <c r="A1522" s="8">
        <f>CONCAT("AD507-",TEXT(ROW()-2,"0000"))</f>
        <v/>
      </c>
      <c r="C1522" s="8" t="n"/>
      <c r="F1522" s="8" t="n"/>
      <c r="G1522" s="8">
        <f>IF(F1522&lt;&gt;"",HYPERLINK("https://www.google.com/maps/search/?api=1&amp;query="&amp;SUBSTITUTE(F1522," ",""),"🗺 Google Maps"),"")</f>
        <v/>
      </c>
      <c r="H1522" s="8">
        <f>IF(F1522&lt;&gt;"",HYPERLINK("https://waze.com/ul?ll="&amp;SUBSTITUTE(F1522," ","")&amp;"&amp;navigate=yes","🚗 Waze"),"")</f>
        <v/>
      </c>
      <c r="I1522" s="8">
        <f>IF(F1522&lt;&gt;"",HYPERLINK("https://m.uber.com/ul/?action=setPickup&amp;pickup=my_location&amp;dropoff[latitude]="&amp;LEFT(SUBSTITUTE(F1522," ",""),FIND(",",SUBSTITUTE(F1522," ",""))-1)&amp;"&amp;dropoff[longitude]="&amp;MID(SUBSTITUTE(F1522," ",""),FIND(",",SUBSTITUTE(F1522," ",""))+1,99),"🚕 Uber"),"")</f>
        <v/>
      </c>
      <c r="J1522" s="8">
        <f>IF(F1522&lt;&gt;"","https://api.qrserver.com/v1/create-qr-code/?size=200x200&amp;data="&amp;ENCODEURL("https://www.google.com/maps/search/?api=1&amp;query="&amp;SUBSTITUTE(F1522," ","")),"")</f>
        <v/>
      </c>
      <c r="K1522" s="8">
        <f>IF(C1522&lt;&gt;"",HYPERLINK("https://wa.me/507"&amp;REGEXREPLACE(C1522,"[^0-9]","")&amp;"?text="&amp;ENCODEURL("Ya llegue. Codigo: "&amp;A1522&amp;". Ubicacion: "&amp;"https://www.google.com/maps/search/?api=1&amp;query="&amp;SUBSTITUTE(F1522," ","")),"📲 Avisar al cliente"),"")</f>
        <v/>
      </c>
      <c r="L1522" s="8">
        <f>IF(C1522&lt;&gt;"","https://api.qrserver.com/v1/create-qr-code/?size=200x200&amp;data="&amp;ENCODEURL("https://wa.me/507"&amp;REGEXREPLACE(C1522,"[^0-9]","")&amp;"?text="&amp;ENCODEURL("Ya llegue. Codigo: "&amp;A1522&amp;". Ubicacion: "&amp;"https://www.google.com/maps/search/?api=1&amp;query="&amp;SUBSTITUTE(F1522," ",""))),"")</f>
        <v/>
      </c>
      <c r="M1522" s="8">
        <f>IF(B1522&lt;&gt;"",TODAY(),"")</f>
        <v/>
      </c>
      <c r="N1522" s="8">
        <f>IF(F1522&lt;&gt;"",IFERROR(IF(AND(REGEXMATCH(SUBSTITUTE(TRIM(F1522)," ",""),"^-?\d+(\.\d+)?,-?\d+(\.\d+)?$"),VALUE(REGEXEXTRACT(SUBSTITUTE(TRIM(F1522)," ",""),"^-?\d+(\.\d+)?"))&gt;=-90,VALUE(REGEXEXTRACT(SUBSTITUTE(TRIM(F1522)," ",""),"^-?\d+(\.\d+)?"))&lt;=90,VALUE(REGEXEXTRACT(SUBSTITUTE(TRIM(F1522)," ",""),"-?\d+(\.\d+)?$"))&gt;=-180,VALUE(REGEXEXTRACT(SUBSTITUTE(TRIM(F1522)," ",""),"-?\d+(\.\d+)?$"))&lt;=180),"OK","REVISAR"),"REVISAR"),"")</f>
        <v/>
      </c>
      <c r="O1522">
        <f>IF(A1522&lt;&gt;"","https://direcciones507.github.io/direcciones507/panel.html?codigo="&amp;A1522&amp;"&amp;nombre="&amp;ENCODEURL(B1522)&amp;"&amp;telefono="&amp;SUBSTITUTE(C1522,"-","")&amp;"&amp;referencia="&amp;ENCODEURL(E1522)&amp;"&amp;lat="&amp;IZQUIERDA(SUBSTITUTE(F1522," ",""),ENCONTRAR(",",SUBSTITUTE(F1522," ",""))-1)&amp;"&amp;lng="&amp;DERECHA(SUBSTITUTE(F1522," ",""),LARGO(SUBSTITUTE(F1522," ",""))-ENCONTRAR(",",SUBSTITUTE(F1522," ",""))),"")</f>
        <v/>
      </c>
    </row>
    <row r="1523" ht="15.75" customHeight="1" s="10">
      <c r="A1523" s="8">
        <f>CONCAT("AD507-",TEXT(ROW()-2,"0000"))</f>
        <v/>
      </c>
      <c r="C1523" s="8" t="n"/>
      <c r="F1523" s="8" t="n"/>
      <c r="G1523" s="8">
        <f>IF(F1523&lt;&gt;"",HYPERLINK("https://www.google.com/maps/search/?api=1&amp;query="&amp;SUBSTITUTE(F1523," ",""),"🗺 Google Maps"),"")</f>
        <v/>
      </c>
      <c r="H1523" s="8">
        <f>IF(F1523&lt;&gt;"",HYPERLINK("https://waze.com/ul?ll="&amp;SUBSTITUTE(F1523," ","")&amp;"&amp;navigate=yes","🚗 Waze"),"")</f>
        <v/>
      </c>
      <c r="I1523" s="8">
        <f>IF(F1523&lt;&gt;"",HYPERLINK("https://m.uber.com/ul/?action=setPickup&amp;pickup=my_location&amp;dropoff[latitude]="&amp;LEFT(SUBSTITUTE(F1523," ",""),FIND(",",SUBSTITUTE(F1523," ",""))-1)&amp;"&amp;dropoff[longitude]="&amp;MID(SUBSTITUTE(F1523," ",""),FIND(",",SUBSTITUTE(F1523," ",""))+1,99),"🚕 Uber"),"")</f>
        <v/>
      </c>
      <c r="J1523" s="8">
        <f>IF(F1523&lt;&gt;"","https://api.qrserver.com/v1/create-qr-code/?size=200x200&amp;data="&amp;ENCODEURL("https://www.google.com/maps/search/?api=1&amp;query="&amp;SUBSTITUTE(F1523," ","")),"")</f>
        <v/>
      </c>
      <c r="K1523" s="8">
        <f>IF(C1523&lt;&gt;"",HYPERLINK("https://wa.me/507"&amp;REGEXREPLACE(C1523,"[^0-9]","")&amp;"?text="&amp;ENCODEURL("Ya llegue. Codigo: "&amp;A1523&amp;". Ubicacion: "&amp;"https://www.google.com/maps/search/?api=1&amp;query="&amp;SUBSTITUTE(F1523," ","")),"📲 Avisar al cliente"),"")</f>
        <v/>
      </c>
      <c r="L1523" s="8">
        <f>IF(C1523&lt;&gt;"","https://api.qrserver.com/v1/create-qr-code/?size=200x200&amp;data="&amp;ENCODEURL("https://wa.me/507"&amp;REGEXREPLACE(C1523,"[^0-9]","")&amp;"?text="&amp;ENCODEURL("Ya llegue. Codigo: "&amp;A1523&amp;". Ubicacion: "&amp;"https://www.google.com/maps/search/?api=1&amp;query="&amp;SUBSTITUTE(F1523," ",""))),"")</f>
        <v/>
      </c>
      <c r="M1523" s="8">
        <f>IF(B1523&lt;&gt;"",TODAY(),"")</f>
        <v/>
      </c>
      <c r="N1523" s="8">
        <f>IF(F1523&lt;&gt;"",IFERROR(IF(AND(REGEXMATCH(SUBSTITUTE(TRIM(F1523)," ",""),"^-?\d+(\.\d+)?,-?\d+(\.\d+)?$"),VALUE(REGEXEXTRACT(SUBSTITUTE(TRIM(F1523)," ",""),"^-?\d+(\.\d+)?"))&gt;=-90,VALUE(REGEXEXTRACT(SUBSTITUTE(TRIM(F1523)," ",""),"^-?\d+(\.\d+)?"))&lt;=90,VALUE(REGEXEXTRACT(SUBSTITUTE(TRIM(F1523)," ",""),"-?\d+(\.\d+)?$"))&gt;=-180,VALUE(REGEXEXTRACT(SUBSTITUTE(TRIM(F1523)," ",""),"-?\d+(\.\d+)?$"))&lt;=180),"OK","REVISAR"),"REVISAR"),"")</f>
        <v/>
      </c>
      <c r="O1523">
        <f>IF(A1523&lt;&gt;"","https://direcciones507.github.io/direcciones507/panel.html?codigo="&amp;A1523&amp;"&amp;nombre="&amp;ENCODEURL(B1523)&amp;"&amp;telefono="&amp;SUBSTITUTE(C1523,"-","")&amp;"&amp;referencia="&amp;ENCODEURL(E1523)&amp;"&amp;lat="&amp;IZQUIERDA(SUBSTITUTE(F1523," ",""),ENCONTRAR(",",SUBSTITUTE(F1523," ",""))-1)&amp;"&amp;lng="&amp;DERECHA(SUBSTITUTE(F1523," ",""),LARGO(SUBSTITUTE(F1523," ",""))-ENCONTRAR(",",SUBSTITUTE(F1523," ",""))),"")</f>
        <v/>
      </c>
    </row>
    <row r="1524" ht="15.75" customHeight="1" s="10">
      <c r="A1524" s="8">
        <f>CONCAT("AD507-",TEXT(ROW()-2,"0000"))</f>
        <v/>
      </c>
      <c r="C1524" s="8" t="n"/>
      <c r="F1524" s="8" t="n"/>
      <c r="G1524" s="8">
        <f>IF(F1524&lt;&gt;"",HYPERLINK("https://www.google.com/maps/search/?api=1&amp;query="&amp;SUBSTITUTE(F1524," ",""),"🗺 Google Maps"),"")</f>
        <v/>
      </c>
      <c r="H1524" s="8">
        <f>IF(F1524&lt;&gt;"",HYPERLINK("https://waze.com/ul?ll="&amp;SUBSTITUTE(F1524," ","")&amp;"&amp;navigate=yes","🚗 Waze"),"")</f>
        <v/>
      </c>
      <c r="I1524" s="8">
        <f>IF(F1524&lt;&gt;"",HYPERLINK("https://m.uber.com/ul/?action=setPickup&amp;pickup=my_location&amp;dropoff[latitude]="&amp;LEFT(SUBSTITUTE(F1524," ",""),FIND(",",SUBSTITUTE(F1524," ",""))-1)&amp;"&amp;dropoff[longitude]="&amp;MID(SUBSTITUTE(F1524," ",""),FIND(",",SUBSTITUTE(F1524," ",""))+1,99),"🚕 Uber"),"")</f>
        <v/>
      </c>
      <c r="J1524" s="8">
        <f>IF(F1524&lt;&gt;"","https://api.qrserver.com/v1/create-qr-code/?size=200x200&amp;data="&amp;ENCODEURL("https://www.google.com/maps/search/?api=1&amp;query="&amp;SUBSTITUTE(F1524," ","")),"")</f>
        <v/>
      </c>
      <c r="K1524" s="8">
        <f>IF(C1524&lt;&gt;"",HYPERLINK("https://wa.me/507"&amp;REGEXREPLACE(C1524,"[^0-9]","")&amp;"?text="&amp;ENCODEURL("Ya llegue. Codigo: "&amp;A1524&amp;". Ubicacion: "&amp;"https://www.google.com/maps/search/?api=1&amp;query="&amp;SUBSTITUTE(F1524," ","")),"📲 Avisar al cliente"),"")</f>
        <v/>
      </c>
      <c r="L1524" s="8">
        <f>IF(C1524&lt;&gt;"","https://api.qrserver.com/v1/create-qr-code/?size=200x200&amp;data="&amp;ENCODEURL("https://wa.me/507"&amp;REGEXREPLACE(C1524,"[^0-9]","")&amp;"?text="&amp;ENCODEURL("Ya llegue. Codigo: "&amp;A1524&amp;". Ubicacion: "&amp;"https://www.google.com/maps/search/?api=1&amp;query="&amp;SUBSTITUTE(F1524," ",""))),"")</f>
        <v/>
      </c>
      <c r="M1524" s="8">
        <f>IF(B1524&lt;&gt;"",TODAY(),"")</f>
        <v/>
      </c>
      <c r="N1524" s="8">
        <f>IF(F1524&lt;&gt;"",IFERROR(IF(AND(REGEXMATCH(SUBSTITUTE(TRIM(F1524)," ",""),"^-?\d+(\.\d+)?,-?\d+(\.\d+)?$"),VALUE(REGEXEXTRACT(SUBSTITUTE(TRIM(F1524)," ",""),"^-?\d+(\.\d+)?"))&gt;=-90,VALUE(REGEXEXTRACT(SUBSTITUTE(TRIM(F1524)," ",""),"^-?\d+(\.\d+)?"))&lt;=90,VALUE(REGEXEXTRACT(SUBSTITUTE(TRIM(F1524)," ",""),"-?\d+(\.\d+)?$"))&gt;=-180,VALUE(REGEXEXTRACT(SUBSTITUTE(TRIM(F1524)," ",""),"-?\d+(\.\d+)?$"))&lt;=180),"OK","REVISAR"),"REVISAR"),"")</f>
        <v/>
      </c>
      <c r="O1524">
        <f>IF(A1524&lt;&gt;"","https://direcciones507.github.io/direcciones507/panel.html?codigo="&amp;A1524&amp;"&amp;nombre="&amp;ENCODEURL(B1524)&amp;"&amp;telefono="&amp;SUBSTITUTE(C1524,"-","")&amp;"&amp;referencia="&amp;ENCODEURL(E1524)&amp;"&amp;lat="&amp;IZQUIERDA(SUBSTITUTE(F1524," ",""),ENCONTRAR(",",SUBSTITUTE(F1524," ",""))-1)&amp;"&amp;lng="&amp;DERECHA(SUBSTITUTE(F1524," ",""),LARGO(SUBSTITUTE(F1524," ",""))-ENCONTRAR(",",SUBSTITUTE(F1524," ",""))),"")</f>
        <v/>
      </c>
    </row>
    <row r="1525" ht="15.75" customHeight="1" s="10">
      <c r="A1525" s="8">
        <f>CONCAT("AD507-",TEXT(ROW()-2,"0000"))</f>
        <v/>
      </c>
      <c r="C1525" s="8" t="n"/>
      <c r="F1525" s="8" t="n"/>
      <c r="G1525" s="8">
        <f>IF(F1525&lt;&gt;"",HYPERLINK("https://www.google.com/maps/search/?api=1&amp;query="&amp;SUBSTITUTE(F1525," ",""),"🗺 Google Maps"),"")</f>
        <v/>
      </c>
      <c r="H1525" s="8">
        <f>IF(F1525&lt;&gt;"",HYPERLINK("https://waze.com/ul?ll="&amp;SUBSTITUTE(F1525," ","")&amp;"&amp;navigate=yes","🚗 Waze"),"")</f>
        <v/>
      </c>
      <c r="I1525" s="8">
        <f>IF(F1525&lt;&gt;"",HYPERLINK("https://m.uber.com/ul/?action=setPickup&amp;pickup=my_location&amp;dropoff[latitude]="&amp;LEFT(SUBSTITUTE(F1525," ",""),FIND(",",SUBSTITUTE(F1525," ",""))-1)&amp;"&amp;dropoff[longitude]="&amp;MID(SUBSTITUTE(F1525," ",""),FIND(",",SUBSTITUTE(F1525," ",""))+1,99),"🚕 Uber"),"")</f>
        <v/>
      </c>
      <c r="J1525" s="8">
        <f>IF(F1525&lt;&gt;"","https://api.qrserver.com/v1/create-qr-code/?size=200x200&amp;data="&amp;ENCODEURL("https://www.google.com/maps/search/?api=1&amp;query="&amp;SUBSTITUTE(F1525," ","")),"")</f>
        <v/>
      </c>
      <c r="K1525" s="8">
        <f>IF(C1525&lt;&gt;"",HYPERLINK("https://wa.me/507"&amp;REGEXREPLACE(C1525,"[^0-9]","")&amp;"?text="&amp;ENCODEURL("Ya llegue. Codigo: "&amp;A1525&amp;". Ubicacion: "&amp;"https://www.google.com/maps/search/?api=1&amp;query="&amp;SUBSTITUTE(F1525," ","")),"📲 Avisar al cliente"),"")</f>
        <v/>
      </c>
      <c r="L1525" s="8">
        <f>IF(C1525&lt;&gt;"","https://api.qrserver.com/v1/create-qr-code/?size=200x200&amp;data="&amp;ENCODEURL("https://wa.me/507"&amp;REGEXREPLACE(C1525,"[^0-9]","")&amp;"?text="&amp;ENCODEURL("Ya llegue. Codigo: "&amp;A1525&amp;". Ubicacion: "&amp;"https://www.google.com/maps/search/?api=1&amp;query="&amp;SUBSTITUTE(F1525," ",""))),"")</f>
        <v/>
      </c>
      <c r="M1525" s="8">
        <f>IF(B1525&lt;&gt;"",TODAY(),"")</f>
        <v/>
      </c>
      <c r="N1525" s="8">
        <f>IF(F1525&lt;&gt;"",IFERROR(IF(AND(REGEXMATCH(SUBSTITUTE(TRIM(F1525)," ",""),"^-?\d+(\.\d+)?,-?\d+(\.\d+)?$"),VALUE(REGEXEXTRACT(SUBSTITUTE(TRIM(F1525)," ",""),"^-?\d+(\.\d+)?"))&gt;=-90,VALUE(REGEXEXTRACT(SUBSTITUTE(TRIM(F1525)," ",""),"^-?\d+(\.\d+)?"))&lt;=90,VALUE(REGEXEXTRACT(SUBSTITUTE(TRIM(F1525)," ",""),"-?\d+(\.\d+)?$"))&gt;=-180,VALUE(REGEXEXTRACT(SUBSTITUTE(TRIM(F1525)," ",""),"-?\d+(\.\d+)?$"))&lt;=180),"OK","REVISAR"),"REVISAR"),"")</f>
        <v/>
      </c>
      <c r="O1525">
        <f>IF(A1525&lt;&gt;"","https://direcciones507.github.io/direcciones507/panel.html?codigo="&amp;A1525&amp;"&amp;nombre="&amp;ENCODEURL(B1525)&amp;"&amp;telefono="&amp;SUBSTITUTE(C1525,"-","")&amp;"&amp;referencia="&amp;ENCODEURL(E1525)&amp;"&amp;lat="&amp;IZQUIERDA(SUBSTITUTE(F1525," ",""),ENCONTRAR(",",SUBSTITUTE(F1525," ",""))-1)&amp;"&amp;lng="&amp;DERECHA(SUBSTITUTE(F1525," ",""),LARGO(SUBSTITUTE(F1525," ",""))-ENCONTRAR(",",SUBSTITUTE(F1525," ",""))),"")</f>
        <v/>
      </c>
    </row>
    <row r="1526" ht="15.75" customHeight="1" s="10">
      <c r="A1526" s="8">
        <f>CONCAT("AD507-",TEXT(ROW()-2,"0000"))</f>
        <v/>
      </c>
      <c r="C1526" s="8" t="n"/>
      <c r="F1526" s="8" t="n"/>
      <c r="G1526" s="8">
        <f>IF(F1526&lt;&gt;"",HYPERLINK("https://www.google.com/maps/search/?api=1&amp;query="&amp;SUBSTITUTE(F1526," ",""),"🗺 Google Maps"),"")</f>
        <v/>
      </c>
      <c r="H1526" s="8">
        <f>IF(F1526&lt;&gt;"",HYPERLINK("https://waze.com/ul?ll="&amp;SUBSTITUTE(F1526," ","")&amp;"&amp;navigate=yes","🚗 Waze"),"")</f>
        <v/>
      </c>
      <c r="I1526" s="8">
        <f>IF(F1526&lt;&gt;"",HYPERLINK("https://m.uber.com/ul/?action=setPickup&amp;pickup=my_location&amp;dropoff[latitude]="&amp;LEFT(SUBSTITUTE(F1526," ",""),FIND(",",SUBSTITUTE(F1526," ",""))-1)&amp;"&amp;dropoff[longitude]="&amp;MID(SUBSTITUTE(F1526," ",""),FIND(",",SUBSTITUTE(F1526," ",""))+1,99),"🚕 Uber"),"")</f>
        <v/>
      </c>
      <c r="J1526" s="8">
        <f>IF(F1526&lt;&gt;"","https://api.qrserver.com/v1/create-qr-code/?size=200x200&amp;data="&amp;ENCODEURL("https://www.google.com/maps/search/?api=1&amp;query="&amp;SUBSTITUTE(F1526," ","")),"")</f>
        <v/>
      </c>
      <c r="K1526" s="8">
        <f>IF(C1526&lt;&gt;"",HYPERLINK("https://wa.me/507"&amp;REGEXREPLACE(C1526,"[^0-9]","")&amp;"?text="&amp;ENCODEURL("Ya llegue. Codigo: "&amp;A1526&amp;". Ubicacion: "&amp;"https://www.google.com/maps/search/?api=1&amp;query="&amp;SUBSTITUTE(F1526," ","")),"📲 Avisar al cliente"),"")</f>
        <v/>
      </c>
      <c r="L1526" s="8">
        <f>IF(C1526&lt;&gt;"","https://api.qrserver.com/v1/create-qr-code/?size=200x200&amp;data="&amp;ENCODEURL("https://wa.me/507"&amp;REGEXREPLACE(C1526,"[^0-9]","")&amp;"?text="&amp;ENCODEURL("Ya llegue. Codigo: "&amp;A1526&amp;". Ubicacion: "&amp;"https://www.google.com/maps/search/?api=1&amp;query="&amp;SUBSTITUTE(F1526," ",""))),"")</f>
        <v/>
      </c>
      <c r="M1526" s="8">
        <f>IF(B1526&lt;&gt;"",TODAY(),"")</f>
        <v/>
      </c>
      <c r="N1526" s="8">
        <f>IF(F1526&lt;&gt;"",IFERROR(IF(AND(REGEXMATCH(SUBSTITUTE(TRIM(F1526)," ",""),"^-?\d+(\.\d+)?,-?\d+(\.\d+)?$"),VALUE(REGEXEXTRACT(SUBSTITUTE(TRIM(F1526)," ",""),"^-?\d+(\.\d+)?"))&gt;=-90,VALUE(REGEXEXTRACT(SUBSTITUTE(TRIM(F1526)," ",""),"^-?\d+(\.\d+)?"))&lt;=90,VALUE(REGEXEXTRACT(SUBSTITUTE(TRIM(F1526)," ",""),"-?\d+(\.\d+)?$"))&gt;=-180,VALUE(REGEXEXTRACT(SUBSTITUTE(TRIM(F1526)," ",""),"-?\d+(\.\d+)?$"))&lt;=180),"OK","REVISAR"),"REVISAR"),"")</f>
        <v/>
      </c>
      <c r="O1526">
        <f>IF(A1526&lt;&gt;"","https://direcciones507.github.io/direcciones507/panel.html?codigo="&amp;A1526&amp;"&amp;nombre="&amp;ENCODEURL(B1526)&amp;"&amp;telefono="&amp;SUBSTITUTE(C1526,"-","")&amp;"&amp;referencia="&amp;ENCODEURL(E1526)&amp;"&amp;lat="&amp;IZQUIERDA(SUBSTITUTE(F1526," ",""),ENCONTRAR(",",SUBSTITUTE(F1526," ",""))-1)&amp;"&amp;lng="&amp;DERECHA(SUBSTITUTE(F1526," ",""),LARGO(SUBSTITUTE(F1526," ",""))-ENCONTRAR(",",SUBSTITUTE(F1526," ",""))),"")</f>
        <v/>
      </c>
    </row>
    <row r="1527" ht="15.75" customHeight="1" s="10">
      <c r="A1527" s="8">
        <f>CONCAT("AD507-",TEXT(ROW()-2,"0000"))</f>
        <v/>
      </c>
      <c r="C1527" s="8" t="n"/>
      <c r="F1527" s="8" t="n"/>
      <c r="G1527" s="8">
        <f>IF(F1527&lt;&gt;"",HYPERLINK("https://www.google.com/maps/search/?api=1&amp;query="&amp;SUBSTITUTE(F1527," ",""),"🗺 Google Maps"),"")</f>
        <v/>
      </c>
      <c r="H1527" s="8">
        <f>IF(F1527&lt;&gt;"",HYPERLINK("https://waze.com/ul?ll="&amp;SUBSTITUTE(F1527," ","")&amp;"&amp;navigate=yes","🚗 Waze"),"")</f>
        <v/>
      </c>
      <c r="I1527" s="8">
        <f>IF(F1527&lt;&gt;"",HYPERLINK("https://m.uber.com/ul/?action=setPickup&amp;pickup=my_location&amp;dropoff[latitude]="&amp;LEFT(SUBSTITUTE(F1527," ",""),FIND(",",SUBSTITUTE(F1527," ",""))-1)&amp;"&amp;dropoff[longitude]="&amp;MID(SUBSTITUTE(F1527," ",""),FIND(",",SUBSTITUTE(F1527," ",""))+1,99),"🚕 Uber"),"")</f>
        <v/>
      </c>
      <c r="J1527" s="8">
        <f>IF(F1527&lt;&gt;"","https://api.qrserver.com/v1/create-qr-code/?size=200x200&amp;data="&amp;ENCODEURL("https://www.google.com/maps/search/?api=1&amp;query="&amp;SUBSTITUTE(F1527," ","")),"")</f>
        <v/>
      </c>
      <c r="K1527" s="8">
        <f>IF(C1527&lt;&gt;"",HYPERLINK("https://wa.me/507"&amp;REGEXREPLACE(C1527,"[^0-9]","")&amp;"?text="&amp;ENCODEURL("Ya llegue. Codigo: "&amp;A1527&amp;". Ubicacion: "&amp;"https://www.google.com/maps/search/?api=1&amp;query="&amp;SUBSTITUTE(F1527," ","")),"📲 Avisar al cliente"),"")</f>
        <v/>
      </c>
      <c r="L1527" s="8">
        <f>IF(C1527&lt;&gt;"","https://api.qrserver.com/v1/create-qr-code/?size=200x200&amp;data="&amp;ENCODEURL("https://wa.me/507"&amp;REGEXREPLACE(C1527,"[^0-9]","")&amp;"?text="&amp;ENCODEURL("Ya llegue. Codigo: "&amp;A1527&amp;". Ubicacion: "&amp;"https://www.google.com/maps/search/?api=1&amp;query="&amp;SUBSTITUTE(F1527," ",""))),"")</f>
        <v/>
      </c>
      <c r="M1527" s="8">
        <f>IF(B1527&lt;&gt;"",TODAY(),"")</f>
        <v/>
      </c>
      <c r="N1527" s="8">
        <f>IF(F1527&lt;&gt;"",IFERROR(IF(AND(REGEXMATCH(SUBSTITUTE(TRIM(F1527)," ",""),"^-?\d+(\.\d+)?,-?\d+(\.\d+)?$"),VALUE(REGEXEXTRACT(SUBSTITUTE(TRIM(F1527)," ",""),"^-?\d+(\.\d+)?"))&gt;=-90,VALUE(REGEXEXTRACT(SUBSTITUTE(TRIM(F1527)," ",""),"^-?\d+(\.\d+)?"))&lt;=90,VALUE(REGEXEXTRACT(SUBSTITUTE(TRIM(F1527)," ",""),"-?\d+(\.\d+)?$"))&gt;=-180,VALUE(REGEXEXTRACT(SUBSTITUTE(TRIM(F1527)," ",""),"-?\d+(\.\d+)?$"))&lt;=180),"OK","REVISAR"),"REVISAR"),"")</f>
        <v/>
      </c>
      <c r="O1527">
        <f>IF(A1527&lt;&gt;"","https://direcciones507.github.io/direcciones507/panel.html?codigo="&amp;A1527&amp;"&amp;nombre="&amp;ENCODEURL(B1527)&amp;"&amp;telefono="&amp;SUBSTITUTE(C1527,"-","")&amp;"&amp;referencia="&amp;ENCODEURL(E1527)&amp;"&amp;lat="&amp;IZQUIERDA(SUBSTITUTE(F1527," ",""),ENCONTRAR(",",SUBSTITUTE(F1527," ",""))-1)&amp;"&amp;lng="&amp;DERECHA(SUBSTITUTE(F1527," ",""),LARGO(SUBSTITUTE(F1527," ",""))-ENCONTRAR(",",SUBSTITUTE(F1527," ",""))),"")</f>
        <v/>
      </c>
    </row>
    <row r="1528" ht="15.75" customHeight="1" s="10">
      <c r="A1528" s="8">
        <f>CONCAT("AD507-",TEXT(ROW()-2,"0000"))</f>
        <v/>
      </c>
      <c r="C1528" s="8" t="n"/>
      <c r="F1528" s="8" t="n"/>
      <c r="G1528" s="8">
        <f>IF(F1528&lt;&gt;"",HYPERLINK("https://www.google.com/maps/search/?api=1&amp;query="&amp;SUBSTITUTE(F1528," ",""),"🗺 Google Maps"),"")</f>
        <v/>
      </c>
      <c r="H1528" s="8">
        <f>IF(F1528&lt;&gt;"",HYPERLINK("https://waze.com/ul?ll="&amp;SUBSTITUTE(F1528," ","")&amp;"&amp;navigate=yes","🚗 Waze"),"")</f>
        <v/>
      </c>
      <c r="I1528" s="8">
        <f>IF(F1528&lt;&gt;"",HYPERLINK("https://m.uber.com/ul/?action=setPickup&amp;pickup=my_location&amp;dropoff[latitude]="&amp;LEFT(SUBSTITUTE(F1528," ",""),FIND(",",SUBSTITUTE(F1528," ",""))-1)&amp;"&amp;dropoff[longitude]="&amp;MID(SUBSTITUTE(F1528," ",""),FIND(",",SUBSTITUTE(F1528," ",""))+1,99),"🚕 Uber"),"")</f>
        <v/>
      </c>
      <c r="J1528" s="8">
        <f>IF(F1528&lt;&gt;"","https://api.qrserver.com/v1/create-qr-code/?size=200x200&amp;data="&amp;ENCODEURL("https://www.google.com/maps/search/?api=1&amp;query="&amp;SUBSTITUTE(F1528," ","")),"")</f>
        <v/>
      </c>
      <c r="K1528" s="8">
        <f>IF(C1528&lt;&gt;"",HYPERLINK("https://wa.me/507"&amp;REGEXREPLACE(C1528,"[^0-9]","")&amp;"?text="&amp;ENCODEURL("Ya llegue. Codigo: "&amp;A1528&amp;". Ubicacion: "&amp;"https://www.google.com/maps/search/?api=1&amp;query="&amp;SUBSTITUTE(F1528," ","")),"📲 Avisar al cliente"),"")</f>
        <v/>
      </c>
      <c r="L1528" s="8">
        <f>IF(C1528&lt;&gt;"","https://api.qrserver.com/v1/create-qr-code/?size=200x200&amp;data="&amp;ENCODEURL("https://wa.me/507"&amp;REGEXREPLACE(C1528,"[^0-9]","")&amp;"?text="&amp;ENCODEURL("Ya llegue. Codigo: "&amp;A1528&amp;". Ubicacion: "&amp;"https://www.google.com/maps/search/?api=1&amp;query="&amp;SUBSTITUTE(F1528," ",""))),"")</f>
        <v/>
      </c>
      <c r="M1528" s="8">
        <f>IF(B1528&lt;&gt;"",TODAY(),"")</f>
        <v/>
      </c>
      <c r="N1528" s="8">
        <f>IF(F1528&lt;&gt;"",IFERROR(IF(AND(REGEXMATCH(SUBSTITUTE(TRIM(F1528)," ",""),"^-?\d+(\.\d+)?,-?\d+(\.\d+)?$"),VALUE(REGEXEXTRACT(SUBSTITUTE(TRIM(F1528)," ",""),"^-?\d+(\.\d+)?"))&gt;=-90,VALUE(REGEXEXTRACT(SUBSTITUTE(TRIM(F1528)," ",""),"^-?\d+(\.\d+)?"))&lt;=90,VALUE(REGEXEXTRACT(SUBSTITUTE(TRIM(F1528)," ",""),"-?\d+(\.\d+)?$"))&gt;=-180,VALUE(REGEXEXTRACT(SUBSTITUTE(TRIM(F1528)," ",""),"-?\d+(\.\d+)?$"))&lt;=180),"OK","REVISAR"),"REVISAR"),"")</f>
        <v/>
      </c>
      <c r="O1528">
        <f>IF(A1528&lt;&gt;"","https://direcciones507.github.io/direcciones507/panel.html?codigo="&amp;A1528&amp;"&amp;nombre="&amp;ENCODEURL(B1528)&amp;"&amp;telefono="&amp;SUBSTITUTE(C1528,"-","")&amp;"&amp;referencia="&amp;ENCODEURL(E1528)&amp;"&amp;lat="&amp;IZQUIERDA(SUBSTITUTE(F1528," ",""),ENCONTRAR(",",SUBSTITUTE(F1528," ",""))-1)&amp;"&amp;lng="&amp;DERECHA(SUBSTITUTE(F1528," ",""),LARGO(SUBSTITUTE(F1528," ",""))-ENCONTRAR(",",SUBSTITUTE(F1528," ",""))),"")</f>
        <v/>
      </c>
    </row>
    <row r="1529" ht="15.75" customHeight="1" s="10">
      <c r="A1529" s="8">
        <f>CONCAT("AD507-",TEXT(ROW()-2,"0000"))</f>
        <v/>
      </c>
      <c r="C1529" s="8" t="n"/>
      <c r="F1529" s="8" t="n"/>
      <c r="G1529" s="8">
        <f>IF(F1529&lt;&gt;"",HYPERLINK("https://www.google.com/maps/search/?api=1&amp;query="&amp;SUBSTITUTE(F1529," ",""),"🗺 Google Maps"),"")</f>
        <v/>
      </c>
      <c r="H1529" s="8">
        <f>IF(F1529&lt;&gt;"",HYPERLINK("https://waze.com/ul?ll="&amp;SUBSTITUTE(F1529," ","")&amp;"&amp;navigate=yes","🚗 Waze"),"")</f>
        <v/>
      </c>
      <c r="I1529" s="8">
        <f>IF(F1529&lt;&gt;"",HYPERLINK("https://m.uber.com/ul/?action=setPickup&amp;pickup=my_location&amp;dropoff[latitude]="&amp;LEFT(SUBSTITUTE(F1529," ",""),FIND(",",SUBSTITUTE(F1529," ",""))-1)&amp;"&amp;dropoff[longitude]="&amp;MID(SUBSTITUTE(F1529," ",""),FIND(",",SUBSTITUTE(F1529," ",""))+1,99),"🚕 Uber"),"")</f>
        <v/>
      </c>
      <c r="J1529" s="8">
        <f>IF(F1529&lt;&gt;"","https://api.qrserver.com/v1/create-qr-code/?size=200x200&amp;data="&amp;ENCODEURL("https://www.google.com/maps/search/?api=1&amp;query="&amp;SUBSTITUTE(F1529," ","")),"")</f>
        <v/>
      </c>
      <c r="K1529" s="8">
        <f>IF(C1529&lt;&gt;"",HYPERLINK("https://wa.me/507"&amp;REGEXREPLACE(C1529,"[^0-9]","")&amp;"?text="&amp;ENCODEURL("Ya llegue. Codigo: "&amp;A1529&amp;". Ubicacion: "&amp;"https://www.google.com/maps/search/?api=1&amp;query="&amp;SUBSTITUTE(F1529," ","")),"📲 Avisar al cliente"),"")</f>
        <v/>
      </c>
      <c r="L1529" s="8">
        <f>IF(C1529&lt;&gt;"","https://api.qrserver.com/v1/create-qr-code/?size=200x200&amp;data="&amp;ENCODEURL("https://wa.me/507"&amp;REGEXREPLACE(C1529,"[^0-9]","")&amp;"?text="&amp;ENCODEURL("Ya llegue. Codigo: "&amp;A1529&amp;". Ubicacion: "&amp;"https://www.google.com/maps/search/?api=1&amp;query="&amp;SUBSTITUTE(F1529," ",""))),"")</f>
        <v/>
      </c>
      <c r="M1529" s="8">
        <f>IF(B1529&lt;&gt;"",TODAY(),"")</f>
        <v/>
      </c>
      <c r="N1529" s="8">
        <f>IF(F1529&lt;&gt;"",IFERROR(IF(AND(REGEXMATCH(SUBSTITUTE(TRIM(F1529)," ",""),"^-?\d+(\.\d+)?,-?\d+(\.\d+)?$"),VALUE(REGEXEXTRACT(SUBSTITUTE(TRIM(F1529)," ",""),"^-?\d+(\.\d+)?"))&gt;=-90,VALUE(REGEXEXTRACT(SUBSTITUTE(TRIM(F1529)," ",""),"^-?\d+(\.\d+)?"))&lt;=90,VALUE(REGEXEXTRACT(SUBSTITUTE(TRIM(F1529)," ",""),"-?\d+(\.\d+)?$"))&gt;=-180,VALUE(REGEXEXTRACT(SUBSTITUTE(TRIM(F1529)," ",""),"-?\d+(\.\d+)?$"))&lt;=180),"OK","REVISAR"),"REVISAR"),"")</f>
        <v/>
      </c>
      <c r="O1529">
        <f>IF(A1529&lt;&gt;"","https://direcciones507.github.io/direcciones507/panel.html?codigo="&amp;A1529&amp;"&amp;nombre="&amp;ENCODEURL(B1529)&amp;"&amp;telefono="&amp;SUBSTITUTE(C1529,"-","")&amp;"&amp;referencia="&amp;ENCODEURL(E1529)&amp;"&amp;lat="&amp;IZQUIERDA(SUBSTITUTE(F1529," ",""),ENCONTRAR(",",SUBSTITUTE(F1529," ",""))-1)&amp;"&amp;lng="&amp;DERECHA(SUBSTITUTE(F1529," ",""),LARGO(SUBSTITUTE(F1529," ",""))-ENCONTRAR(",",SUBSTITUTE(F1529," ",""))),"")</f>
        <v/>
      </c>
    </row>
    <row r="1530" ht="15.75" customHeight="1" s="10">
      <c r="A1530" s="8">
        <f>CONCAT("AD507-",TEXT(ROW()-2,"0000"))</f>
        <v/>
      </c>
      <c r="C1530" s="8" t="n"/>
      <c r="F1530" s="8" t="n"/>
      <c r="G1530" s="8">
        <f>IF(F1530&lt;&gt;"",HYPERLINK("https://www.google.com/maps/search/?api=1&amp;query="&amp;SUBSTITUTE(F1530," ",""),"🗺 Google Maps"),"")</f>
        <v/>
      </c>
      <c r="H1530" s="8">
        <f>IF(F1530&lt;&gt;"",HYPERLINK("https://waze.com/ul?ll="&amp;SUBSTITUTE(F1530," ","")&amp;"&amp;navigate=yes","🚗 Waze"),"")</f>
        <v/>
      </c>
      <c r="I1530" s="8">
        <f>IF(F1530&lt;&gt;"",HYPERLINK("https://m.uber.com/ul/?action=setPickup&amp;pickup=my_location&amp;dropoff[latitude]="&amp;LEFT(SUBSTITUTE(F1530," ",""),FIND(",",SUBSTITUTE(F1530," ",""))-1)&amp;"&amp;dropoff[longitude]="&amp;MID(SUBSTITUTE(F1530," ",""),FIND(",",SUBSTITUTE(F1530," ",""))+1,99),"🚕 Uber"),"")</f>
        <v/>
      </c>
      <c r="J1530" s="8">
        <f>IF(F1530&lt;&gt;"","https://api.qrserver.com/v1/create-qr-code/?size=200x200&amp;data="&amp;ENCODEURL("https://www.google.com/maps/search/?api=1&amp;query="&amp;SUBSTITUTE(F1530," ","")),"")</f>
        <v/>
      </c>
      <c r="K1530" s="8">
        <f>IF(C1530&lt;&gt;"",HYPERLINK("https://wa.me/507"&amp;REGEXREPLACE(C1530,"[^0-9]","")&amp;"?text="&amp;ENCODEURL("Ya llegue. Codigo: "&amp;A1530&amp;". Ubicacion: "&amp;"https://www.google.com/maps/search/?api=1&amp;query="&amp;SUBSTITUTE(F1530," ","")),"📲 Avisar al cliente"),"")</f>
        <v/>
      </c>
      <c r="L1530" s="8">
        <f>IF(C1530&lt;&gt;"","https://api.qrserver.com/v1/create-qr-code/?size=200x200&amp;data="&amp;ENCODEURL("https://wa.me/507"&amp;REGEXREPLACE(C1530,"[^0-9]","")&amp;"?text="&amp;ENCODEURL("Ya llegue. Codigo: "&amp;A1530&amp;". Ubicacion: "&amp;"https://www.google.com/maps/search/?api=1&amp;query="&amp;SUBSTITUTE(F1530," ",""))),"")</f>
        <v/>
      </c>
      <c r="M1530" s="8">
        <f>IF(B1530&lt;&gt;"",TODAY(),"")</f>
        <v/>
      </c>
      <c r="N1530" s="8">
        <f>IF(F1530&lt;&gt;"",IFERROR(IF(AND(REGEXMATCH(SUBSTITUTE(TRIM(F1530)," ",""),"^-?\d+(\.\d+)?,-?\d+(\.\d+)?$"),VALUE(REGEXEXTRACT(SUBSTITUTE(TRIM(F1530)," ",""),"^-?\d+(\.\d+)?"))&gt;=-90,VALUE(REGEXEXTRACT(SUBSTITUTE(TRIM(F1530)," ",""),"^-?\d+(\.\d+)?"))&lt;=90,VALUE(REGEXEXTRACT(SUBSTITUTE(TRIM(F1530)," ",""),"-?\d+(\.\d+)?$"))&gt;=-180,VALUE(REGEXEXTRACT(SUBSTITUTE(TRIM(F1530)," ",""),"-?\d+(\.\d+)?$"))&lt;=180),"OK","REVISAR"),"REVISAR"),"")</f>
        <v/>
      </c>
      <c r="O1530">
        <f>IF(A1530&lt;&gt;"","https://direcciones507.github.io/direcciones507/panel.html?codigo="&amp;A1530&amp;"&amp;nombre="&amp;ENCODEURL(B1530)&amp;"&amp;telefono="&amp;SUBSTITUTE(C1530,"-","")&amp;"&amp;referencia="&amp;ENCODEURL(E1530)&amp;"&amp;lat="&amp;IZQUIERDA(SUBSTITUTE(F1530," ",""),ENCONTRAR(",",SUBSTITUTE(F1530," ",""))-1)&amp;"&amp;lng="&amp;DERECHA(SUBSTITUTE(F1530," ",""),LARGO(SUBSTITUTE(F1530," ",""))-ENCONTRAR(",",SUBSTITUTE(F1530," ",""))),"")</f>
        <v/>
      </c>
    </row>
    <row r="1531" ht="15.75" customHeight="1" s="10">
      <c r="A1531" s="8">
        <f>CONCAT("AD507-",TEXT(ROW()-2,"0000"))</f>
        <v/>
      </c>
      <c r="C1531" s="8" t="n"/>
      <c r="F1531" s="8" t="n"/>
      <c r="G1531" s="8">
        <f>IF(F1531&lt;&gt;"",HYPERLINK("https://www.google.com/maps/search/?api=1&amp;query="&amp;SUBSTITUTE(F1531," ",""),"🗺 Google Maps"),"")</f>
        <v/>
      </c>
      <c r="H1531" s="8">
        <f>IF(F1531&lt;&gt;"",HYPERLINK("https://waze.com/ul?ll="&amp;SUBSTITUTE(F1531," ","")&amp;"&amp;navigate=yes","🚗 Waze"),"")</f>
        <v/>
      </c>
      <c r="I1531" s="8">
        <f>IF(F1531&lt;&gt;"",HYPERLINK("https://m.uber.com/ul/?action=setPickup&amp;pickup=my_location&amp;dropoff[latitude]="&amp;LEFT(SUBSTITUTE(F1531," ",""),FIND(",",SUBSTITUTE(F1531," ",""))-1)&amp;"&amp;dropoff[longitude]="&amp;MID(SUBSTITUTE(F1531," ",""),FIND(",",SUBSTITUTE(F1531," ",""))+1,99),"🚕 Uber"),"")</f>
        <v/>
      </c>
      <c r="J1531" s="8">
        <f>IF(F1531&lt;&gt;"","https://api.qrserver.com/v1/create-qr-code/?size=200x200&amp;data="&amp;ENCODEURL("https://www.google.com/maps/search/?api=1&amp;query="&amp;SUBSTITUTE(F1531," ","")),"")</f>
        <v/>
      </c>
      <c r="K1531" s="8">
        <f>IF(C1531&lt;&gt;"",HYPERLINK("https://wa.me/507"&amp;REGEXREPLACE(C1531,"[^0-9]","")&amp;"?text="&amp;ENCODEURL("Ya llegue. Codigo: "&amp;A1531&amp;". Ubicacion: "&amp;"https://www.google.com/maps/search/?api=1&amp;query="&amp;SUBSTITUTE(F1531," ","")),"📲 Avisar al cliente"),"")</f>
        <v/>
      </c>
      <c r="L1531" s="8">
        <f>IF(C1531&lt;&gt;"","https://api.qrserver.com/v1/create-qr-code/?size=200x200&amp;data="&amp;ENCODEURL("https://wa.me/507"&amp;REGEXREPLACE(C1531,"[^0-9]","")&amp;"?text="&amp;ENCODEURL("Ya llegue. Codigo: "&amp;A1531&amp;". Ubicacion: "&amp;"https://www.google.com/maps/search/?api=1&amp;query="&amp;SUBSTITUTE(F1531," ",""))),"")</f>
        <v/>
      </c>
      <c r="M1531" s="8">
        <f>IF(B1531&lt;&gt;"",TODAY(),"")</f>
        <v/>
      </c>
      <c r="N1531" s="8">
        <f>IF(F1531&lt;&gt;"",IFERROR(IF(AND(REGEXMATCH(SUBSTITUTE(TRIM(F1531)," ",""),"^-?\d+(\.\d+)?,-?\d+(\.\d+)?$"),VALUE(REGEXEXTRACT(SUBSTITUTE(TRIM(F1531)," ",""),"^-?\d+(\.\d+)?"))&gt;=-90,VALUE(REGEXEXTRACT(SUBSTITUTE(TRIM(F1531)," ",""),"^-?\d+(\.\d+)?"))&lt;=90,VALUE(REGEXEXTRACT(SUBSTITUTE(TRIM(F1531)," ",""),"-?\d+(\.\d+)?$"))&gt;=-180,VALUE(REGEXEXTRACT(SUBSTITUTE(TRIM(F1531)," ",""),"-?\d+(\.\d+)?$"))&lt;=180),"OK","REVISAR"),"REVISAR"),"")</f>
        <v/>
      </c>
      <c r="O1531">
        <f>IF(A1531&lt;&gt;"","https://direcciones507.github.io/direcciones507/panel.html?codigo="&amp;A1531&amp;"&amp;nombre="&amp;ENCODEURL(B1531)&amp;"&amp;telefono="&amp;SUBSTITUTE(C1531,"-","")&amp;"&amp;referencia="&amp;ENCODEURL(E1531)&amp;"&amp;lat="&amp;IZQUIERDA(SUBSTITUTE(F1531," ",""),ENCONTRAR(",",SUBSTITUTE(F1531," ",""))-1)&amp;"&amp;lng="&amp;DERECHA(SUBSTITUTE(F1531," ",""),LARGO(SUBSTITUTE(F1531," ",""))-ENCONTRAR(",",SUBSTITUTE(F1531," ",""))),"")</f>
        <v/>
      </c>
    </row>
    <row r="1532" ht="15.75" customHeight="1" s="10">
      <c r="A1532" s="8">
        <f>CONCAT("AD507-",TEXT(ROW()-2,"0000"))</f>
        <v/>
      </c>
      <c r="C1532" s="8" t="n"/>
      <c r="F1532" s="8" t="n"/>
      <c r="G1532" s="8">
        <f>IF(F1532&lt;&gt;"",HYPERLINK("https://www.google.com/maps/search/?api=1&amp;query="&amp;SUBSTITUTE(F1532," ",""),"🗺 Google Maps"),"")</f>
        <v/>
      </c>
      <c r="H1532" s="8">
        <f>IF(F1532&lt;&gt;"",HYPERLINK("https://waze.com/ul?ll="&amp;SUBSTITUTE(F1532," ","")&amp;"&amp;navigate=yes","🚗 Waze"),"")</f>
        <v/>
      </c>
      <c r="I1532" s="8">
        <f>IF(F1532&lt;&gt;"",HYPERLINK("https://m.uber.com/ul/?action=setPickup&amp;pickup=my_location&amp;dropoff[latitude]="&amp;LEFT(SUBSTITUTE(F1532," ",""),FIND(",",SUBSTITUTE(F1532," ",""))-1)&amp;"&amp;dropoff[longitude]="&amp;MID(SUBSTITUTE(F1532," ",""),FIND(",",SUBSTITUTE(F1532," ",""))+1,99),"🚕 Uber"),"")</f>
        <v/>
      </c>
      <c r="J1532" s="8">
        <f>IF(F1532&lt;&gt;"","https://api.qrserver.com/v1/create-qr-code/?size=200x200&amp;data="&amp;ENCODEURL("https://www.google.com/maps/search/?api=1&amp;query="&amp;SUBSTITUTE(F1532," ","")),"")</f>
        <v/>
      </c>
      <c r="K1532" s="8">
        <f>IF(C1532&lt;&gt;"",HYPERLINK("https://wa.me/507"&amp;REGEXREPLACE(C1532,"[^0-9]","")&amp;"?text="&amp;ENCODEURL("Ya llegue. Codigo: "&amp;A1532&amp;". Ubicacion: "&amp;"https://www.google.com/maps/search/?api=1&amp;query="&amp;SUBSTITUTE(F1532," ","")),"📲 Avisar al cliente"),"")</f>
        <v/>
      </c>
      <c r="L1532" s="8">
        <f>IF(C1532&lt;&gt;"","https://api.qrserver.com/v1/create-qr-code/?size=200x200&amp;data="&amp;ENCODEURL("https://wa.me/507"&amp;REGEXREPLACE(C1532,"[^0-9]","")&amp;"?text="&amp;ENCODEURL("Ya llegue. Codigo: "&amp;A1532&amp;". Ubicacion: "&amp;"https://www.google.com/maps/search/?api=1&amp;query="&amp;SUBSTITUTE(F1532," ",""))),"")</f>
        <v/>
      </c>
      <c r="M1532" s="8">
        <f>IF(B1532&lt;&gt;"",TODAY(),"")</f>
        <v/>
      </c>
      <c r="N1532" s="8">
        <f>IF(F1532&lt;&gt;"",IFERROR(IF(AND(REGEXMATCH(SUBSTITUTE(TRIM(F1532)," ",""),"^-?\d+(\.\d+)?,-?\d+(\.\d+)?$"),VALUE(REGEXEXTRACT(SUBSTITUTE(TRIM(F1532)," ",""),"^-?\d+(\.\d+)?"))&gt;=-90,VALUE(REGEXEXTRACT(SUBSTITUTE(TRIM(F1532)," ",""),"^-?\d+(\.\d+)?"))&lt;=90,VALUE(REGEXEXTRACT(SUBSTITUTE(TRIM(F1532)," ",""),"-?\d+(\.\d+)?$"))&gt;=-180,VALUE(REGEXEXTRACT(SUBSTITUTE(TRIM(F1532)," ",""),"-?\d+(\.\d+)?$"))&lt;=180),"OK","REVISAR"),"REVISAR"),"")</f>
        <v/>
      </c>
      <c r="O1532">
        <f>IF(A1532&lt;&gt;"","https://direcciones507.github.io/direcciones507/panel.html?codigo="&amp;A1532&amp;"&amp;nombre="&amp;ENCODEURL(B1532)&amp;"&amp;telefono="&amp;SUBSTITUTE(C1532,"-","")&amp;"&amp;referencia="&amp;ENCODEURL(E1532)&amp;"&amp;lat="&amp;IZQUIERDA(SUBSTITUTE(F1532," ",""),ENCONTRAR(",",SUBSTITUTE(F1532," ",""))-1)&amp;"&amp;lng="&amp;DERECHA(SUBSTITUTE(F1532," ",""),LARGO(SUBSTITUTE(F1532," ",""))-ENCONTRAR(",",SUBSTITUTE(F1532," ",""))),"")</f>
        <v/>
      </c>
    </row>
    <row r="1533" ht="15.75" customHeight="1" s="10">
      <c r="A1533" s="8">
        <f>CONCAT("AD507-",TEXT(ROW()-2,"0000"))</f>
        <v/>
      </c>
      <c r="C1533" s="8" t="n"/>
      <c r="F1533" s="8" t="n"/>
      <c r="G1533" s="8">
        <f>IF(F1533&lt;&gt;"",HYPERLINK("https://www.google.com/maps/search/?api=1&amp;query="&amp;SUBSTITUTE(F1533," ",""),"🗺 Google Maps"),"")</f>
        <v/>
      </c>
      <c r="H1533" s="8">
        <f>IF(F1533&lt;&gt;"",HYPERLINK("https://waze.com/ul?ll="&amp;SUBSTITUTE(F1533," ","")&amp;"&amp;navigate=yes","🚗 Waze"),"")</f>
        <v/>
      </c>
      <c r="I1533" s="8">
        <f>IF(F1533&lt;&gt;"",HYPERLINK("https://m.uber.com/ul/?action=setPickup&amp;pickup=my_location&amp;dropoff[latitude]="&amp;LEFT(SUBSTITUTE(F1533," ",""),FIND(",",SUBSTITUTE(F1533," ",""))-1)&amp;"&amp;dropoff[longitude]="&amp;MID(SUBSTITUTE(F1533," ",""),FIND(",",SUBSTITUTE(F1533," ",""))+1,99),"🚕 Uber"),"")</f>
        <v/>
      </c>
      <c r="J1533" s="8">
        <f>IF(F1533&lt;&gt;"","https://api.qrserver.com/v1/create-qr-code/?size=200x200&amp;data="&amp;ENCODEURL("https://www.google.com/maps/search/?api=1&amp;query="&amp;SUBSTITUTE(F1533," ","")),"")</f>
        <v/>
      </c>
      <c r="K1533" s="8">
        <f>IF(C1533&lt;&gt;"",HYPERLINK("https://wa.me/507"&amp;REGEXREPLACE(C1533,"[^0-9]","")&amp;"?text="&amp;ENCODEURL("Ya llegue. Codigo: "&amp;A1533&amp;". Ubicacion: "&amp;"https://www.google.com/maps/search/?api=1&amp;query="&amp;SUBSTITUTE(F1533," ","")),"📲 Avisar al cliente"),"")</f>
        <v/>
      </c>
      <c r="L1533" s="8">
        <f>IF(C1533&lt;&gt;"","https://api.qrserver.com/v1/create-qr-code/?size=200x200&amp;data="&amp;ENCODEURL("https://wa.me/507"&amp;REGEXREPLACE(C1533,"[^0-9]","")&amp;"?text="&amp;ENCODEURL("Ya llegue. Codigo: "&amp;A1533&amp;". Ubicacion: "&amp;"https://www.google.com/maps/search/?api=1&amp;query="&amp;SUBSTITUTE(F1533," ",""))),"")</f>
        <v/>
      </c>
      <c r="M1533" s="8">
        <f>IF(B1533&lt;&gt;"",TODAY(),"")</f>
        <v/>
      </c>
      <c r="N1533" s="8">
        <f>IF(F1533&lt;&gt;"",IFERROR(IF(AND(REGEXMATCH(SUBSTITUTE(TRIM(F1533)," ",""),"^-?\d+(\.\d+)?,-?\d+(\.\d+)?$"),VALUE(REGEXEXTRACT(SUBSTITUTE(TRIM(F1533)," ",""),"^-?\d+(\.\d+)?"))&gt;=-90,VALUE(REGEXEXTRACT(SUBSTITUTE(TRIM(F1533)," ",""),"^-?\d+(\.\d+)?"))&lt;=90,VALUE(REGEXEXTRACT(SUBSTITUTE(TRIM(F1533)," ",""),"-?\d+(\.\d+)?$"))&gt;=-180,VALUE(REGEXEXTRACT(SUBSTITUTE(TRIM(F1533)," ",""),"-?\d+(\.\d+)?$"))&lt;=180),"OK","REVISAR"),"REVISAR"),"")</f>
        <v/>
      </c>
      <c r="O1533">
        <f>IF(A1533&lt;&gt;"","https://direcciones507.github.io/direcciones507/panel.html?codigo="&amp;A1533&amp;"&amp;nombre="&amp;ENCODEURL(B1533)&amp;"&amp;telefono="&amp;SUBSTITUTE(C1533,"-","")&amp;"&amp;referencia="&amp;ENCODEURL(E1533)&amp;"&amp;lat="&amp;IZQUIERDA(SUBSTITUTE(F1533," ",""),ENCONTRAR(",",SUBSTITUTE(F1533," ",""))-1)&amp;"&amp;lng="&amp;DERECHA(SUBSTITUTE(F1533," ",""),LARGO(SUBSTITUTE(F1533," ",""))-ENCONTRAR(",",SUBSTITUTE(F1533," ",""))),"")</f>
        <v/>
      </c>
    </row>
    <row r="1534" ht="15.75" customHeight="1" s="10">
      <c r="A1534" s="8">
        <f>CONCAT("AD507-",TEXT(ROW()-2,"0000"))</f>
        <v/>
      </c>
      <c r="C1534" s="8" t="n"/>
      <c r="F1534" s="8" t="n"/>
      <c r="G1534" s="8">
        <f>IF(F1534&lt;&gt;"",HYPERLINK("https://www.google.com/maps/search/?api=1&amp;query="&amp;SUBSTITUTE(F1534," ",""),"🗺 Google Maps"),"")</f>
        <v/>
      </c>
      <c r="H1534" s="8">
        <f>IF(F1534&lt;&gt;"",HYPERLINK("https://waze.com/ul?ll="&amp;SUBSTITUTE(F1534," ","")&amp;"&amp;navigate=yes","🚗 Waze"),"")</f>
        <v/>
      </c>
      <c r="I1534" s="8">
        <f>IF(F1534&lt;&gt;"",HYPERLINK("https://m.uber.com/ul/?action=setPickup&amp;pickup=my_location&amp;dropoff[latitude]="&amp;LEFT(SUBSTITUTE(F1534," ",""),FIND(",",SUBSTITUTE(F1534," ",""))-1)&amp;"&amp;dropoff[longitude]="&amp;MID(SUBSTITUTE(F1534," ",""),FIND(",",SUBSTITUTE(F1534," ",""))+1,99),"🚕 Uber"),"")</f>
        <v/>
      </c>
      <c r="J1534" s="8">
        <f>IF(F1534&lt;&gt;"","https://api.qrserver.com/v1/create-qr-code/?size=200x200&amp;data="&amp;ENCODEURL("https://www.google.com/maps/search/?api=1&amp;query="&amp;SUBSTITUTE(F1534," ","")),"")</f>
        <v/>
      </c>
      <c r="K1534" s="8">
        <f>IF(C1534&lt;&gt;"",HYPERLINK("https://wa.me/507"&amp;REGEXREPLACE(C1534,"[^0-9]","")&amp;"?text="&amp;ENCODEURL("Ya llegue. Codigo: "&amp;A1534&amp;". Ubicacion: "&amp;"https://www.google.com/maps/search/?api=1&amp;query="&amp;SUBSTITUTE(F1534," ","")),"📲 Avisar al cliente"),"")</f>
        <v/>
      </c>
      <c r="L1534" s="8">
        <f>IF(C1534&lt;&gt;"","https://api.qrserver.com/v1/create-qr-code/?size=200x200&amp;data="&amp;ENCODEURL("https://wa.me/507"&amp;REGEXREPLACE(C1534,"[^0-9]","")&amp;"?text="&amp;ENCODEURL("Ya llegue. Codigo: "&amp;A1534&amp;". Ubicacion: "&amp;"https://www.google.com/maps/search/?api=1&amp;query="&amp;SUBSTITUTE(F1534," ",""))),"")</f>
        <v/>
      </c>
      <c r="M1534" s="8">
        <f>IF(B1534&lt;&gt;"",TODAY(),"")</f>
        <v/>
      </c>
      <c r="N1534" s="8">
        <f>IF(F1534&lt;&gt;"",IFERROR(IF(AND(REGEXMATCH(SUBSTITUTE(TRIM(F1534)," ",""),"^-?\d+(\.\d+)?,-?\d+(\.\d+)?$"),VALUE(REGEXEXTRACT(SUBSTITUTE(TRIM(F1534)," ",""),"^-?\d+(\.\d+)?"))&gt;=-90,VALUE(REGEXEXTRACT(SUBSTITUTE(TRIM(F1534)," ",""),"^-?\d+(\.\d+)?"))&lt;=90,VALUE(REGEXEXTRACT(SUBSTITUTE(TRIM(F1534)," ",""),"-?\d+(\.\d+)?$"))&gt;=-180,VALUE(REGEXEXTRACT(SUBSTITUTE(TRIM(F1534)," ",""),"-?\d+(\.\d+)?$"))&lt;=180),"OK","REVISAR"),"REVISAR"),"")</f>
        <v/>
      </c>
      <c r="O1534">
        <f>IF(A1534&lt;&gt;"","https://direcciones507.github.io/direcciones507/panel.html?codigo="&amp;A1534&amp;"&amp;nombre="&amp;ENCODEURL(B1534)&amp;"&amp;telefono="&amp;SUBSTITUTE(C1534,"-","")&amp;"&amp;referencia="&amp;ENCODEURL(E1534)&amp;"&amp;lat="&amp;IZQUIERDA(SUBSTITUTE(F1534," ",""),ENCONTRAR(",",SUBSTITUTE(F1534," ",""))-1)&amp;"&amp;lng="&amp;DERECHA(SUBSTITUTE(F1534," ",""),LARGO(SUBSTITUTE(F1534," ",""))-ENCONTRAR(",",SUBSTITUTE(F1534," ",""))),"")</f>
        <v/>
      </c>
    </row>
    <row r="1535" ht="15.75" customHeight="1" s="10">
      <c r="A1535" s="8">
        <f>CONCAT("AD507-",TEXT(ROW()-2,"0000"))</f>
        <v/>
      </c>
      <c r="C1535" s="8" t="n"/>
      <c r="F1535" s="8" t="n"/>
      <c r="G1535" s="8">
        <f>IF(F1535&lt;&gt;"",HYPERLINK("https://www.google.com/maps/search/?api=1&amp;query="&amp;SUBSTITUTE(F1535," ",""),"🗺 Google Maps"),"")</f>
        <v/>
      </c>
      <c r="H1535" s="8">
        <f>IF(F1535&lt;&gt;"",HYPERLINK("https://waze.com/ul?ll="&amp;SUBSTITUTE(F1535," ","")&amp;"&amp;navigate=yes","🚗 Waze"),"")</f>
        <v/>
      </c>
      <c r="I1535" s="8">
        <f>IF(F1535&lt;&gt;"",HYPERLINK("https://m.uber.com/ul/?action=setPickup&amp;pickup=my_location&amp;dropoff[latitude]="&amp;LEFT(SUBSTITUTE(F1535," ",""),FIND(",",SUBSTITUTE(F1535," ",""))-1)&amp;"&amp;dropoff[longitude]="&amp;MID(SUBSTITUTE(F1535," ",""),FIND(",",SUBSTITUTE(F1535," ",""))+1,99),"🚕 Uber"),"")</f>
        <v/>
      </c>
      <c r="J1535" s="8">
        <f>IF(F1535&lt;&gt;"","https://api.qrserver.com/v1/create-qr-code/?size=200x200&amp;data="&amp;ENCODEURL("https://www.google.com/maps/search/?api=1&amp;query="&amp;SUBSTITUTE(F1535," ","")),"")</f>
        <v/>
      </c>
      <c r="K1535" s="8">
        <f>IF(C1535&lt;&gt;"",HYPERLINK("https://wa.me/507"&amp;REGEXREPLACE(C1535,"[^0-9]","")&amp;"?text="&amp;ENCODEURL("Ya llegue. Codigo: "&amp;A1535&amp;". Ubicacion: "&amp;"https://www.google.com/maps/search/?api=1&amp;query="&amp;SUBSTITUTE(F1535," ","")),"📲 Avisar al cliente"),"")</f>
        <v/>
      </c>
      <c r="L1535" s="8">
        <f>IF(C1535&lt;&gt;"","https://api.qrserver.com/v1/create-qr-code/?size=200x200&amp;data="&amp;ENCODEURL("https://wa.me/507"&amp;REGEXREPLACE(C1535,"[^0-9]","")&amp;"?text="&amp;ENCODEURL("Ya llegue. Codigo: "&amp;A1535&amp;". Ubicacion: "&amp;"https://www.google.com/maps/search/?api=1&amp;query="&amp;SUBSTITUTE(F1535," ",""))),"")</f>
        <v/>
      </c>
      <c r="M1535" s="8">
        <f>IF(B1535&lt;&gt;"",TODAY(),"")</f>
        <v/>
      </c>
      <c r="N1535" s="8">
        <f>IF(F1535&lt;&gt;"",IFERROR(IF(AND(REGEXMATCH(SUBSTITUTE(TRIM(F1535)," ",""),"^-?\d+(\.\d+)?,-?\d+(\.\d+)?$"),VALUE(REGEXEXTRACT(SUBSTITUTE(TRIM(F1535)," ",""),"^-?\d+(\.\d+)?"))&gt;=-90,VALUE(REGEXEXTRACT(SUBSTITUTE(TRIM(F1535)," ",""),"^-?\d+(\.\d+)?"))&lt;=90,VALUE(REGEXEXTRACT(SUBSTITUTE(TRIM(F1535)," ",""),"-?\d+(\.\d+)?$"))&gt;=-180,VALUE(REGEXEXTRACT(SUBSTITUTE(TRIM(F1535)," ",""),"-?\d+(\.\d+)?$"))&lt;=180),"OK","REVISAR"),"REVISAR"),"")</f>
        <v/>
      </c>
      <c r="O1535">
        <f>IF(A1535&lt;&gt;"","https://direcciones507.github.io/direcciones507/panel.html?codigo="&amp;A1535&amp;"&amp;nombre="&amp;ENCODEURL(B1535)&amp;"&amp;telefono="&amp;SUBSTITUTE(C1535,"-","")&amp;"&amp;referencia="&amp;ENCODEURL(E1535)&amp;"&amp;lat="&amp;IZQUIERDA(SUBSTITUTE(F1535," ",""),ENCONTRAR(",",SUBSTITUTE(F1535," ",""))-1)&amp;"&amp;lng="&amp;DERECHA(SUBSTITUTE(F1535," ",""),LARGO(SUBSTITUTE(F1535," ",""))-ENCONTRAR(",",SUBSTITUTE(F1535," ",""))),"")</f>
        <v/>
      </c>
    </row>
    <row r="1536" ht="15.75" customHeight="1" s="10">
      <c r="A1536" s="8">
        <f>CONCAT("AD507-",TEXT(ROW()-2,"0000"))</f>
        <v/>
      </c>
      <c r="C1536" s="8" t="n"/>
      <c r="F1536" s="8" t="n"/>
      <c r="G1536" s="8">
        <f>IF(F1536&lt;&gt;"",HYPERLINK("https://www.google.com/maps/search/?api=1&amp;query="&amp;SUBSTITUTE(F1536," ",""),"🗺 Google Maps"),"")</f>
        <v/>
      </c>
      <c r="H1536" s="8">
        <f>IF(F1536&lt;&gt;"",HYPERLINK("https://waze.com/ul?ll="&amp;SUBSTITUTE(F1536," ","")&amp;"&amp;navigate=yes","🚗 Waze"),"")</f>
        <v/>
      </c>
      <c r="I1536" s="8">
        <f>IF(F1536&lt;&gt;"",HYPERLINK("https://m.uber.com/ul/?action=setPickup&amp;pickup=my_location&amp;dropoff[latitude]="&amp;LEFT(SUBSTITUTE(F1536," ",""),FIND(",",SUBSTITUTE(F1536," ",""))-1)&amp;"&amp;dropoff[longitude]="&amp;MID(SUBSTITUTE(F1536," ",""),FIND(",",SUBSTITUTE(F1536," ",""))+1,99),"🚕 Uber"),"")</f>
        <v/>
      </c>
      <c r="J1536" s="8">
        <f>IF(F1536&lt;&gt;"","https://api.qrserver.com/v1/create-qr-code/?size=200x200&amp;data="&amp;ENCODEURL("https://www.google.com/maps/search/?api=1&amp;query="&amp;SUBSTITUTE(F1536," ","")),"")</f>
        <v/>
      </c>
      <c r="K1536" s="8">
        <f>IF(C1536&lt;&gt;"",HYPERLINK("https://wa.me/507"&amp;REGEXREPLACE(C1536,"[^0-9]","")&amp;"?text="&amp;ENCODEURL("Ya llegue. Codigo: "&amp;A1536&amp;". Ubicacion: "&amp;"https://www.google.com/maps/search/?api=1&amp;query="&amp;SUBSTITUTE(F1536," ","")),"📲 Avisar al cliente"),"")</f>
        <v/>
      </c>
      <c r="L1536" s="8">
        <f>IF(C1536&lt;&gt;"","https://api.qrserver.com/v1/create-qr-code/?size=200x200&amp;data="&amp;ENCODEURL("https://wa.me/507"&amp;REGEXREPLACE(C1536,"[^0-9]","")&amp;"?text="&amp;ENCODEURL("Ya llegue. Codigo: "&amp;A1536&amp;". Ubicacion: "&amp;"https://www.google.com/maps/search/?api=1&amp;query="&amp;SUBSTITUTE(F1536," ",""))),"")</f>
        <v/>
      </c>
      <c r="M1536" s="8">
        <f>IF(B1536&lt;&gt;"",TODAY(),"")</f>
        <v/>
      </c>
      <c r="N1536" s="8">
        <f>IF(F1536&lt;&gt;"",IFERROR(IF(AND(REGEXMATCH(SUBSTITUTE(TRIM(F1536)," ",""),"^-?\d+(\.\d+)?,-?\d+(\.\d+)?$"),VALUE(REGEXEXTRACT(SUBSTITUTE(TRIM(F1536)," ",""),"^-?\d+(\.\d+)?"))&gt;=-90,VALUE(REGEXEXTRACT(SUBSTITUTE(TRIM(F1536)," ",""),"^-?\d+(\.\d+)?"))&lt;=90,VALUE(REGEXEXTRACT(SUBSTITUTE(TRIM(F1536)," ",""),"-?\d+(\.\d+)?$"))&gt;=-180,VALUE(REGEXEXTRACT(SUBSTITUTE(TRIM(F1536)," ",""),"-?\d+(\.\d+)?$"))&lt;=180),"OK","REVISAR"),"REVISAR"),"")</f>
        <v/>
      </c>
      <c r="O1536">
        <f>IF(A1536&lt;&gt;"","https://direcciones507.github.io/direcciones507/panel.html?codigo="&amp;A1536&amp;"&amp;nombre="&amp;ENCODEURL(B1536)&amp;"&amp;telefono="&amp;SUBSTITUTE(C1536,"-","")&amp;"&amp;referencia="&amp;ENCODEURL(E1536)&amp;"&amp;lat="&amp;IZQUIERDA(SUBSTITUTE(F1536," ",""),ENCONTRAR(",",SUBSTITUTE(F1536," ",""))-1)&amp;"&amp;lng="&amp;DERECHA(SUBSTITUTE(F1536," ",""),LARGO(SUBSTITUTE(F1536," ",""))-ENCONTRAR(",",SUBSTITUTE(F1536," ",""))),"")</f>
        <v/>
      </c>
    </row>
    <row r="1537" ht="15.75" customHeight="1" s="10">
      <c r="A1537" s="8">
        <f>CONCAT("AD507-",TEXT(ROW()-2,"0000"))</f>
        <v/>
      </c>
      <c r="C1537" s="8" t="n"/>
      <c r="F1537" s="8" t="n"/>
      <c r="G1537" s="8">
        <f>IF(F1537&lt;&gt;"",HYPERLINK("https://www.google.com/maps/search/?api=1&amp;query="&amp;SUBSTITUTE(F1537," ",""),"🗺 Google Maps"),"")</f>
        <v/>
      </c>
      <c r="H1537" s="8">
        <f>IF(F1537&lt;&gt;"",HYPERLINK("https://waze.com/ul?ll="&amp;SUBSTITUTE(F1537," ","")&amp;"&amp;navigate=yes","🚗 Waze"),"")</f>
        <v/>
      </c>
      <c r="I1537" s="8">
        <f>IF(F1537&lt;&gt;"",HYPERLINK("https://m.uber.com/ul/?action=setPickup&amp;pickup=my_location&amp;dropoff[latitude]="&amp;LEFT(SUBSTITUTE(F1537," ",""),FIND(",",SUBSTITUTE(F1537," ",""))-1)&amp;"&amp;dropoff[longitude]="&amp;MID(SUBSTITUTE(F1537," ",""),FIND(",",SUBSTITUTE(F1537," ",""))+1,99),"🚕 Uber"),"")</f>
        <v/>
      </c>
      <c r="J1537" s="8">
        <f>IF(F1537&lt;&gt;"","https://api.qrserver.com/v1/create-qr-code/?size=200x200&amp;data="&amp;ENCODEURL("https://www.google.com/maps/search/?api=1&amp;query="&amp;SUBSTITUTE(F1537," ","")),"")</f>
        <v/>
      </c>
      <c r="K1537" s="8">
        <f>IF(C1537&lt;&gt;"",HYPERLINK("https://wa.me/507"&amp;REGEXREPLACE(C1537,"[^0-9]","")&amp;"?text="&amp;ENCODEURL("Ya llegue. Codigo: "&amp;A1537&amp;". Ubicacion: "&amp;"https://www.google.com/maps/search/?api=1&amp;query="&amp;SUBSTITUTE(F1537," ","")),"📲 Avisar al cliente"),"")</f>
        <v/>
      </c>
      <c r="L1537" s="8">
        <f>IF(C1537&lt;&gt;"","https://api.qrserver.com/v1/create-qr-code/?size=200x200&amp;data="&amp;ENCODEURL("https://wa.me/507"&amp;REGEXREPLACE(C1537,"[^0-9]","")&amp;"?text="&amp;ENCODEURL("Ya llegue. Codigo: "&amp;A1537&amp;". Ubicacion: "&amp;"https://www.google.com/maps/search/?api=1&amp;query="&amp;SUBSTITUTE(F1537," ",""))),"")</f>
        <v/>
      </c>
      <c r="M1537" s="8">
        <f>IF(B1537&lt;&gt;"",TODAY(),"")</f>
        <v/>
      </c>
      <c r="N1537" s="8">
        <f>IF(F1537&lt;&gt;"",IFERROR(IF(AND(REGEXMATCH(SUBSTITUTE(TRIM(F1537)," ",""),"^-?\d+(\.\d+)?,-?\d+(\.\d+)?$"),VALUE(REGEXEXTRACT(SUBSTITUTE(TRIM(F1537)," ",""),"^-?\d+(\.\d+)?"))&gt;=-90,VALUE(REGEXEXTRACT(SUBSTITUTE(TRIM(F1537)," ",""),"^-?\d+(\.\d+)?"))&lt;=90,VALUE(REGEXEXTRACT(SUBSTITUTE(TRIM(F1537)," ",""),"-?\d+(\.\d+)?$"))&gt;=-180,VALUE(REGEXEXTRACT(SUBSTITUTE(TRIM(F1537)," ",""),"-?\d+(\.\d+)?$"))&lt;=180),"OK","REVISAR"),"REVISAR"),"")</f>
        <v/>
      </c>
      <c r="O1537">
        <f>IF(A1537&lt;&gt;"","https://direcciones507.github.io/direcciones507/panel.html?codigo="&amp;A1537&amp;"&amp;nombre="&amp;ENCODEURL(B1537)&amp;"&amp;telefono="&amp;SUBSTITUTE(C1537,"-","")&amp;"&amp;referencia="&amp;ENCODEURL(E1537)&amp;"&amp;lat="&amp;IZQUIERDA(SUBSTITUTE(F1537," ",""),ENCONTRAR(",",SUBSTITUTE(F1537," ",""))-1)&amp;"&amp;lng="&amp;DERECHA(SUBSTITUTE(F1537," ",""),LARGO(SUBSTITUTE(F1537," ",""))-ENCONTRAR(",",SUBSTITUTE(F1537," ",""))),"")</f>
        <v/>
      </c>
    </row>
    <row r="1538" ht="15.75" customHeight="1" s="10">
      <c r="A1538" s="8">
        <f>CONCAT("AD507-",TEXT(ROW()-2,"0000"))</f>
        <v/>
      </c>
      <c r="C1538" s="8" t="n"/>
      <c r="F1538" s="8" t="n"/>
      <c r="G1538" s="8">
        <f>IF(F1538&lt;&gt;"",HYPERLINK("https://www.google.com/maps/search/?api=1&amp;query="&amp;SUBSTITUTE(F1538," ",""),"🗺 Google Maps"),"")</f>
        <v/>
      </c>
      <c r="H1538" s="8">
        <f>IF(F1538&lt;&gt;"",HYPERLINK("https://waze.com/ul?ll="&amp;SUBSTITUTE(F1538," ","")&amp;"&amp;navigate=yes","🚗 Waze"),"")</f>
        <v/>
      </c>
      <c r="I1538" s="8">
        <f>IF(F1538&lt;&gt;"",HYPERLINK("https://m.uber.com/ul/?action=setPickup&amp;pickup=my_location&amp;dropoff[latitude]="&amp;LEFT(SUBSTITUTE(F1538," ",""),FIND(",",SUBSTITUTE(F1538," ",""))-1)&amp;"&amp;dropoff[longitude]="&amp;MID(SUBSTITUTE(F1538," ",""),FIND(",",SUBSTITUTE(F1538," ",""))+1,99),"🚕 Uber"),"")</f>
        <v/>
      </c>
      <c r="J1538" s="8">
        <f>IF(F1538&lt;&gt;"","https://api.qrserver.com/v1/create-qr-code/?size=200x200&amp;data="&amp;ENCODEURL("https://www.google.com/maps/search/?api=1&amp;query="&amp;SUBSTITUTE(F1538," ","")),"")</f>
        <v/>
      </c>
      <c r="K1538" s="8">
        <f>IF(C1538&lt;&gt;"",HYPERLINK("https://wa.me/507"&amp;REGEXREPLACE(C1538,"[^0-9]","")&amp;"?text="&amp;ENCODEURL("Ya llegue. Codigo: "&amp;A1538&amp;". Ubicacion: "&amp;"https://www.google.com/maps/search/?api=1&amp;query="&amp;SUBSTITUTE(F1538," ","")),"📲 Avisar al cliente"),"")</f>
        <v/>
      </c>
      <c r="L1538" s="8">
        <f>IF(C1538&lt;&gt;"","https://api.qrserver.com/v1/create-qr-code/?size=200x200&amp;data="&amp;ENCODEURL("https://wa.me/507"&amp;REGEXREPLACE(C1538,"[^0-9]","")&amp;"?text="&amp;ENCODEURL("Ya llegue. Codigo: "&amp;A1538&amp;". Ubicacion: "&amp;"https://www.google.com/maps/search/?api=1&amp;query="&amp;SUBSTITUTE(F1538," ",""))),"")</f>
        <v/>
      </c>
      <c r="M1538" s="8">
        <f>IF(B1538&lt;&gt;"",TODAY(),"")</f>
        <v/>
      </c>
      <c r="N1538" s="8">
        <f>IF(F1538&lt;&gt;"",IFERROR(IF(AND(REGEXMATCH(SUBSTITUTE(TRIM(F1538)," ",""),"^-?\d+(\.\d+)?,-?\d+(\.\d+)?$"),VALUE(REGEXEXTRACT(SUBSTITUTE(TRIM(F1538)," ",""),"^-?\d+(\.\d+)?"))&gt;=-90,VALUE(REGEXEXTRACT(SUBSTITUTE(TRIM(F1538)," ",""),"^-?\d+(\.\d+)?"))&lt;=90,VALUE(REGEXEXTRACT(SUBSTITUTE(TRIM(F1538)," ",""),"-?\d+(\.\d+)?$"))&gt;=-180,VALUE(REGEXEXTRACT(SUBSTITUTE(TRIM(F1538)," ",""),"-?\d+(\.\d+)?$"))&lt;=180),"OK","REVISAR"),"REVISAR"),"")</f>
        <v/>
      </c>
      <c r="O1538">
        <f>IF(A1538&lt;&gt;"","https://direcciones507.github.io/direcciones507/panel.html?codigo="&amp;A1538&amp;"&amp;nombre="&amp;ENCODEURL(B1538)&amp;"&amp;telefono="&amp;SUBSTITUTE(C1538,"-","")&amp;"&amp;referencia="&amp;ENCODEURL(E1538)&amp;"&amp;lat="&amp;IZQUIERDA(SUBSTITUTE(F1538," ",""),ENCONTRAR(",",SUBSTITUTE(F1538," ",""))-1)&amp;"&amp;lng="&amp;DERECHA(SUBSTITUTE(F1538," ",""),LARGO(SUBSTITUTE(F1538," ",""))-ENCONTRAR(",",SUBSTITUTE(F1538," ",""))),"")</f>
        <v/>
      </c>
    </row>
    <row r="1539" ht="15.75" customHeight="1" s="10">
      <c r="A1539" s="8">
        <f>CONCAT("AD507-",TEXT(ROW()-2,"0000"))</f>
        <v/>
      </c>
      <c r="C1539" s="8" t="n"/>
      <c r="F1539" s="8" t="n"/>
      <c r="G1539" s="8">
        <f>IF(F1539&lt;&gt;"",HYPERLINK("https://www.google.com/maps/search/?api=1&amp;query="&amp;SUBSTITUTE(F1539," ",""),"🗺 Google Maps"),"")</f>
        <v/>
      </c>
      <c r="H1539" s="8">
        <f>IF(F1539&lt;&gt;"",HYPERLINK("https://waze.com/ul?ll="&amp;SUBSTITUTE(F1539," ","")&amp;"&amp;navigate=yes","🚗 Waze"),"")</f>
        <v/>
      </c>
      <c r="I1539" s="8">
        <f>IF(F1539&lt;&gt;"",HYPERLINK("https://m.uber.com/ul/?action=setPickup&amp;pickup=my_location&amp;dropoff[latitude]="&amp;LEFT(SUBSTITUTE(F1539," ",""),FIND(",",SUBSTITUTE(F1539," ",""))-1)&amp;"&amp;dropoff[longitude]="&amp;MID(SUBSTITUTE(F1539," ",""),FIND(",",SUBSTITUTE(F1539," ",""))+1,99),"🚕 Uber"),"")</f>
        <v/>
      </c>
      <c r="J1539" s="8">
        <f>IF(F1539&lt;&gt;"","https://api.qrserver.com/v1/create-qr-code/?size=200x200&amp;data="&amp;ENCODEURL("https://www.google.com/maps/search/?api=1&amp;query="&amp;SUBSTITUTE(F1539," ","")),"")</f>
        <v/>
      </c>
      <c r="K1539" s="8">
        <f>IF(C1539&lt;&gt;"",HYPERLINK("https://wa.me/507"&amp;REGEXREPLACE(C1539,"[^0-9]","")&amp;"?text="&amp;ENCODEURL("Ya llegue. Codigo: "&amp;A1539&amp;". Ubicacion: "&amp;"https://www.google.com/maps/search/?api=1&amp;query="&amp;SUBSTITUTE(F1539," ","")),"📲 Avisar al cliente"),"")</f>
        <v/>
      </c>
      <c r="L1539" s="8">
        <f>IF(C1539&lt;&gt;"","https://api.qrserver.com/v1/create-qr-code/?size=200x200&amp;data="&amp;ENCODEURL("https://wa.me/507"&amp;REGEXREPLACE(C1539,"[^0-9]","")&amp;"?text="&amp;ENCODEURL("Ya llegue. Codigo: "&amp;A1539&amp;". Ubicacion: "&amp;"https://www.google.com/maps/search/?api=1&amp;query="&amp;SUBSTITUTE(F1539," ",""))),"")</f>
        <v/>
      </c>
      <c r="M1539" s="8">
        <f>IF(B1539&lt;&gt;"",TODAY(),"")</f>
        <v/>
      </c>
      <c r="N1539" s="8">
        <f>IF(F1539&lt;&gt;"",IFERROR(IF(AND(REGEXMATCH(SUBSTITUTE(TRIM(F1539)," ",""),"^-?\d+(\.\d+)?,-?\d+(\.\d+)?$"),VALUE(REGEXEXTRACT(SUBSTITUTE(TRIM(F1539)," ",""),"^-?\d+(\.\d+)?"))&gt;=-90,VALUE(REGEXEXTRACT(SUBSTITUTE(TRIM(F1539)," ",""),"^-?\d+(\.\d+)?"))&lt;=90,VALUE(REGEXEXTRACT(SUBSTITUTE(TRIM(F1539)," ",""),"-?\d+(\.\d+)?$"))&gt;=-180,VALUE(REGEXEXTRACT(SUBSTITUTE(TRIM(F1539)," ",""),"-?\d+(\.\d+)?$"))&lt;=180),"OK","REVISAR"),"REVISAR"),"")</f>
        <v/>
      </c>
      <c r="O1539">
        <f>IF(A1539&lt;&gt;"","https://direcciones507.github.io/direcciones507/panel.html?codigo="&amp;A1539&amp;"&amp;nombre="&amp;ENCODEURL(B1539)&amp;"&amp;telefono="&amp;SUBSTITUTE(C1539,"-","")&amp;"&amp;referencia="&amp;ENCODEURL(E1539)&amp;"&amp;lat="&amp;IZQUIERDA(SUBSTITUTE(F1539," ",""),ENCONTRAR(",",SUBSTITUTE(F1539," ",""))-1)&amp;"&amp;lng="&amp;DERECHA(SUBSTITUTE(F1539," ",""),LARGO(SUBSTITUTE(F1539," ",""))-ENCONTRAR(",",SUBSTITUTE(F1539," ",""))),"")</f>
        <v/>
      </c>
    </row>
    <row r="1540" ht="15.75" customHeight="1" s="10">
      <c r="A1540" s="8">
        <f>CONCAT("AD507-",TEXT(ROW()-2,"0000"))</f>
        <v/>
      </c>
      <c r="C1540" s="8" t="n"/>
      <c r="F1540" s="8" t="n"/>
      <c r="G1540" s="8">
        <f>IF(F1540&lt;&gt;"",HYPERLINK("https://www.google.com/maps/search/?api=1&amp;query="&amp;SUBSTITUTE(F1540," ",""),"🗺 Google Maps"),"")</f>
        <v/>
      </c>
      <c r="H1540" s="8">
        <f>IF(F1540&lt;&gt;"",HYPERLINK("https://waze.com/ul?ll="&amp;SUBSTITUTE(F1540," ","")&amp;"&amp;navigate=yes","🚗 Waze"),"")</f>
        <v/>
      </c>
      <c r="I1540" s="8">
        <f>IF(F1540&lt;&gt;"",HYPERLINK("https://m.uber.com/ul/?action=setPickup&amp;pickup=my_location&amp;dropoff[latitude]="&amp;LEFT(SUBSTITUTE(F1540," ",""),FIND(",",SUBSTITUTE(F1540," ",""))-1)&amp;"&amp;dropoff[longitude]="&amp;MID(SUBSTITUTE(F1540," ",""),FIND(",",SUBSTITUTE(F1540," ",""))+1,99),"🚕 Uber"),"")</f>
        <v/>
      </c>
      <c r="J1540" s="8">
        <f>IF(F1540&lt;&gt;"","https://api.qrserver.com/v1/create-qr-code/?size=200x200&amp;data="&amp;ENCODEURL("https://www.google.com/maps/search/?api=1&amp;query="&amp;SUBSTITUTE(F1540," ","")),"")</f>
        <v/>
      </c>
      <c r="K1540" s="8">
        <f>IF(C1540&lt;&gt;"",HYPERLINK("https://wa.me/507"&amp;REGEXREPLACE(C1540,"[^0-9]","")&amp;"?text="&amp;ENCODEURL("Ya llegue. Codigo: "&amp;A1540&amp;". Ubicacion: "&amp;"https://www.google.com/maps/search/?api=1&amp;query="&amp;SUBSTITUTE(F1540," ","")),"📲 Avisar al cliente"),"")</f>
        <v/>
      </c>
      <c r="L1540" s="8">
        <f>IF(C1540&lt;&gt;"","https://api.qrserver.com/v1/create-qr-code/?size=200x200&amp;data="&amp;ENCODEURL("https://wa.me/507"&amp;REGEXREPLACE(C1540,"[^0-9]","")&amp;"?text="&amp;ENCODEURL("Ya llegue. Codigo: "&amp;A1540&amp;". Ubicacion: "&amp;"https://www.google.com/maps/search/?api=1&amp;query="&amp;SUBSTITUTE(F1540," ",""))),"")</f>
        <v/>
      </c>
      <c r="M1540" s="8">
        <f>IF(B1540&lt;&gt;"",TODAY(),"")</f>
        <v/>
      </c>
      <c r="N1540" s="8">
        <f>IF(F1540&lt;&gt;"",IFERROR(IF(AND(REGEXMATCH(SUBSTITUTE(TRIM(F1540)," ",""),"^-?\d+(\.\d+)?,-?\d+(\.\d+)?$"),VALUE(REGEXEXTRACT(SUBSTITUTE(TRIM(F1540)," ",""),"^-?\d+(\.\d+)?"))&gt;=-90,VALUE(REGEXEXTRACT(SUBSTITUTE(TRIM(F1540)," ",""),"^-?\d+(\.\d+)?"))&lt;=90,VALUE(REGEXEXTRACT(SUBSTITUTE(TRIM(F1540)," ",""),"-?\d+(\.\d+)?$"))&gt;=-180,VALUE(REGEXEXTRACT(SUBSTITUTE(TRIM(F1540)," ",""),"-?\d+(\.\d+)?$"))&lt;=180),"OK","REVISAR"),"REVISAR"),"")</f>
        <v/>
      </c>
      <c r="O1540">
        <f>IF(A1540&lt;&gt;"","https://direcciones507.github.io/direcciones507/panel.html?codigo="&amp;A1540&amp;"&amp;nombre="&amp;ENCODEURL(B1540)&amp;"&amp;telefono="&amp;SUBSTITUTE(C1540,"-","")&amp;"&amp;referencia="&amp;ENCODEURL(E1540)&amp;"&amp;lat="&amp;IZQUIERDA(SUBSTITUTE(F1540," ",""),ENCONTRAR(",",SUBSTITUTE(F1540," ",""))-1)&amp;"&amp;lng="&amp;DERECHA(SUBSTITUTE(F1540," ",""),LARGO(SUBSTITUTE(F1540," ",""))-ENCONTRAR(",",SUBSTITUTE(F1540," ",""))),"")</f>
        <v/>
      </c>
    </row>
    <row r="1541" ht="15.75" customHeight="1" s="10">
      <c r="A1541" s="8">
        <f>CONCAT("AD507-",TEXT(ROW()-2,"0000"))</f>
        <v/>
      </c>
      <c r="C1541" s="8" t="n"/>
      <c r="F1541" s="8" t="n"/>
      <c r="G1541" s="8">
        <f>IF(F1541&lt;&gt;"",HYPERLINK("https://www.google.com/maps/search/?api=1&amp;query="&amp;SUBSTITUTE(F1541," ",""),"🗺 Google Maps"),"")</f>
        <v/>
      </c>
      <c r="H1541" s="8">
        <f>IF(F1541&lt;&gt;"",HYPERLINK("https://waze.com/ul?ll="&amp;SUBSTITUTE(F1541," ","")&amp;"&amp;navigate=yes","🚗 Waze"),"")</f>
        <v/>
      </c>
      <c r="I1541" s="8">
        <f>IF(F1541&lt;&gt;"",HYPERLINK("https://m.uber.com/ul/?action=setPickup&amp;pickup=my_location&amp;dropoff[latitude]="&amp;LEFT(SUBSTITUTE(F1541," ",""),FIND(",",SUBSTITUTE(F1541," ",""))-1)&amp;"&amp;dropoff[longitude]="&amp;MID(SUBSTITUTE(F1541," ",""),FIND(",",SUBSTITUTE(F1541," ",""))+1,99),"🚕 Uber"),"")</f>
        <v/>
      </c>
      <c r="J1541" s="8">
        <f>IF(F1541&lt;&gt;"","https://api.qrserver.com/v1/create-qr-code/?size=200x200&amp;data="&amp;ENCODEURL("https://www.google.com/maps/search/?api=1&amp;query="&amp;SUBSTITUTE(F1541," ","")),"")</f>
        <v/>
      </c>
      <c r="K1541" s="8">
        <f>IF(C1541&lt;&gt;"",HYPERLINK("https://wa.me/507"&amp;REGEXREPLACE(C1541,"[^0-9]","")&amp;"?text="&amp;ENCODEURL("Ya llegue. Codigo: "&amp;A1541&amp;". Ubicacion: "&amp;"https://www.google.com/maps/search/?api=1&amp;query="&amp;SUBSTITUTE(F1541," ","")),"📲 Avisar al cliente"),"")</f>
        <v/>
      </c>
      <c r="L1541" s="8">
        <f>IF(C1541&lt;&gt;"","https://api.qrserver.com/v1/create-qr-code/?size=200x200&amp;data="&amp;ENCODEURL("https://wa.me/507"&amp;REGEXREPLACE(C1541,"[^0-9]","")&amp;"?text="&amp;ENCODEURL("Ya llegue. Codigo: "&amp;A1541&amp;". Ubicacion: "&amp;"https://www.google.com/maps/search/?api=1&amp;query="&amp;SUBSTITUTE(F1541," ",""))),"")</f>
        <v/>
      </c>
      <c r="M1541" s="8">
        <f>IF(B1541&lt;&gt;"",TODAY(),"")</f>
        <v/>
      </c>
      <c r="N1541" s="8">
        <f>IF(F1541&lt;&gt;"",IFERROR(IF(AND(REGEXMATCH(SUBSTITUTE(TRIM(F1541)," ",""),"^-?\d+(\.\d+)?,-?\d+(\.\d+)?$"),VALUE(REGEXEXTRACT(SUBSTITUTE(TRIM(F1541)," ",""),"^-?\d+(\.\d+)?"))&gt;=-90,VALUE(REGEXEXTRACT(SUBSTITUTE(TRIM(F1541)," ",""),"^-?\d+(\.\d+)?"))&lt;=90,VALUE(REGEXEXTRACT(SUBSTITUTE(TRIM(F1541)," ",""),"-?\d+(\.\d+)?$"))&gt;=-180,VALUE(REGEXEXTRACT(SUBSTITUTE(TRIM(F1541)," ",""),"-?\d+(\.\d+)?$"))&lt;=180),"OK","REVISAR"),"REVISAR"),"")</f>
        <v/>
      </c>
      <c r="O1541">
        <f>IF(A1541&lt;&gt;"","https://direcciones507.github.io/direcciones507/panel.html?codigo="&amp;A1541&amp;"&amp;nombre="&amp;ENCODEURL(B1541)&amp;"&amp;telefono="&amp;SUBSTITUTE(C1541,"-","")&amp;"&amp;referencia="&amp;ENCODEURL(E1541)&amp;"&amp;lat="&amp;IZQUIERDA(SUBSTITUTE(F1541," ",""),ENCONTRAR(",",SUBSTITUTE(F1541," ",""))-1)&amp;"&amp;lng="&amp;DERECHA(SUBSTITUTE(F1541," ",""),LARGO(SUBSTITUTE(F1541," ",""))-ENCONTRAR(",",SUBSTITUTE(F1541," ",""))),"")</f>
        <v/>
      </c>
    </row>
    <row r="1542" ht="15.75" customHeight="1" s="10">
      <c r="A1542" s="8">
        <f>CONCAT("AD507-",TEXT(ROW()-2,"0000"))</f>
        <v/>
      </c>
      <c r="C1542" s="8" t="n"/>
      <c r="F1542" s="8" t="n"/>
      <c r="G1542" s="8">
        <f>IF(F1542&lt;&gt;"",HYPERLINK("https://www.google.com/maps/search/?api=1&amp;query="&amp;SUBSTITUTE(F1542," ",""),"🗺 Google Maps"),"")</f>
        <v/>
      </c>
      <c r="H1542" s="8">
        <f>IF(F1542&lt;&gt;"",HYPERLINK("https://waze.com/ul?ll="&amp;SUBSTITUTE(F1542," ","")&amp;"&amp;navigate=yes","🚗 Waze"),"")</f>
        <v/>
      </c>
      <c r="I1542" s="8">
        <f>IF(F1542&lt;&gt;"",HYPERLINK("https://m.uber.com/ul/?action=setPickup&amp;pickup=my_location&amp;dropoff[latitude]="&amp;LEFT(SUBSTITUTE(F1542," ",""),FIND(",",SUBSTITUTE(F1542," ",""))-1)&amp;"&amp;dropoff[longitude]="&amp;MID(SUBSTITUTE(F1542," ",""),FIND(",",SUBSTITUTE(F1542," ",""))+1,99),"🚕 Uber"),"")</f>
        <v/>
      </c>
      <c r="J1542" s="8">
        <f>IF(F1542&lt;&gt;"","https://api.qrserver.com/v1/create-qr-code/?size=200x200&amp;data="&amp;ENCODEURL("https://www.google.com/maps/search/?api=1&amp;query="&amp;SUBSTITUTE(F1542," ","")),"")</f>
        <v/>
      </c>
      <c r="K1542" s="8">
        <f>IF(C1542&lt;&gt;"",HYPERLINK("https://wa.me/507"&amp;REGEXREPLACE(C1542,"[^0-9]","")&amp;"?text="&amp;ENCODEURL("Ya llegue. Codigo: "&amp;A1542&amp;". Ubicacion: "&amp;"https://www.google.com/maps/search/?api=1&amp;query="&amp;SUBSTITUTE(F1542," ","")),"📲 Avisar al cliente"),"")</f>
        <v/>
      </c>
      <c r="L1542" s="8">
        <f>IF(C1542&lt;&gt;"","https://api.qrserver.com/v1/create-qr-code/?size=200x200&amp;data="&amp;ENCODEURL("https://wa.me/507"&amp;REGEXREPLACE(C1542,"[^0-9]","")&amp;"?text="&amp;ENCODEURL("Ya llegue. Codigo: "&amp;A1542&amp;". Ubicacion: "&amp;"https://www.google.com/maps/search/?api=1&amp;query="&amp;SUBSTITUTE(F1542," ",""))),"")</f>
        <v/>
      </c>
      <c r="M1542" s="8">
        <f>IF(B1542&lt;&gt;"",TODAY(),"")</f>
        <v/>
      </c>
      <c r="N1542" s="8">
        <f>IF(F1542&lt;&gt;"",IFERROR(IF(AND(REGEXMATCH(SUBSTITUTE(TRIM(F1542)," ",""),"^-?\d+(\.\d+)?,-?\d+(\.\d+)?$"),VALUE(REGEXEXTRACT(SUBSTITUTE(TRIM(F1542)," ",""),"^-?\d+(\.\d+)?"))&gt;=-90,VALUE(REGEXEXTRACT(SUBSTITUTE(TRIM(F1542)," ",""),"^-?\d+(\.\d+)?"))&lt;=90,VALUE(REGEXEXTRACT(SUBSTITUTE(TRIM(F1542)," ",""),"-?\d+(\.\d+)?$"))&gt;=-180,VALUE(REGEXEXTRACT(SUBSTITUTE(TRIM(F1542)," ",""),"-?\d+(\.\d+)?$"))&lt;=180),"OK","REVISAR"),"REVISAR"),"")</f>
        <v/>
      </c>
      <c r="O1542">
        <f>IF(A1542&lt;&gt;"","https://direcciones507.github.io/direcciones507/panel.html?codigo="&amp;A1542&amp;"&amp;nombre="&amp;ENCODEURL(B1542)&amp;"&amp;telefono="&amp;SUBSTITUTE(C1542,"-","")&amp;"&amp;referencia="&amp;ENCODEURL(E1542)&amp;"&amp;lat="&amp;IZQUIERDA(SUBSTITUTE(F1542," ",""),ENCONTRAR(",",SUBSTITUTE(F1542," ",""))-1)&amp;"&amp;lng="&amp;DERECHA(SUBSTITUTE(F1542," ",""),LARGO(SUBSTITUTE(F1542," ",""))-ENCONTRAR(",",SUBSTITUTE(F1542," ",""))),"")</f>
        <v/>
      </c>
    </row>
    <row r="1543" ht="15.75" customHeight="1" s="10">
      <c r="A1543" s="8">
        <f>CONCAT("AD507-",TEXT(ROW()-2,"0000"))</f>
        <v/>
      </c>
      <c r="C1543" s="8" t="n"/>
      <c r="F1543" s="8" t="n"/>
      <c r="G1543" s="8">
        <f>IF(F1543&lt;&gt;"",HYPERLINK("https://www.google.com/maps/search/?api=1&amp;query="&amp;SUBSTITUTE(F1543," ",""),"🗺 Google Maps"),"")</f>
        <v/>
      </c>
      <c r="H1543" s="8">
        <f>IF(F1543&lt;&gt;"",HYPERLINK("https://waze.com/ul?ll="&amp;SUBSTITUTE(F1543," ","")&amp;"&amp;navigate=yes","🚗 Waze"),"")</f>
        <v/>
      </c>
      <c r="I1543" s="8">
        <f>IF(F1543&lt;&gt;"",HYPERLINK("https://m.uber.com/ul/?action=setPickup&amp;pickup=my_location&amp;dropoff[latitude]="&amp;LEFT(SUBSTITUTE(F1543," ",""),FIND(",",SUBSTITUTE(F1543," ",""))-1)&amp;"&amp;dropoff[longitude]="&amp;MID(SUBSTITUTE(F1543," ",""),FIND(",",SUBSTITUTE(F1543," ",""))+1,99),"🚕 Uber"),"")</f>
        <v/>
      </c>
      <c r="J1543" s="8">
        <f>IF(F1543&lt;&gt;"","https://api.qrserver.com/v1/create-qr-code/?size=200x200&amp;data="&amp;ENCODEURL("https://www.google.com/maps/search/?api=1&amp;query="&amp;SUBSTITUTE(F1543," ","")),"")</f>
        <v/>
      </c>
      <c r="K1543" s="8">
        <f>IF(C1543&lt;&gt;"",HYPERLINK("https://wa.me/507"&amp;REGEXREPLACE(C1543,"[^0-9]","")&amp;"?text="&amp;ENCODEURL("Ya llegue. Codigo: "&amp;A1543&amp;". Ubicacion: "&amp;"https://www.google.com/maps/search/?api=1&amp;query="&amp;SUBSTITUTE(F1543," ","")),"📲 Avisar al cliente"),"")</f>
        <v/>
      </c>
      <c r="L1543" s="8">
        <f>IF(C1543&lt;&gt;"","https://api.qrserver.com/v1/create-qr-code/?size=200x200&amp;data="&amp;ENCODEURL("https://wa.me/507"&amp;REGEXREPLACE(C1543,"[^0-9]","")&amp;"?text="&amp;ENCODEURL("Ya llegue. Codigo: "&amp;A1543&amp;". Ubicacion: "&amp;"https://www.google.com/maps/search/?api=1&amp;query="&amp;SUBSTITUTE(F1543," ",""))),"")</f>
        <v/>
      </c>
      <c r="M1543" s="8">
        <f>IF(B1543&lt;&gt;"",TODAY(),"")</f>
        <v/>
      </c>
      <c r="N1543" s="8">
        <f>IF(F1543&lt;&gt;"",IFERROR(IF(AND(REGEXMATCH(SUBSTITUTE(TRIM(F1543)," ",""),"^-?\d+(\.\d+)?,-?\d+(\.\d+)?$"),VALUE(REGEXEXTRACT(SUBSTITUTE(TRIM(F1543)," ",""),"^-?\d+(\.\d+)?"))&gt;=-90,VALUE(REGEXEXTRACT(SUBSTITUTE(TRIM(F1543)," ",""),"^-?\d+(\.\d+)?"))&lt;=90,VALUE(REGEXEXTRACT(SUBSTITUTE(TRIM(F1543)," ",""),"-?\d+(\.\d+)?$"))&gt;=-180,VALUE(REGEXEXTRACT(SUBSTITUTE(TRIM(F1543)," ",""),"-?\d+(\.\d+)?$"))&lt;=180),"OK","REVISAR"),"REVISAR"),"")</f>
        <v/>
      </c>
      <c r="O1543">
        <f>IF(A1543&lt;&gt;"","https://direcciones507.github.io/direcciones507/panel.html?codigo="&amp;A1543&amp;"&amp;nombre="&amp;ENCODEURL(B1543)&amp;"&amp;telefono="&amp;SUBSTITUTE(C1543,"-","")&amp;"&amp;referencia="&amp;ENCODEURL(E1543)&amp;"&amp;lat="&amp;IZQUIERDA(SUBSTITUTE(F1543," ",""),ENCONTRAR(",",SUBSTITUTE(F1543," ",""))-1)&amp;"&amp;lng="&amp;DERECHA(SUBSTITUTE(F1543," ",""),LARGO(SUBSTITUTE(F1543," ",""))-ENCONTRAR(",",SUBSTITUTE(F1543," ",""))),"")</f>
        <v/>
      </c>
    </row>
    <row r="1544" ht="15.75" customHeight="1" s="10">
      <c r="A1544" s="8">
        <f>CONCAT("AD507-",TEXT(ROW()-2,"0000"))</f>
        <v/>
      </c>
      <c r="C1544" s="8" t="n"/>
      <c r="F1544" s="8" t="n"/>
      <c r="G1544" s="8">
        <f>IF(F1544&lt;&gt;"",HYPERLINK("https://www.google.com/maps/search/?api=1&amp;query="&amp;SUBSTITUTE(F1544," ",""),"🗺 Google Maps"),"")</f>
        <v/>
      </c>
      <c r="H1544" s="8">
        <f>IF(F1544&lt;&gt;"",HYPERLINK("https://waze.com/ul?ll="&amp;SUBSTITUTE(F1544," ","")&amp;"&amp;navigate=yes","🚗 Waze"),"")</f>
        <v/>
      </c>
      <c r="I1544" s="8">
        <f>IF(F1544&lt;&gt;"",HYPERLINK("https://m.uber.com/ul/?action=setPickup&amp;pickup=my_location&amp;dropoff[latitude]="&amp;LEFT(SUBSTITUTE(F1544," ",""),FIND(",",SUBSTITUTE(F1544," ",""))-1)&amp;"&amp;dropoff[longitude]="&amp;MID(SUBSTITUTE(F1544," ",""),FIND(",",SUBSTITUTE(F1544," ",""))+1,99),"🚕 Uber"),"")</f>
        <v/>
      </c>
      <c r="J1544" s="8">
        <f>IF(F1544&lt;&gt;"","https://api.qrserver.com/v1/create-qr-code/?size=200x200&amp;data="&amp;ENCODEURL("https://www.google.com/maps/search/?api=1&amp;query="&amp;SUBSTITUTE(F1544," ","")),"")</f>
        <v/>
      </c>
      <c r="K1544" s="8">
        <f>IF(C1544&lt;&gt;"",HYPERLINK("https://wa.me/507"&amp;REGEXREPLACE(C1544,"[^0-9]","")&amp;"?text="&amp;ENCODEURL("Ya llegue. Codigo: "&amp;A1544&amp;". Ubicacion: "&amp;"https://www.google.com/maps/search/?api=1&amp;query="&amp;SUBSTITUTE(F1544," ","")),"📲 Avisar al cliente"),"")</f>
        <v/>
      </c>
      <c r="L1544" s="8">
        <f>IF(C1544&lt;&gt;"","https://api.qrserver.com/v1/create-qr-code/?size=200x200&amp;data="&amp;ENCODEURL("https://wa.me/507"&amp;REGEXREPLACE(C1544,"[^0-9]","")&amp;"?text="&amp;ENCODEURL("Ya llegue. Codigo: "&amp;A1544&amp;". Ubicacion: "&amp;"https://www.google.com/maps/search/?api=1&amp;query="&amp;SUBSTITUTE(F1544," ",""))),"")</f>
        <v/>
      </c>
      <c r="M1544" s="8">
        <f>IF(B1544&lt;&gt;"",TODAY(),"")</f>
        <v/>
      </c>
      <c r="N1544" s="8">
        <f>IF(F1544&lt;&gt;"",IFERROR(IF(AND(REGEXMATCH(SUBSTITUTE(TRIM(F1544)," ",""),"^-?\d+(\.\d+)?,-?\d+(\.\d+)?$"),VALUE(REGEXEXTRACT(SUBSTITUTE(TRIM(F1544)," ",""),"^-?\d+(\.\d+)?"))&gt;=-90,VALUE(REGEXEXTRACT(SUBSTITUTE(TRIM(F1544)," ",""),"^-?\d+(\.\d+)?"))&lt;=90,VALUE(REGEXEXTRACT(SUBSTITUTE(TRIM(F1544)," ",""),"-?\d+(\.\d+)?$"))&gt;=-180,VALUE(REGEXEXTRACT(SUBSTITUTE(TRIM(F1544)," ",""),"-?\d+(\.\d+)?$"))&lt;=180),"OK","REVISAR"),"REVISAR"),"")</f>
        <v/>
      </c>
      <c r="O1544">
        <f>IF(A1544&lt;&gt;"","https://direcciones507.github.io/direcciones507/panel.html?codigo="&amp;A1544&amp;"&amp;nombre="&amp;ENCODEURL(B1544)&amp;"&amp;telefono="&amp;SUBSTITUTE(C1544,"-","")&amp;"&amp;referencia="&amp;ENCODEURL(E1544)&amp;"&amp;lat="&amp;IZQUIERDA(SUBSTITUTE(F1544," ",""),ENCONTRAR(",",SUBSTITUTE(F1544," ",""))-1)&amp;"&amp;lng="&amp;DERECHA(SUBSTITUTE(F1544," ",""),LARGO(SUBSTITUTE(F1544," ",""))-ENCONTRAR(",",SUBSTITUTE(F1544," ",""))),"")</f>
        <v/>
      </c>
    </row>
    <row r="1545" ht="15.75" customHeight="1" s="10">
      <c r="A1545" s="8">
        <f>CONCAT("AD507-",TEXT(ROW()-2,"0000"))</f>
        <v/>
      </c>
      <c r="C1545" s="8" t="n"/>
      <c r="F1545" s="8" t="n"/>
      <c r="G1545" s="8">
        <f>IF(F1545&lt;&gt;"",HYPERLINK("https://www.google.com/maps/search/?api=1&amp;query="&amp;SUBSTITUTE(F1545," ",""),"🗺 Google Maps"),"")</f>
        <v/>
      </c>
      <c r="H1545" s="8">
        <f>IF(F1545&lt;&gt;"",HYPERLINK("https://waze.com/ul?ll="&amp;SUBSTITUTE(F1545," ","")&amp;"&amp;navigate=yes","🚗 Waze"),"")</f>
        <v/>
      </c>
      <c r="I1545" s="8">
        <f>IF(F1545&lt;&gt;"",HYPERLINK("https://m.uber.com/ul/?action=setPickup&amp;pickup=my_location&amp;dropoff[latitude]="&amp;LEFT(SUBSTITUTE(F1545," ",""),FIND(",",SUBSTITUTE(F1545," ",""))-1)&amp;"&amp;dropoff[longitude]="&amp;MID(SUBSTITUTE(F1545," ",""),FIND(",",SUBSTITUTE(F1545," ",""))+1,99),"🚕 Uber"),"")</f>
        <v/>
      </c>
      <c r="J1545" s="8">
        <f>IF(F1545&lt;&gt;"","https://api.qrserver.com/v1/create-qr-code/?size=200x200&amp;data="&amp;ENCODEURL("https://www.google.com/maps/search/?api=1&amp;query="&amp;SUBSTITUTE(F1545," ","")),"")</f>
        <v/>
      </c>
      <c r="K1545" s="8">
        <f>IF(C1545&lt;&gt;"",HYPERLINK("https://wa.me/507"&amp;REGEXREPLACE(C1545,"[^0-9]","")&amp;"?text="&amp;ENCODEURL("Ya llegue. Codigo: "&amp;A1545&amp;". Ubicacion: "&amp;"https://www.google.com/maps/search/?api=1&amp;query="&amp;SUBSTITUTE(F1545," ","")),"📲 Avisar al cliente"),"")</f>
        <v/>
      </c>
      <c r="L1545" s="8">
        <f>IF(C1545&lt;&gt;"","https://api.qrserver.com/v1/create-qr-code/?size=200x200&amp;data="&amp;ENCODEURL("https://wa.me/507"&amp;REGEXREPLACE(C1545,"[^0-9]","")&amp;"?text="&amp;ENCODEURL("Ya llegue. Codigo: "&amp;A1545&amp;". Ubicacion: "&amp;"https://www.google.com/maps/search/?api=1&amp;query="&amp;SUBSTITUTE(F1545," ",""))),"")</f>
        <v/>
      </c>
      <c r="M1545" s="8">
        <f>IF(B1545&lt;&gt;"",TODAY(),"")</f>
        <v/>
      </c>
      <c r="N1545" s="8">
        <f>IF(F1545&lt;&gt;"",IFERROR(IF(AND(REGEXMATCH(SUBSTITUTE(TRIM(F1545)," ",""),"^-?\d+(\.\d+)?,-?\d+(\.\d+)?$"),VALUE(REGEXEXTRACT(SUBSTITUTE(TRIM(F1545)," ",""),"^-?\d+(\.\d+)?"))&gt;=-90,VALUE(REGEXEXTRACT(SUBSTITUTE(TRIM(F1545)," ",""),"^-?\d+(\.\d+)?"))&lt;=90,VALUE(REGEXEXTRACT(SUBSTITUTE(TRIM(F1545)," ",""),"-?\d+(\.\d+)?$"))&gt;=-180,VALUE(REGEXEXTRACT(SUBSTITUTE(TRIM(F1545)," ",""),"-?\d+(\.\d+)?$"))&lt;=180),"OK","REVISAR"),"REVISAR"),"")</f>
        <v/>
      </c>
      <c r="O1545">
        <f>IF(A1545&lt;&gt;"","https://direcciones507.github.io/direcciones507/panel.html?codigo="&amp;A1545&amp;"&amp;nombre="&amp;ENCODEURL(B1545)&amp;"&amp;telefono="&amp;SUBSTITUTE(C1545,"-","")&amp;"&amp;referencia="&amp;ENCODEURL(E1545)&amp;"&amp;lat="&amp;IZQUIERDA(SUBSTITUTE(F1545," ",""),ENCONTRAR(",",SUBSTITUTE(F1545," ",""))-1)&amp;"&amp;lng="&amp;DERECHA(SUBSTITUTE(F1545," ",""),LARGO(SUBSTITUTE(F1545," ",""))-ENCONTRAR(",",SUBSTITUTE(F1545," ",""))),"")</f>
        <v/>
      </c>
    </row>
    <row r="1546" ht="15.75" customHeight="1" s="10">
      <c r="A1546" s="8">
        <f>CONCAT("AD507-",TEXT(ROW()-2,"0000"))</f>
        <v/>
      </c>
      <c r="C1546" s="8" t="n"/>
      <c r="F1546" s="8" t="n"/>
      <c r="G1546" s="8">
        <f>IF(F1546&lt;&gt;"",HYPERLINK("https://www.google.com/maps/search/?api=1&amp;query="&amp;SUBSTITUTE(F1546," ",""),"🗺 Google Maps"),"")</f>
        <v/>
      </c>
      <c r="H1546" s="8">
        <f>IF(F1546&lt;&gt;"",HYPERLINK("https://waze.com/ul?ll="&amp;SUBSTITUTE(F1546," ","")&amp;"&amp;navigate=yes","🚗 Waze"),"")</f>
        <v/>
      </c>
      <c r="I1546" s="8">
        <f>IF(F1546&lt;&gt;"",HYPERLINK("https://m.uber.com/ul/?action=setPickup&amp;pickup=my_location&amp;dropoff[latitude]="&amp;LEFT(SUBSTITUTE(F1546," ",""),FIND(",",SUBSTITUTE(F1546," ",""))-1)&amp;"&amp;dropoff[longitude]="&amp;MID(SUBSTITUTE(F1546," ",""),FIND(",",SUBSTITUTE(F1546," ",""))+1,99),"🚕 Uber"),"")</f>
        <v/>
      </c>
      <c r="J1546" s="8">
        <f>IF(F1546&lt;&gt;"","https://api.qrserver.com/v1/create-qr-code/?size=200x200&amp;data="&amp;ENCODEURL("https://www.google.com/maps/search/?api=1&amp;query="&amp;SUBSTITUTE(F1546," ","")),"")</f>
        <v/>
      </c>
      <c r="K1546" s="8">
        <f>IF(C1546&lt;&gt;"",HYPERLINK("https://wa.me/507"&amp;REGEXREPLACE(C1546,"[^0-9]","")&amp;"?text="&amp;ENCODEURL("Ya llegue. Codigo: "&amp;A1546&amp;". Ubicacion: "&amp;"https://www.google.com/maps/search/?api=1&amp;query="&amp;SUBSTITUTE(F1546," ","")),"📲 Avisar al cliente"),"")</f>
        <v/>
      </c>
      <c r="L1546" s="8">
        <f>IF(C1546&lt;&gt;"","https://api.qrserver.com/v1/create-qr-code/?size=200x200&amp;data="&amp;ENCODEURL("https://wa.me/507"&amp;REGEXREPLACE(C1546,"[^0-9]","")&amp;"?text="&amp;ENCODEURL("Ya llegue. Codigo: "&amp;A1546&amp;". Ubicacion: "&amp;"https://www.google.com/maps/search/?api=1&amp;query="&amp;SUBSTITUTE(F1546," ",""))),"")</f>
        <v/>
      </c>
      <c r="M1546" s="8">
        <f>IF(B1546&lt;&gt;"",TODAY(),"")</f>
        <v/>
      </c>
      <c r="N1546" s="8">
        <f>IF(F1546&lt;&gt;"",IFERROR(IF(AND(REGEXMATCH(SUBSTITUTE(TRIM(F1546)," ",""),"^-?\d+(\.\d+)?,-?\d+(\.\d+)?$"),VALUE(REGEXEXTRACT(SUBSTITUTE(TRIM(F1546)," ",""),"^-?\d+(\.\d+)?"))&gt;=-90,VALUE(REGEXEXTRACT(SUBSTITUTE(TRIM(F1546)," ",""),"^-?\d+(\.\d+)?"))&lt;=90,VALUE(REGEXEXTRACT(SUBSTITUTE(TRIM(F1546)," ",""),"-?\d+(\.\d+)?$"))&gt;=-180,VALUE(REGEXEXTRACT(SUBSTITUTE(TRIM(F1546)," ",""),"-?\d+(\.\d+)?$"))&lt;=180),"OK","REVISAR"),"REVISAR"),"")</f>
        <v/>
      </c>
      <c r="O1546">
        <f>IF(A1546&lt;&gt;"","https://direcciones507.github.io/direcciones507/panel.html?codigo="&amp;A1546&amp;"&amp;nombre="&amp;ENCODEURL(B1546)&amp;"&amp;telefono="&amp;SUBSTITUTE(C1546,"-","")&amp;"&amp;referencia="&amp;ENCODEURL(E1546)&amp;"&amp;lat="&amp;IZQUIERDA(SUBSTITUTE(F1546," ",""),ENCONTRAR(",",SUBSTITUTE(F1546," ",""))-1)&amp;"&amp;lng="&amp;DERECHA(SUBSTITUTE(F1546," ",""),LARGO(SUBSTITUTE(F1546," ",""))-ENCONTRAR(",",SUBSTITUTE(F1546," ",""))),"")</f>
        <v/>
      </c>
    </row>
    <row r="1547" ht="15.75" customHeight="1" s="10">
      <c r="A1547" s="8">
        <f>CONCAT("AD507-",TEXT(ROW()-2,"0000"))</f>
        <v/>
      </c>
      <c r="C1547" s="8" t="n"/>
      <c r="F1547" s="8" t="n"/>
      <c r="G1547" s="8">
        <f>IF(F1547&lt;&gt;"",HYPERLINK("https://www.google.com/maps/search/?api=1&amp;query="&amp;SUBSTITUTE(F1547," ",""),"🗺 Google Maps"),"")</f>
        <v/>
      </c>
      <c r="H1547" s="8">
        <f>IF(F1547&lt;&gt;"",HYPERLINK("https://waze.com/ul?ll="&amp;SUBSTITUTE(F1547," ","")&amp;"&amp;navigate=yes","🚗 Waze"),"")</f>
        <v/>
      </c>
      <c r="I1547" s="8">
        <f>IF(F1547&lt;&gt;"",HYPERLINK("https://m.uber.com/ul/?action=setPickup&amp;pickup=my_location&amp;dropoff[latitude]="&amp;LEFT(SUBSTITUTE(F1547," ",""),FIND(",",SUBSTITUTE(F1547," ",""))-1)&amp;"&amp;dropoff[longitude]="&amp;MID(SUBSTITUTE(F1547," ",""),FIND(",",SUBSTITUTE(F1547," ",""))+1,99),"🚕 Uber"),"")</f>
        <v/>
      </c>
      <c r="J1547" s="8">
        <f>IF(F1547&lt;&gt;"","https://api.qrserver.com/v1/create-qr-code/?size=200x200&amp;data="&amp;ENCODEURL("https://www.google.com/maps/search/?api=1&amp;query="&amp;SUBSTITUTE(F1547," ","")),"")</f>
        <v/>
      </c>
      <c r="K1547" s="8">
        <f>IF(C1547&lt;&gt;"",HYPERLINK("https://wa.me/507"&amp;REGEXREPLACE(C1547,"[^0-9]","")&amp;"?text="&amp;ENCODEURL("Ya llegue. Codigo: "&amp;A1547&amp;". Ubicacion: "&amp;"https://www.google.com/maps/search/?api=1&amp;query="&amp;SUBSTITUTE(F1547," ","")),"📲 Avisar al cliente"),"")</f>
        <v/>
      </c>
      <c r="L1547" s="8">
        <f>IF(C1547&lt;&gt;"","https://api.qrserver.com/v1/create-qr-code/?size=200x200&amp;data="&amp;ENCODEURL("https://wa.me/507"&amp;REGEXREPLACE(C1547,"[^0-9]","")&amp;"?text="&amp;ENCODEURL("Ya llegue. Codigo: "&amp;A1547&amp;". Ubicacion: "&amp;"https://www.google.com/maps/search/?api=1&amp;query="&amp;SUBSTITUTE(F1547," ",""))),"")</f>
        <v/>
      </c>
      <c r="M1547" s="8">
        <f>IF(B1547&lt;&gt;"",TODAY(),"")</f>
        <v/>
      </c>
      <c r="N1547" s="8">
        <f>IF(F1547&lt;&gt;"",IFERROR(IF(AND(REGEXMATCH(SUBSTITUTE(TRIM(F1547)," ",""),"^-?\d+(\.\d+)?,-?\d+(\.\d+)?$"),VALUE(REGEXEXTRACT(SUBSTITUTE(TRIM(F1547)," ",""),"^-?\d+(\.\d+)?"))&gt;=-90,VALUE(REGEXEXTRACT(SUBSTITUTE(TRIM(F1547)," ",""),"^-?\d+(\.\d+)?"))&lt;=90,VALUE(REGEXEXTRACT(SUBSTITUTE(TRIM(F1547)," ",""),"-?\d+(\.\d+)?$"))&gt;=-180,VALUE(REGEXEXTRACT(SUBSTITUTE(TRIM(F1547)," ",""),"-?\d+(\.\d+)?$"))&lt;=180),"OK","REVISAR"),"REVISAR"),"")</f>
        <v/>
      </c>
      <c r="O1547">
        <f>IF(A1547&lt;&gt;"","https://direcciones507.github.io/direcciones507/panel.html?codigo="&amp;A1547&amp;"&amp;nombre="&amp;ENCODEURL(B1547)&amp;"&amp;telefono="&amp;SUBSTITUTE(C1547,"-","")&amp;"&amp;referencia="&amp;ENCODEURL(E1547)&amp;"&amp;lat="&amp;IZQUIERDA(SUBSTITUTE(F1547," ",""),ENCONTRAR(",",SUBSTITUTE(F1547," ",""))-1)&amp;"&amp;lng="&amp;DERECHA(SUBSTITUTE(F1547," ",""),LARGO(SUBSTITUTE(F1547," ",""))-ENCONTRAR(",",SUBSTITUTE(F1547," ",""))),"")</f>
        <v/>
      </c>
    </row>
    <row r="1548" ht="15.75" customHeight="1" s="10">
      <c r="A1548" s="8">
        <f>CONCAT("AD507-",TEXT(ROW()-2,"0000"))</f>
        <v/>
      </c>
      <c r="C1548" s="8" t="n"/>
      <c r="F1548" s="8" t="n"/>
      <c r="G1548" s="8">
        <f>IF(F1548&lt;&gt;"",HYPERLINK("https://www.google.com/maps/search/?api=1&amp;query="&amp;SUBSTITUTE(F1548," ",""),"🗺 Google Maps"),"")</f>
        <v/>
      </c>
      <c r="H1548" s="8">
        <f>IF(F1548&lt;&gt;"",HYPERLINK("https://waze.com/ul?ll="&amp;SUBSTITUTE(F1548," ","")&amp;"&amp;navigate=yes","🚗 Waze"),"")</f>
        <v/>
      </c>
      <c r="I1548" s="8">
        <f>IF(F1548&lt;&gt;"",HYPERLINK("https://m.uber.com/ul/?action=setPickup&amp;pickup=my_location&amp;dropoff[latitude]="&amp;LEFT(SUBSTITUTE(F1548," ",""),FIND(",",SUBSTITUTE(F1548," ",""))-1)&amp;"&amp;dropoff[longitude]="&amp;MID(SUBSTITUTE(F1548," ",""),FIND(",",SUBSTITUTE(F1548," ",""))+1,99),"🚕 Uber"),"")</f>
        <v/>
      </c>
      <c r="J1548" s="8">
        <f>IF(F1548&lt;&gt;"","https://api.qrserver.com/v1/create-qr-code/?size=200x200&amp;data="&amp;ENCODEURL("https://www.google.com/maps/search/?api=1&amp;query="&amp;SUBSTITUTE(F1548," ","")),"")</f>
        <v/>
      </c>
      <c r="K1548" s="8">
        <f>IF(C1548&lt;&gt;"",HYPERLINK("https://wa.me/507"&amp;REGEXREPLACE(C1548,"[^0-9]","")&amp;"?text="&amp;ENCODEURL("Ya llegue. Codigo: "&amp;A1548&amp;". Ubicacion: "&amp;"https://www.google.com/maps/search/?api=1&amp;query="&amp;SUBSTITUTE(F1548," ","")),"📲 Avisar al cliente"),"")</f>
        <v/>
      </c>
      <c r="L1548" s="8">
        <f>IF(C1548&lt;&gt;"","https://api.qrserver.com/v1/create-qr-code/?size=200x200&amp;data="&amp;ENCODEURL("https://wa.me/507"&amp;REGEXREPLACE(C1548,"[^0-9]","")&amp;"?text="&amp;ENCODEURL("Ya llegue. Codigo: "&amp;A1548&amp;". Ubicacion: "&amp;"https://www.google.com/maps/search/?api=1&amp;query="&amp;SUBSTITUTE(F1548," ",""))),"")</f>
        <v/>
      </c>
      <c r="M1548" s="8">
        <f>IF(B1548&lt;&gt;"",TODAY(),"")</f>
        <v/>
      </c>
      <c r="N1548" s="8">
        <f>IF(F1548&lt;&gt;"",IFERROR(IF(AND(REGEXMATCH(SUBSTITUTE(TRIM(F1548)," ",""),"^-?\d+(\.\d+)?,-?\d+(\.\d+)?$"),VALUE(REGEXEXTRACT(SUBSTITUTE(TRIM(F1548)," ",""),"^-?\d+(\.\d+)?"))&gt;=-90,VALUE(REGEXEXTRACT(SUBSTITUTE(TRIM(F1548)," ",""),"^-?\d+(\.\d+)?"))&lt;=90,VALUE(REGEXEXTRACT(SUBSTITUTE(TRIM(F1548)," ",""),"-?\d+(\.\d+)?$"))&gt;=-180,VALUE(REGEXEXTRACT(SUBSTITUTE(TRIM(F1548)," ",""),"-?\d+(\.\d+)?$"))&lt;=180),"OK","REVISAR"),"REVISAR"),"")</f>
        <v/>
      </c>
      <c r="O1548">
        <f>IF(A1548&lt;&gt;"","https://direcciones507.github.io/direcciones507/panel.html?codigo="&amp;A1548&amp;"&amp;nombre="&amp;ENCODEURL(B1548)&amp;"&amp;telefono="&amp;SUBSTITUTE(C1548,"-","")&amp;"&amp;referencia="&amp;ENCODEURL(E1548)&amp;"&amp;lat="&amp;IZQUIERDA(SUBSTITUTE(F1548," ",""),ENCONTRAR(",",SUBSTITUTE(F1548," ",""))-1)&amp;"&amp;lng="&amp;DERECHA(SUBSTITUTE(F1548," ",""),LARGO(SUBSTITUTE(F1548," ",""))-ENCONTRAR(",",SUBSTITUTE(F1548," ",""))),"")</f>
        <v/>
      </c>
    </row>
    <row r="1549" ht="15.75" customHeight="1" s="10">
      <c r="A1549" s="8">
        <f>CONCAT("AD507-",TEXT(ROW()-2,"0000"))</f>
        <v/>
      </c>
      <c r="C1549" s="8" t="n"/>
      <c r="F1549" s="8" t="n"/>
      <c r="G1549" s="8">
        <f>IF(F1549&lt;&gt;"",HYPERLINK("https://www.google.com/maps/search/?api=1&amp;query="&amp;SUBSTITUTE(F1549," ",""),"🗺 Google Maps"),"")</f>
        <v/>
      </c>
      <c r="H1549" s="8">
        <f>IF(F1549&lt;&gt;"",HYPERLINK("https://waze.com/ul?ll="&amp;SUBSTITUTE(F1549," ","")&amp;"&amp;navigate=yes","🚗 Waze"),"")</f>
        <v/>
      </c>
      <c r="I1549" s="8">
        <f>IF(F1549&lt;&gt;"",HYPERLINK("https://m.uber.com/ul/?action=setPickup&amp;pickup=my_location&amp;dropoff[latitude]="&amp;LEFT(SUBSTITUTE(F1549," ",""),FIND(",",SUBSTITUTE(F1549," ",""))-1)&amp;"&amp;dropoff[longitude]="&amp;MID(SUBSTITUTE(F1549," ",""),FIND(",",SUBSTITUTE(F1549," ",""))+1,99),"🚕 Uber"),"")</f>
        <v/>
      </c>
      <c r="J1549" s="8">
        <f>IF(F1549&lt;&gt;"","https://api.qrserver.com/v1/create-qr-code/?size=200x200&amp;data="&amp;ENCODEURL("https://www.google.com/maps/search/?api=1&amp;query="&amp;SUBSTITUTE(F1549," ","")),"")</f>
        <v/>
      </c>
      <c r="K1549" s="8">
        <f>IF(C1549&lt;&gt;"",HYPERLINK("https://wa.me/507"&amp;REGEXREPLACE(C1549,"[^0-9]","")&amp;"?text="&amp;ENCODEURL("Ya llegue. Codigo: "&amp;A1549&amp;". Ubicacion: "&amp;"https://www.google.com/maps/search/?api=1&amp;query="&amp;SUBSTITUTE(F1549," ","")),"📲 Avisar al cliente"),"")</f>
        <v/>
      </c>
      <c r="L1549" s="8">
        <f>IF(C1549&lt;&gt;"","https://api.qrserver.com/v1/create-qr-code/?size=200x200&amp;data="&amp;ENCODEURL("https://wa.me/507"&amp;REGEXREPLACE(C1549,"[^0-9]","")&amp;"?text="&amp;ENCODEURL("Ya llegue. Codigo: "&amp;A1549&amp;". Ubicacion: "&amp;"https://www.google.com/maps/search/?api=1&amp;query="&amp;SUBSTITUTE(F1549," ",""))),"")</f>
        <v/>
      </c>
      <c r="M1549" s="8">
        <f>IF(B1549&lt;&gt;"",TODAY(),"")</f>
        <v/>
      </c>
      <c r="N1549" s="8">
        <f>IF(F1549&lt;&gt;"",IFERROR(IF(AND(REGEXMATCH(SUBSTITUTE(TRIM(F1549)," ",""),"^-?\d+(\.\d+)?,-?\d+(\.\d+)?$"),VALUE(REGEXEXTRACT(SUBSTITUTE(TRIM(F1549)," ",""),"^-?\d+(\.\d+)?"))&gt;=-90,VALUE(REGEXEXTRACT(SUBSTITUTE(TRIM(F1549)," ",""),"^-?\d+(\.\d+)?"))&lt;=90,VALUE(REGEXEXTRACT(SUBSTITUTE(TRIM(F1549)," ",""),"-?\d+(\.\d+)?$"))&gt;=-180,VALUE(REGEXEXTRACT(SUBSTITUTE(TRIM(F1549)," ",""),"-?\d+(\.\d+)?$"))&lt;=180),"OK","REVISAR"),"REVISAR"),"")</f>
        <v/>
      </c>
      <c r="O1549">
        <f>IF(A1549&lt;&gt;"","https://direcciones507.github.io/direcciones507/panel.html?codigo="&amp;A1549&amp;"&amp;nombre="&amp;ENCODEURL(B1549)&amp;"&amp;telefono="&amp;SUBSTITUTE(C1549,"-","")&amp;"&amp;referencia="&amp;ENCODEURL(E1549)&amp;"&amp;lat="&amp;IZQUIERDA(SUBSTITUTE(F1549," ",""),ENCONTRAR(",",SUBSTITUTE(F1549," ",""))-1)&amp;"&amp;lng="&amp;DERECHA(SUBSTITUTE(F1549," ",""),LARGO(SUBSTITUTE(F1549," ",""))-ENCONTRAR(",",SUBSTITUTE(F1549," ",""))),"")</f>
        <v/>
      </c>
    </row>
    <row r="1550" ht="15.75" customHeight="1" s="10">
      <c r="A1550" s="8">
        <f>CONCAT("AD507-",TEXT(ROW()-2,"0000"))</f>
        <v/>
      </c>
      <c r="C1550" s="8" t="n"/>
      <c r="F1550" s="8" t="n"/>
      <c r="G1550" s="8">
        <f>IF(F1550&lt;&gt;"",HYPERLINK("https://www.google.com/maps/search/?api=1&amp;query="&amp;SUBSTITUTE(F1550," ",""),"🗺 Google Maps"),"")</f>
        <v/>
      </c>
      <c r="H1550" s="8">
        <f>IF(F1550&lt;&gt;"",HYPERLINK("https://waze.com/ul?ll="&amp;SUBSTITUTE(F1550," ","")&amp;"&amp;navigate=yes","🚗 Waze"),"")</f>
        <v/>
      </c>
      <c r="I1550" s="8">
        <f>IF(F1550&lt;&gt;"",HYPERLINK("https://m.uber.com/ul/?action=setPickup&amp;pickup=my_location&amp;dropoff[latitude]="&amp;LEFT(SUBSTITUTE(F1550," ",""),FIND(",",SUBSTITUTE(F1550," ",""))-1)&amp;"&amp;dropoff[longitude]="&amp;MID(SUBSTITUTE(F1550," ",""),FIND(",",SUBSTITUTE(F1550," ",""))+1,99),"🚕 Uber"),"")</f>
        <v/>
      </c>
      <c r="J1550" s="8">
        <f>IF(F1550&lt;&gt;"","https://api.qrserver.com/v1/create-qr-code/?size=200x200&amp;data="&amp;ENCODEURL("https://www.google.com/maps/search/?api=1&amp;query="&amp;SUBSTITUTE(F1550," ","")),"")</f>
        <v/>
      </c>
      <c r="K1550" s="8">
        <f>IF(C1550&lt;&gt;"",HYPERLINK("https://wa.me/507"&amp;REGEXREPLACE(C1550,"[^0-9]","")&amp;"?text="&amp;ENCODEURL("Ya llegue. Codigo: "&amp;A1550&amp;". Ubicacion: "&amp;"https://www.google.com/maps/search/?api=1&amp;query="&amp;SUBSTITUTE(F1550," ","")),"📲 Avisar al cliente"),"")</f>
        <v/>
      </c>
      <c r="L1550" s="8">
        <f>IF(C1550&lt;&gt;"","https://api.qrserver.com/v1/create-qr-code/?size=200x200&amp;data="&amp;ENCODEURL("https://wa.me/507"&amp;REGEXREPLACE(C1550,"[^0-9]","")&amp;"?text="&amp;ENCODEURL("Ya llegue. Codigo: "&amp;A1550&amp;". Ubicacion: "&amp;"https://www.google.com/maps/search/?api=1&amp;query="&amp;SUBSTITUTE(F1550," ",""))),"")</f>
        <v/>
      </c>
      <c r="M1550" s="8">
        <f>IF(B1550&lt;&gt;"",TODAY(),"")</f>
        <v/>
      </c>
      <c r="N1550" s="8">
        <f>IF(F1550&lt;&gt;"",IFERROR(IF(AND(REGEXMATCH(SUBSTITUTE(TRIM(F1550)," ",""),"^-?\d+(\.\d+)?,-?\d+(\.\d+)?$"),VALUE(REGEXEXTRACT(SUBSTITUTE(TRIM(F1550)," ",""),"^-?\d+(\.\d+)?"))&gt;=-90,VALUE(REGEXEXTRACT(SUBSTITUTE(TRIM(F1550)," ",""),"^-?\d+(\.\d+)?"))&lt;=90,VALUE(REGEXEXTRACT(SUBSTITUTE(TRIM(F1550)," ",""),"-?\d+(\.\d+)?$"))&gt;=-180,VALUE(REGEXEXTRACT(SUBSTITUTE(TRIM(F1550)," ",""),"-?\d+(\.\d+)?$"))&lt;=180),"OK","REVISAR"),"REVISAR"),"")</f>
        <v/>
      </c>
      <c r="O1550">
        <f>IF(A1550&lt;&gt;"","https://direcciones507.github.io/direcciones507/panel.html?codigo="&amp;A1550&amp;"&amp;nombre="&amp;ENCODEURL(B1550)&amp;"&amp;telefono="&amp;SUBSTITUTE(C1550,"-","")&amp;"&amp;referencia="&amp;ENCODEURL(E1550)&amp;"&amp;lat="&amp;IZQUIERDA(SUBSTITUTE(F1550," ",""),ENCONTRAR(",",SUBSTITUTE(F1550," ",""))-1)&amp;"&amp;lng="&amp;DERECHA(SUBSTITUTE(F1550," ",""),LARGO(SUBSTITUTE(F1550," ",""))-ENCONTRAR(",",SUBSTITUTE(F1550," ",""))),"")</f>
        <v/>
      </c>
    </row>
    <row r="1551" ht="15.75" customHeight="1" s="10">
      <c r="A1551" s="8">
        <f>CONCAT("AD507-",TEXT(ROW()-2,"0000"))</f>
        <v/>
      </c>
      <c r="C1551" s="8" t="n"/>
      <c r="F1551" s="8" t="n"/>
      <c r="G1551" s="8">
        <f>IF(F1551&lt;&gt;"",HYPERLINK("https://www.google.com/maps/search/?api=1&amp;query="&amp;SUBSTITUTE(F1551," ",""),"🗺 Google Maps"),"")</f>
        <v/>
      </c>
      <c r="H1551" s="8">
        <f>IF(F1551&lt;&gt;"",HYPERLINK("https://waze.com/ul?ll="&amp;SUBSTITUTE(F1551," ","")&amp;"&amp;navigate=yes","🚗 Waze"),"")</f>
        <v/>
      </c>
      <c r="I1551" s="8">
        <f>IF(F1551&lt;&gt;"",HYPERLINK("https://m.uber.com/ul/?action=setPickup&amp;pickup=my_location&amp;dropoff[latitude]="&amp;LEFT(SUBSTITUTE(F1551," ",""),FIND(",",SUBSTITUTE(F1551," ",""))-1)&amp;"&amp;dropoff[longitude]="&amp;MID(SUBSTITUTE(F1551," ",""),FIND(",",SUBSTITUTE(F1551," ",""))+1,99),"🚕 Uber"),"")</f>
        <v/>
      </c>
      <c r="J1551" s="8">
        <f>IF(F1551&lt;&gt;"","https://api.qrserver.com/v1/create-qr-code/?size=200x200&amp;data="&amp;ENCODEURL("https://www.google.com/maps/search/?api=1&amp;query="&amp;SUBSTITUTE(F1551," ","")),"")</f>
        <v/>
      </c>
      <c r="K1551" s="8">
        <f>IF(C1551&lt;&gt;"",HYPERLINK("https://wa.me/507"&amp;REGEXREPLACE(C1551,"[^0-9]","")&amp;"?text="&amp;ENCODEURL("Ya llegue. Codigo: "&amp;A1551&amp;". Ubicacion: "&amp;"https://www.google.com/maps/search/?api=1&amp;query="&amp;SUBSTITUTE(F1551," ","")),"📲 Avisar al cliente"),"")</f>
        <v/>
      </c>
      <c r="L1551" s="8">
        <f>IF(C1551&lt;&gt;"","https://api.qrserver.com/v1/create-qr-code/?size=200x200&amp;data="&amp;ENCODEURL("https://wa.me/507"&amp;REGEXREPLACE(C1551,"[^0-9]","")&amp;"?text="&amp;ENCODEURL("Ya llegue. Codigo: "&amp;A1551&amp;". Ubicacion: "&amp;"https://www.google.com/maps/search/?api=1&amp;query="&amp;SUBSTITUTE(F1551," ",""))),"")</f>
        <v/>
      </c>
      <c r="M1551" s="8">
        <f>IF(B1551&lt;&gt;"",TODAY(),"")</f>
        <v/>
      </c>
      <c r="N1551" s="8">
        <f>IF(F1551&lt;&gt;"",IFERROR(IF(AND(REGEXMATCH(SUBSTITUTE(TRIM(F1551)," ",""),"^-?\d+(\.\d+)?,-?\d+(\.\d+)?$"),VALUE(REGEXEXTRACT(SUBSTITUTE(TRIM(F1551)," ",""),"^-?\d+(\.\d+)?"))&gt;=-90,VALUE(REGEXEXTRACT(SUBSTITUTE(TRIM(F1551)," ",""),"^-?\d+(\.\d+)?"))&lt;=90,VALUE(REGEXEXTRACT(SUBSTITUTE(TRIM(F1551)," ",""),"-?\d+(\.\d+)?$"))&gt;=-180,VALUE(REGEXEXTRACT(SUBSTITUTE(TRIM(F1551)," ",""),"-?\d+(\.\d+)?$"))&lt;=180),"OK","REVISAR"),"REVISAR"),"")</f>
        <v/>
      </c>
      <c r="O1551">
        <f>IF(A1551&lt;&gt;"","https://direcciones507.github.io/direcciones507/panel.html?codigo="&amp;A1551&amp;"&amp;nombre="&amp;ENCODEURL(B1551)&amp;"&amp;telefono="&amp;SUBSTITUTE(C1551,"-","")&amp;"&amp;referencia="&amp;ENCODEURL(E1551)&amp;"&amp;lat="&amp;IZQUIERDA(SUBSTITUTE(F1551," ",""),ENCONTRAR(",",SUBSTITUTE(F1551," ",""))-1)&amp;"&amp;lng="&amp;DERECHA(SUBSTITUTE(F1551," ",""),LARGO(SUBSTITUTE(F1551," ",""))-ENCONTRAR(",",SUBSTITUTE(F1551," ",""))),"")</f>
        <v/>
      </c>
    </row>
    <row r="1552" ht="15.75" customHeight="1" s="10">
      <c r="A1552" s="8">
        <f>CONCAT("AD507-",TEXT(ROW()-2,"0000"))</f>
        <v/>
      </c>
      <c r="C1552" s="8" t="n"/>
      <c r="F1552" s="8" t="n"/>
      <c r="G1552" s="8">
        <f>IF(F1552&lt;&gt;"",HYPERLINK("https://www.google.com/maps/search/?api=1&amp;query="&amp;SUBSTITUTE(F1552," ",""),"🗺 Google Maps"),"")</f>
        <v/>
      </c>
      <c r="H1552" s="8">
        <f>IF(F1552&lt;&gt;"",HYPERLINK("https://waze.com/ul?ll="&amp;SUBSTITUTE(F1552," ","")&amp;"&amp;navigate=yes","🚗 Waze"),"")</f>
        <v/>
      </c>
      <c r="I1552" s="8">
        <f>IF(F1552&lt;&gt;"",HYPERLINK("https://m.uber.com/ul/?action=setPickup&amp;pickup=my_location&amp;dropoff[latitude]="&amp;LEFT(SUBSTITUTE(F1552," ",""),FIND(",",SUBSTITUTE(F1552," ",""))-1)&amp;"&amp;dropoff[longitude]="&amp;MID(SUBSTITUTE(F1552," ",""),FIND(",",SUBSTITUTE(F1552," ",""))+1,99),"🚕 Uber"),"")</f>
        <v/>
      </c>
      <c r="J1552" s="8">
        <f>IF(F1552&lt;&gt;"","https://api.qrserver.com/v1/create-qr-code/?size=200x200&amp;data="&amp;ENCODEURL("https://www.google.com/maps/search/?api=1&amp;query="&amp;SUBSTITUTE(F1552," ","")),"")</f>
        <v/>
      </c>
      <c r="K1552" s="8">
        <f>IF(C1552&lt;&gt;"",HYPERLINK("https://wa.me/507"&amp;REGEXREPLACE(C1552,"[^0-9]","")&amp;"?text="&amp;ENCODEURL("Ya llegue. Codigo: "&amp;A1552&amp;". Ubicacion: "&amp;"https://www.google.com/maps/search/?api=1&amp;query="&amp;SUBSTITUTE(F1552," ","")),"📲 Avisar al cliente"),"")</f>
        <v/>
      </c>
      <c r="L1552" s="8">
        <f>IF(C1552&lt;&gt;"","https://api.qrserver.com/v1/create-qr-code/?size=200x200&amp;data="&amp;ENCODEURL("https://wa.me/507"&amp;REGEXREPLACE(C1552,"[^0-9]","")&amp;"?text="&amp;ENCODEURL("Ya llegue. Codigo: "&amp;A1552&amp;". Ubicacion: "&amp;"https://www.google.com/maps/search/?api=1&amp;query="&amp;SUBSTITUTE(F1552," ",""))),"")</f>
        <v/>
      </c>
      <c r="M1552" s="8">
        <f>IF(B1552&lt;&gt;"",TODAY(),"")</f>
        <v/>
      </c>
      <c r="N1552" s="8">
        <f>IF(F1552&lt;&gt;"",IFERROR(IF(AND(REGEXMATCH(SUBSTITUTE(TRIM(F1552)," ",""),"^-?\d+(\.\d+)?,-?\d+(\.\d+)?$"),VALUE(REGEXEXTRACT(SUBSTITUTE(TRIM(F1552)," ",""),"^-?\d+(\.\d+)?"))&gt;=-90,VALUE(REGEXEXTRACT(SUBSTITUTE(TRIM(F1552)," ",""),"^-?\d+(\.\d+)?"))&lt;=90,VALUE(REGEXEXTRACT(SUBSTITUTE(TRIM(F1552)," ",""),"-?\d+(\.\d+)?$"))&gt;=-180,VALUE(REGEXEXTRACT(SUBSTITUTE(TRIM(F1552)," ",""),"-?\d+(\.\d+)?$"))&lt;=180),"OK","REVISAR"),"REVISAR"),"")</f>
        <v/>
      </c>
      <c r="O1552">
        <f>IF(A1552&lt;&gt;"","https://direcciones507.github.io/direcciones507/panel.html?codigo="&amp;A1552&amp;"&amp;nombre="&amp;ENCODEURL(B1552)&amp;"&amp;telefono="&amp;SUBSTITUTE(C1552,"-","")&amp;"&amp;referencia="&amp;ENCODEURL(E1552)&amp;"&amp;lat="&amp;IZQUIERDA(SUBSTITUTE(F1552," ",""),ENCONTRAR(",",SUBSTITUTE(F1552," ",""))-1)&amp;"&amp;lng="&amp;DERECHA(SUBSTITUTE(F1552," ",""),LARGO(SUBSTITUTE(F1552," ",""))-ENCONTRAR(",",SUBSTITUTE(F1552," ",""))),"")</f>
        <v/>
      </c>
    </row>
    <row r="1553" ht="15.75" customHeight="1" s="10">
      <c r="A1553" s="8">
        <f>CONCAT("AD507-",TEXT(ROW()-2,"0000"))</f>
        <v/>
      </c>
      <c r="C1553" s="8" t="n"/>
      <c r="F1553" s="8" t="n"/>
      <c r="G1553" s="8">
        <f>IF(F1553&lt;&gt;"",HYPERLINK("https://www.google.com/maps/search/?api=1&amp;query="&amp;SUBSTITUTE(F1553," ",""),"🗺 Google Maps"),"")</f>
        <v/>
      </c>
      <c r="H1553" s="8">
        <f>IF(F1553&lt;&gt;"",HYPERLINK("https://waze.com/ul?ll="&amp;SUBSTITUTE(F1553," ","")&amp;"&amp;navigate=yes","🚗 Waze"),"")</f>
        <v/>
      </c>
      <c r="I1553" s="8">
        <f>IF(F1553&lt;&gt;"",HYPERLINK("https://m.uber.com/ul/?action=setPickup&amp;pickup=my_location&amp;dropoff[latitude]="&amp;LEFT(SUBSTITUTE(F1553," ",""),FIND(",",SUBSTITUTE(F1553," ",""))-1)&amp;"&amp;dropoff[longitude]="&amp;MID(SUBSTITUTE(F1553," ",""),FIND(",",SUBSTITUTE(F1553," ",""))+1,99),"🚕 Uber"),"")</f>
        <v/>
      </c>
      <c r="J1553" s="8">
        <f>IF(F1553&lt;&gt;"","https://api.qrserver.com/v1/create-qr-code/?size=200x200&amp;data="&amp;ENCODEURL("https://www.google.com/maps/search/?api=1&amp;query="&amp;SUBSTITUTE(F1553," ","")),"")</f>
        <v/>
      </c>
      <c r="K1553" s="8">
        <f>IF(C1553&lt;&gt;"",HYPERLINK("https://wa.me/507"&amp;REGEXREPLACE(C1553,"[^0-9]","")&amp;"?text="&amp;ENCODEURL("Ya llegue. Codigo: "&amp;A1553&amp;". Ubicacion: "&amp;"https://www.google.com/maps/search/?api=1&amp;query="&amp;SUBSTITUTE(F1553," ","")),"📲 Avisar al cliente"),"")</f>
        <v/>
      </c>
      <c r="L1553" s="8">
        <f>IF(C1553&lt;&gt;"","https://api.qrserver.com/v1/create-qr-code/?size=200x200&amp;data="&amp;ENCODEURL("https://wa.me/507"&amp;REGEXREPLACE(C1553,"[^0-9]","")&amp;"?text="&amp;ENCODEURL("Ya llegue. Codigo: "&amp;A1553&amp;". Ubicacion: "&amp;"https://www.google.com/maps/search/?api=1&amp;query="&amp;SUBSTITUTE(F1553," ",""))),"")</f>
        <v/>
      </c>
      <c r="M1553" s="8">
        <f>IF(B1553&lt;&gt;"",TODAY(),"")</f>
        <v/>
      </c>
      <c r="N1553" s="8">
        <f>IF(F1553&lt;&gt;"",IFERROR(IF(AND(REGEXMATCH(SUBSTITUTE(TRIM(F1553)," ",""),"^-?\d+(\.\d+)?,-?\d+(\.\d+)?$"),VALUE(REGEXEXTRACT(SUBSTITUTE(TRIM(F1553)," ",""),"^-?\d+(\.\d+)?"))&gt;=-90,VALUE(REGEXEXTRACT(SUBSTITUTE(TRIM(F1553)," ",""),"^-?\d+(\.\d+)?"))&lt;=90,VALUE(REGEXEXTRACT(SUBSTITUTE(TRIM(F1553)," ",""),"-?\d+(\.\d+)?$"))&gt;=-180,VALUE(REGEXEXTRACT(SUBSTITUTE(TRIM(F1553)," ",""),"-?\d+(\.\d+)?$"))&lt;=180),"OK","REVISAR"),"REVISAR"),"")</f>
        <v/>
      </c>
      <c r="O1553">
        <f>IF(A1553&lt;&gt;"","https://direcciones507.github.io/direcciones507/panel.html?codigo="&amp;A1553&amp;"&amp;nombre="&amp;ENCODEURL(B1553)&amp;"&amp;telefono="&amp;SUBSTITUTE(C1553,"-","")&amp;"&amp;referencia="&amp;ENCODEURL(E1553)&amp;"&amp;lat="&amp;IZQUIERDA(SUBSTITUTE(F1553," ",""),ENCONTRAR(",",SUBSTITUTE(F1553," ",""))-1)&amp;"&amp;lng="&amp;DERECHA(SUBSTITUTE(F1553," ",""),LARGO(SUBSTITUTE(F1553," ",""))-ENCONTRAR(",",SUBSTITUTE(F1553," ",""))),"")</f>
        <v/>
      </c>
    </row>
    <row r="1554" ht="15.75" customHeight="1" s="10">
      <c r="A1554" s="8">
        <f>CONCAT("AD507-",TEXT(ROW()-2,"0000"))</f>
        <v/>
      </c>
      <c r="C1554" s="8" t="n"/>
      <c r="F1554" s="8" t="n"/>
      <c r="G1554" s="8">
        <f>IF(F1554&lt;&gt;"",HYPERLINK("https://www.google.com/maps/search/?api=1&amp;query="&amp;SUBSTITUTE(F1554," ",""),"🗺 Google Maps"),"")</f>
        <v/>
      </c>
      <c r="H1554" s="8">
        <f>IF(F1554&lt;&gt;"",HYPERLINK("https://waze.com/ul?ll="&amp;SUBSTITUTE(F1554," ","")&amp;"&amp;navigate=yes","🚗 Waze"),"")</f>
        <v/>
      </c>
      <c r="I1554" s="8">
        <f>IF(F1554&lt;&gt;"",HYPERLINK("https://m.uber.com/ul/?action=setPickup&amp;pickup=my_location&amp;dropoff[latitude]="&amp;LEFT(SUBSTITUTE(F1554," ",""),FIND(",",SUBSTITUTE(F1554," ",""))-1)&amp;"&amp;dropoff[longitude]="&amp;MID(SUBSTITUTE(F1554," ",""),FIND(",",SUBSTITUTE(F1554," ",""))+1,99),"🚕 Uber"),"")</f>
        <v/>
      </c>
      <c r="J1554" s="8">
        <f>IF(F1554&lt;&gt;"","https://api.qrserver.com/v1/create-qr-code/?size=200x200&amp;data="&amp;ENCODEURL("https://www.google.com/maps/search/?api=1&amp;query="&amp;SUBSTITUTE(F1554," ","")),"")</f>
        <v/>
      </c>
      <c r="K1554" s="8">
        <f>IF(C1554&lt;&gt;"",HYPERLINK("https://wa.me/507"&amp;REGEXREPLACE(C1554,"[^0-9]","")&amp;"?text="&amp;ENCODEURL("Ya llegue. Codigo: "&amp;A1554&amp;". Ubicacion: "&amp;"https://www.google.com/maps/search/?api=1&amp;query="&amp;SUBSTITUTE(F1554," ","")),"📲 Avisar al cliente"),"")</f>
        <v/>
      </c>
      <c r="L1554" s="8">
        <f>IF(C1554&lt;&gt;"","https://api.qrserver.com/v1/create-qr-code/?size=200x200&amp;data="&amp;ENCODEURL("https://wa.me/507"&amp;REGEXREPLACE(C1554,"[^0-9]","")&amp;"?text="&amp;ENCODEURL("Ya llegue. Codigo: "&amp;A1554&amp;". Ubicacion: "&amp;"https://www.google.com/maps/search/?api=1&amp;query="&amp;SUBSTITUTE(F1554," ",""))),"")</f>
        <v/>
      </c>
      <c r="M1554" s="8">
        <f>IF(B1554&lt;&gt;"",TODAY(),"")</f>
        <v/>
      </c>
      <c r="N1554" s="8">
        <f>IF(F1554&lt;&gt;"",IFERROR(IF(AND(REGEXMATCH(SUBSTITUTE(TRIM(F1554)," ",""),"^-?\d+(\.\d+)?,-?\d+(\.\d+)?$"),VALUE(REGEXEXTRACT(SUBSTITUTE(TRIM(F1554)," ",""),"^-?\d+(\.\d+)?"))&gt;=-90,VALUE(REGEXEXTRACT(SUBSTITUTE(TRIM(F1554)," ",""),"^-?\d+(\.\d+)?"))&lt;=90,VALUE(REGEXEXTRACT(SUBSTITUTE(TRIM(F1554)," ",""),"-?\d+(\.\d+)?$"))&gt;=-180,VALUE(REGEXEXTRACT(SUBSTITUTE(TRIM(F1554)," ",""),"-?\d+(\.\d+)?$"))&lt;=180),"OK","REVISAR"),"REVISAR"),"")</f>
        <v/>
      </c>
      <c r="O1554">
        <f>IF(A1554&lt;&gt;"","https://direcciones507.github.io/direcciones507/panel.html?codigo="&amp;A1554&amp;"&amp;nombre="&amp;ENCODEURL(B1554)&amp;"&amp;telefono="&amp;SUBSTITUTE(C1554,"-","")&amp;"&amp;referencia="&amp;ENCODEURL(E1554)&amp;"&amp;lat="&amp;IZQUIERDA(SUBSTITUTE(F1554," ",""),ENCONTRAR(",",SUBSTITUTE(F1554," ",""))-1)&amp;"&amp;lng="&amp;DERECHA(SUBSTITUTE(F1554," ",""),LARGO(SUBSTITUTE(F1554," ",""))-ENCONTRAR(",",SUBSTITUTE(F1554," ",""))),"")</f>
        <v/>
      </c>
    </row>
    <row r="1555" ht="15.75" customHeight="1" s="10">
      <c r="A1555" s="8">
        <f>CONCAT("AD507-",TEXT(ROW()-2,"0000"))</f>
        <v/>
      </c>
      <c r="C1555" s="8" t="n"/>
      <c r="F1555" s="8" t="n"/>
      <c r="G1555" s="8">
        <f>IF(F1555&lt;&gt;"",HYPERLINK("https://www.google.com/maps/search/?api=1&amp;query="&amp;SUBSTITUTE(F1555," ",""),"🗺 Google Maps"),"")</f>
        <v/>
      </c>
      <c r="H1555" s="8">
        <f>IF(F1555&lt;&gt;"",HYPERLINK("https://waze.com/ul?ll="&amp;SUBSTITUTE(F1555," ","")&amp;"&amp;navigate=yes","🚗 Waze"),"")</f>
        <v/>
      </c>
      <c r="I1555" s="8">
        <f>IF(F1555&lt;&gt;"",HYPERLINK("https://m.uber.com/ul/?action=setPickup&amp;pickup=my_location&amp;dropoff[latitude]="&amp;LEFT(SUBSTITUTE(F1555," ",""),FIND(",",SUBSTITUTE(F1555," ",""))-1)&amp;"&amp;dropoff[longitude]="&amp;MID(SUBSTITUTE(F1555," ",""),FIND(",",SUBSTITUTE(F1555," ",""))+1,99),"🚕 Uber"),"")</f>
        <v/>
      </c>
      <c r="J1555" s="8">
        <f>IF(F1555&lt;&gt;"","https://api.qrserver.com/v1/create-qr-code/?size=200x200&amp;data="&amp;ENCODEURL("https://www.google.com/maps/search/?api=1&amp;query="&amp;SUBSTITUTE(F1555," ","")),"")</f>
        <v/>
      </c>
      <c r="K1555" s="8">
        <f>IF(C1555&lt;&gt;"",HYPERLINK("https://wa.me/507"&amp;REGEXREPLACE(C1555,"[^0-9]","")&amp;"?text="&amp;ENCODEURL("Ya llegue. Codigo: "&amp;A1555&amp;". Ubicacion: "&amp;"https://www.google.com/maps/search/?api=1&amp;query="&amp;SUBSTITUTE(F1555," ","")),"📲 Avisar al cliente"),"")</f>
        <v/>
      </c>
      <c r="L1555" s="8">
        <f>IF(C1555&lt;&gt;"","https://api.qrserver.com/v1/create-qr-code/?size=200x200&amp;data="&amp;ENCODEURL("https://wa.me/507"&amp;REGEXREPLACE(C1555,"[^0-9]","")&amp;"?text="&amp;ENCODEURL("Ya llegue. Codigo: "&amp;A1555&amp;". Ubicacion: "&amp;"https://www.google.com/maps/search/?api=1&amp;query="&amp;SUBSTITUTE(F1555," ",""))),"")</f>
        <v/>
      </c>
      <c r="M1555" s="8">
        <f>IF(B1555&lt;&gt;"",TODAY(),"")</f>
        <v/>
      </c>
      <c r="N1555" s="8">
        <f>IF(F1555&lt;&gt;"",IFERROR(IF(AND(REGEXMATCH(SUBSTITUTE(TRIM(F1555)," ",""),"^-?\d+(\.\d+)?,-?\d+(\.\d+)?$"),VALUE(REGEXEXTRACT(SUBSTITUTE(TRIM(F1555)," ",""),"^-?\d+(\.\d+)?"))&gt;=-90,VALUE(REGEXEXTRACT(SUBSTITUTE(TRIM(F1555)," ",""),"^-?\d+(\.\d+)?"))&lt;=90,VALUE(REGEXEXTRACT(SUBSTITUTE(TRIM(F1555)," ",""),"-?\d+(\.\d+)?$"))&gt;=-180,VALUE(REGEXEXTRACT(SUBSTITUTE(TRIM(F1555)," ",""),"-?\d+(\.\d+)?$"))&lt;=180),"OK","REVISAR"),"REVISAR"),"")</f>
        <v/>
      </c>
      <c r="O1555">
        <f>IF(A1555&lt;&gt;"","https://direcciones507.github.io/direcciones507/panel.html?codigo="&amp;A1555&amp;"&amp;nombre="&amp;ENCODEURL(B1555)&amp;"&amp;telefono="&amp;SUBSTITUTE(C1555,"-","")&amp;"&amp;referencia="&amp;ENCODEURL(E1555)&amp;"&amp;lat="&amp;IZQUIERDA(SUBSTITUTE(F1555," ",""),ENCONTRAR(",",SUBSTITUTE(F1555," ",""))-1)&amp;"&amp;lng="&amp;DERECHA(SUBSTITUTE(F1555," ",""),LARGO(SUBSTITUTE(F1555," ",""))-ENCONTRAR(",",SUBSTITUTE(F1555," ",""))),"")</f>
        <v/>
      </c>
    </row>
    <row r="1556" ht="15.75" customHeight="1" s="10">
      <c r="A1556" s="8">
        <f>CONCAT("AD507-",TEXT(ROW()-2,"0000"))</f>
        <v/>
      </c>
      <c r="C1556" s="8" t="n"/>
      <c r="F1556" s="8" t="n"/>
      <c r="G1556" s="8">
        <f>IF(F1556&lt;&gt;"",HYPERLINK("https://www.google.com/maps/search/?api=1&amp;query="&amp;SUBSTITUTE(F1556," ",""),"🗺 Google Maps"),"")</f>
        <v/>
      </c>
      <c r="H1556" s="8">
        <f>IF(F1556&lt;&gt;"",HYPERLINK("https://waze.com/ul?ll="&amp;SUBSTITUTE(F1556," ","")&amp;"&amp;navigate=yes","🚗 Waze"),"")</f>
        <v/>
      </c>
      <c r="I1556" s="8">
        <f>IF(F1556&lt;&gt;"",HYPERLINK("https://m.uber.com/ul/?action=setPickup&amp;pickup=my_location&amp;dropoff[latitude]="&amp;LEFT(SUBSTITUTE(F1556," ",""),FIND(",",SUBSTITUTE(F1556," ",""))-1)&amp;"&amp;dropoff[longitude]="&amp;MID(SUBSTITUTE(F1556," ",""),FIND(",",SUBSTITUTE(F1556," ",""))+1,99),"🚕 Uber"),"")</f>
        <v/>
      </c>
      <c r="J1556" s="8">
        <f>IF(F1556&lt;&gt;"","https://api.qrserver.com/v1/create-qr-code/?size=200x200&amp;data="&amp;ENCODEURL("https://www.google.com/maps/search/?api=1&amp;query="&amp;SUBSTITUTE(F1556," ","")),"")</f>
        <v/>
      </c>
      <c r="K1556" s="8">
        <f>IF(C1556&lt;&gt;"",HYPERLINK("https://wa.me/507"&amp;REGEXREPLACE(C1556,"[^0-9]","")&amp;"?text="&amp;ENCODEURL("Ya llegue. Codigo: "&amp;A1556&amp;". Ubicacion: "&amp;"https://www.google.com/maps/search/?api=1&amp;query="&amp;SUBSTITUTE(F1556," ","")),"📲 Avisar al cliente"),"")</f>
        <v/>
      </c>
      <c r="L1556" s="8">
        <f>IF(C1556&lt;&gt;"","https://api.qrserver.com/v1/create-qr-code/?size=200x200&amp;data="&amp;ENCODEURL("https://wa.me/507"&amp;REGEXREPLACE(C1556,"[^0-9]","")&amp;"?text="&amp;ENCODEURL("Ya llegue. Codigo: "&amp;A1556&amp;". Ubicacion: "&amp;"https://www.google.com/maps/search/?api=1&amp;query="&amp;SUBSTITUTE(F1556," ",""))),"")</f>
        <v/>
      </c>
      <c r="M1556" s="8">
        <f>IF(B1556&lt;&gt;"",TODAY(),"")</f>
        <v/>
      </c>
      <c r="N1556" s="8">
        <f>IF(F1556&lt;&gt;"",IFERROR(IF(AND(REGEXMATCH(SUBSTITUTE(TRIM(F1556)," ",""),"^-?\d+(\.\d+)?,-?\d+(\.\d+)?$"),VALUE(REGEXEXTRACT(SUBSTITUTE(TRIM(F1556)," ",""),"^-?\d+(\.\d+)?"))&gt;=-90,VALUE(REGEXEXTRACT(SUBSTITUTE(TRIM(F1556)," ",""),"^-?\d+(\.\d+)?"))&lt;=90,VALUE(REGEXEXTRACT(SUBSTITUTE(TRIM(F1556)," ",""),"-?\d+(\.\d+)?$"))&gt;=-180,VALUE(REGEXEXTRACT(SUBSTITUTE(TRIM(F1556)," ",""),"-?\d+(\.\d+)?$"))&lt;=180),"OK","REVISAR"),"REVISAR"),"")</f>
        <v/>
      </c>
      <c r="O1556">
        <f>IF(A1556&lt;&gt;"","https://direcciones507.github.io/direcciones507/panel.html?codigo="&amp;A1556&amp;"&amp;nombre="&amp;ENCODEURL(B1556)&amp;"&amp;telefono="&amp;SUBSTITUTE(C1556,"-","")&amp;"&amp;referencia="&amp;ENCODEURL(E1556)&amp;"&amp;lat="&amp;IZQUIERDA(SUBSTITUTE(F1556," ",""),ENCONTRAR(",",SUBSTITUTE(F1556," ",""))-1)&amp;"&amp;lng="&amp;DERECHA(SUBSTITUTE(F1556," ",""),LARGO(SUBSTITUTE(F1556," ",""))-ENCONTRAR(",",SUBSTITUTE(F1556," ",""))),"")</f>
        <v/>
      </c>
    </row>
    <row r="1557" ht="15.75" customHeight="1" s="10">
      <c r="A1557" s="8">
        <f>CONCAT("AD507-",TEXT(ROW()-2,"0000"))</f>
        <v/>
      </c>
      <c r="C1557" s="8" t="n"/>
      <c r="F1557" s="8" t="n"/>
      <c r="G1557" s="8">
        <f>IF(F1557&lt;&gt;"",HYPERLINK("https://www.google.com/maps/search/?api=1&amp;query="&amp;SUBSTITUTE(F1557," ",""),"🗺 Google Maps"),"")</f>
        <v/>
      </c>
      <c r="H1557" s="8">
        <f>IF(F1557&lt;&gt;"",HYPERLINK("https://waze.com/ul?ll="&amp;SUBSTITUTE(F1557," ","")&amp;"&amp;navigate=yes","🚗 Waze"),"")</f>
        <v/>
      </c>
      <c r="I1557" s="8">
        <f>IF(F1557&lt;&gt;"",HYPERLINK("https://m.uber.com/ul/?action=setPickup&amp;pickup=my_location&amp;dropoff[latitude]="&amp;LEFT(SUBSTITUTE(F1557," ",""),FIND(",",SUBSTITUTE(F1557," ",""))-1)&amp;"&amp;dropoff[longitude]="&amp;MID(SUBSTITUTE(F1557," ",""),FIND(",",SUBSTITUTE(F1557," ",""))+1,99),"🚕 Uber"),"")</f>
        <v/>
      </c>
      <c r="J1557" s="8">
        <f>IF(F1557&lt;&gt;"","https://api.qrserver.com/v1/create-qr-code/?size=200x200&amp;data="&amp;ENCODEURL("https://www.google.com/maps/search/?api=1&amp;query="&amp;SUBSTITUTE(F1557," ","")),"")</f>
        <v/>
      </c>
      <c r="K1557" s="8">
        <f>IF(C1557&lt;&gt;"",HYPERLINK("https://wa.me/507"&amp;REGEXREPLACE(C1557,"[^0-9]","")&amp;"?text="&amp;ENCODEURL("Ya llegue. Codigo: "&amp;A1557&amp;". Ubicacion: "&amp;"https://www.google.com/maps/search/?api=1&amp;query="&amp;SUBSTITUTE(F1557," ","")),"📲 Avisar al cliente"),"")</f>
        <v/>
      </c>
      <c r="L1557" s="8">
        <f>IF(C1557&lt;&gt;"","https://api.qrserver.com/v1/create-qr-code/?size=200x200&amp;data="&amp;ENCODEURL("https://wa.me/507"&amp;REGEXREPLACE(C1557,"[^0-9]","")&amp;"?text="&amp;ENCODEURL("Ya llegue. Codigo: "&amp;A1557&amp;". Ubicacion: "&amp;"https://www.google.com/maps/search/?api=1&amp;query="&amp;SUBSTITUTE(F1557," ",""))),"")</f>
        <v/>
      </c>
      <c r="M1557" s="8">
        <f>IF(B1557&lt;&gt;"",TODAY(),"")</f>
        <v/>
      </c>
      <c r="N1557" s="8">
        <f>IF(F1557&lt;&gt;"",IFERROR(IF(AND(REGEXMATCH(SUBSTITUTE(TRIM(F1557)," ",""),"^-?\d+(\.\d+)?,-?\d+(\.\d+)?$"),VALUE(REGEXEXTRACT(SUBSTITUTE(TRIM(F1557)," ",""),"^-?\d+(\.\d+)?"))&gt;=-90,VALUE(REGEXEXTRACT(SUBSTITUTE(TRIM(F1557)," ",""),"^-?\d+(\.\d+)?"))&lt;=90,VALUE(REGEXEXTRACT(SUBSTITUTE(TRIM(F1557)," ",""),"-?\d+(\.\d+)?$"))&gt;=-180,VALUE(REGEXEXTRACT(SUBSTITUTE(TRIM(F1557)," ",""),"-?\d+(\.\d+)?$"))&lt;=180),"OK","REVISAR"),"REVISAR"),"")</f>
        <v/>
      </c>
      <c r="O1557">
        <f>IF(A1557&lt;&gt;"","https://direcciones507.github.io/direcciones507/panel.html?codigo="&amp;A1557&amp;"&amp;nombre="&amp;ENCODEURL(B1557)&amp;"&amp;telefono="&amp;SUBSTITUTE(C1557,"-","")&amp;"&amp;referencia="&amp;ENCODEURL(E1557)&amp;"&amp;lat="&amp;IZQUIERDA(SUBSTITUTE(F1557," ",""),ENCONTRAR(",",SUBSTITUTE(F1557," ",""))-1)&amp;"&amp;lng="&amp;DERECHA(SUBSTITUTE(F1557," ",""),LARGO(SUBSTITUTE(F1557," ",""))-ENCONTRAR(",",SUBSTITUTE(F1557," ",""))),"")</f>
        <v/>
      </c>
    </row>
    <row r="1558" ht="15.75" customHeight="1" s="10">
      <c r="A1558" s="8">
        <f>CONCAT("AD507-",TEXT(ROW()-2,"0000"))</f>
        <v/>
      </c>
      <c r="C1558" s="8" t="n"/>
      <c r="F1558" s="8" t="n"/>
      <c r="G1558" s="8">
        <f>IF(F1558&lt;&gt;"",HYPERLINK("https://www.google.com/maps/search/?api=1&amp;query="&amp;SUBSTITUTE(F1558," ",""),"🗺 Google Maps"),"")</f>
        <v/>
      </c>
      <c r="H1558" s="8">
        <f>IF(F1558&lt;&gt;"",HYPERLINK("https://waze.com/ul?ll="&amp;SUBSTITUTE(F1558," ","")&amp;"&amp;navigate=yes","🚗 Waze"),"")</f>
        <v/>
      </c>
      <c r="I1558" s="8">
        <f>IF(F1558&lt;&gt;"",HYPERLINK("https://m.uber.com/ul/?action=setPickup&amp;pickup=my_location&amp;dropoff[latitude]="&amp;LEFT(SUBSTITUTE(F1558," ",""),FIND(",",SUBSTITUTE(F1558," ",""))-1)&amp;"&amp;dropoff[longitude]="&amp;MID(SUBSTITUTE(F1558," ",""),FIND(",",SUBSTITUTE(F1558," ",""))+1,99),"🚕 Uber"),"")</f>
        <v/>
      </c>
      <c r="J1558" s="8">
        <f>IF(F1558&lt;&gt;"","https://api.qrserver.com/v1/create-qr-code/?size=200x200&amp;data="&amp;ENCODEURL("https://www.google.com/maps/search/?api=1&amp;query="&amp;SUBSTITUTE(F1558," ","")),"")</f>
        <v/>
      </c>
      <c r="K1558" s="8">
        <f>IF(C1558&lt;&gt;"",HYPERLINK("https://wa.me/507"&amp;REGEXREPLACE(C1558,"[^0-9]","")&amp;"?text="&amp;ENCODEURL("Ya llegue. Codigo: "&amp;A1558&amp;". Ubicacion: "&amp;"https://www.google.com/maps/search/?api=1&amp;query="&amp;SUBSTITUTE(F1558," ","")),"📲 Avisar al cliente"),"")</f>
        <v/>
      </c>
      <c r="L1558" s="8">
        <f>IF(C1558&lt;&gt;"","https://api.qrserver.com/v1/create-qr-code/?size=200x200&amp;data="&amp;ENCODEURL("https://wa.me/507"&amp;REGEXREPLACE(C1558,"[^0-9]","")&amp;"?text="&amp;ENCODEURL("Ya llegue. Codigo: "&amp;A1558&amp;". Ubicacion: "&amp;"https://www.google.com/maps/search/?api=1&amp;query="&amp;SUBSTITUTE(F1558," ",""))),"")</f>
        <v/>
      </c>
      <c r="M1558" s="8">
        <f>IF(B1558&lt;&gt;"",TODAY(),"")</f>
        <v/>
      </c>
      <c r="N1558" s="8">
        <f>IF(F1558&lt;&gt;"",IFERROR(IF(AND(REGEXMATCH(SUBSTITUTE(TRIM(F1558)," ",""),"^-?\d+(\.\d+)?,-?\d+(\.\d+)?$"),VALUE(REGEXEXTRACT(SUBSTITUTE(TRIM(F1558)," ",""),"^-?\d+(\.\d+)?"))&gt;=-90,VALUE(REGEXEXTRACT(SUBSTITUTE(TRIM(F1558)," ",""),"^-?\d+(\.\d+)?"))&lt;=90,VALUE(REGEXEXTRACT(SUBSTITUTE(TRIM(F1558)," ",""),"-?\d+(\.\d+)?$"))&gt;=-180,VALUE(REGEXEXTRACT(SUBSTITUTE(TRIM(F1558)," ",""),"-?\d+(\.\d+)?$"))&lt;=180),"OK","REVISAR"),"REVISAR"),"")</f>
        <v/>
      </c>
      <c r="O1558">
        <f>IF(A1558&lt;&gt;"","https://direcciones507.github.io/direcciones507/panel.html?codigo="&amp;A1558&amp;"&amp;nombre="&amp;ENCODEURL(B1558)&amp;"&amp;telefono="&amp;SUBSTITUTE(C1558,"-","")&amp;"&amp;referencia="&amp;ENCODEURL(E1558)&amp;"&amp;lat="&amp;IZQUIERDA(SUBSTITUTE(F1558," ",""),ENCONTRAR(",",SUBSTITUTE(F1558," ",""))-1)&amp;"&amp;lng="&amp;DERECHA(SUBSTITUTE(F1558," ",""),LARGO(SUBSTITUTE(F1558," ",""))-ENCONTRAR(",",SUBSTITUTE(F1558," ",""))),"")</f>
        <v/>
      </c>
    </row>
    <row r="1559" ht="15.75" customHeight="1" s="10">
      <c r="A1559" s="8">
        <f>CONCAT("AD507-",TEXT(ROW()-2,"0000"))</f>
        <v/>
      </c>
      <c r="C1559" s="8" t="n"/>
      <c r="F1559" s="8" t="n"/>
      <c r="G1559" s="8">
        <f>IF(F1559&lt;&gt;"",HYPERLINK("https://www.google.com/maps/search/?api=1&amp;query="&amp;SUBSTITUTE(F1559," ",""),"🗺 Google Maps"),"")</f>
        <v/>
      </c>
      <c r="H1559" s="8">
        <f>IF(F1559&lt;&gt;"",HYPERLINK("https://waze.com/ul?ll="&amp;SUBSTITUTE(F1559," ","")&amp;"&amp;navigate=yes","🚗 Waze"),"")</f>
        <v/>
      </c>
      <c r="I1559" s="8">
        <f>IF(F1559&lt;&gt;"",HYPERLINK("https://m.uber.com/ul/?action=setPickup&amp;pickup=my_location&amp;dropoff[latitude]="&amp;LEFT(SUBSTITUTE(F1559," ",""),FIND(",",SUBSTITUTE(F1559," ",""))-1)&amp;"&amp;dropoff[longitude]="&amp;MID(SUBSTITUTE(F1559," ",""),FIND(",",SUBSTITUTE(F1559," ",""))+1,99),"🚕 Uber"),"")</f>
        <v/>
      </c>
      <c r="J1559" s="8">
        <f>IF(F1559&lt;&gt;"","https://api.qrserver.com/v1/create-qr-code/?size=200x200&amp;data="&amp;ENCODEURL("https://www.google.com/maps/search/?api=1&amp;query="&amp;SUBSTITUTE(F1559," ","")),"")</f>
        <v/>
      </c>
      <c r="K1559" s="8">
        <f>IF(C1559&lt;&gt;"",HYPERLINK("https://wa.me/507"&amp;REGEXREPLACE(C1559,"[^0-9]","")&amp;"?text="&amp;ENCODEURL("Ya llegue. Codigo: "&amp;A1559&amp;". Ubicacion: "&amp;"https://www.google.com/maps/search/?api=1&amp;query="&amp;SUBSTITUTE(F1559," ","")),"📲 Avisar al cliente"),"")</f>
        <v/>
      </c>
      <c r="L1559" s="8">
        <f>IF(C1559&lt;&gt;"","https://api.qrserver.com/v1/create-qr-code/?size=200x200&amp;data="&amp;ENCODEURL("https://wa.me/507"&amp;REGEXREPLACE(C1559,"[^0-9]","")&amp;"?text="&amp;ENCODEURL("Ya llegue. Codigo: "&amp;A1559&amp;". Ubicacion: "&amp;"https://www.google.com/maps/search/?api=1&amp;query="&amp;SUBSTITUTE(F1559," ",""))),"")</f>
        <v/>
      </c>
      <c r="M1559" s="8">
        <f>IF(B1559&lt;&gt;"",TODAY(),"")</f>
        <v/>
      </c>
      <c r="N1559" s="8">
        <f>IF(F1559&lt;&gt;"",IFERROR(IF(AND(REGEXMATCH(SUBSTITUTE(TRIM(F1559)," ",""),"^-?\d+(\.\d+)?,-?\d+(\.\d+)?$"),VALUE(REGEXEXTRACT(SUBSTITUTE(TRIM(F1559)," ",""),"^-?\d+(\.\d+)?"))&gt;=-90,VALUE(REGEXEXTRACT(SUBSTITUTE(TRIM(F1559)," ",""),"^-?\d+(\.\d+)?"))&lt;=90,VALUE(REGEXEXTRACT(SUBSTITUTE(TRIM(F1559)," ",""),"-?\d+(\.\d+)?$"))&gt;=-180,VALUE(REGEXEXTRACT(SUBSTITUTE(TRIM(F1559)," ",""),"-?\d+(\.\d+)?$"))&lt;=180),"OK","REVISAR"),"REVISAR"),"")</f>
        <v/>
      </c>
      <c r="O1559">
        <f>IF(A1559&lt;&gt;"","https://direcciones507.github.io/direcciones507/panel.html?codigo="&amp;A1559&amp;"&amp;nombre="&amp;ENCODEURL(B1559)&amp;"&amp;telefono="&amp;SUBSTITUTE(C1559,"-","")&amp;"&amp;referencia="&amp;ENCODEURL(E1559)&amp;"&amp;lat="&amp;IZQUIERDA(SUBSTITUTE(F1559," ",""),ENCONTRAR(",",SUBSTITUTE(F1559," ",""))-1)&amp;"&amp;lng="&amp;DERECHA(SUBSTITUTE(F1559," ",""),LARGO(SUBSTITUTE(F1559," ",""))-ENCONTRAR(",",SUBSTITUTE(F1559," ",""))),"")</f>
        <v/>
      </c>
    </row>
    <row r="1560" ht="15.75" customHeight="1" s="10">
      <c r="A1560" s="8">
        <f>CONCAT("AD507-",TEXT(ROW()-2,"0000"))</f>
        <v/>
      </c>
      <c r="C1560" s="8" t="n"/>
      <c r="F1560" s="8" t="n"/>
      <c r="G1560" s="8">
        <f>IF(F1560&lt;&gt;"",HYPERLINK("https://www.google.com/maps/search/?api=1&amp;query="&amp;SUBSTITUTE(F1560," ",""),"🗺 Google Maps"),"")</f>
        <v/>
      </c>
      <c r="H1560" s="8">
        <f>IF(F1560&lt;&gt;"",HYPERLINK("https://waze.com/ul?ll="&amp;SUBSTITUTE(F1560," ","")&amp;"&amp;navigate=yes","🚗 Waze"),"")</f>
        <v/>
      </c>
      <c r="I1560" s="8">
        <f>IF(F1560&lt;&gt;"",HYPERLINK("https://m.uber.com/ul/?action=setPickup&amp;pickup=my_location&amp;dropoff[latitude]="&amp;LEFT(SUBSTITUTE(F1560," ",""),FIND(",",SUBSTITUTE(F1560," ",""))-1)&amp;"&amp;dropoff[longitude]="&amp;MID(SUBSTITUTE(F1560," ",""),FIND(",",SUBSTITUTE(F1560," ",""))+1,99),"🚕 Uber"),"")</f>
        <v/>
      </c>
      <c r="J1560" s="8">
        <f>IF(F1560&lt;&gt;"","https://api.qrserver.com/v1/create-qr-code/?size=200x200&amp;data="&amp;ENCODEURL("https://www.google.com/maps/search/?api=1&amp;query="&amp;SUBSTITUTE(F1560," ","")),"")</f>
        <v/>
      </c>
      <c r="K1560" s="8">
        <f>IF(C1560&lt;&gt;"",HYPERLINK("https://wa.me/507"&amp;REGEXREPLACE(C1560,"[^0-9]","")&amp;"?text="&amp;ENCODEURL("Ya llegue. Codigo: "&amp;A1560&amp;". Ubicacion: "&amp;"https://www.google.com/maps/search/?api=1&amp;query="&amp;SUBSTITUTE(F1560," ","")),"📲 Avisar al cliente"),"")</f>
        <v/>
      </c>
      <c r="L1560" s="8">
        <f>IF(C1560&lt;&gt;"","https://api.qrserver.com/v1/create-qr-code/?size=200x200&amp;data="&amp;ENCODEURL("https://wa.me/507"&amp;REGEXREPLACE(C1560,"[^0-9]","")&amp;"?text="&amp;ENCODEURL("Ya llegue. Codigo: "&amp;A1560&amp;". Ubicacion: "&amp;"https://www.google.com/maps/search/?api=1&amp;query="&amp;SUBSTITUTE(F1560," ",""))),"")</f>
        <v/>
      </c>
      <c r="M1560" s="8">
        <f>IF(B1560&lt;&gt;"",TODAY(),"")</f>
        <v/>
      </c>
      <c r="N1560" s="8">
        <f>IF(F1560&lt;&gt;"",IFERROR(IF(AND(REGEXMATCH(SUBSTITUTE(TRIM(F1560)," ",""),"^-?\d+(\.\d+)?,-?\d+(\.\d+)?$"),VALUE(REGEXEXTRACT(SUBSTITUTE(TRIM(F1560)," ",""),"^-?\d+(\.\d+)?"))&gt;=-90,VALUE(REGEXEXTRACT(SUBSTITUTE(TRIM(F1560)," ",""),"^-?\d+(\.\d+)?"))&lt;=90,VALUE(REGEXEXTRACT(SUBSTITUTE(TRIM(F1560)," ",""),"-?\d+(\.\d+)?$"))&gt;=-180,VALUE(REGEXEXTRACT(SUBSTITUTE(TRIM(F1560)," ",""),"-?\d+(\.\d+)?$"))&lt;=180),"OK","REVISAR"),"REVISAR"),"")</f>
        <v/>
      </c>
      <c r="O1560">
        <f>IF(A1560&lt;&gt;"","https://direcciones507.github.io/direcciones507/panel.html?codigo="&amp;A1560&amp;"&amp;nombre="&amp;ENCODEURL(B1560)&amp;"&amp;telefono="&amp;SUBSTITUTE(C1560,"-","")&amp;"&amp;referencia="&amp;ENCODEURL(E1560)&amp;"&amp;lat="&amp;IZQUIERDA(SUBSTITUTE(F1560," ",""),ENCONTRAR(",",SUBSTITUTE(F1560," ",""))-1)&amp;"&amp;lng="&amp;DERECHA(SUBSTITUTE(F1560," ",""),LARGO(SUBSTITUTE(F1560," ",""))-ENCONTRAR(",",SUBSTITUTE(F1560," ",""))),"")</f>
        <v/>
      </c>
    </row>
    <row r="1561" ht="15.75" customHeight="1" s="10">
      <c r="A1561" s="8">
        <f>CONCAT("AD507-",TEXT(ROW()-2,"0000"))</f>
        <v/>
      </c>
      <c r="C1561" s="8" t="n"/>
      <c r="F1561" s="8" t="n"/>
      <c r="G1561" s="8">
        <f>IF(F1561&lt;&gt;"",HYPERLINK("https://www.google.com/maps/search/?api=1&amp;query="&amp;SUBSTITUTE(F1561," ",""),"🗺 Google Maps"),"")</f>
        <v/>
      </c>
      <c r="H1561" s="8">
        <f>IF(F1561&lt;&gt;"",HYPERLINK("https://waze.com/ul?ll="&amp;SUBSTITUTE(F1561," ","")&amp;"&amp;navigate=yes","🚗 Waze"),"")</f>
        <v/>
      </c>
      <c r="I1561" s="8">
        <f>IF(F1561&lt;&gt;"",HYPERLINK("https://m.uber.com/ul/?action=setPickup&amp;pickup=my_location&amp;dropoff[latitude]="&amp;LEFT(SUBSTITUTE(F1561," ",""),FIND(",",SUBSTITUTE(F1561," ",""))-1)&amp;"&amp;dropoff[longitude]="&amp;MID(SUBSTITUTE(F1561," ",""),FIND(",",SUBSTITUTE(F1561," ",""))+1,99),"🚕 Uber"),"")</f>
        <v/>
      </c>
      <c r="J1561" s="8">
        <f>IF(F1561&lt;&gt;"","https://api.qrserver.com/v1/create-qr-code/?size=200x200&amp;data="&amp;ENCODEURL("https://www.google.com/maps/search/?api=1&amp;query="&amp;SUBSTITUTE(F1561," ","")),"")</f>
        <v/>
      </c>
      <c r="K1561" s="8">
        <f>IF(C1561&lt;&gt;"",HYPERLINK("https://wa.me/507"&amp;REGEXREPLACE(C1561,"[^0-9]","")&amp;"?text="&amp;ENCODEURL("Ya llegue. Codigo: "&amp;A1561&amp;". Ubicacion: "&amp;"https://www.google.com/maps/search/?api=1&amp;query="&amp;SUBSTITUTE(F1561," ","")),"📲 Avisar al cliente"),"")</f>
        <v/>
      </c>
      <c r="L1561" s="8">
        <f>IF(C1561&lt;&gt;"","https://api.qrserver.com/v1/create-qr-code/?size=200x200&amp;data="&amp;ENCODEURL("https://wa.me/507"&amp;REGEXREPLACE(C1561,"[^0-9]","")&amp;"?text="&amp;ENCODEURL("Ya llegue. Codigo: "&amp;A1561&amp;". Ubicacion: "&amp;"https://www.google.com/maps/search/?api=1&amp;query="&amp;SUBSTITUTE(F1561," ",""))),"")</f>
        <v/>
      </c>
      <c r="M1561" s="8">
        <f>IF(B1561&lt;&gt;"",TODAY(),"")</f>
        <v/>
      </c>
      <c r="N1561" s="8">
        <f>IF(F1561&lt;&gt;"",IFERROR(IF(AND(REGEXMATCH(SUBSTITUTE(TRIM(F1561)," ",""),"^-?\d+(\.\d+)?,-?\d+(\.\d+)?$"),VALUE(REGEXEXTRACT(SUBSTITUTE(TRIM(F1561)," ",""),"^-?\d+(\.\d+)?"))&gt;=-90,VALUE(REGEXEXTRACT(SUBSTITUTE(TRIM(F1561)," ",""),"^-?\d+(\.\d+)?"))&lt;=90,VALUE(REGEXEXTRACT(SUBSTITUTE(TRIM(F1561)," ",""),"-?\d+(\.\d+)?$"))&gt;=-180,VALUE(REGEXEXTRACT(SUBSTITUTE(TRIM(F1561)," ",""),"-?\d+(\.\d+)?$"))&lt;=180),"OK","REVISAR"),"REVISAR"),"")</f>
        <v/>
      </c>
      <c r="O1561">
        <f>IF(A1561&lt;&gt;"","https://direcciones507.github.io/direcciones507/panel.html?codigo="&amp;A1561&amp;"&amp;nombre="&amp;ENCODEURL(B1561)&amp;"&amp;telefono="&amp;SUBSTITUTE(C1561,"-","")&amp;"&amp;referencia="&amp;ENCODEURL(E1561)&amp;"&amp;lat="&amp;IZQUIERDA(SUBSTITUTE(F1561," ",""),ENCONTRAR(",",SUBSTITUTE(F1561," ",""))-1)&amp;"&amp;lng="&amp;DERECHA(SUBSTITUTE(F1561," ",""),LARGO(SUBSTITUTE(F1561," ",""))-ENCONTRAR(",",SUBSTITUTE(F1561," ",""))),"")</f>
        <v/>
      </c>
    </row>
    <row r="1562" ht="15.75" customHeight="1" s="10">
      <c r="A1562" s="8">
        <f>CONCAT("AD507-",TEXT(ROW()-2,"0000"))</f>
        <v/>
      </c>
      <c r="C1562" s="8" t="n"/>
      <c r="F1562" s="8" t="n"/>
      <c r="G1562" s="8">
        <f>IF(F1562&lt;&gt;"",HYPERLINK("https://www.google.com/maps/search/?api=1&amp;query="&amp;SUBSTITUTE(F1562," ",""),"🗺 Google Maps"),"")</f>
        <v/>
      </c>
      <c r="H1562" s="8">
        <f>IF(F1562&lt;&gt;"",HYPERLINK("https://waze.com/ul?ll="&amp;SUBSTITUTE(F1562," ","")&amp;"&amp;navigate=yes","🚗 Waze"),"")</f>
        <v/>
      </c>
      <c r="I1562" s="8">
        <f>IF(F1562&lt;&gt;"",HYPERLINK("https://m.uber.com/ul/?action=setPickup&amp;pickup=my_location&amp;dropoff[latitude]="&amp;LEFT(SUBSTITUTE(F1562," ",""),FIND(",",SUBSTITUTE(F1562," ",""))-1)&amp;"&amp;dropoff[longitude]="&amp;MID(SUBSTITUTE(F1562," ",""),FIND(",",SUBSTITUTE(F1562," ",""))+1,99),"🚕 Uber"),"")</f>
        <v/>
      </c>
      <c r="J1562" s="8">
        <f>IF(F1562&lt;&gt;"","https://api.qrserver.com/v1/create-qr-code/?size=200x200&amp;data="&amp;ENCODEURL("https://www.google.com/maps/search/?api=1&amp;query="&amp;SUBSTITUTE(F1562," ","")),"")</f>
        <v/>
      </c>
      <c r="K1562" s="8">
        <f>IF(C1562&lt;&gt;"",HYPERLINK("https://wa.me/507"&amp;REGEXREPLACE(C1562,"[^0-9]","")&amp;"?text="&amp;ENCODEURL("Ya llegue. Codigo: "&amp;A1562&amp;". Ubicacion: "&amp;"https://www.google.com/maps/search/?api=1&amp;query="&amp;SUBSTITUTE(F1562," ","")),"📲 Avisar al cliente"),"")</f>
        <v/>
      </c>
      <c r="L1562" s="8">
        <f>IF(C1562&lt;&gt;"","https://api.qrserver.com/v1/create-qr-code/?size=200x200&amp;data="&amp;ENCODEURL("https://wa.me/507"&amp;REGEXREPLACE(C1562,"[^0-9]","")&amp;"?text="&amp;ENCODEURL("Ya llegue. Codigo: "&amp;A1562&amp;". Ubicacion: "&amp;"https://www.google.com/maps/search/?api=1&amp;query="&amp;SUBSTITUTE(F1562," ",""))),"")</f>
        <v/>
      </c>
      <c r="M1562" s="8">
        <f>IF(B1562&lt;&gt;"",TODAY(),"")</f>
        <v/>
      </c>
      <c r="N1562" s="8">
        <f>IF(F1562&lt;&gt;"",IFERROR(IF(AND(REGEXMATCH(SUBSTITUTE(TRIM(F1562)," ",""),"^-?\d+(\.\d+)?,-?\d+(\.\d+)?$"),VALUE(REGEXEXTRACT(SUBSTITUTE(TRIM(F1562)," ",""),"^-?\d+(\.\d+)?"))&gt;=-90,VALUE(REGEXEXTRACT(SUBSTITUTE(TRIM(F1562)," ",""),"^-?\d+(\.\d+)?"))&lt;=90,VALUE(REGEXEXTRACT(SUBSTITUTE(TRIM(F1562)," ",""),"-?\d+(\.\d+)?$"))&gt;=-180,VALUE(REGEXEXTRACT(SUBSTITUTE(TRIM(F1562)," ",""),"-?\d+(\.\d+)?$"))&lt;=180),"OK","REVISAR"),"REVISAR"),"")</f>
        <v/>
      </c>
      <c r="O1562">
        <f>IF(A1562&lt;&gt;"","https://direcciones507.github.io/direcciones507/panel.html?codigo="&amp;A1562&amp;"&amp;nombre="&amp;ENCODEURL(B1562)&amp;"&amp;telefono="&amp;SUBSTITUTE(C1562,"-","")&amp;"&amp;referencia="&amp;ENCODEURL(E1562)&amp;"&amp;lat="&amp;IZQUIERDA(SUBSTITUTE(F1562," ",""),ENCONTRAR(",",SUBSTITUTE(F1562," ",""))-1)&amp;"&amp;lng="&amp;DERECHA(SUBSTITUTE(F1562," ",""),LARGO(SUBSTITUTE(F1562," ",""))-ENCONTRAR(",",SUBSTITUTE(F1562," ",""))),"")</f>
        <v/>
      </c>
    </row>
    <row r="1563" ht="15.75" customHeight="1" s="10">
      <c r="A1563" s="8">
        <f>CONCAT("AD507-",TEXT(ROW()-2,"0000"))</f>
        <v/>
      </c>
      <c r="C1563" s="8" t="n"/>
      <c r="F1563" s="8" t="n"/>
      <c r="G1563" s="8">
        <f>IF(F1563&lt;&gt;"",HYPERLINK("https://www.google.com/maps/search/?api=1&amp;query="&amp;SUBSTITUTE(F1563," ",""),"🗺 Google Maps"),"")</f>
        <v/>
      </c>
      <c r="H1563" s="8">
        <f>IF(F1563&lt;&gt;"",HYPERLINK("https://waze.com/ul?ll="&amp;SUBSTITUTE(F1563," ","")&amp;"&amp;navigate=yes","🚗 Waze"),"")</f>
        <v/>
      </c>
      <c r="I1563" s="8">
        <f>IF(F1563&lt;&gt;"",HYPERLINK("https://m.uber.com/ul/?action=setPickup&amp;pickup=my_location&amp;dropoff[latitude]="&amp;LEFT(SUBSTITUTE(F1563," ",""),FIND(",",SUBSTITUTE(F1563," ",""))-1)&amp;"&amp;dropoff[longitude]="&amp;MID(SUBSTITUTE(F1563," ",""),FIND(",",SUBSTITUTE(F1563," ",""))+1,99),"🚕 Uber"),"")</f>
        <v/>
      </c>
      <c r="J1563" s="8">
        <f>IF(F1563&lt;&gt;"","https://api.qrserver.com/v1/create-qr-code/?size=200x200&amp;data="&amp;ENCODEURL("https://www.google.com/maps/search/?api=1&amp;query="&amp;SUBSTITUTE(F1563," ","")),"")</f>
        <v/>
      </c>
      <c r="K1563" s="8">
        <f>IF(C1563&lt;&gt;"",HYPERLINK("https://wa.me/507"&amp;REGEXREPLACE(C1563,"[^0-9]","")&amp;"?text="&amp;ENCODEURL("Ya llegue. Codigo: "&amp;A1563&amp;". Ubicacion: "&amp;"https://www.google.com/maps/search/?api=1&amp;query="&amp;SUBSTITUTE(F1563," ","")),"📲 Avisar al cliente"),"")</f>
        <v/>
      </c>
      <c r="L1563" s="8">
        <f>IF(C1563&lt;&gt;"","https://api.qrserver.com/v1/create-qr-code/?size=200x200&amp;data="&amp;ENCODEURL("https://wa.me/507"&amp;REGEXREPLACE(C1563,"[^0-9]","")&amp;"?text="&amp;ENCODEURL("Ya llegue. Codigo: "&amp;A1563&amp;". Ubicacion: "&amp;"https://www.google.com/maps/search/?api=1&amp;query="&amp;SUBSTITUTE(F1563," ",""))),"")</f>
        <v/>
      </c>
      <c r="M1563" s="8">
        <f>IF(B1563&lt;&gt;"",TODAY(),"")</f>
        <v/>
      </c>
      <c r="N1563" s="8">
        <f>IF(F1563&lt;&gt;"",IFERROR(IF(AND(REGEXMATCH(SUBSTITUTE(TRIM(F1563)," ",""),"^-?\d+(\.\d+)?,-?\d+(\.\d+)?$"),VALUE(REGEXEXTRACT(SUBSTITUTE(TRIM(F1563)," ",""),"^-?\d+(\.\d+)?"))&gt;=-90,VALUE(REGEXEXTRACT(SUBSTITUTE(TRIM(F1563)," ",""),"^-?\d+(\.\d+)?"))&lt;=90,VALUE(REGEXEXTRACT(SUBSTITUTE(TRIM(F1563)," ",""),"-?\d+(\.\d+)?$"))&gt;=-180,VALUE(REGEXEXTRACT(SUBSTITUTE(TRIM(F1563)," ",""),"-?\d+(\.\d+)?$"))&lt;=180),"OK","REVISAR"),"REVISAR"),"")</f>
        <v/>
      </c>
      <c r="O1563">
        <f>IF(A1563&lt;&gt;"","https://direcciones507.github.io/direcciones507/panel.html?codigo="&amp;A1563&amp;"&amp;nombre="&amp;ENCODEURL(B1563)&amp;"&amp;telefono="&amp;SUBSTITUTE(C1563,"-","")&amp;"&amp;referencia="&amp;ENCODEURL(E1563)&amp;"&amp;lat="&amp;IZQUIERDA(SUBSTITUTE(F1563," ",""),ENCONTRAR(",",SUBSTITUTE(F1563," ",""))-1)&amp;"&amp;lng="&amp;DERECHA(SUBSTITUTE(F1563," ",""),LARGO(SUBSTITUTE(F1563," ",""))-ENCONTRAR(",",SUBSTITUTE(F1563," ",""))),"")</f>
        <v/>
      </c>
    </row>
    <row r="1564" ht="15.75" customHeight="1" s="10">
      <c r="A1564" s="8">
        <f>CONCAT("AD507-",TEXT(ROW()-2,"0000"))</f>
        <v/>
      </c>
      <c r="C1564" s="8" t="n"/>
      <c r="F1564" s="8" t="n"/>
      <c r="G1564" s="8">
        <f>IF(F1564&lt;&gt;"",HYPERLINK("https://www.google.com/maps/search/?api=1&amp;query="&amp;SUBSTITUTE(F1564," ",""),"🗺 Google Maps"),"")</f>
        <v/>
      </c>
      <c r="H1564" s="8">
        <f>IF(F1564&lt;&gt;"",HYPERLINK("https://waze.com/ul?ll="&amp;SUBSTITUTE(F1564," ","")&amp;"&amp;navigate=yes","🚗 Waze"),"")</f>
        <v/>
      </c>
      <c r="I1564" s="8">
        <f>IF(F1564&lt;&gt;"",HYPERLINK("https://m.uber.com/ul/?action=setPickup&amp;pickup=my_location&amp;dropoff[latitude]="&amp;LEFT(SUBSTITUTE(F1564," ",""),FIND(",",SUBSTITUTE(F1564," ",""))-1)&amp;"&amp;dropoff[longitude]="&amp;MID(SUBSTITUTE(F1564," ",""),FIND(",",SUBSTITUTE(F1564," ",""))+1,99),"🚕 Uber"),"")</f>
        <v/>
      </c>
      <c r="J1564" s="8">
        <f>IF(F1564&lt;&gt;"","https://api.qrserver.com/v1/create-qr-code/?size=200x200&amp;data="&amp;ENCODEURL("https://www.google.com/maps/search/?api=1&amp;query="&amp;SUBSTITUTE(F1564," ","")),"")</f>
        <v/>
      </c>
      <c r="K1564" s="8">
        <f>IF(C1564&lt;&gt;"",HYPERLINK("https://wa.me/507"&amp;REGEXREPLACE(C1564,"[^0-9]","")&amp;"?text="&amp;ENCODEURL("Ya llegue. Codigo: "&amp;A1564&amp;". Ubicacion: "&amp;"https://www.google.com/maps/search/?api=1&amp;query="&amp;SUBSTITUTE(F1564," ","")),"📲 Avisar al cliente"),"")</f>
        <v/>
      </c>
      <c r="L1564" s="8">
        <f>IF(C1564&lt;&gt;"","https://api.qrserver.com/v1/create-qr-code/?size=200x200&amp;data="&amp;ENCODEURL("https://wa.me/507"&amp;REGEXREPLACE(C1564,"[^0-9]","")&amp;"?text="&amp;ENCODEURL("Ya llegue. Codigo: "&amp;A1564&amp;". Ubicacion: "&amp;"https://www.google.com/maps/search/?api=1&amp;query="&amp;SUBSTITUTE(F1564," ",""))),"")</f>
        <v/>
      </c>
      <c r="M1564" s="8">
        <f>IF(B1564&lt;&gt;"",TODAY(),"")</f>
        <v/>
      </c>
      <c r="N1564" s="8">
        <f>IF(F1564&lt;&gt;"",IFERROR(IF(AND(REGEXMATCH(SUBSTITUTE(TRIM(F1564)," ",""),"^-?\d+(\.\d+)?,-?\d+(\.\d+)?$"),VALUE(REGEXEXTRACT(SUBSTITUTE(TRIM(F1564)," ",""),"^-?\d+(\.\d+)?"))&gt;=-90,VALUE(REGEXEXTRACT(SUBSTITUTE(TRIM(F1564)," ",""),"^-?\d+(\.\d+)?"))&lt;=90,VALUE(REGEXEXTRACT(SUBSTITUTE(TRIM(F1564)," ",""),"-?\d+(\.\d+)?$"))&gt;=-180,VALUE(REGEXEXTRACT(SUBSTITUTE(TRIM(F1564)," ",""),"-?\d+(\.\d+)?$"))&lt;=180),"OK","REVISAR"),"REVISAR"),"")</f>
        <v/>
      </c>
      <c r="O1564">
        <f>IF(A1564&lt;&gt;"","https://direcciones507.github.io/direcciones507/panel.html?codigo="&amp;A1564&amp;"&amp;nombre="&amp;ENCODEURL(B1564)&amp;"&amp;telefono="&amp;SUBSTITUTE(C1564,"-","")&amp;"&amp;referencia="&amp;ENCODEURL(E1564)&amp;"&amp;lat="&amp;IZQUIERDA(SUBSTITUTE(F1564," ",""),ENCONTRAR(",",SUBSTITUTE(F1564," ",""))-1)&amp;"&amp;lng="&amp;DERECHA(SUBSTITUTE(F1564," ",""),LARGO(SUBSTITUTE(F1564," ",""))-ENCONTRAR(",",SUBSTITUTE(F1564," ",""))),"")</f>
        <v/>
      </c>
    </row>
    <row r="1565" ht="15.75" customHeight="1" s="10">
      <c r="A1565" s="8">
        <f>CONCAT("AD507-",TEXT(ROW()-2,"0000"))</f>
        <v/>
      </c>
      <c r="C1565" s="8" t="n"/>
      <c r="F1565" s="8" t="n"/>
      <c r="G1565" s="8">
        <f>IF(F1565&lt;&gt;"",HYPERLINK("https://www.google.com/maps/search/?api=1&amp;query="&amp;SUBSTITUTE(F1565," ",""),"🗺 Google Maps"),"")</f>
        <v/>
      </c>
      <c r="H1565" s="8">
        <f>IF(F1565&lt;&gt;"",HYPERLINK("https://waze.com/ul?ll="&amp;SUBSTITUTE(F1565," ","")&amp;"&amp;navigate=yes","🚗 Waze"),"")</f>
        <v/>
      </c>
      <c r="I1565" s="8">
        <f>IF(F1565&lt;&gt;"",HYPERLINK("https://m.uber.com/ul/?action=setPickup&amp;pickup=my_location&amp;dropoff[latitude]="&amp;LEFT(SUBSTITUTE(F1565," ",""),FIND(",",SUBSTITUTE(F1565," ",""))-1)&amp;"&amp;dropoff[longitude]="&amp;MID(SUBSTITUTE(F1565," ",""),FIND(",",SUBSTITUTE(F1565," ",""))+1,99),"🚕 Uber"),"")</f>
        <v/>
      </c>
      <c r="J1565" s="8">
        <f>IF(F1565&lt;&gt;"","https://api.qrserver.com/v1/create-qr-code/?size=200x200&amp;data="&amp;ENCODEURL("https://www.google.com/maps/search/?api=1&amp;query="&amp;SUBSTITUTE(F1565," ","")),"")</f>
        <v/>
      </c>
      <c r="K1565" s="8">
        <f>IF(C1565&lt;&gt;"",HYPERLINK("https://wa.me/507"&amp;REGEXREPLACE(C1565,"[^0-9]","")&amp;"?text="&amp;ENCODEURL("Ya llegue. Codigo: "&amp;A1565&amp;". Ubicacion: "&amp;"https://www.google.com/maps/search/?api=1&amp;query="&amp;SUBSTITUTE(F1565," ","")),"📲 Avisar al cliente"),"")</f>
        <v/>
      </c>
      <c r="L1565" s="8">
        <f>IF(C1565&lt;&gt;"","https://api.qrserver.com/v1/create-qr-code/?size=200x200&amp;data="&amp;ENCODEURL("https://wa.me/507"&amp;REGEXREPLACE(C1565,"[^0-9]","")&amp;"?text="&amp;ENCODEURL("Ya llegue. Codigo: "&amp;A1565&amp;". Ubicacion: "&amp;"https://www.google.com/maps/search/?api=1&amp;query="&amp;SUBSTITUTE(F1565," ",""))),"")</f>
        <v/>
      </c>
      <c r="M1565" s="8">
        <f>IF(B1565&lt;&gt;"",TODAY(),"")</f>
        <v/>
      </c>
      <c r="N1565" s="8">
        <f>IF(F1565&lt;&gt;"",IFERROR(IF(AND(REGEXMATCH(SUBSTITUTE(TRIM(F1565)," ",""),"^-?\d+(\.\d+)?,-?\d+(\.\d+)?$"),VALUE(REGEXEXTRACT(SUBSTITUTE(TRIM(F1565)," ",""),"^-?\d+(\.\d+)?"))&gt;=-90,VALUE(REGEXEXTRACT(SUBSTITUTE(TRIM(F1565)," ",""),"^-?\d+(\.\d+)?"))&lt;=90,VALUE(REGEXEXTRACT(SUBSTITUTE(TRIM(F1565)," ",""),"-?\d+(\.\d+)?$"))&gt;=-180,VALUE(REGEXEXTRACT(SUBSTITUTE(TRIM(F1565)," ",""),"-?\d+(\.\d+)?$"))&lt;=180),"OK","REVISAR"),"REVISAR"),"")</f>
        <v/>
      </c>
      <c r="O1565">
        <f>IF(A1565&lt;&gt;"","https://direcciones507.github.io/direcciones507/panel.html?codigo="&amp;A1565&amp;"&amp;nombre="&amp;ENCODEURL(B1565)&amp;"&amp;telefono="&amp;SUBSTITUTE(C1565,"-","")&amp;"&amp;referencia="&amp;ENCODEURL(E1565)&amp;"&amp;lat="&amp;IZQUIERDA(SUBSTITUTE(F1565," ",""),ENCONTRAR(",",SUBSTITUTE(F1565," ",""))-1)&amp;"&amp;lng="&amp;DERECHA(SUBSTITUTE(F1565," ",""),LARGO(SUBSTITUTE(F1565," ",""))-ENCONTRAR(",",SUBSTITUTE(F1565," ",""))),"")</f>
        <v/>
      </c>
    </row>
    <row r="1566" ht="15.75" customHeight="1" s="10">
      <c r="A1566" s="8">
        <f>CONCAT("AD507-",TEXT(ROW()-2,"0000"))</f>
        <v/>
      </c>
      <c r="C1566" s="8" t="n"/>
      <c r="F1566" s="8" t="n"/>
      <c r="G1566" s="8">
        <f>IF(F1566&lt;&gt;"",HYPERLINK("https://www.google.com/maps/search/?api=1&amp;query="&amp;SUBSTITUTE(F1566," ",""),"🗺 Google Maps"),"")</f>
        <v/>
      </c>
      <c r="H1566" s="8">
        <f>IF(F1566&lt;&gt;"",HYPERLINK("https://waze.com/ul?ll="&amp;SUBSTITUTE(F1566," ","")&amp;"&amp;navigate=yes","🚗 Waze"),"")</f>
        <v/>
      </c>
      <c r="I1566" s="8">
        <f>IF(F1566&lt;&gt;"",HYPERLINK("https://m.uber.com/ul/?action=setPickup&amp;pickup=my_location&amp;dropoff[latitude]="&amp;LEFT(SUBSTITUTE(F1566," ",""),FIND(",",SUBSTITUTE(F1566," ",""))-1)&amp;"&amp;dropoff[longitude]="&amp;MID(SUBSTITUTE(F1566," ",""),FIND(",",SUBSTITUTE(F1566," ",""))+1,99),"🚕 Uber"),"")</f>
        <v/>
      </c>
      <c r="J1566" s="8">
        <f>IF(F1566&lt;&gt;"","https://api.qrserver.com/v1/create-qr-code/?size=200x200&amp;data="&amp;ENCODEURL("https://www.google.com/maps/search/?api=1&amp;query="&amp;SUBSTITUTE(F1566," ","")),"")</f>
        <v/>
      </c>
      <c r="K1566" s="8">
        <f>IF(C1566&lt;&gt;"",HYPERLINK("https://wa.me/507"&amp;REGEXREPLACE(C1566,"[^0-9]","")&amp;"?text="&amp;ENCODEURL("Ya llegue. Codigo: "&amp;A1566&amp;". Ubicacion: "&amp;"https://www.google.com/maps/search/?api=1&amp;query="&amp;SUBSTITUTE(F1566," ","")),"📲 Avisar al cliente"),"")</f>
        <v/>
      </c>
      <c r="L1566" s="8">
        <f>IF(C1566&lt;&gt;"","https://api.qrserver.com/v1/create-qr-code/?size=200x200&amp;data="&amp;ENCODEURL("https://wa.me/507"&amp;REGEXREPLACE(C1566,"[^0-9]","")&amp;"?text="&amp;ENCODEURL("Ya llegue. Codigo: "&amp;A1566&amp;". Ubicacion: "&amp;"https://www.google.com/maps/search/?api=1&amp;query="&amp;SUBSTITUTE(F1566," ",""))),"")</f>
        <v/>
      </c>
      <c r="M1566" s="8">
        <f>IF(B1566&lt;&gt;"",TODAY(),"")</f>
        <v/>
      </c>
      <c r="N1566" s="8">
        <f>IF(F1566&lt;&gt;"",IFERROR(IF(AND(REGEXMATCH(SUBSTITUTE(TRIM(F1566)," ",""),"^-?\d+(\.\d+)?,-?\d+(\.\d+)?$"),VALUE(REGEXEXTRACT(SUBSTITUTE(TRIM(F1566)," ",""),"^-?\d+(\.\d+)?"))&gt;=-90,VALUE(REGEXEXTRACT(SUBSTITUTE(TRIM(F1566)," ",""),"^-?\d+(\.\d+)?"))&lt;=90,VALUE(REGEXEXTRACT(SUBSTITUTE(TRIM(F1566)," ",""),"-?\d+(\.\d+)?$"))&gt;=-180,VALUE(REGEXEXTRACT(SUBSTITUTE(TRIM(F1566)," ",""),"-?\d+(\.\d+)?$"))&lt;=180),"OK","REVISAR"),"REVISAR"),"")</f>
        <v/>
      </c>
      <c r="O1566">
        <f>IF(A1566&lt;&gt;"","https://direcciones507.github.io/direcciones507/panel.html?codigo="&amp;A1566&amp;"&amp;nombre="&amp;ENCODEURL(B1566)&amp;"&amp;telefono="&amp;SUBSTITUTE(C1566,"-","")&amp;"&amp;referencia="&amp;ENCODEURL(E1566)&amp;"&amp;lat="&amp;IZQUIERDA(SUBSTITUTE(F1566," ",""),ENCONTRAR(",",SUBSTITUTE(F1566," ",""))-1)&amp;"&amp;lng="&amp;DERECHA(SUBSTITUTE(F1566," ",""),LARGO(SUBSTITUTE(F1566," ",""))-ENCONTRAR(",",SUBSTITUTE(F1566," ",""))),"")</f>
        <v/>
      </c>
    </row>
    <row r="1567" ht="15.75" customHeight="1" s="10">
      <c r="A1567" s="8">
        <f>CONCAT("AD507-",TEXT(ROW()-2,"0000"))</f>
        <v/>
      </c>
      <c r="C1567" s="8" t="n"/>
      <c r="F1567" s="8" t="n"/>
      <c r="G1567" s="8">
        <f>IF(F1567&lt;&gt;"",HYPERLINK("https://www.google.com/maps/search/?api=1&amp;query="&amp;SUBSTITUTE(F1567," ",""),"🗺 Google Maps"),"")</f>
        <v/>
      </c>
      <c r="H1567" s="8">
        <f>IF(F1567&lt;&gt;"",HYPERLINK("https://waze.com/ul?ll="&amp;SUBSTITUTE(F1567," ","")&amp;"&amp;navigate=yes","🚗 Waze"),"")</f>
        <v/>
      </c>
      <c r="I1567" s="8">
        <f>IF(F1567&lt;&gt;"",HYPERLINK("https://m.uber.com/ul/?action=setPickup&amp;pickup=my_location&amp;dropoff[latitude]="&amp;LEFT(SUBSTITUTE(F1567," ",""),FIND(",",SUBSTITUTE(F1567," ",""))-1)&amp;"&amp;dropoff[longitude]="&amp;MID(SUBSTITUTE(F1567," ",""),FIND(",",SUBSTITUTE(F1567," ",""))+1,99),"🚕 Uber"),"")</f>
        <v/>
      </c>
      <c r="J1567" s="8">
        <f>IF(F1567&lt;&gt;"","https://api.qrserver.com/v1/create-qr-code/?size=200x200&amp;data="&amp;ENCODEURL("https://www.google.com/maps/search/?api=1&amp;query="&amp;SUBSTITUTE(F1567," ","")),"")</f>
        <v/>
      </c>
      <c r="K1567" s="8">
        <f>IF(C1567&lt;&gt;"",HYPERLINK("https://wa.me/507"&amp;REGEXREPLACE(C1567,"[^0-9]","")&amp;"?text="&amp;ENCODEURL("Ya llegue. Codigo: "&amp;A1567&amp;". Ubicacion: "&amp;"https://www.google.com/maps/search/?api=1&amp;query="&amp;SUBSTITUTE(F1567," ","")),"📲 Avisar al cliente"),"")</f>
        <v/>
      </c>
      <c r="L1567" s="8">
        <f>IF(C1567&lt;&gt;"","https://api.qrserver.com/v1/create-qr-code/?size=200x200&amp;data="&amp;ENCODEURL("https://wa.me/507"&amp;REGEXREPLACE(C1567,"[^0-9]","")&amp;"?text="&amp;ENCODEURL("Ya llegue. Codigo: "&amp;A1567&amp;". Ubicacion: "&amp;"https://www.google.com/maps/search/?api=1&amp;query="&amp;SUBSTITUTE(F1567," ",""))),"")</f>
        <v/>
      </c>
      <c r="M1567" s="8">
        <f>IF(B1567&lt;&gt;"",TODAY(),"")</f>
        <v/>
      </c>
      <c r="N1567" s="8">
        <f>IF(F1567&lt;&gt;"",IFERROR(IF(AND(REGEXMATCH(SUBSTITUTE(TRIM(F1567)," ",""),"^-?\d+(\.\d+)?,-?\d+(\.\d+)?$"),VALUE(REGEXEXTRACT(SUBSTITUTE(TRIM(F1567)," ",""),"^-?\d+(\.\d+)?"))&gt;=-90,VALUE(REGEXEXTRACT(SUBSTITUTE(TRIM(F1567)," ",""),"^-?\d+(\.\d+)?"))&lt;=90,VALUE(REGEXEXTRACT(SUBSTITUTE(TRIM(F1567)," ",""),"-?\d+(\.\d+)?$"))&gt;=-180,VALUE(REGEXEXTRACT(SUBSTITUTE(TRIM(F1567)," ",""),"-?\d+(\.\d+)?$"))&lt;=180),"OK","REVISAR"),"REVISAR"),"")</f>
        <v/>
      </c>
      <c r="O1567">
        <f>IF(A1567&lt;&gt;"","https://direcciones507.github.io/direcciones507/panel.html?codigo="&amp;A1567&amp;"&amp;nombre="&amp;ENCODEURL(B1567)&amp;"&amp;telefono="&amp;SUBSTITUTE(C1567,"-","")&amp;"&amp;referencia="&amp;ENCODEURL(E1567)&amp;"&amp;lat="&amp;IZQUIERDA(SUBSTITUTE(F1567," ",""),ENCONTRAR(",",SUBSTITUTE(F1567," ",""))-1)&amp;"&amp;lng="&amp;DERECHA(SUBSTITUTE(F1567," ",""),LARGO(SUBSTITUTE(F1567," ",""))-ENCONTRAR(",",SUBSTITUTE(F1567," ",""))),"")</f>
        <v/>
      </c>
    </row>
    <row r="1568" ht="15.75" customHeight="1" s="10">
      <c r="A1568" s="8">
        <f>CONCAT("AD507-",TEXT(ROW()-2,"0000"))</f>
        <v/>
      </c>
      <c r="C1568" s="8" t="n"/>
      <c r="F1568" s="8" t="n"/>
      <c r="G1568" s="8">
        <f>IF(F1568&lt;&gt;"",HYPERLINK("https://www.google.com/maps/search/?api=1&amp;query="&amp;SUBSTITUTE(F1568," ",""),"🗺 Google Maps"),"")</f>
        <v/>
      </c>
      <c r="H1568" s="8">
        <f>IF(F1568&lt;&gt;"",HYPERLINK("https://waze.com/ul?ll="&amp;SUBSTITUTE(F1568," ","")&amp;"&amp;navigate=yes","🚗 Waze"),"")</f>
        <v/>
      </c>
      <c r="I1568" s="8">
        <f>IF(F1568&lt;&gt;"",HYPERLINK("https://m.uber.com/ul/?action=setPickup&amp;pickup=my_location&amp;dropoff[latitude]="&amp;LEFT(SUBSTITUTE(F1568," ",""),FIND(",",SUBSTITUTE(F1568," ",""))-1)&amp;"&amp;dropoff[longitude]="&amp;MID(SUBSTITUTE(F1568," ",""),FIND(",",SUBSTITUTE(F1568," ",""))+1,99),"🚕 Uber"),"")</f>
        <v/>
      </c>
      <c r="J1568" s="8">
        <f>IF(F1568&lt;&gt;"","https://api.qrserver.com/v1/create-qr-code/?size=200x200&amp;data="&amp;ENCODEURL("https://www.google.com/maps/search/?api=1&amp;query="&amp;SUBSTITUTE(F1568," ","")),"")</f>
        <v/>
      </c>
      <c r="K1568" s="8">
        <f>IF(C1568&lt;&gt;"",HYPERLINK("https://wa.me/507"&amp;REGEXREPLACE(C1568,"[^0-9]","")&amp;"?text="&amp;ENCODEURL("Ya llegue. Codigo: "&amp;A1568&amp;". Ubicacion: "&amp;"https://www.google.com/maps/search/?api=1&amp;query="&amp;SUBSTITUTE(F1568," ","")),"📲 Avisar al cliente"),"")</f>
        <v/>
      </c>
      <c r="L1568" s="8">
        <f>IF(C1568&lt;&gt;"","https://api.qrserver.com/v1/create-qr-code/?size=200x200&amp;data="&amp;ENCODEURL("https://wa.me/507"&amp;REGEXREPLACE(C1568,"[^0-9]","")&amp;"?text="&amp;ENCODEURL("Ya llegue. Codigo: "&amp;A1568&amp;". Ubicacion: "&amp;"https://www.google.com/maps/search/?api=1&amp;query="&amp;SUBSTITUTE(F1568," ",""))),"")</f>
        <v/>
      </c>
      <c r="M1568" s="8">
        <f>IF(B1568&lt;&gt;"",TODAY(),"")</f>
        <v/>
      </c>
      <c r="N1568" s="8">
        <f>IF(F1568&lt;&gt;"",IFERROR(IF(AND(REGEXMATCH(SUBSTITUTE(TRIM(F1568)," ",""),"^-?\d+(\.\d+)?,-?\d+(\.\d+)?$"),VALUE(REGEXEXTRACT(SUBSTITUTE(TRIM(F1568)," ",""),"^-?\d+(\.\d+)?"))&gt;=-90,VALUE(REGEXEXTRACT(SUBSTITUTE(TRIM(F1568)," ",""),"^-?\d+(\.\d+)?"))&lt;=90,VALUE(REGEXEXTRACT(SUBSTITUTE(TRIM(F1568)," ",""),"-?\d+(\.\d+)?$"))&gt;=-180,VALUE(REGEXEXTRACT(SUBSTITUTE(TRIM(F1568)," ",""),"-?\d+(\.\d+)?$"))&lt;=180),"OK","REVISAR"),"REVISAR"),"")</f>
        <v/>
      </c>
      <c r="O1568">
        <f>IF(A1568&lt;&gt;"","https://direcciones507.github.io/direcciones507/panel.html?codigo="&amp;A1568&amp;"&amp;nombre="&amp;ENCODEURL(B1568)&amp;"&amp;telefono="&amp;SUBSTITUTE(C1568,"-","")&amp;"&amp;referencia="&amp;ENCODEURL(E1568)&amp;"&amp;lat="&amp;IZQUIERDA(SUBSTITUTE(F1568," ",""),ENCONTRAR(",",SUBSTITUTE(F1568," ",""))-1)&amp;"&amp;lng="&amp;DERECHA(SUBSTITUTE(F1568," ",""),LARGO(SUBSTITUTE(F1568," ",""))-ENCONTRAR(",",SUBSTITUTE(F1568," ",""))),"")</f>
        <v/>
      </c>
    </row>
    <row r="1569" ht="15.75" customHeight="1" s="10">
      <c r="A1569" s="8">
        <f>CONCAT("AD507-",TEXT(ROW()-2,"0000"))</f>
        <v/>
      </c>
      <c r="C1569" s="8" t="n"/>
      <c r="F1569" s="8" t="n"/>
      <c r="G1569" s="8">
        <f>IF(F1569&lt;&gt;"",HYPERLINK("https://www.google.com/maps/search/?api=1&amp;query="&amp;SUBSTITUTE(F1569," ",""),"🗺 Google Maps"),"")</f>
        <v/>
      </c>
      <c r="H1569" s="8">
        <f>IF(F1569&lt;&gt;"",HYPERLINK("https://waze.com/ul?ll="&amp;SUBSTITUTE(F1569," ","")&amp;"&amp;navigate=yes","🚗 Waze"),"")</f>
        <v/>
      </c>
      <c r="I1569" s="8">
        <f>IF(F1569&lt;&gt;"",HYPERLINK("https://m.uber.com/ul/?action=setPickup&amp;pickup=my_location&amp;dropoff[latitude]="&amp;LEFT(SUBSTITUTE(F1569," ",""),FIND(",",SUBSTITUTE(F1569," ",""))-1)&amp;"&amp;dropoff[longitude]="&amp;MID(SUBSTITUTE(F1569," ",""),FIND(",",SUBSTITUTE(F1569," ",""))+1,99),"🚕 Uber"),"")</f>
        <v/>
      </c>
      <c r="J1569" s="8">
        <f>IF(F1569&lt;&gt;"","https://api.qrserver.com/v1/create-qr-code/?size=200x200&amp;data="&amp;ENCODEURL("https://www.google.com/maps/search/?api=1&amp;query="&amp;SUBSTITUTE(F1569," ","")),"")</f>
        <v/>
      </c>
      <c r="K1569" s="8">
        <f>IF(C1569&lt;&gt;"",HYPERLINK("https://wa.me/507"&amp;REGEXREPLACE(C1569,"[^0-9]","")&amp;"?text="&amp;ENCODEURL("Ya llegue. Codigo: "&amp;A1569&amp;". Ubicacion: "&amp;"https://www.google.com/maps/search/?api=1&amp;query="&amp;SUBSTITUTE(F1569," ","")),"📲 Avisar al cliente"),"")</f>
        <v/>
      </c>
      <c r="L1569" s="8">
        <f>IF(C1569&lt;&gt;"","https://api.qrserver.com/v1/create-qr-code/?size=200x200&amp;data="&amp;ENCODEURL("https://wa.me/507"&amp;REGEXREPLACE(C1569,"[^0-9]","")&amp;"?text="&amp;ENCODEURL("Ya llegue. Codigo: "&amp;A1569&amp;". Ubicacion: "&amp;"https://www.google.com/maps/search/?api=1&amp;query="&amp;SUBSTITUTE(F1569," ",""))),"")</f>
        <v/>
      </c>
      <c r="M1569" s="8">
        <f>IF(B1569&lt;&gt;"",TODAY(),"")</f>
        <v/>
      </c>
      <c r="N1569" s="8">
        <f>IF(F1569&lt;&gt;"",IFERROR(IF(AND(REGEXMATCH(SUBSTITUTE(TRIM(F1569)," ",""),"^-?\d+(\.\d+)?,-?\d+(\.\d+)?$"),VALUE(REGEXEXTRACT(SUBSTITUTE(TRIM(F1569)," ",""),"^-?\d+(\.\d+)?"))&gt;=-90,VALUE(REGEXEXTRACT(SUBSTITUTE(TRIM(F1569)," ",""),"^-?\d+(\.\d+)?"))&lt;=90,VALUE(REGEXEXTRACT(SUBSTITUTE(TRIM(F1569)," ",""),"-?\d+(\.\d+)?$"))&gt;=-180,VALUE(REGEXEXTRACT(SUBSTITUTE(TRIM(F1569)," ",""),"-?\d+(\.\d+)?$"))&lt;=180),"OK","REVISAR"),"REVISAR"),"")</f>
        <v/>
      </c>
      <c r="O1569">
        <f>IF(A1569&lt;&gt;"","https://direcciones507.github.io/direcciones507/panel.html?codigo="&amp;A1569&amp;"&amp;nombre="&amp;ENCODEURL(B1569)&amp;"&amp;telefono="&amp;SUBSTITUTE(C1569,"-","")&amp;"&amp;referencia="&amp;ENCODEURL(E1569)&amp;"&amp;lat="&amp;IZQUIERDA(SUBSTITUTE(F1569," ",""),ENCONTRAR(",",SUBSTITUTE(F1569," ",""))-1)&amp;"&amp;lng="&amp;DERECHA(SUBSTITUTE(F1569," ",""),LARGO(SUBSTITUTE(F1569," ",""))-ENCONTRAR(",",SUBSTITUTE(F1569," ",""))),"")</f>
        <v/>
      </c>
    </row>
    <row r="1570" ht="15.75" customHeight="1" s="10">
      <c r="A1570" s="8">
        <f>CONCAT("AD507-",TEXT(ROW()-2,"0000"))</f>
        <v/>
      </c>
      <c r="C1570" s="8" t="n"/>
      <c r="F1570" s="8" t="n"/>
      <c r="G1570" s="8">
        <f>IF(F1570&lt;&gt;"",HYPERLINK("https://www.google.com/maps/search/?api=1&amp;query="&amp;SUBSTITUTE(F1570," ",""),"🗺 Google Maps"),"")</f>
        <v/>
      </c>
      <c r="H1570" s="8">
        <f>IF(F1570&lt;&gt;"",HYPERLINK("https://waze.com/ul?ll="&amp;SUBSTITUTE(F1570," ","")&amp;"&amp;navigate=yes","🚗 Waze"),"")</f>
        <v/>
      </c>
      <c r="I1570" s="8">
        <f>IF(F1570&lt;&gt;"",HYPERLINK("https://m.uber.com/ul/?action=setPickup&amp;pickup=my_location&amp;dropoff[latitude]="&amp;LEFT(SUBSTITUTE(F1570," ",""),FIND(",",SUBSTITUTE(F1570," ",""))-1)&amp;"&amp;dropoff[longitude]="&amp;MID(SUBSTITUTE(F1570," ",""),FIND(",",SUBSTITUTE(F1570," ",""))+1,99),"🚕 Uber"),"")</f>
        <v/>
      </c>
      <c r="J1570" s="8">
        <f>IF(F1570&lt;&gt;"","https://api.qrserver.com/v1/create-qr-code/?size=200x200&amp;data="&amp;ENCODEURL("https://www.google.com/maps/search/?api=1&amp;query="&amp;SUBSTITUTE(F1570," ","")),"")</f>
        <v/>
      </c>
      <c r="K1570" s="8">
        <f>IF(C1570&lt;&gt;"",HYPERLINK("https://wa.me/507"&amp;REGEXREPLACE(C1570,"[^0-9]","")&amp;"?text="&amp;ENCODEURL("Ya llegue. Codigo: "&amp;A1570&amp;". Ubicacion: "&amp;"https://www.google.com/maps/search/?api=1&amp;query="&amp;SUBSTITUTE(F1570," ","")),"📲 Avisar al cliente"),"")</f>
        <v/>
      </c>
      <c r="L1570" s="8">
        <f>IF(C1570&lt;&gt;"","https://api.qrserver.com/v1/create-qr-code/?size=200x200&amp;data="&amp;ENCODEURL("https://wa.me/507"&amp;REGEXREPLACE(C1570,"[^0-9]","")&amp;"?text="&amp;ENCODEURL("Ya llegue. Codigo: "&amp;A1570&amp;". Ubicacion: "&amp;"https://www.google.com/maps/search/?api=1&amp;query="&amp;SUBSTITUTE(F1570," ",""))),"")</f>
        <v/>
      </c>
      <c r="M1570" s="8">
        <f>IF(B1570&lt;&gt;"",TODAY(),"")</f>
        <v/>
      </c>
      <c r="N1570" s="8">
        <f>IF(F1570&lt;&gt;"",IFERROR(IF(AND(REGEXMATCH(SUBSTITUTE(TRIM(F1570)," ",""),"^-?\d+(\.\d+)?,-?\d+(\.\d+)?$"),VALUE(REGEXEXTRACT(SUBSTITUTE(TRIM(F1570)," ",""),"^-?\d+(\.\d+)?"))&gt;=-90,VALUE(REGEXEXTRACT(SUBSTITUTE(TRIM(F1570)," ",""),"^-?\d+(\.\d+)?"))&lt;=90,VALUE(REGEXEXTRACT(SUBSTITUTE(TRIM(F1570)," ",""),"-?\d+(\.\d+)?$"))&gt;=-180,VALUE(REGEXEXTRACT(SUBSTITUTE(TRIM(F1570)," ",""),"-?\d+(\.\d+)?$"))&lt;=180),"OK","REVISAR"),"REVISAR"),"")</f>
        <v/>
      </c>
      <c r="O1570">
        <f>IF(A1570&lt;&gt;"","https://direcciones507.github.io/direcciones507/panel.html?codigo="&amp;A1570&amp;"&amp;nombre="&amp;ENCODEURL(B1570)&amp;"&amp;telefono="&amp;SUBSTITUTE(C1570,"-","")&amp;"&amp;referencia="&amp;ENCODEURL(E1570)&amp;"&amp;lat="&amp;IZQUIERDA(SUBSTITUTE(F1570," ",""),ENCONTRAR(",",SUBSTITUTE(F1570," ",""))-1)&amp;"&amp;lng="&amp;DERECHA(SUBSTITUTE(F1570," ",""),LARGO(SUBSTITUTE(F1570," ",""))-ENCONTRAR(",",SUBSTITUTE(F1570," ",""))),"")</f>
        <v/>
      </c>
    </row>
    <row r="1571" ht="15.75" customHeight="1" s="10">
      <c r="A1571" s="8">
        <f>CONCAT("AD507-",TEXT(ROW()-2,"0000"))</f>
        <v/>
      </c>
      <c r="C1571" s="8" t="n"/>
      <c r="F1571" s="8" t="n"/>
      <c r="G1571" s="8">
        <f>IF(F1571&lt;&gt;"",HYPERLINK("https://www.google.com/maps/search/?api=1&amp;query="&amp;SUBSTITUTE(F1571," ",""),"🗺 Google Maps"),"")</f>
        <v/>
      </c>
      <c r="H1571" s="8">
        <f>IF(F1571&lt;&gt;"",HYPERLINK("https://waze.com/ul?ll="&amp;SUBSTITUTE(F1571," ","")&amp;"&amp;navigate=yes","🚗 Waze"),"")</f>
        <v/>
      </c>
      <c r="I1571" s="8">
        <f>IF(F1571&lt;&gt;"",HYPERLINK("https://m.uber.com/ul/?action=setPickup&amp;pickup=my_location&amp;dropoff[latitude]="&amp;LEFT(SUBSTITUTE(F1571," ",""),FIND(",",SUBSTITUTE(F1571," ",""))-1)&amp;"&amp;dropoff[longitude]="&amp;MID(SUBSTITUTE(F1571," ",""),FIND(",",SUBSTITUTE(F1571," ",""))+1,99),"🚕 Uber"),"")</f>
        <v/>
      </c>
      <c r="J1571" s="8">
        <f>IF(F1571&lt;&gt;"","https://api.qrserver.com/v1/create-qr-code/?size=200x200&amp;data="&amp;ENCODEURL("https://www.google.com/maps/search/?api=1&amp;query="&amp;SUBSTITUTE(F1571," ","")),"")</f>
        <v/>
      </c>
      <c r="K1571" s="8">
        <f>IF(C1571&lt;&gt;"",HYPERLINK("https://wa.me/507"&amp;REGEXREPLACE(C1571,"[^0-9]","")&amp;"?text="&amp;ENCODEURL("Ya llegue. Codigo: "&amp;A1571&amp;". Ubicacion: "&amp;"https://www.google.com/maps/search/?api=1&amp;query="&amp;SUBSTITUTE(F1571," ","")),"📲 Avisar al cliente"),"")</f>
        <v/>
      </c>
      <c r="L1571" s="8">
        <f>IF(C1571&lt;&gt;"","https://api.qrserver.com/v1/create-qr-code/?size=200x200&amp;data="&amp;ENCODEURL("https://wa.me/507"&amp;REGEXREPLACE(C1571,"[^0-9]","")&amp;"?text="&amp;ENCODEURL("Ya llegue. Codigo: "&amp;A1571&amp;". Ubicacion: "&amp;"https://www.google.com/maps/search/?api=1&amp;query="&amp;SUBSTITUTE(F1571," ",""))),"")</f>
        <v/>
      </c>
      <c r="M1571" s="8">
        <f>IF(B1571&lt;&gt;"",TODAY(),"")</f>
        <v/>
      </c>
      <c r="N1571" s="8">
        <f>IF(F1571&lt;&gt;"",IFERROR(IF(AND(REGEXMATCH(SUBSTITUTE(TRIM(F1571)," ",""),"^-?\d+(\.\d+)?,-?\d+(\.\d+)?$"),VALUE(REGEXEXTRACT(SUBSTITUTE(TRIM(F1571)," ",""),"^-?\d+(\.\d+)?"))&gt;=-90,VALUE(REGEXEXTRACT(SUBSTITUTE(TRIM(F1571)," ",""),"^-?\d+(\.\d+)?"))&lt;=90,VALUE(REGEXEXTRACT(SUBSTITUTE(TRIM(F1571)," ",""),"-?\d+(\.\d+)?$"))&gt;=-180,VALUE(REGEXEXTRACT(SUBSTITUTE(TRIM(F1571)," ",""),"-?\d+(\.\d+)?$"))&lt;=180),"OK","REVISAR"),"REVISAR"),"")</f>
        <v/>
      </c>
      <c r="O1571">
        <f>IF(A1571&lt;&gt;"","https://direcciones507.github.io/direcciones507/panel.html?codigo="&amp;A1571&amp;"&amp;nombre="&amp;ENCODEURL(B1571)&amp;"&amp;telefono="&amp;SUBSTITUTE(C1571,"-","")&amp;"&amp;referencia="&amp;ENCODEURL(E1571)&amp;"&amp;lat="&amp;IZQUIERDA(SUBSTITUTE(F1571," ",""),ENCONTRAR(",",SUBSTITUTE(F1571," ",""))-1)&amp;"&amp;lng="&amp;DERECHA(SUBSTITUTE(F1571," ",""),LARGO(SUBSTITUTE(F1571," ",""))-ENCONTRAR(",",SUBSTITUTE(F1571," ",""))),"")</f>
        <v/>
      </c>
    </row>
    <row r="1572" ht="15.75" customHeight="1" s="10">
      <c r="A1572" s="8">
        <f>CONCAT("AD507-",TEXT(ROW()-2,"0000"))</f>
        <v/>
      </c>
      <c r="C1572" s="8" t="n"/>
      <c r="F1572" s="8" t="n"/>
      <c r="G1572" s="8">
        <f>IF(F1572&lt;&gt;"",HYPERLINK("https://www.google.com/maps/search/?api=1&amp;query="&amp;SUBSTITUTE(F1572," ",""),"🗺 Google Maps"),"")</f>
        <v/>
      </c>
      <c r="H1572" s="8">
        <f>IF(F1572&lt;&gt;"",HYPERLINK("https://waze.com/ul?ll="&amp;SUBSTITUTE(F1572," ","")&amp;"&amp;navigate=yes","🚗 Waze"),"")</f>
        <v/>
      </c>
      <c r="I1572" s="8">
        <f>IF(F1572&lt;&gt;"",HYPERLINK("https://m.uber.com/ul/?action=setPickup&amp;pickup=my_location&amp;dropoff[latitude]="&amp;LEFT(SUBSTITUTE(F1572," ",""),FIND(",",SUBSTITUTE(F1572," ",""))-1)&amp;"&amp;dropoff[longitude]="&amp;MID(SUBSTITUTE(F1572," ",""),FIND(",",SUBSTITUTE(F1572," ",""))+1,99),"🚕 Uber"),"")</f>
        <v/>
      </c>
      <c r="J1572" s="8">
        <f>IF(F1572&lt;&gt;"","https://api.qrserver.com/v1/create-qr-code/?size=200x200&amp;data="&amp;ENCODEURL("https://www.google.com/maps/search/?api=1&amp;query="&amp;SUBSTITUTE(F1572," ","")),"")</f>
        <v/>
      </c>
      <c r="K1572" s="8">
        <f>IF(C1572&lt;&gt;"",HYPERLINK("https://wa.me/507"&amp;REGEXREPLACE(C1572,"[^0-9]","")&amp;"?text="&amp;ENCODEURL("Ya llegue. Codigo: "&amp;A1572&amp;". Ubicacion: "&amp;"https://www.google.com/maps/search/?api=1&amp;query="&amp;SUBSTITUTE(F1572," ","")),"📲 Avisar al cliente"),"")</f>
        <v/>
      </c>
      <c r="L1572" s="8">
        <f>IF(C1572&lt;&gt;"","https://api.qrserver.com/v1/create-qr-code/?size=200x200&amp;data="&amp;ENCODEURL("https://wa.me/507"&amp;REGEXREPLACE(C1572,"[^0-9]","")&amp;"?text="&amp;ENCODEURL("Ya llegue. Codigo: "&amp;A1572&amp;". Ubicacion: "&amp;"https://www.google.com/maps/search/?api=1&amp;query="&amp;SUBSTITUTE(F1572," ",""))),"")</f>
        <v/>
      </c>
      <c r="M1572" s="8">
        <f>IF(B1572&lt;&gt;"",TODAY(),"")</f>
        <v/>
      </c>
      <c r="N1572" s="8">
        <f>IF(F1572&lt;&gt;"",IFERROR(IF(AND(REGEXMATCH(SUBSTITUTE(TRIM(F1572)," ",""),"^-?\d+(\.\d+)?,-?\d+(\.\d+)?$"),VALUE(REGEXEXTRACT(SUBSTITUTE(TRIM(F1572)," ",""),"^-?\d+(\.\d+)?"))&gt;=-90,VALUE(REGEXEXTRACT(SUBSTITUTE(TRIM(F1572)," ",""),"^-?\d+(\.\d+)?"))&lt;=90,VALUE(REGEXEXTRACT(SUBSTITUTE(TRIM(F1572)," ",""),"-?\d+(\.\d+)?$"))&gt;=-180,VALUE(REGEXEXTRACT(SUBSTITUTE(TRIM(F1572)," ",""),"-?\d+(\.\d+)?$"))&lt;=180),"OK","REVISAR"),"REVISAR"),"")</f>
        <v/>
      </c>
      <c r="O1572">
        <f>IF(A1572&lt;&gt;"","https://direcciones507.github.io/direcciones507/panel.html?codigo="&amp;A1572&amp;"&amp;nombre="&amp;ENCODEURL(B1572)&amp;"&amp;telefono="&amp;SUBSTITUTE(C1572,"-","")&amp;"&amp;referencia="&amp;ENCODEURL(E1572)&amp;"&amp;lat="&amp;IZQUIERDA(SUBSTITUTE(F1572," ",""),ENCONTRAR(",",SUBSTITUTE(F1572," ",""))-1)&amp;"&amp;lng="&amp;DERECHA(SUBSTITUTE(F1572," ",""),LARGO(SUBSTITUTE(F1572," ",""))-ENCONTRAR(",",SUBSTITUTE(F1572," ",""))),"")</f>
        <v/>
      </c>
    </row>
    <row r="1573" ht="15.75" customHeight="1" s="10">
      <c r="A1573" s="8">
        <f>CONCAT("AD507-",TEXT(ROW()-2,"0000"))</f>
        <v/>
      </c>
      <c r="C1573" s="8" t="n"/>
      <c r="F1573" s="8" t="n"/>
      <c r="G1573" s="8">
        <f>IF(F1573&lt;&gt;"",HYPERLINK("https://www.google.com/maps/search/?api=1&amp;query="&amp;SUBSTITUTE(F1573," ",""),"🗺 Google Maps"),"")</f>
        <v/>
      </c>
      <c r="H1573" s="8">
        <f>IF(F1573&lt;&gt;"",HYPERLINK("https://waze.com/ul?ll="&amp;SUBSTITUTE(F1573," ","")&amp;"&amp;navigate=yes","🚗 Waze"),"")</f>
        <v/>
      </c>
      <c r="I1573" s="8">
        <f>IF(F1573&lt;&gt;"",HYPERLINK("https://m.uber.com/ul/?action=setPickup&amp;pickup=my_location&amp;dropoff[latitude]="&amp;LEFT(SUBSTITUTE(F1573," ",""),FIND(",",SUBSTITUTE(F1573," ",""))-1)&amp;"&amp;dropoff[longitude]="&amp;MID(SUBSTITUTE(F1573," ",""),FIND(",",SUBSTITUTE(F1573," ",""))+1,99),"🚕 Uber"),"")</f>
        <v/>
      </c>
      <c r="J1573" s="8">
        <f>IF(F1573&lt;&gt;"","https://api.qrserver.com/v1/create-qr-code/?size=200x200&amp;data="&amp;ENCODEURL("https://www.google.com/maps/search/?api=1&amp;query="&amp;SUBSTITUTE(F1573," ","")),"")</f>
        <v/>
      </c>
      <c r="K1573" s="8">
        <f>IF(C1573&lt;&gt;"",HYPERLINK("https://wa.me/507"&amp;REGEXREPLACE(C1573,"[^0-9]","")&amp;"?text="&amp;ENCODEURL("Ya llegue. Codigo: "&amp;A1573&amp;". Ubicacion: "&amp;"https://www.google.com/maps/search/?api=1&amp;query="&amp;SUBSTITUTE(F1573," ","")),"📲 Avisar al cliente"),"")</f>
        <v/>
      </c>
      <c r="L1573" s="8">
        <f>IF(C1573&lt;&gt;"","https://api.qrserver.com/v1/create-qr-code/?size=200x200&amp;data="&amp;ENCODEURL("https://wa.me/507"&amp;REGEXREPLACE(C1573,"[^0-9]","")&amp;"?text="&amp;ENCODEURL("Ya llegue. Codigo: "&amp;A1573&amp;". Ubicacion: "&amp;"https://www.google.com/maps/search/?api=1&amp;query="&amp;SUBSTITUTE(F1573," ",""))),"")</f>
        <v/>
      </c>
      <c r="M1573" s="8">
        <f>IF(B1573&lt;&gt;"",TODAY(),"")</f>
        <v/>
      </c>
      <c r="N1573" s="8">
        <f>IF(F1573&lt;&gt;"",IFERROR(IF(AND(REGEXMATCH(SUBSTITUTE(TRIM(F1573)," ",""),"^-?\d+(\.\d+)?,-?\d+(\.\d+)?$"),VALUE(REGEXEXTRACT(SUBSTITUTE(TRIM(F1573)," ",""),"^-?\d+(\.\d+)?"))&gt;=-90,VALUE(REGEXEXTRACT(SUBSTITUTE(TRIM(F1573)," ",""),"^-?\d+(\.\d+)?"))&lt;=90,VALUE(REGEXEXTRACT(SUBSTITUTE(TRIM(F1573)," ",""),"-?\d+(\.\d+)?$"))&gt;=-180,VALUE(REGEXEXTRACT(SUBSTITUTE(TRIM(F1573)," ",""),"-?\d+(\.\d+)?$"))&lt;=180),"OK","REVISAR"),"REVISAR"),"")</f>
        <v/>
      </c>
      <c r="O1573">
        <f>IF(A1573&lt;&gt;"","https://direcciones507.github.io/direcciones507/panel.html?codigo="&amp;A1573&amp;"&amp;nombre="&amp;ENCODEURL(B1573)&amp;"&amp;telefono="&amp;SUBSTITUTE(C1573,"-","")&amp;"&amp;referencia="&amp;ENCODEURL(E1573)&amp;"&amp;lat="&amp;IZQUIERDA(SUBSTITUTE(F1573," ",""),ENCONTRAR(",",SUBSTITUTE(F1573," ",""))-1)&amp;"&amp;lng="&amp;DERECHA(SUBSTITUTE(F1573," ",""),LARGO(SUBSTITUTE(F1573," ",""))-ENCONTRAR(",",SUBSTITUTE(F1573," ",""))),"")</f>
        <v/>
      </c>
    </row>
    <row r="1574" ht="15.75" customHeight="1" s="10">
      <c r="A1574" s="8">
        <f>CONCAT("AD507-",TEXT(ROW()-2,"0000"))</f>
        <v/>
      </c>
      <c r="C1574" s="8" t="n"/>
      <c r="F1574" s="8" t="n"/>
      <c r="G1574" s="8">
        <f>IF(F1574&lt;&gt;"",HYPERLINK("https://www.google.com/maps/search/?api=1&amp;query="&amp;SUBSTITUTE(F1574," ",""),"🗺 Google Maps"),"")</f>
        <v/>
      </c>
      <c r="H1574" s="8">
        <f>IF(F1574&lt;&gt;"",HYPERLINK("https://waze.com/ul?ll="&amp;SUBSTITUTE(F1574," ","")&amp;"&amp;navigate=yes","🚗 Waze"),"")</f>
        <v/>
      </c>
      <c r="I1574" s="8">
        <f>IF(F1574&lt;&gt;"",HYPERLINK("https://m.uber.com/ul/?action=setPickup&amp;pickup=my_location&amp;dropoff[latitude]="&amp;LEFT(SUBSTITUTE(F1574," ",""),FIND(",",SUBSTITUTE(F1574," ",""))-1)&amp;"&amp;dropoff[longitude]="&amp;MID(SUBSTITUTE(F1574," ",""),FIND(",",SUBSTITUTE(F1574," ",""))+1,99),"🚕 Uber"),"")</f>
        <v/>
      </c>
      <c r="J1574" s="8">
        <f>IF(F1574&lt;&gt;"","https://api.qrserver.com/v1/create-qr-code/?size=200x200&amp;data="&amp;ENCODEURL("https://www.google.com/maps/search/?api=1&amp;query="&amp;SUBSTITUTE(F1574," ","")),"")</f>
        <v/>
      </c>
      <c r="K1574" s="8">
        <f>IF(C1574&lt;&gt;"",HYPERLINK("https://wa.me/507"&amp;REGEXREPLACE(C1574,"[^0-9]","")&amp;"?text="&amp;ENCODEURL("Ya llegue. Codigo: "&amp;A1574&amp;". Ubicacion: "&amp;"https://www.google.com/maps/search/?api=1&amp;query="&amp;SUBSTITUTE(F1574," ","")),"📲 Avisar al cliente"),"")</f>
        <v/>
      </c>
      <c r="L1574" s="8">
        <f>IF(C1574&lt;&gt;"","https://api.qrserver.com/v1/create-qr-code/?size=200x200&amp;data="&amp;ENCODEURL("https://wa.me/507"&amp;REGEXREPLACE(C1574,"[^0-9]","")&amp;"?text="&amp;ENCODEURL("Ya llegue. Codigo: "&amp;A1574&amp;". Ubicacion: "&amp;"https://www.google.com/maps/search/?api=1&amp;query="&amp;SUBSTITUTE(F1574," ",""))),"")</f>
        <v/>
      </c>
      <c r="M1574" s="8">
        <f>IF(B1574&lt;&gt;"",TODAY(),"")</f>
        <v/>
      </c>
      <c r="N1574" s="8">
        <f>IF(F1574&lt;&gt;"",IFERROR(IF(AND(REGEXMATCH(SUBSTITUTE(TRIM(F1574)," ",""),"^-?\d+(\.\d+)?,-?\d+(\.\d+)?$"),VALUE(REGEXEXTRACT(SUBSTITUTE(TRIM(F1574)," ",""),"^-?\d+(\.\d+)?"))&gt;=-90,VALUE(REGEXEXTRACT(SUBSTITUTE(TRIM(F1574)," ",""),"^-?\d+(\.\d+)?"))&lt;=90,VALUE(REGEXEXTRACT(SUBSTITUTE(TRIM(F1574)," ",""),"-?\d+(\.\d+)?$"))&gt;=-180,VALUE(REGEXEXTRACT(SUBSTITUTE(TRIM(F1574)," ",""),"-?\d+(\.\d+)?$"))&lt;=180),"OK","REVISAR"),"REVISAR"),"")</f>
        <v/>
      </c>
      <c r="O1574">
        <f>IF(A1574&lt;&gt;"","https://direcciones507.github.io/direcciones507/panel.html?codigo="&amp;A1574&amp;"&amp;nombre="&amp;ENCODEURL(B1574)&amp;"&amp;telefono="&amp;SUBSTITUTE(C1574,"-","")&amp;"&amp;referencia="&amp;ENCODEURL(E1574)&amp;"&amp;lat="&amp;IZQUIERDA(SUBSTITUTE(F1574," ",""),ENCONTRAR(",",SUBSTITUTE(F1574," ",""))-1)&amp;"&amp;lng="&amp;DERECHA(SUBSTITUTE(F1574," ",""),LARGO(SUBSTITUTE(F1574," ",""))-ENCONTRAR(",",SUBSTITUTE(F1574," ",""))),"")</f>
        <v/>
      </c>
    </row>
    <row r="1575" ht="15.75" customHeight="1" s="10">
      <c r="A1575" s="8">
        <f>CONCAT("AD507-",TEXT(ROW()-2,"0000"))</f>
        <v/>
      </c>
      <c r="C1575" s="8" t="n"/>
      <c r="F1575" s="8" t="n"/>
      <c r="G1575" s="8">
        <f>IF(F1575&lt;&gt;"",HYPERLINK("https://www.google.com/maps/search/?api=1&amp;query="&amp;SUBSTITUTE(F1575," ",""),"🗺 Google Maps"),"")</f>
        <v/>
      </c>
      <c r="H1575" s="8">
        <f>IF(F1575&lt;&gt;"",HYPERLINK("https://waze.com/ul?ll="&amp;SUBSTITUTE(F1575," ","")&amp;"&amp;navigate=yes","🚗 Waze"),"")</f>
        <v/>
      </c>
      <c r="I1575" s="8">
        <f>IF(F1575&lt;&gt;"",HYPERLINK("https://m.uber.com/ul/?action=setPickup&amp;pickup=my_location&amp;dropoff[latitude]="&amp;LEFT(SUBSTITUTE(F1575," ",""),FIND(",",SUBSTITUTE(F1575," ",""))-1)&amp;"&amp;dropoff[longitude]="&amp;MID(SUBSTITUTE(F1575," ",""),FIND(",",SUBSTITUTE(F1575," ",""))+1,99),"🚕 Uber"),"")</f>
        <v/>
      </c>
      <c r="J1575" s="8">
        <f>IF(F1575&lt;&gt;"","https://api.qrserver.com/v1/create-qr-code/?size=200x200&amp;data="&amp;ENCODEURL("https://www.google.com/maps/search/?api=1&amp;query="&amp;SUBSTITUTE(F1575," ","")),"")</f>
        <v/>
      </c>
      <c r="K1575" s="8">
        <f>IF(C1575&lt;&gt;"",HYPERLINK("https://wa.me/507"&amp;REGEXREPLACE(C1575,"[^0-9]","")&amp;"?text="&amp;ENCODEURL("Ya llegue. Codigo: "&amp;A1575&amp;". Ubicacion: "&amp;"https://www.google.com/maps/search/?api=1&amp;query="&amp;SUBSTITUTE(F1575," ","")),"📲 Avisar al cliente"),"")</f>
        <v/>
      </c>
      <c r="L1575" s="8">
        <f>IF(C1575&lt;&gt;"","https://api.qrserver.com/v1/create-qr-code/?size=200x200&amp;data="&amp;ENCODEURL("https://wa.me/507"&amp;REGEXREPLACE(C1575,"[^0-9]","")&amp;"?text="&amp;ENCODEURL("Ya llegue. Codigo: "&amp;A1575&amp;". Ubicacion: "&amp;"https://www.google.com/maps/search/?api=1&amp;query="&amp;SUBSTITUTE(F1575," ",""))),"")</f>
        <v/>
      </c>
      <c r="M1575" s="8">
        <f>IF(B1575&lt;&gt;"",TODAY(),"")</f>
        <v/>
      </c>
      <c r="N1575" s="8">
        <f>IF(F1575&lt;&gt;"",IFERROR(IF(AND(REGEXMATCH(SUBSTITUTE(TRIM(F1575)," ",""),"^-?\d+(\.\d+)?,-?\d+(\.\d+)?$"),VALUE(REGEXEXTRACT(SUBSTITUTE(TRIM(F1575)," ",""),"^-?\d+(\.\d+)?"))&gt;=-90,VALUE(REGEXEXTRACT(SUBSTITUTE(TRIM(F1575)," ",""),"^-?\d+(\.\d+)?"))&lt;=90,VALUE(REGEXEXTRACT(SUBSTITUTE(TRIM(F1575)," ",""),"-?\d+(\.\d+)?$"))&gt;=-180,VALUE(REGEXEXTRACT(SUBSTITUTE(TRIM(F1575)," ",""),"-?\d+(\.\d+)?$"))&lt;=180),"OK","REVISAR"),"REVISAR"),"")</f>
        <v/>
      </c>
      <c r="O1575">
        <f>IF(A1575&lt;&gt;"","https://direcciones507.github.io/direcciones507/panel.html?codigo="&amp;A1575&amp;"&amp;nombre="&amp;ENCODEURL(B1575)&amp;"&amp;telefono="&amp;SUBSTITUTE(C1575,"-","")&amp;"&amp;referencia="&amp;ENCODEURL(E1575)&amp;"&amp;lat="&amp;IZQUIERDA(SUBSTITUTE(F1575," ",""),ENCONTRAR(",",SUBSTITUTE(F1575," ",""))-1)&amp;"&amp;lng="&amp;DERECHA(SUBSTITUTE(F1575," ",""),LARGO(SUBSTITUTE(F1575," ",""))-ENCONTRAR(",",SUBSTITUTE(F1575," ",""))),"")</f>
        <v/>
      </c>
    </row>
    <row r="1576" ht="15.75" customHeight="1" s="10">
      <c r="A1576" s="8">
        <f>CONCAT("AD507-",TEXT(ROW()-2,"0000"))</f>
        <v/>
      </c>
      <c r="C1576" s="8" t="n"/>
      <c r="F1576" s="8" t="n"/>
      <c r="G1576" s="8">
        <f>IF(F1576&lt;&gt;"",HYPERLINK("https://www.google.com/maps/search/?api=1&amp;query="&amp;SUBSTITUTE(F1576," ",""),"🗺 Google Maps"),"")</f>
        <v/>
      </c>
      <c r="H1576" s="8">
        <f>IF(F1576&lt;&gt;"",HYPERLINK("https://waze.com/ul?ll="&amp;SUBSTITUTE(F1576," ","")&amp;"&amp;navigate=yes","🚗 Waze"),"")</f>
        <v/>
      </c>
      <c r="I1576" s="8">
        <f>IF(F1576&lt;&gt;"",HYPERLINK("https://m.uber.com/ul/?action=setPickup&amp;pickup=my_location&amp;dropoff[latitude]="&amp;LEFT(SUBSTITUTE(F1576," ",""),FIND(",",SUBSTITUTE(F1576," ",""))-1)&amp;"&amp;dropoff[longitude]="&amp;MID(SUBSTITUTE(F1576," ",""),FIND(",",SUBSTITUTE(F1576," ",""))+1,99),"🚕 Uber"),"")</f>
        <v/>
      </c>
      <c r="J1576" s="8">
        <f>IF(F1576&lt;&gt;"","https://api.qrserver.com/v1/create-qr-code/?size=200x200&amp;data="&amp;ENCODEURL("https://www.google.com/maps/search/?api=1&amp;query="&amp;SUBSTITUTE(F1576," ","")),"")</f>
        <v/>
      </c>
      <c r="K1576" s="8">
        <f>IF(C1576&lt;&gt;"",HYPERLINK("https://wa.me/507"&amp;REGEXREPLACE(C1576,"[^0-9]","")&amp;"?text="&amp;ENCODEURL("Ya llegue. Codigo: "&amp;A1576&amp;". Ubicacion: "&amp;"https://www.google.com/maps/search/?api=1&amp;query="&amp;SUBSTITUTE(F1576," ","")),"📲 Avisar al cliente"),"")</f>
        <v/>
      </c>
      <c r="L1576" s="8">
        <f>IF(C1576&lt;&gt;"","https://api.qrserver.com/v1/create-qr-code/?size=200x200&amp;data="&amp;ENCODEURL("https://wa.me/507"&amp;REGEXREPLACE(C1576,"[^0-9]","")&amp;"?text="&amp;ENCODEURL("Ya llegue. Codigo: "&amp;A1576&amp;". Ubicacion: "&amp;"https://www.google.com/maps/search/?api=1&amp;query="&amp;SUBSTITUTE(F1576," ",""))),"")</f>
        <v/>
      </c>
      <c r="M1576" s="8">
        <f>IF(B1576&lt;&gt;"",TODAY(),"")</f>
        <v/>
      </c>
      <c r="N1576" s="8">
        <f>IF(F1576&lt;&gt;"",IFERROR(IF(AND(REGEXMATCH(SUBSTITUTE(TRIM(F1576)," ",""),"^-?\d+(\.\d+)?,-?\d+(\.\d+)?$"),VALUE(REGEXEXTRACT(SUBSTITUTE(TRIM(F1576)," ",""),"^-?\d+(\.\d+)?"))&gt;=-90,VALUE(REGEXEXTRACT(SUBSTITUTE(TRIM(F1576)," ",""),"^-?\d+(\.\d+)?"))&lt;=90,VALUE(REGEXEXTRACT(SUBSTITUTE(TRIM(F1576)," ",""),"-?\d+(\.\d+)?$"))&gt;=-180,VALUE(REGEXEXTRACT(SUBSTITUTE(TRIM(F1576)," ",""),"-?\d+(\.\d+)?$"))&lt;=180),"OK","REVISAR"),"REVISAR"),"")</f>
        <v/>
      </c>
      <c r="O1576">
        <f>IF(A1576&lt;&gt;"","https://direcciones507.github.io/direcciones507/panel.html?codigo="&amp;A1576&amp;"&amp;nombre="&amp;ENCODEURL(B1576)&amp;"&amp;telefono="&amp;SUBSTITUTE(C1576,"-","")&amp;"&amp;referencia="&amp;ENCODEURL(E1576)&amp;"&amp;lat="&amp;IZQUIERDA(SUBSTITUTE(F1576," ",""),ENCONTRAR(",",SUBSTITUTE(F1576," ",""))-1)&amp;"&amp;lng="&amp;DERECHA(SUBSTITUTE(F1576," ",""),LARGO(SUBSTITUTE(F1576," ",""))-ENCONTRAR(",",SUBSTITUTE(F1576," ",""))),"")</f>
        <v/>
      </c>
    </row>
    <row r="1577" ht="15.75" customHeight="1" s="10">
      <c r="A1577" s="8">
        <f>CONCAT("AD507-",TEXT(ROW()-2,"0000"))</f>
        <v/>
      </c>
      <c r="C1577" s="8" t="n"/>
      <c r="F1577" s="8" t="n"/>
      <c r="G1577" s="8">
        <f>IF(F1577&lt;&gt;"",HYPERLINK("https://www.google.com/maps/search/?api=1&amp;query="&amp;SUBSTITUTE(F1577," ",""),"🗺 Google Maps"),"")</f>
        <v/>
      </c>
      <c r="H1577" s="8">
        <f>IF(F1577&lt;&gt;"",HYPERLINK("https://waze.com/ul?ll="&amp;SUBSTITUTE(F1577," ","")&amp;"&amp;navigate=yes","🚗 Waze"),"")</f>
        <v/>
      </c>
      <c r="I1577" s="8">
        <f>IF(F1577&lt;&gt;"",HYPERLINK("https://m.uber.com/ul/?action=setPickup&amp;pickup=my_location&amp;dropoff[latitude]="&amp;LEFT(SUBSTITUTE(F1577," ",""),FIND(",",SUBSTITUTE(F1577," ",""))-1)&amp;"&amp;dropoff[longitude]="&amp;MID(SUBSTITUTE(F1577," ",""),FIND(",",SUBSTITUTE(F1577," ",""))+1,99),"🚕 Uber"),"")</f>
        <v/>
      </c>
      <c r="J1577" s="8">
        <f>IF(F1577&lt;&gt;"","https://api.qrserver.com/v1/create-qr-code/?size=200x200&amp;data="&amp;ENCODEURL("https://www.google.com/maps/search/?api=1&amp;query="&amp;SUBSTITUTE(F1577," ","")),"")</f>
        <v/>
      </c>
      <c r="K1577" s="8">
        <f>IF(C1577&lt;&gt;"",HYPERLINK("https://wa.me/507"&amp;REGEXREPLACE(C1577,"[^0-9]","")&amp;"?text="&amp;ENCODEURL("Ya llegue. Codigo: "&amp;A1577&amp;". Ubicacion: "&amp;"https://www.google.com/maps/search/?api=1&amp;query="&amp;SUBSTITUTE(F1577," ","")),"📲 Avisar al cliente"),"")</f>
        <v/>
      </c>
      <c r="L1577" s="8">
        <f>IF(C1577&lt;&gt;"","https://api.qrserver.com/v1/create-qr-code/?size=200x200&amp;data="&amp;ENCODEURL("https://wa.me/507"&amp;REGEXREPLACE(C1577,"[^0-9]","")&amp;"?text="&amp;ENCODEURL("Ya llegue. Codigo: "&amp;A1577&amp;". Ubicacion: "&amp;"https://www.google.com/maps/search/?api=1&amp;query="&amp;SUBSTITUTE(F1577," ",""))),"")</f>
        <v/>
      </c>
      <c r="M1577" s="8">
        <f>IF(B1577&lt;&gt;"",TODAY(),"")</f>
        <v/>
      </c>
      <c r="N1577" s="8">
        <f>IF(F1577&lt;&gt;"",IFERROR(IF(AND(REGEXMATCH(SUBSTITUTE(TRIM(F1577)," ",""),"^-?\d+(\.\d+)?,-?\d+(\.\d+)?$"),VALUE(REGEXEXTRACT(SUBSTITUTE(TRIM(F1577)," ",""),"^-?\d+(\.\d+)?"))&gt;=-90,VALUE(REGEXEXTRACT(SUBSTITUTE(TRIM(F1577)," ",""),"^-?\d+(\.\d+)?"))&lt;=90,VALUE(REGEXEXTRACT(SUBSTITUTE(TRIM(F1577)," ",""),"-?\d+(\.\d+)?$"))&gt;=-180,VALUE(REGEXEXTRACT(SUBSTITUTE(TRIM(F1577)," ",""),"-?\d+(\.\d+)?$"))&lt;=180),"OK","REVISAR"),"REVISAR"),"")</f>
        <v/>
      </c>
      <c r="O1577">
        <f>IF(A1577&lt;&gt;"","https://direcciones507.github.io/direcciones507/panel.html?codigo="&amp;A1577&amp;"&amp;nombre="&amp;ENCODEURL(B1577)&amp;"&amp;telefono="&amp;SUBSTITUTE(C1577,"-","")&amp;"&amp;referencia="&amp;ENCODEURL(E1577)&amp;"&amp;lat="&amp;IZQUIERDA(SUBSTITUTE(F1577," ",""),ENCONTRAR(",",SUBSTITUTE(F1577," ",""))-1)&amp;"&amp;lng="&amp;DERECHA(SUBSTITUTE(F1577," ",""),LARGO(SUBSTITUTE(F1577," ",""))-ENCONTRAR(",",SUBSTITUTE(F1577," ",""))),"")</f>
        <v/>
      </c>
    </row>
    <row r="1578" ht="15.75" customHeight="1" s="10">
      <c r="A1578" s="8">
        <f>CONCAT("AD507-",TEXT(ROW()-2,"0000"))</f>
        <v/>
      </c>
      <c r="C1578" s="8" t="n"/>
      <c r="F1578" s="8" t="n"/>
      <c r="G1578" s="8">
        <f>IF(F1578&lt;&gt;"",HYPERLINK("https://www.google.com/maps/search/?api=1&amp;query="&amp;SUBSTITUTE(F1578," ",""),"🗺 Google Maps"),"")</f>
        <v/>
      </c>
      <c r="H1578" s="8">
        <f>IF(F1578&lt;&gt;"",HYPERLINK("https://waze.com/ul?ll="&amp;SUBSTITUTE(F1578," ","")&amp;"&amp;navigate=yes","🚗 Waze"),"")</f>
        <v/>
      </c>
      <c r="I1578" s="8">
        <f>IF(F1578&lt;&gt;"",HYPERLINK("https://m.uber.com/ul/?action=setPickup&amp;pickup=my_location&amp;dropoff[latitude]="&amp;LEFT(SUBSTITUTE(F1578," ",""),FIND(",",SUBSTITUTE(F1578," ",""))-1)&amp;"&amp;dropoff[longitude]="&amp;MID(SUBSTITUTE(F1578," ",""),FIND(",",SUBSTITUTE(F1578," ",""))+1,99),"🚕 Uber"),"")</f>
        <v/>
      </c>
      <c r="J1578" s="8">
        <f>IF(F1578&lt;&gt;"","https://api.qrserver.com/v1/create-qr-code/?size=200x200&amp;data="&amp;ENCODEURL("https://www.google.com/maps/search/?api=1&amp;query="&amp;SUBSTITUTE(F1578," ","")),"")</f>
        <v/>
      </c>
      <c r="K1578" s="8">
        <f>IF(C1578&lt;&gt;"",HYPERLINK("https://wa.me/507"&amp;REGEXREPLACE(C1578,"[^0-9]","")&amp;"?text="&amp;ENCODEURL("Ya llegue. Codigo: "&amp;A1578&amp;". Ubicacion: "&amp;"https://www.google.com/maps/search/?api=1&amp;query="&amp;SUBSTITUTE(F1578," ","")),"📲 Avisar al cliente"),"")</f>
        <v/>
      </c>
      <c r="L1578" s="8">
        <f>IF(C1578&lt;&gt;"","https://api.qrserver.com/v1/create-qr-code/?size=200x200&amp;data="&amp;ENCODEURL("https://wa.me/507"&amp;REGEXREPLACE(C1578,"[^0-9]","")&amp;"?text="&amp;ENCODEURL("Ya llegue. Codigo: "&amp;A1578&amp;". Ubicacion: "&amp;"https://www.google.com/maps/search/?api=1&amp;query="&amp;SUBSTITUTE(F1578," ",""))),"")</f>
        <v/>
      </c>
      <c r="M1578" s="8">
        <f>IF(B1578&lt;&gt;"",TODAY(),"")</f>
        <v/>
      </c>
      <c r="N1578" s="8">
        <f>IF(F1578&lt;&gt;"",IFERROR(IF(AND(REGEXMATCH(SUBSTITUTE(TRIM(F1578)," ",""),"^-?\d+(\.\d+)?,-?\d+(\.\d+)?$"),VALUE(REGEXEXTRACT(SUBSTITUTE(TRIM(F1578)," ",""),"^-?\d+(\.\d+)?"))&gt;=-90,VALUE(REGEXEXTRACT(SUBSTITUTE(TRIM(F1578)," ",""),"^-?\d+(\.\d+)?"))&lt;=90,VALUE(REGEXEXTRACT(SUBSTITUTE(TRIM(F1578)," ",""),"-?\d+(\.\d+)?$"))&gt;=-180,VALUE(REGEXEXTRACT(SUBSTITUTE(TRIM(F1578)," ",""),"-?\d+(\.\d+)?$"))&lt;=180),"OK","REVISAR"),"REVISAR"),"")</f>
        <v/>
      </c>
      <c r="O1578">
        <f>IF(A1578&lt;&gt;"","https://direcciones507.github.io/direcciones507/panel.html?codigo="&amp;A1578&amp;"&amp;nombre="&amp;ENCODEURL(B1578)&amp;"&amp;telefono="&amp;SUBSTITUTE(C1578,"-","")&amp;"&amp;referencia="&amp;ENCODEURL(E1578)&amp;"&amp;lat="&amp;IZQUIERDA(SUBSTITUTE(F1578," ",""),ENCONTRAR(",",SUBSTITUTE(F1578," ",""))-1)&amp;"&amp;lng="&amp;DERECHA(SUBSTITUTE(F1578," ",""),LARGO(SUBSTITUTE(F1578," ",""))-ENCONTRAR(",",SUBSTITUTE(F1578," ",""))),"")</f>
        <v/>
      </c>
    </row>
    <row r="1579" ht="15.75" customHeight="1" s="10">
      <c r="A1579" s="8">
        <f>CONCAT("AD507-",TEXT(ROW()-2,"0000"))</f>
        <v/>
      </c>
      <c r="C1579" s="8" t="n"/>
      <c r="F1579" s="8" t="n"/>
      <c r="G1579" s="8">
        <f>IF(F1579&lt;&gt;"",HYPERLINK("https://www.google.com/maps/search/?api=1&amp;query="&amp;SUBSTITUTE(F1579," ",""),"🗺 Google Maps"),"")</f>
        <v/>
      </c>
      <c r="H1579" s="8">
        <f>IF(F1579&lt;&gt;"",HYPERLINK("https://waze.com/ul?ll="&amp;SUBSTITUTE(F1579," ","")&amp;"&amp;navigate=yes","🚗 Waze"),"")</f>
        <v/>
      </c>
      <c r="I1579" s="8">
        <f>IF(F1579&lt;&gt;"",HYPERLINK("https://m.uber.com/ul/?action=setPickup&amp;pickup=my_location&amp;dropoff[latitude]="&amp;LEFT(SUBSTITUTE(F1579," ",""),FIND(",",SUBSTITUTE(F1579," ",""))-1)&amp;"&amp;dropoff[longitude]="&amp;MID(SUBSTITUTE(F1579," ",""),FIND(",",SUBSTITUTE(F1579," ",""))+1,99),"🚕 Uber"),"")</f>
        <v/>
      </c>
      <c r="J1579" s="8">
        <f>IF(F1579&lt;&gt;"","https://api.qrserver.com/v1/create-qr-code/?size=200x200&amp;data="&amp;ENCODEURL("https://www.google.com/maps/search/?api=1&amp;query="&amp;SUBSTITUTE(F1579," ","")),"")</f>
        <v/>
      </c>
      <c r="K1579" s="8">
        <f>IF(C1579&lt;&gt;"",HYPERLINK("https://wa.me/507"&amp;REGEXREPLACE(C1579,"[^0-9]","")&amp;"?text="&amp;ENCODEURL("Ya llegue. Codigo: "&amp;A1579&amp;". Ubicacion: "&amp;"https://www.google.com/maps/search/?api=1&amp;query="&amp;SUBSTITUTE(F1579," ","")),"📲 Avisar al cliente"),"")</f>
        <v/>
      </c>
      <c r="L1579" s="8">
        <f>IF(C1579&lt;&gt;"","https://api.qrserver.com/v1/create-qr-code/?size=200x200&amp;data="&amp;ENCODEURL("https://wa.me/507"&amp;REGEXREPLACE(C1579,"[^0-9]","")&amp;"?text="&amp;ENCODEURL("Ya llegue. Codigo: "&amp;A1579&amp;". Ubicacion: "&amp;"https://www.google.com/maps/search/?api=1&amp;query="&amp;SUBSTITUTE(F1579," ",""))),"")</f>
        <v/>
      </c>
      <c r="M1579" s="8">
        <f>IF(B1579&lt;&gt;"",TODAY(),"")</f>
        <v/>
      </c>
      <c r="N1579" s="8">
        <f>IF(F1579&lt;&gt;"",IFERROR(IF(AND(REGEXMATCH(SUBSTITUTE(TRIM(F1579)," ",""),"^-?\d+(\.\d+)?,-?\d+(\.\d+)?$"),VALUE(REGEXEXTRACT(SUBSTITUTE(TRIM(F1579)," ",""),"^-?\d+(\.\d+)?"))&gt;=-90,VALUE(REGEXEXTRACT(SUBSTITUTE(TRIM(F1579)," ",""),"^-?\d+(\.\d+)?"))&lt;=90,VALUE(REGEXEXTRACT(SUBSTITUTE(TRIM(F1579)," ",""),"-?\d+(\.\d+)?$"))&gt;=-180,VALUE(REGEXEXTRACT(SUBSTITUTE(TRIM(F1579)," ",""),"-?\d+(\.\d+)?$"))&lt;=180),"OK","REVISAR"),"REVISAR"),"")</f>
        <v/>
      </c>
      <c r="O1579">
        <f>IF(A1579&lt;&gt;"","https://direcciones507.github.io/direcciones507/panel.html?codigo="&amp;A1579&amp;"&amp;nombre="&amp;ENCODEURL(B1579)&amp;"&amp;telefono="&amp;SUBSTITUTE(C1579,"-","")&amp;"&amp;referencia="&amp;ENCODEURL(E1579)&amp;"&amp;lat="&amp;IZQUIERDA(SUBSTITUTE(F1579," ",""),ENCONTRAR(",",SUBSTITUTE(F1579," ",""))-1)&amp;"&amp;lng="&amp;DERECHA(SUBSTITUTE(F1579," ",""),LARGO(SUBSTITUTE(F1579," ",""))-ENCONTRAR(",",SUBSTITUTE(F1579," ",""))),"")</f>
        <v/>
      </c>
    </row>
    <row r="1580" ht="15.75" customHeight="1" s="10">
      <c r="A1580" s="8">
        <f>CONCAT("AD507-",TEXT(ROW()-2,"0000"))</f>
        <v/>
      </c>
      <c r="C1580" s="8" t="n"/>
      <c r="F1580" s="8" t="n"/>
      <c r="G1580" s="8">
        <f>IF(F1580&lt;&gt;"",HYPERLINK("https://www.google.com/maps/search/?api=1&amp;query="&amp;SUBSTITUTE(F1580," ",""),"🗺 Google Maps"),"")</f>
        <v/>
      </c>
      <c r="H1580" s="8">
        <f>IF(F1580&lt;&gt;"",HYPERLINK("https://waze.com/ul?ll="&amp;SUBSTITUTE(F1580," ","")&amp;"&amp;navigate=yes","🚗 Waze"),"")</f>
        <v/>
      </c>
      <c r="I1580" s="8">
        <f>IF(F1580&lt;&gt;"",HYPERLINK("https://m.uber.com/ul/?action=setPickup&amp;pickup=my_location&amp;dropoff[latitude]="&amp;LEFT(SUBSTITUTE(F1580," ",""),FIND(",",SUBSTITUTE(F1580," ",""))-1)&amp;"&amp;dropoff[longitude]="&amp;MID(SUBSTITUTE(F1580," ",""),FIND(",",SUBSTITUTE(F1580," ",""))+1,99),"🚕 Uber"),"")</f>
        <v/>
      </c>
      <c r="J1580" s="8">
        <f>IF(F1580&lt;&gt;"","https://api.qrserver.com/v1/create-qr-code/?size=200x200&amp;data="&amp;ENCODEURL("https://www.google.com/maps/search/?api=1&amp;query="&amp;SUBSTITUTE(F1580," ","")),"")</f>
        <v/>
      </c>
      <c r="K1580" s="8">
        <f>IF(C1580&lt;&gt;"",HYPERLINK("https://wa.me/507"&amp;REGEXREPLACE(C1580,"[^0-9]","")&amp;"?text="&amp;ENCODEURL("Ya llegue. Codigo: "&amp;A1580&amp;". Ubicacion: "&amp;"https://www.google.com/maps/search/?api=1&amp;query="&amp;SUBSTITUTE(F1580," ","")),"📲 Avisar al cliente"),"")</f>
        <v/>
      </c>
      <c r="L1580" s="8">
        <f>IF(C1580&lt;&gt;"","https://api.qrserver.com/v1/create-qr-code/?size=200x200&amp;data="&amp;ENCODEURL("https://wa.me/507"&amp;REGEXREPLACE(C1580,"[^0-9]","")&amp;"?text="&amp;ENCODEURL("Ya llegue. Codigo: "&amp;A1580&amp;". Ubicacion: "&amp;"https://www.google.com/maps/search/?api=1&amp;query="&amp;SUBSTITUTE(F1580," ",""))),"")</f>
        <v/>
      </c>
      <c r="M1580" s="8">
        <f>IF(B1580&lt;&gt;"",TODAY(),"")</f>
        <v/>
      </c>
      <c r="N1580" s="8">
        <f>IF(F1580&lt;&gt;"",IFERROR(IF(AND(REGEXMATCH(SUBSTITUTE(TRIM(F1580)," ",""),"^-?\d+(\.\d+)?,-?\d+(\.\d+)?$"),VALUE(REGEXEXTRACT(SUBSTITUTE(TRIM(F1580)," ",""),"^-?\d+(\.\d+)?"))&gt;=-90,VALUE(REGEXEXTRACT(SUBSTITUTE(TRIM(F1580)," ",""),"^-?\d+(\.\d+)?"))&lt;=90,VALUE(REGEXEXTRACT(SUBSTITUTE(TRIM(F1580)," ",""),"-?\d+(\.\d+)?$"))&gt;=-180,VALUE(REGEXEXTRACT(SUBSTITUTE(TRIM(F1580)," ",""),"-?\d+(\.\d+)?$"))&lt;=180),"OK","REVISAR"),"REVISAR"),"")</f>
        <v/>
      </c>
      <c r="O1580">
        <f>IF(A1580&lt;&gt;"","https://direcciones507.github.io/direcciones507/panel.html?codigo="&amp;A1580&amp;"&amp;nombre="&amp;ENCODEURL(B1580)&amp;"&amp;telefono="&amp;SUBSTITUTE(C1580,"-","")&amp;"&amp;referencia="&amp;ENCODEURL(E1580)&amp;"&amp;lat="&amp;IZQUIERDA(SUBSTITUTE(F1580," ",""),ENCONTRAR(",",SUBSTITUTE(F1580," ",""))-1)&amp;"&amp;lng="&amp;DERECHA(SUBSTITUTE(F1580," ",""),LARGO(SUBSTITUTE(F1580," ",""))-ENCONTRAR(",",SUBSTITUTE(F1580," ",""))),"")</f>
        <v/>
      </c>
    </row>
    <row r="1581" ht="15.75" customHeight="1" s="10">
      <c r="A1581" s="8">
        <f>CONCAT("AD507-",TEXT(ROW()-2,"0000"))</f>
        <v/>
      </c>
      <c r="C1581" s="8" t="n"/>
      <c r="F1581" s="8" t="n"/>
      <c r="G1581" s="8">
        <f>IF(F1581&lt;&gt;"",HYPERLINK("https://www.google.com/maps/search/?api=1&amp;query="&amp;SUBSTITUTE(F1581," ",""),"🗺 Google Maps"),"")</f>
        <v/>
      </c>
      <c r="H1581" s="8">
        <f>IF(F1581&lt;&gt;"",HYPERLINK("https://waze.com/ul?ll="&amp;SUBSTITUTE(F1581," ","")&amp;"&amp;navigate=yes","🚗 Waze"),"")</f>
        <v/>
      </c>
      <c r="I1581" s="8">
        <f>IF(F1581&lt;&gt;"",HYPERLINK("https://m.uber.com/ul/?action=setPickup&amp;pickup=my_location&amp;dropoff[latitude]="&amp;LEFT(SUBSTITUTE(F1581," ",""),FIND(",",SUBSTITUTE(F1581," ",""))-1)&amp;"&amp;dropoff[longitude]="&amp;MID(SUBSTITUTE(F1581," ",""),FIND(",",SUBSTITUTE(F1581," ",""))+1,99),"🚕 Uber"),"")</f>
        <v/>
      </c>
      <c r="J1581" s="8">
        <f>IF(F1581&lt;&gt;"","https://api.qrserver.com/v1/create-qr-code/?size=200x200&amp;data="&amp;ENCODEURL("https://www.google.com/maps/search/?api=1&amp;query="&amp;SUBSTITUTE(F1581," ","")),"")</f>
        <v/>
      </c>
      <c r="K1581" s="8">
        <f>IF(C1581&lt;&gt;"",HYPERLINK("https://wa.me/507"&amp;REGEXREPLACE(C1581,"[^0-9]","")&amp;"?text="&amp;ENCODEURL("Ya llegue. Codigo: "&amp;A1581&amp;". Ubicacion: "&amp;"https://www.google.com/maps/search/?api=1&amp;query="&amp;SUBSTITUTE(F1581," ","")),"📲 Avisar al cliente"),"")</f>
        <v/>
      </c>
      <c r="L1581" s="8">
        <f>IF(C1581&lt;&gt;"","https://api.qrserver.com/v1/create-qr-code/?size=200x200&amp;data="&amp;ENCODEURL("https://wa.me/507"&amp;REGEXREPLACE(C1581,"[^0-9]","")&amp;"?text="&amp;ENCODEURL("Ya llegue. Codigo: "&amp;A1581&amp;". Ubicacion: "&amp;"https://www.google.com/maps/search/?api=1&amp;query="&amp;SUBSTITUTE(F1581," ",""))),"")</f>
        <v/>
      </c>
      <c r="M1581" s="8">
        <f>IF(B1581&lt;&gt;"",TODAY(),"")</f>
        <v/>
      </c>
      <c r="N1581" s="8">
        <f>IF(F1581&lt;&gt;"",IFERROR(IF(AND(REGEXMATCH(SUBSTITUTE(TRIM(F1581)," ",""),"^-?\d+(\.\d+)?,-?\d+(\.\d+)?$"),VALUE(REGEXEXTRACT(SUBSTITUTE(TRIM(F1581)," ",""),"^-?\d+(\.\d+)?"))&gt;=-90,VALUE(REGEXEXTRACT(SUBSTITUTE(TRIM(F1581)," ",""),"^-?\d+(\.\d+)?"))&lt;=90,VALUE(REGEXEXTRACT(SUBSTITUTE(TRIM(F1581)," ",""),"-?\d+(\.\d+)?$"))&gt;=-180,VALUE(REGEXEXTRACT(SUBSTITUTE(TRIM(F1581)," ",""),"-?\d+(\.\d+)?$"))&lt;=180),"OK","REVISAR"),"REVISAR"),"")</f>
        <v/>
      </c>
      <c r="O1581">
        <f>IF(A1581&lt;&gt;"","https://direcciones507.github.io/direcciones507/panel.html?codigo="&amp;A1581&amp;"&amp;nombre="&amp;ENCODEURL(B1581)&amp;"&amp;telefono="&amp;SUBSTITUTE(C1581,"-","")&amp;"&amp;referencia="&amp;ENCODEURL(E1581)&amp;"&amp;lat="&amp;IZQUIERDA(SUBSTITUTE(F1581," ",""),ENCONTRAR(",",SUBSTITUTE(F1581," ",""))-1)&amp;"&amp;lng="&amp;DERECHA(SUBSTITUTE(F1581," ",""),LARGO(SUBSTITUTE(F1581," ",""))-ENCONTRAR(",",SUBSTITUTE(F1581," ",""))),"")</f>
        <v/>
      </c>
    </row>
    <row r="1582" ht="15.75" customHeight="1" s="10">
      <c r="A1582" s="8">
        <f>CONCAT("AD507-",TEXT(ROW()-2,"0000"))</f>
        <v/>
      </c>
      <c r="C1582" s="8" t="n"/>
      <c r="F1582" s="8" t="n"/>
      <c r="G1582" s="8">
        <f>IF(F1582&lt;&gt;"",HYPERLINK("https://www.google.com/maps/search/?api=1&amp;query="&amp;SUBSTITUTE(F1582," ",""),"🗺 Google Maps"),"")</f>
        <v/>
      </c>
      <c r="H1582" s="8">
        <f>IF(F1582&lt;&gt;"",HYPERLINK("https://waze.com/ul?ll="&amp;SUBSTITUTE(F1582," ","")&amp;"&amp;navigate=yes","🚗 Waze"),"")</f>
        <v/>
      </c>
      <c r="I1582" s="8">
        <f>IF(F1582&lt;&gt;"",HYPERLINK("https://m.uber.com/ul/?action=setPickup&amp;pickup=my_location&amp;dropoff[latitude]="&amp;LEFT(SUBSTITUTE(F1582," ",""),FIND(",",SUBSTITUTE(F1582," ",""))-1)&amp;"&amp;dropoff[longitude]="&amp;MID(SUBSTITUTE(F1582," ",""),FIND(",",SUBSTITUTE(F1582," ",""))+1,99),"🚕 Uber"),"")</f>
        <v/>
      </c>
      <c r="J1582" s="8">
        <f>IF(F1582&lt;&gt;"","https://api.qrserver.com/v1/create-qr-code/?size=200x200&amp;data="&amp;ENCODEURL("https://www.google.com/maps/search/?api=1&amp;query="&amp;SUBSTITUTE(F1582," ","")),"")</f>
        <v/>
      </c>
      <c r="K1582" s="8">
        <f>IF(C1582&lt;&gt;"",HYPERLINK("https://wa.me/507"&amp;REGEXREPLACE(C1582,"[^0-9]","")&amp;"?text="&amp;ENCODEURL("Ya llegue. Codigo: "&amp;A1582&amp;". Ubicacion: "&amp;"https://www.google.com/maps/search/?api=1&amp;query="&amp;SUBSTITUTE(F1582," ","")),"📲 Avisar al cliente"),"")</f>
        <v/>
      </c>
      <c r="L1582" s="8">
        <f>IF(C1582&lt;&gt;"","https://api.qrserver.com/v1/create-qr-code/?size=200x200&amp;data="&amp;ENCODEURL("https://wa.me/507"&amp;REGEXREPLACE(C1582,"[^0-9]","")&amp;"?text="&amp;ENCODEURL("Ya llegue. Codigo: "&amp;A1582&amp;". Ubicacion: "&amp;"https://www.google.com/maps/search/?api=1&amp;query="&amp;SUBSTITUTE(F1582," ",""))),"")</f>
        <v/>
      </c>
      <c r="M1582" s="8">
        <f>IF(B1582&lt;&gt;"",TODAY(),"")</f>
        <v/>
      </c>
      <c r="N1582" s="8">
        <f>IF(F1582&lt;&gt;"",IFERROR(IF(AND(REGEXMATCH(SUBSTITUTE(TRIM(F1582)," ",""),"^-?\d+(\.\d+)?,-?\d+(\.\d+)?$"),VALUE(REGEXEXTRACT(SUBSTITUTE(TRIM(F1582)," ",""),"^-?\d+(\.\d+)?"))&gt;=-90,VALUE(REGEXEXTRACT(SUBSTITUTE(TRIM(F1582)," ",""),"^-?\d+(\.\d+)?"))&lt;=90,VALUE(REGEXEXTRACT(SUBSTITUTE(TRIM(F1582)," ",""),"-?\d+(\.\d+)?$"))&gt;=-180,VALUE(REGEXEXTRACT(SUBSTITUTE(TRIM(F1582)," ",""),"-?\d+(\.\d+)?$"))&lt;=180),"OK","REVISAR"),"REVISAR"),"")</f>
        <v/>
      </c>
      <c r="O1582">
        <f>IF(A1582&lt;&gt;"","https://direcciones507.github.io/direcciones507/panel.html?codigo="&amp;A1582&amp;"&amp;nombre="&amp;ENCODEURL(B1582)&amp;"&amp;telefono="&amp;SUBSTITUTE(C1582,"-","")&amp;"&amp;referencia="&amp;ENCODEURL(E1582)&amp;"&amp;lat="&amp;IZQUIERDA(SUBSTITUTE(F1582," ",""),ENCONTRAR(",",SUBSTITUTE(F1582," ",""))-1)&amp;"&amp;lng="&amp;DERECHA(SUBSTITUTE(F1582," ",""),LARGO(SUBSTITUTE(F1582," ",""))-ENCONTRAR(",",SUBSTITUTE(F1582," ",""))),"")</f>
        <v/>
      </c>
    </row>
    <row r="1583" ht="15.75" customHeight="1" s="10">
      <c r="A1583" s="8">
        <f>CONCAT("AD507-",TEXT(ROW()-2,"0000"))</f>
        <v/>
      </c>
      <c r="C1583" s="8" t="n"/>
      <c r="F1583" s="8" t="n"/>
      <c r="G1583" s="8">
        <f>IF(F1583&lt;&gt;"",HYPERLINK("https://www.google.com/maps/search/?api=1&amp;query="&amp;SUBSTITUTE(F1583," ",""),"🗺 Google Maps"),"")</f>
        <v/>
      </c>
      <c r="H1583" s="8">
        <f>IF(F1583&lt;&gt;"",HYPERLINK("https://waze.com/ul?ll="&amp;SUBSTITUTE(F1583," ","")&amp;"&amp;navigate=yes","🚗 Waze"),"")</f>
        <v/>
      </c>
      <c r="I1583" s="8">
        <f>IF(F1583&lt;&gt;"",HYPERLINK("https://m.uber.com/ul/?action=setPickup&amp;pickup=my_location&amp;dropoff[latitude]="&amp;LEFT(SUBSTITUTE(F1583," ",""),FIND(",",SUBSTITUTE(F1583," ",""))-1)&amp;"&amp;dropoff[longitude]="&amp;MID(SUBSTITUTE(F1583," ",""),FIND(",",SUBSTITUTE(F1583," ",""))+1,99),"🚕 Uber"),"")</f>
        <v/>
      </c>
      <c r="J1583" s="8">
        <f>IF(F1583&lt;&gt;"","https://api.qrserver.com/v1/create-qr-code/?size=200x200&amp;data="&amp;ENCODEURL("https://www.google.com/maps/search/?api=1&amp;query="&amp;SUBSTITUTE(F1583," ","")),"")</f>
        <v/>
      </c>
      <c r="K1583" s="8">
        <f>IF(C1583&lt;&gt;"",HYPERLINK("https://wa.me/507"&amp;REGEXREPLACE(C1583,"[^0-9]","")&amp;"?text="&amp;ENCODEURL("Ya llegue. Codigo: "&amp;A1583&amp;". Ubicacion: "&amp;"https://www.google.com/maps/search/?api=1&amp;query="&amp;SUBSTITUTE(F1583," ","")),"📲 Avisar al cliente"),"")</f>
        <v/>
      </c>
      <c r="L1583" s="8">
        <f>IF(C1583&lt;&gt;"","https://api.qrserver.com/v1/create-qr-code/?size=200x200&amp;data="&amp;ENCODEURL("https://wa.me/507"&amp;REGEXREPLACE(C1583,"[^0-9]","")&amp;"?text="&amp;ENCODEURL("Ya llegue. Codigo: "&amp;A1583&amp;". Ubicacion: "&amp;"https://www.google.com/maps/search/?api=1&amp;query="&amp;SUBSTITUTE(F1583," ",""))),"")</f>
        <v/>
      </c>
      <c r="M1583" s="8">
        <f>IF(B1583&lt;&gt;"",TODAY(),"")</f>
        <v/>
      </c>
      <c r="N1583" s="8">
        <f>IF(F1583&lt;&gt;"",IFERROR(IF(AND(REGEXMATCH(SUBSTITUTE(TRIM(F1583)," ",""),"^-?\d+(\.\d+)?,-?\d+(\.\d+)?$"),VALUE(REGEXEXTRACT(SUBSTITUTE(TRIM(F1583)," ",""),"^-?\d+(\.\d+)?"))&gt;=-90,VALUE(REGEXEXTRACT(SUBSTITUTE(TRIM(F1583)," ",""),"^-?\d+(\.\d+)?"))&lt;=90,VALUE(REGEXEXTRACT(SUBSTITUTE(TRIM(F1583)," ",""),"-?\d+(\.\d+)?$"))&gt;=-180,VALUE(REGEXEXTRACT(SUBSTITUTE(TRIM(F1583)," ",""),"-?\d+(\.\d+)?$"))&lt;=180),"OK","REVISAR"),"REVISAR"),"")</f>
        <v/>
      </c>
      <c r="O1583">
        <f>IF(A1583&lt;&gt;"","https://direcciones507.github.io/direcciones507/panel.html?codigo="&amp;A1583&amp;"&amp;nombre="&amp;ENCODEURL(B1583)&amp;"&amp;telefono="&amp;SUBSTITUTE(C1583,"-","")&amp;"&amp;referencia="&amp;ENCODEURL(E1583)&amp;"&amp;lat="&amp;IZQUIERDA(SUBSTITUTE(F1583," ",""),ENCONTRAR(",",SUBSTITUTE(F1583," ",""))-1)&amp;"&amp;lng="&amp;DERECHA(SUBSTITUTE(F1583," ",""),LARGO(SUBSTITUTE(F1583," ",""))-ENCONTRAR(",",SUBSTITUTE(F1583," ",""))),"")</f>
        <v/>
      </c>
    </row>
    <row r="1584" ht="15.75" customHeight="1" s="10">
      <c r="A1584" s="8">
        <f>CONCAT("AD507-",TEXT(ROW()-2,"0000"))</f>
        <v/>
      </c>
      <c r="C1584" s="8" t="n"/>
      <c r="F1584" s="8" t="n"/>
      <c r="G1584" s="8">
        <f>IF(F1584&lt;&gt;"",HYPERLINK("https://www.google.com/maps/search/?api=1&amp;query="&amp;SUBSTITUTE(F1584," ",""),"🗺 Google Maps"),"")</f>
        <v/>
      </c>
      <c r="H1584" s="8">
        <f>IF(F1584&lt;&gt;"",HYPERLINK("https://waze.com/ul?ll="&amp;SUBSTITUTE(F1584," ","")&amp;"&amp;navigate=yes","🚗 Waze"),"")</f>
        <v/>
      </c>
      <c r="I1584" s="8">
        <f>IF(F1584&lt;&gt;"",HYPERLINK("https://m.uber.com/ul/?action=setPickup&amp;pickup=my_location&amp;dropoff[latitude]="&amp;LEFT(SUBSTITUTE(F1584," ",""),FIND(",",SUBSTITUTE(F1584," ",""))-1)&amp;"&amp;dropoff[longitude]="&amp;MID(SUBSTITUTE(F1584," ",""),FIND(",",SUBSTITUTE(F1584," ",""))+1,99),"🚕 Uber"),"")</f>
        <v/>
      </c>
      <c r="J1584" s="8">
        <f>IF(F1584&lt;&gt;"","https://api.qrserver.com/v1/create-qr-code/?size=200x200&amp;data="&amp;ENCODEURL("https://www.google.com/maps/search/?api=1&amp;query="&amp;SUBSTITUTE(F1584," ","")),"")</f>
        <v/>
      </c>
      <c r="K1584" s="8">
        <f>IF(C1584&lt;&gt;"",HYPERLINK("https://wa.me/507"&amp;REGEXREPLACE(C1584,"[^0-9]","")&amp;"?text="&amp;ENCODEURL("Ya llegue. Codigo: "&amp;A1584&amp;". Ubicacion: "&amp;"https://www.google.com/maps/search/?api=1&amp;query="&amp;SUBSTITUTE(F1584," ","")),"📲 Avisar al cliente"),"")</f>
        <v/>
      </c>
      <c r="L1584" s="8">
        <f>IF(C1584&lt;&gt;"","https://api.qrserver.com/v1/create-qr-code/?size=200x200&amp;data="&amp;ENCODEURL("https://wa.me/507"&amp;REGEXREPLACE(C1584,"[^0-9]","")&amp;"?text="&amp;ENCODEURL("Ya llegue. Codigo: "&amp;A1584&amp;". Ubicacion: "&amp;"https://www.google.com/maps/search/?api=1&amp;query="&amp;SUBSTITUTE(F1584," ",""))),"")</f>
        <v/>
      </c>
      <c r="M1584" s="8">
        <f>IF(B1584&lt;&gt;"",TODAY(),"")</f>
        <v/>
      </c>
      <c r="N1584" s="8">
        <f>IF(F1584&lt;&gt;"",IFERROR(IF(AND(REGEXMATCH(SUBSTITUTE(TRIM(F1584)," ",""),"^-?\d+(\.\d+)?,-?\d+(\.\d+)?$"),VALUE(REGEXEXTRACT(SUBSTITUTE(TRIM(F1584)," ",""),"^-?\d+(\.\d+)?"))&gt;=-90,VALUE(REGEXEXTRACT(SUBSTITUTE(TRIM(F1584)," ",""),"^-?\d+(\.\d+)?"))&lt;=90,VALUE(REGEXEXTRACT(SUBSTITUTE(TRIM(F1584)," ",""),"-?\d+(\.\d+)?$"))&gt;=-180,VALUE(REGEXEXTRACT(SUBSTITUTE(TRIM(F1584)," ",""),"-?\d+(\.\d+)?$"))&lt;=180),"OK","REVISAR"),"REVISAR"),"")</f>
        <v/>
      </c>
      <c r="O1584">
        <f>IF(A1584&lt;&gt;"","https://direcciones507.github.io/direcciones507/panel.html?codigo="&amp;A1584&amp;"&amp;nombre="&amp;ENCODEURL(B1584)&amp;"&amp;telefono="&amp;SUBSTITUTE(C1584,"-","")&amp;"&amp;referencia="&amp;ENCODEURL(E1584)&amp;"&amp;lat="&amp;IZQUIERDA(SUBSTITUTE(F1584," ",""),ENCONTRAR(",",SUBSTITUTE(F1584," ",""))-1)&amp;"&amp;lng="&amp;DERECHA(SUBSTITUTE(F1584," ",""),LARGO(SUBSTITUTE(F1584," ",""))-ENCONTRAR(",",SUBSTITUTE(F1584," ",""))),"")</f>
        <v/>
      </c>
    </row>
    <row r="1585" ht="15.75" customHeight="1" s="10">
      <c r="A1585" s="8">
        <f>CONCAT("AD507-",TEXT(ROW()-2,"0000"))</f>
        <v/>
      </c>
      <c r="C1585" s="8" t="n"/>
      <c r="F1585" s="8" t="n"/>
      <c r="G1585" s="8">
        <f>IF(F1585&lt;&gt;"",HYPERLINK("https://www.google.com/maps/search/?api=1&amp;query="&amp;SUBSTITUTE(F1585," ",""),"🗺 Google Maps"),"")</f>
        <v/>
      </c>
      <c r="H1585" s="8">
        <f>IF(F1585&lt;&gt;"",HYPERLINK("https://waze.com/ul?ll="&amp;SUBSTITUTE(F1585," ","")&amp;"&amp;navigate=yes","🚗 Waze"),"")</f>
        <v/>
      </c>
      <c r="I1585" s="8">
        <f>IF(F1585&lt;&gt;"",HYPERLINK("https://m.uber.com/ul/?action=setPickup&amp;pickup=my_location&amp;dropoff[latitude]="&amp;LEFT(SUBSTITUTE(F1585," ",""),FIND(",",SUBSTITUTE(F1585," ",""))-1)&amp;"&amp;dropoff[longitude]="&amp;MID(SUBSTITUTE(F1585," ",""),FIND(",",SUBSTITUTE(F1585," ",""))+1,99),"🚕 Uber"),"")</f>
        <v/>
      </c>
      <c r="J1585" s="8">
        <f>IF(F1585&lt;&gt;"","https://api.qrserver.com/v1/create-qr-code/?size=200x200&amp;data="&amp;ENCODEURL("https://www.google.com/maps/search/?api=1&amp;query="&amp;SUBSTITUTE(F1585," ","")),"")</f>
        <v/>
      </c>
      <c r="K1585" s="8">
        <f>IF(C1585&lt;&gt;"",HYPERLINK("https://wa.me/507"&amp;REGEXREPLACE(C1585,"[^0-9]","")&amp;"?text="&amp;ENCODEURL("Ya llegue. Codigo: "&amp;A1585&amp;". Ubicacion: "&amp;"https://www.google.com/maps/search/?api=1&amp;query="&amp;SUBSTITUTE(F1585," ","")),"📲 Avisar al cliente"),"")</f>
        <v/>
      </c>
      <c r="L1585" s="8">
        <f>IF(C1585&lt;&gt;"","https://api.qrserver.com/v1/create-qr-code/?size=200x200&amp;data="&amp;ENCODEURL("https://wa.me/507"&amp;REGEXREPLACE(C1585,"[^0-9]","")&amp;"?text="&amp;ENCODEURL("Ya llegue. Codigo: "&amp;A1585&amp;". Ubicacion: "&amp;"https://www.google.com/maps/search/?api=1&amp;query="&amp;SUBSTITUTE(F1585," ",""))),"")</f>
        <v/>
      </c>
      <c r="M1585" s="8">
        <f>IF(B1585&lt;&gt;"",TODAY(),"")</f>
        <v/>
      </c>
      <c r="N1585" s="8">
        <f>IF(F1585&lt;&gt;"",IFERROR(IF(AND(REGEXMATCH(SUBSTITUTE(TRIM(F1585)," ",""),"^-?\d+(\.\d+)?,-?\d+(\.\d+)?$"),VALUE(REGEXEXTRACT(SUBSTITUTE(TRIM(F1585)," ",""),"^-?\d+(\.\d+)?"))&gt;=-90,VALUE(REGEXEXTRACT(SUBSTITUTE(TRIM(F1585)," ",""),"^-?\d+(\.\d+)?"))&lt;=90,VALUE(REGEXEXTRACT(SUBSTITUTE(TRIM(F1585)," ",""),"-?\d+(\.\d+)?$"))&gt;=-180,VALUE(REGEXEXTRACT(SUBSTITUTE(TRIM(F1585)," ",""),"-?\d+(\.\d+)?$"))&lt;=180),"OK","REVISAR"),"REVISAR"),"")</f>
        <v/>
      </c>
      <c r="O1585">
        <f>IF(A1585&lt;&gt;"","https://direcciones507.github.io/direcciones507/panel.html?codigo="&amp;A1585&amp;"&amp;nombre="&amp;ENCODEURL(B1585)&amp;"&amp;telefono="&amp;SUBSTITUTE(C1585,"-","")&amp;"&amp;referencia="&amp;ENCODEURL(E1585)&amp;"&amp;lat="&amp;IZQUIERDA(SUBSTITUTE(F1585," ",""),ENCONTRAR(",",SUBSTITUTE(F1585," ",""))-1)&amp;"&amp;lng="&amp;DERECHA(SUBSTITUTE(F1585," ",""),LARGO(SUBSTITUTE(F1585," ",""))-ENCONTRAR(",",SUBSTITUTE(F1585," ",""))),"")</f>
        <v/>
      </c>
    </row>
    <row r="1586" ht="15.75" customHeight="1" s="10">
      <c r="A1586" s="8">
        <f>CONCAT("AD507-",TEXT(ROW()-2,"0000"))</f>
        <v/>
      </c>
      <c r="C1586" s="8" t="n"/>
      <c r="F1586" s="8" t="n"/>
      <c r="G1586" s="8">
        <f>IF(F1586&lt;&gt;"",HYPERLINK("https://www.google.com/maps/search/?api=1&amp;query="&amp;SUBSTITUTE(F1586," ",""),"🗺 Google Maps"),"")</f>
        <v/>
      </c>
      <c r="H1586" s="8">
        <f>IF(F1586&lt;&gt;"",HYPERLINK("https://waze.com/ul?ll="&amp;SUBSTITUTE(F1586," ","")&amp;"&amp;navigate=yes","🚗 Waze"),"")</f>
        <v/>
      </c>
      <c r="I1586" s="8">
        <f>IF(F1586&lt;&gt;"",HYPERLINK("https://m.uber.com/ul/?action=setPickup&amp;pickup=my_location&amp;dropoff[latitude]="&amp;LEFT(SUBSTITUTE(F1586," ",""),FIND(",",SUBSTITUTE(F1586," ",""))-1)&amp;"&amp;dropoff[longitude]="&amp;MID(SUBSTITUTE(F1586," ",""),FIND(",",SUBSTITUTE(F1586," ",""))+1,99),"🚕 Uber"),"")</f>
        <v/>
      </c>
      <c r="J1586" s="8">
        <f>IF(F1586&lt;&gt;"","https://api.qrserver.com/v1/create-qr-code/?size=200x200&amp;data="&amp;ENCODEURL("https://www.google.com/maps/search/?api=1&amp;query="&amp;SUBSTITUTE(F1586," ","")),"")</f>
        <v/>
      </c>
      <c r="K1586" s="8">
        <f>IF(C1586&lt;&gt;"",HYPERLINK("https://wa.me/507"&amp;REGEXREPLACE(C1586,"[^0-9]","")&amp;"?text="&amp;ENCODEURL("Ya llegue. Codigo: "&amp;A1586&amp;". Ubicacion: "&amp;"https://www.google.com/maps/search/?api=1&amp;query="&amp;SUBSTITUTE(F1586," ","")),"📲 Avisar al cliente"),"")</f>
        <v/>
      </c>
      <c r="L1586" s="8">
        <f>IF(C1586&lt;&gt;"","https://api.qrserver.com/v1/create-qr-code/?size=200x200&amp;data="&amp;ENCODEURL("https://wa.me/507"&amp;REGEXREPLACE(C1586,"[^0-9]","")&amp;"?text="&amp;ENCODEURL("Ya llegue. Codigo: "&amp;A1586&amp;". Ubicacion: "&amp;"https://www.google.com/maps/search/?api=1&amp;query="&amp;SUBSTITUTE(F1586," ",""))),"")</f>
        <v/>
      </c>
      <c r="M1586" s="8">
        <f>IF(B1586&lt;&gt;"",TODAY(),"")</f>
        <v/>
      </c>
      <c r="N1586" s="8">
        <f>IF(F1586&lt;&gt;"",IFERROR(IF(AND(REGEXMATCH(SUBSTITUTE(TRIM(F1586)," ",""),"^-?\d+(\.\d+)?,-?\d+(\.\d+)?$"),VALUE(REGEXEXTRACT(SUBSTITUTE(TRIM(F1586)," ",""),"^-?\d+(\.\d+)?"))&gt;=-90,VALUE(REGEXEXTRACT(SUBSTITUTE(TRIM(F1586)," ",""),"^-?\d+(\.\d+)?"))&lt;=90,VALUE(REGEXEXTRACT(SUBSTITUTE(TRIM(F1586)," ",""),"-?\d+(\.\d+)?$"))&gt;=-180,VALUE(REGEXEXTRACT(SUBSTITUTE(TRIM(F1586)," ",""),"-?\d+(\.\d+)?$"))&lt;=180),"OK","REVISAR"),"REVISAR"),"")</f>
        <v/>
      </c>
      <c r="O1586">
        <f>IF(A1586&lt;&gt;"","https://direcciones507.github.io/direcciones507/panel.html?codigo="&amp;A1586&amp;"&amp;nombre="&amp;ENCODEURL(B1586)&amp;"&amp;telefono="&amp;SUBSTITUTE(C1586,"-","")&amp;"&amp;referencia="&amp;ENCODEURL(E1586)&amp;"&amp;lat="&amp;IZQUIERDA(SUBSTITUTE(F1586," ",""),ENCONTRAR(",",SUBSTITUTE(F1586," ",""))-1)&amp;"&amp;lng="&amp;DERECHA(SUBSTITUTE(F1586," ",""),LARGO(SUBSTITUTE(F1586," ",""))-ENCONTRAR(",",SUBSTITUTE(F1586," ",""))),"")</f>
        <v/>
      </c>
    </row>
    <row r="1587" ht="15.75" customHeight="1" s="10">
      <c r="A1587" s="8">
        <f>CONCAT("AD507-",TEXT(ROW()-2,"0000"))</f>
        <v/>
      </c>
      <c r="C1587" s="8" t="n"/>
      <c r="F1587" s="8" t="n"/>
      <c r="G1587" s="8">
        <f>IF(F1587&lt;&gt;"",HYPERLINK("https://www.google.com/maps/search/?api=1&amp;query="&amp;SUBSTITUTE(F1587," ",""),"🗺 Google Maps"),"")</f>
        <v/>
      </c>
      <c r="H1587" s="8">
        <f>IF(F1587&lt;&gt;"",HYPERLINK("https://waze.com/ul?ll="&amp;SUBSTITUTE(F1587," ","")&amp;"&amp;navigate=yes","🚗 Waze"),"")</f>
        <v/>
      </c>
      <c r="I1587" s="8">
        <f>IF(F1587&lt;&gt;"",HYPERLINK("https://m.uber.com/ul/?action=setPickup&amp;pickup=my_location&amp;dropoff[latitude]="&amp;LEFT(SUBSTITUTE(F1587," ",""),FIND(",",SUBSTITUTE(F1587," ",""))-1)&amp;"&amp;dropoff[longitude]="&amp;MID(SUBSTITUTE(F1587," ",""),FIND(",",SUBSTITUTE(F1587," ",""))+1,99),"🚕 Uber"),"")</f>
        <v/>
      </c>
      <c r="J1587" s="8">
        <f>IF(F1587&lt;&gt;"","https://api.qrserver.com/v1/create-qr-code/?size=200x200&amp;data="&amp;ENCODEURL("https://www.google.com/maps/search/?api=1&amp;query="&amp;SUBSTITUTE(F1587," ","")),"")</f>
        <v/>
      </c>
      <c r="K1587" s="8">
        <f>IF(C1587&lt;&gt;"",HYPERLINK("https://wa.me/507"&amp;REGEXREPLACE(C1587,"[^0-9]","")&amp;"?text="&amp;ENCODEURL("Ya llegue. Codigo: "&amp;A1587&amp;". Ubicacion: "&amp;"https://www.google.com/maps/search/?api=1&amp;query="&amp;SUBSTITUTE(F1587," ","")),"📲 Avisar al cliente"),"")</f>
        <v/>
      </c>
      <c r="L1587" s="8">
        <f>IF(C1587&lt;&gt;"","https://api.qrserver.com/v1/create-qr-code/?size=200x200&amp;data="&amp;ENCODEURL("https://wa.me/507"&amp;REGEXREPLACE(C1587,"[^0-9]","")&amp;"?text="&amp;ENCODEURL("Ya llegue. Codigo: "&amp;A1587&amp;". Ubicacion: "&amp;"https://www.google.com/maps/search/?api=1&amp;query="&amp;SUBSTITUTE(F1587," ",""))),"")</f>
        <v/>
      </c>
      <c r="M1587" s="8">
        <f>IF(B1587&lt;&gt;"",TODAY(),"")</f>
        <v/>
      </c>
      <c r="N1587" s="8">
        <f>IF(F1587&lt;&gt;"",IFERROR(IF(AND(REGEXMATCH(SUBSTITUTE(TRIM(F1587)," ",""),"^-?\d+(\.\d+)?,-?\d+(\.\d+)?$"),VALUE(REGEXEXTRACT(SUBSTITUTE(TRIM(F1587)," ",""),"^-?\d+(\.\d+)?"))&gt;=-90,VALUE(REGEXEXTRACT(SUBSTITUTE(TRIM(F1587)," ",""),"^-?\d+(\.\d+)?"))&lt;=90,VALUE(REGEXEXTRACT(SUBSTITUTE(TRIM(F1587)," ",""),"-?\d+(\.\d+)?$"))&gt;=-180,VALUE(REGEXEXTRACT(SUBSTITUTE(TRIM(F1587)," ",""),"-?\d+(\.\d+)?$"))&lt;=180),"OK","REVISAR"),"REVISAR"),"")</f>
        <v/>
      </c>
      <c r="O1587">
        <f>IF(A1587&lt;&gt;"","https://direcciones507.github.io/direcciones507/panel.html?codigo="&amp;A1587&amp;"&amp;nombre="&amp;ENCODEURL(B1587)&amp;"&amp;telefono="&amp;SUBSTITUTE(C1587,"-","")&amp;"&amp;referencia="&amp;ENCODEURL(E1587)&amp;"&amp;lat="&amp;IZQUIERDA(SUBSTITUTE(F1587," ",""),ENCONTRAR(",",SUBSTITUTE(F1587," ",""))-1)&amp;"&amp;lng="&amp;DERECHA(SUBSTITUTE(F1587," ",""),LARGO(SUBSTITUTE(F1587," ",""))-ENCONTRAR(",",SUBSTITUTE(F1587," ",""))),"")</f>
        <v/>
      </c>
    </row>
    <row r="1588" ht="15.75" customHeight="1" s="10">
      <c r="A1588" s="8">
        <f>CONCAT("AD507-",TEXT(ROW()-2,"0000"))</f>
        <v/>
      </c>
      <c r="C1588" s="8" t="n"/>
      <c r="F1588" s="8" t="n"/>
      <c r="G1588" s="8">
        <f>IF(F1588&lt;&gt;"",HYPERLINK("https://www.google.com/maps/search/?api=1&amp;query="&amp;SUBSTITUTE(F1588," ",""),"🗺 Google Maps"),"")</f>
        <v/>
      </c>
      <c r="H1588" s="8">
        <f>IF(F1588&lt;&gt;"",HYPERLINK("https://waze.com/ul?ll="&amp;SUBSTITUTE(F1588," ","")&amp;"&amp;navigate=yes","🚗 Waze"),"")</f>
        <v/>
      </c>
      <c r="I1588" s="8">
        <f>IF(F1588&lt;&gt;"",HYPERLINK("https://m.uber.com/ul/?action=setPickup&amp;pickup=my_location&amp;dropoff[latitude]="&amp;LEFT(SUBSTITUTE(F1588," ",""),FIND(",",SUBSTITUTE(F1588," ",""))-1)&amp;"&amp;dropoff[longitude]="&amp;MID(SUBSTITUTE(F1588," ",""),FIND(",",SUBSTITUTE(F1588," ",""))+1,99),"🚕 Uber"),"")</f>
        <v/>
      </c>
      <c r="J1588" s="8">
        <f>IF(F1588&lt;&gt;"","https://api.qrserver.com/v1/create-qr-code/?size=200x200&amp;data="&amp;ENCODEURL("https://www.google.com/maps/search/?api=1&amp;query="&amp;SUBSTITUTE(F1588," ","")),"")</f>
        <v/>
      </c>
      <c r="K1588" s="8">
        <f>IF(C1588&lt;&gt;"",HYPERLINK("https://wa.me/507"&amp;REGEXREPLACE(C1588,"[^0-9]","")&amp;"?text="&amp;ENCODEURL("Ya llegue. Codigo: "&amp;A1588&amp;". Ubicacion: "&amp;"https://www.google.com/maps/search/?api=1&amp;query="&amp;SUBSTITUTE(F1588," ","")),"📲 Avisar al cliente"),"")</f>
        <v/>
      </c>
      <c r="L1588" s="8">
        <f>IF(C1588&lt;&gt;"","https://api.qrserver.com/v1/create-qr-code/?size=200x200&amp;data="&amp;ENCODEURL("https://wa.me/507"&amp;REGEXREPLACE(C1588,"[^0-9]","")&amp;"?text="&amp;ENCODEURL("Ya llegue. Codigo: "&amp;A1588&amp;". Ubicacion: "&amp;"https://www.google.com/maps/search/?api=1&amp;query="&amp;SUBSTITUTE(F1588," ",""))),"")</f>
        <v/>
      </c>
      <c r="M1588" s="8">
        <f>IF(B1588&lt;&gt;"",TODAY(),"")</f>
        <v/>
      </c>
      <c r="N1588" s="8">
        <f>IF(F1588&lt;&gt;"",IFERROR(IF(AND(REGEXMATCH(SUBSTITUTE(TRIM(F1588)," ",""),"^-?\d+(\.\d+)?,-?\d+(\.\d+)?$"),VALUE(REGEXEXTRACT(SUBSTITUTE(TRIM(F1588)," ",""),"^-?\d+(\.\d+)?"))&gt;=-90,VALUE(REGEXEXTRACT(SUBSTITUTE(TRIM(F1588)," ",""),"^-?\d+(\.\d+)?"))&lt;=90,VALUE(REGEXEXTRACT(SUBSTITUTE(TRIM(F1588)," ",""),"-?\d+(\.\d+)?$"))&gt;=-180,VALUE(REGEXEXTRACT(SUBSTITUTE(TRIM(F1588)," ",""),"-?\d+(\.\d+)?$"))&lt;=180),"OK","REVISAR"),"REVISAR"),"")</f>
        <v/>
      </c>
      <c r="O1588">
        <f>IF(A1588&lt;&gt;"","https://direcciones507.github.io/direcciones507/panel.html?codigo="&amp;A1588&amp;"&amp;nombre="&amp;ENCODEURL(B1588)&amp;"&amp;telefono="&amp;SUBSTITUTE(C1588,"-","")&amp;"&amp;referencia="&amp;ENCODEURL(E1588)&amp;"&amp;lat="&amp;IZQUIERDA(SUBSTITUTE(F1588," ",""),ENCONTRAR(",",SUBSTITUTE(F1588," ",""))-1)&amp;"&amp;lng="&amp;DERECHA(SUBSTITUTE(F1588," ",""),LARGO(SUBSTITUTE(F1588," ",""))-ENCONTRAR(",",SUBSTITUTE(F1588," ",""))),"")</f>
        <v/>
      </c>
    </row>
    <row r="1589" ht="15.75" customHeight="1" s="10">
      <c r="A1589" s="8">
        <f>CONCAT("AD507-",TEXT(ROW()-2,"0000"))</f>
        <v/>
      </c>
      <c r="C1589" s="8" t="n"/>
      <c r="F1589" s="8" t="n"/>
      <c r="G1589" s="8">
        <f>IF(F1589&lt;&gt;"",HYPERLINK("https://www.google.com/maps/search/?api=1&amp;query="&amp;SUBSTITUTE(F1589," ",""),"🗺 Google Maps"),"")</f>
        <v/>
      </c>
      <c r="H1589" s="8">
        <f>IF(F1589&lt;&gt;"",HYPERLINK("https://waze.com/ul?ll="&amp;SUBSTITUTE(F1589," ","")&amp;"&amp;navigate=yes","🚗 Waze"),"")</f>
        <v/>
      </c>
      <c r="I1589" s="8">
        <f>IF(F1589&lt;&gt;"",HYPERLINK("https://m.uber.com/ul/?action=setPickup&amp;pickup=my_location&amp;dropoff[latitude]="&amp;LEFT(SUBSTITUTE(F1589," ",""),FIND(",",SUBSTITUTE(F1589," ",""))-1)&amp;"&amp;dropoff[longitude]="&amp;MID(SUBSTITUTE(F1589," ",""),FIND(",",SUBSTITUTE(F1589," ",""))+1,99),"🚕 Uber"),"")</f>
        <v/>
      </c>
      <c r="J1589" s="8">
        <f>IF(F1589&lt;&gt;"","https://api.qrserver.com/v1/create-qr-code/?size=200x200&amp;data="&amp;ENCODEURL("https://www.google.com/maps/search/?api=1&amp;query="&amp;SUBSTITUTE(F1589," ","")),"")</f>
        <v/>
      </c>
      <c r="K1589" s="8">
        <f>IF(C1589&lt;&gt;"",HYPERLINK("https://wa.me/507"&amp;REGEXREPLACE(C1589,"[^0-9]","")&amp;"?text="&amp;ENCODEURL("Ya llegue. Codigo: "&amp;A1589&amp;". Ubicacion: "&amp;"https://www.google.com/maps/search/?api=1&amp;query="&amp;SUBSTITUTE(F1589," ","")),"📲 Avisar al cliente"),"")</f>
        <v/>
      </c>
      <c r="L1589" s="8">
        <f>IF(C1589&lt;&gt;"","https://api.qrserver.com/v1/create-qr-code/?size=200x200&amp;data="&amp;ENCODEURL("https://wa.me/507"&amp;REGEXREPLACE(C1589,"[^0-9]","")&amp;"?text="&amp;ENCODEURL("Ya llegue. Codigo: "&amp;A1589&amp;". Ubicacion: "&amp;"https://www.google.com/maps/search/?api=1&amp;query="&amp;SUBSTITUTE(F1589," ",""))),"")</f>
        <v/>
      </c>
      <c r="M1589" s="8">
        <f>IF(B1589&lt;&gt;"",TODAY(),"")</f>
        <v/>
      </c>
      <c r="N1589" s="8">
        <f>IF(F1589&lt;&gt;"",IFERROR(IF(AND(REGEXMATCH(SUBSTITUTE(TRIM(F1589)," ",""),"^-?\d+(\.\d+)?,-?\d+(\.\d+)?$"),VALUE(REGEXEXTRACT(SUBSTITUTE(TRIM(F1589)," ",""),"^-?\d+(\.\d+)?"))&gt;=-90,VALUE(REGEXEXTRACT(SUBSTITUTE(TRIM(F1589)," ",""),"^-?\d+(\.\d+)?"))&lt;=90,VALUE(REGEXEXTRACT(SUBSTITUTE(TRIM(F1589)," ",""),"-?\d+(\.\d+)?$"))&gt;=-180,VALUE(REGEXEXTRACT(SUBSTITUTE(TRIM(F1589)," ",""),"-?\d+(\.\d+)?$"))&lt;=180),"OK","REVISAR"),"REVISAR"),"")</f>
        <v/>
      </c>
      <c r="O1589">
        <f>IF(A1589&lt;&gt;"","https://direcciones507.github.io/direcciones507/panel.html?codigo="&amp;A1589&amp;"&amp;nombre="&amp;ENCODEURL(B1589)&amp;"&amp;telefono="&amp;SUBSTITUTE(C1589,"-","")&amp;"&amp;referencia="&amp;ENCODEURL(E1589)&amp;"&amp;lat="&amp;IZQUIERDA(SUBSTITUTE(F1589," ",""),ENCONTRAR(",",SUBSTITUTE(F1589," ",""))-1)&amp;"&amp;lng="&amp;DERECHA(SUBSTITUTE(F1589," ",""),LARGO(SUBSTITUTE(F1589," ",""))-ENCONTRAR(",",SUBSTITUTE(F1589," ",""))),"")</f>
        <v/>
      </c>
    </row>
    <row r="1590" ht="15.75" customHeight="1" s="10">
      <c r="A1590" s="8">
        <f>CONCAT("AD507-",TEXT(ROW()-2,"0000"))</f>
        <v/>
      </c>
      <c r="C1590" s="8" t="n"/>
      <c r="F1590" s="8" t="n"/>
      <c r="G1590" s="8">
        <f>IF(F1590&lt;&gt;"",HYPERLINK("https://www.google.com/maps/search/?api=1&amp;query="&amp;SUBSTITUTE(F1590," ",""),"🗺 Google Maps"),"")</f>
        <v/>
      </c>
      <c r="H1590" s="8">
        <f>IF(F1590&lt;&gt;"",HYPERLINK("https://waze.com/ul?ll="&amp;SUBSTITUTE(F1590," ","")&amp;"&amp;navigate=yes","🚗 Waze"),"")</f>
        <v/>
      </c>
      <c r="I1590" s="8">
        <f>IF(F1590&lt;&gt;"",HYPERLINK("https://m.uber.com/ul/?action=setPickup&amp;pickup=my_location&amp;dropoff[latitude]="&amp;LEFT(SUBSTITUTE(F1590," ",""),FIND(",",SUBSTITUTE(F1590," ",""))-1)&amp;"&amp;dropoff[longitude]="&amp;MID(SUBSTITUTE(F1590," ",""),FIND(",",SUBSTITUTE(F1590," ",""))+1,99),"🚕 Uber"),"")</f>
        <v/>
      </c>
      <c r="J1590" s="8">
        <f>IF(F1590&lt;&gt;"","https://api.qrserver.com/v1/create-qr-code/?size=200x200&amp;data="&amp;ENCODEURL("https://www.google.com/maps/search/?api=1&amp;query="&amp;SUBSTITUTE(F1590," ","")),"")</f>
        <v/>
      </c>
      <c r="K1590" s="8">
        <f>IF(C1590&lt;&gt;"",HYPERLINK("https://wa.me/507"&amp;REGEXREPLACE(C1590,"[^0-9]","")&amp;"?text="&amp;ENCODEURL("Ya llegue. Codigo: "&amp;A1590&amp;". Ubicacion: "&amp;"https://www.google.com/maps/search/?api=1&amp;query="&amp;SUBSTITUTE(F1590," ","")),"📲 Avisar al cliente"),"")</f>
        <v/>
      </c>
      <c r="L1590" s="8">
        <f>IF(C1590&lt;&gt;"","https://api.qrserver.com/v1/create-qr-code/?size=200x200&amp;data="&amp;ENCODEURL("https://wa.me/507"&amp;REGEXREPLACE(C1590,"[^0-9]","")&amp;"?text="&amp;ENCODEURL("Ya llegue. Codigo: "&amp;A1590&amp;". Ubicacion: "&amp;"https://www.google.com/maps/search/?api=1&amp;query="&amp;SUBSTITUTE(F1590," ",""))),"")</f>
        <v/>
      </c>
      <c r="M1590" s="8">
        <f>IF(B1590&lt;&gt;"",TODAY(),"")</f>
        <v/>
      </c>
      <c r="N1590" s="8">
        <f>IF(F1590&lt;&gt;"",IFERROR(IF(AND(REGEXMATCH(SUBSTITUTE(TRIM(F1590)," ",""),"^-?\d+(\.\d+)?,-?\d+(\.\d+)?$"),VALUE(REGEXEXTRACT(SUBSTITUTE(TRIM(F1590)," ",""),"^-?\d+(\.\d+)?"))&gt;=-90,VALUE(REGEXEXTRACT(SUBSTITUTE(TRIM(F1590)," ",""),"^-?\d+(\.\d+)?"))&lt;=90,VALUE(REGEXEXTRACT(SUBSTITUTE(TRIM(F1590)," ",""),"-?\d+(\.\d+)?$"))&gt;=-180,VALUE(REGEXEXTRACT(SUBSTITUTE(TRIM(F1590)," ",""),"-?\d+(\.\d+)?$"))&lt;=180),"OK","REVISAR"),"REVISAR"),"")</f>
        <v/>
      </c>
      <c r="O1590">
        <f>IF(A1590&lt;&gt;"","https://direcciones507.github.io/direcciones507/panel.html?codigo="&amp;A1590&amp;"&amp;nombre="&amp;ENCODEURL(B1590)&amp;"&amp;telefono="&amp;SUBSTITUTE(C1590,"-","")&amp;"&amp;referencia="&amp;ENCODEURL(E1590)&amp;"&amp;lat="&amp;IZQUIERDA(SUBSTITUTE(F1590," ",""),ENCONTRAR(",",SUBSTITUTE(F1590," ",""))-1)&amp;"&amp;lng="&amp;DERECHA(SUBSTITUTE(F1590," ",""),LARGO(SUBSTITUTE(F1590," ",""))-ENCONTRAR(",",SUBSTITUTE(F1590," ",""))),"")</f>
        <v/>
      </c>
    </row>
    <row r="1591" ht="15.75" customHeight="1" s="10">
      <c r="A1591" s="8">
        <f>CONCAT("AD507-",TEXT(ROW()-2,"0000"))</f>
        <v/>
      </c>
      <c r="C1591" s="8" t="n"/>
      <c r="F1591" s="8" t="n"/>
      <c r="G1591" s="8">
        <f>IF(F1591&lt;&gt;"",HYPERLINK("https://www.google.com/maps/search/?api=1&amp;query="&amp;SUBSTITUTE(F1591," ",""),"🗺 Google Maps"),"")</f>
        <v/>
      </c>
      <c r="H1591" s="8">
        <f>IF(F1591&lt;&gt;"",HYPERLINK("https://waze.com/ul?ll="&amp;SUBSTITUTE(F1591," ","")&amp;"&amp;navigate=yes","🚗 Waze"),"")</f>
        <v/>
      </c>
      <c r="I1591" s="8">
        <f>IF(F1591&lt;&gt;"",HYPERLINK("https://m.uber.com/ul/?action=setPickup&amp;pickup=my_location&amp;dropoff[latitude]="&amp;LEFT(SUBSTITUTE(F1591," ",""),FIND(",",SUBSTITUTE(F1591," ",""))-1)&amp;"&amp;dropoff[longitude]="&amp;MID(SUBSTITUTE(F1591," ",""),FIND(",",SUBSTITUTE(F1591," ",""))+1,99),"🚕 Uber"),"")</f>
        <v/>
      </c>
      <c r="J1591" s="8">
        <f>IF(F1591&lt;&gt;"","https://api.qrserver.com/v1/create-qr-code/?size=200x200&amp;data="&amp;ENCODEURL("https://www.google.com/maps/search/?api=1&amp;query="&amp;SUBSTITUTE(F1591," ","")),"")</f>
        <v/>
      </c>
      <c r="K1591" s="8">
        <f>IF(C1591&lt;&gt;"",HYPERLINK("https://wa.me/507"&amp;REGEXREPLACE(C1591,"[^0-9]","")&amp;"?text="&amp;ENCODEURL("Ya llegue. Codigo: "&amp;A1591&amp;". Ubicacion: "&amp;"https://www.google.com/maps/search/?api=1&amp;query="&amp;SUBSTITUTE(F1591," ","")),"📲 Avisar al cliente"),"")</f>
        <v/>
      </c>
      <c r="L1591" s="8">
        <f>IF(C1591&lt;&gt;"","https://api.qrserver.com/v1/create-qr-code/?size=200x200&amp;data="&amp;ENCODEURL("https://wa.me/507"&amp;REGEXREPLACE(C1591,"[^0-9]","")&amp;"?text="&amp;ENCODEURL("Ya llegue. Codigo: "&amp;A1591&amp;". Ubicacion: "&amp;"https://www.google.com/maps/search/?api=1&amp;query="&amp;SUBSTITUTE(F1591," ",""))),"")</f>
        <v/>
      </c>
      <c r="M1591" s="8">
        <f>IF(B1591&lt;&gt;"",TODAY(),"")</f>
        <v/>
      </c>
      <c r="N1591" s="8">
        <f>IF(F1591&lt;&gt;"",IFERROR(IF(AND(REGEXMATCH(SUBSTITUTE(TRIM(F1591)," ",""),"^-?\d+(\.\d+)?,-?\d+(\.\d+)?$"),VALUE(REGEXEXTRACT(SUBSTITUTE(TRIM(F1591)," ",""),"^-?\d+(\.\d+)?"))&gt;=-90,VALUE(REGEXEXTRACT(SUBSTITUTE(TRIM(F1591)," ",""),"^-?\d+(\.\d+)?"))&lt;=90,VALUE(REGEXEXTRACT(SUBSTITUTE(TRIM(F1591)," ",""),"-?\d+(\.\d+)?$"))&gt;=-180,VALUE(REGEXEXTRACT(SUBSTITUTE(TRIM(F1591)," ",""),"-?\d+(\.\d+)?$"))&lt;=180),"OK","REVISAR"),"REVISAR"),"")</f>
        <v/>
      </c>
      <c r="O1591">
        <f>IF(A1591&lt;&gt;"","https://direcciones507.github.io/direcciones507/panel.html?codigo="&amp;A1591&amp;"&amp;nombre="&amp;ENCODEURL(B1591)&amp;"&amp;telefono="&amp;SUBSTITUTE(C1591,"-","")&amp;"&amp;referencia="&amp;ENCODEURL(E1591)&amp;"&amp;lat="&amp;IZQUIERDA(SUBSTITUTE(F1591," ",""),ENCONTRAR(",",SUBSTITUTE(F1591," ",""))-1)&amp;"&amp;lng="&amp;DERECHA(SUBSTITUTE(F1591," ",""),LARGO(SUBSTITUTE(F1591," ",""))-ENCONTRAR(",",SUBSTITUTE(F1591," ",""))),"")</f>
        <v/>
      </c>
    </row>
    <row r="1592" ht="15.75" customHeight="1" s="10">
      <c r="A1592" s="8">
        <f>CONCAT("AD507-",TEXT(ROW()-2,"0000"))</f>
        <v/>
      </c>
      <c r="C1592" s="8" t="n"/>
      <c r="F1592" s="8" t="n"/>
      <c r="G1592" s="8">
        <f>IF(F1592&lt;&gt;"",HYPERLINK("https://www.google.com/maps/search/?api=1&amp;query="&amp;SUBSTITUTE(F1592," ",""),"🗺 Google Maps"),"")</f>
        <v/>
      </c>
      <c r="H1592" s="8">
        <f>IF(F1592&lt;&gt;"",HYPERLINK("https://waze.com/ul?ll="&amp;SUBSTITUTE(F1592," ","")&amp;"&amp;navigate=yes","🚗 Waze"),"")</f>
        <v/>
      </c>
      <c r="I1592" s="8">
        <f>IF(F1592&lt;&gt;"",HYPERLINK("https://m.uber.com/ul/?action=setPickup&amp;pickup=my_location&amp;dropoff[latitude]="&amp;LEFT(SUBSTITUTE(F1592," ",""),FIND(",",SUBSTITUTE(F1592," ",""))-1)&amp;"&amp;dropoff[longitude]="&amp;MID(SUBSTITUTE(F1592," ",""),FIND(",",SUBSTITUTE(F1592," ",""))+1,99),"🚕 Uber"),"")</f>
        <v/>
      </c>
      <c r="J1592" s="8">
        <f>IF(F1592&lt;&gt;"","https://api.qrserver.com/v1/create-qr-code/?size=200x200&amp;data="&amp;ENCODEURL("https://www.google.com/maps/search/?api=1&amp;query="&amp;SUBSTITUTE(F1592," ","")),"")</f>
        <v/>
      </c>
      <c r="K1592" s="8">
        <f>IF(C1592&lt;&gt;"",HYPERLINK("https://wa.me/507"&amp;REGEXREPLACE(C1592,"[^0-9]","")&amp;"?text="&amp;ENCODEURL("Ya llegue. Codigo: "&amp;A1592&amp;". Ubicacion: "&amp;"https://www.google.com/maps/search/?api=1&amp;query="&amp;SUBSTITUTE(F1592," ","")),"📲 Avisar al cliente"),"")</f>
        <v/>
      </c>
      <c r="L1592" s="8">
        <f>IF(C1592&lt;&gt;"","https://api.qrserver.com/v1/create-qr-code/?size=200x200&amp;data="&amp;ENCODEURL("https://wa.me/507"&amp;REGEXREPLACE(C1592,"[^0-9]","")&amp;"?text="&amp;ENCODEURL("Ya llegue. Codigo: "&amp;A1592&amp;". Ubicacion: "&amp;"https://www.google.com/maps/search/?api=1&amp;query="&amp;SUBSTITUTE(F1592," ",""))),"")</f>
        <v/>
      </c>
      <c r="M1592" s="8">
        <f>IF(B1592&lt;&gt;"",TODAY(),"")</f>
        <v/>
      </c>
      <c r="N1592" s="8">
        <f>IF(F1592&lt;&gt;"",IFERROR(IF(AND(REGEXMATCH(SUBSTITUTE(TRIM(F1592)," ",""),"^-?\d+(\.\d+)?,-?\d+(\.\d+)?$"),VALUE(REGEXEXTRACT(SUBSTITUTE(TRIM(F1592)," ",""),"^-?\d+(\.\d+)?"))&gt;=-90,VALUE(REGEXEXTRACT(SUBSTITUTE(TRIM(F1592)," ",""),"^-?\d+(\.\d+)?"))&lt;=90,VALUE(REGEXEXTRACT(SUBSTITUTE(TRIM(F1592)," ",""),"-?\d+(\.\d+)?$"))&gt;=-180,VALUE(REGEXEXTRACT(SUBSTITUTE(TRIM(F1592)," ",""),"-?\d+(\.\d+)?$"))&lt;=180),"OK","REVISAR"),"REVISAR"),"")</f>
        <v/>
      </c>
      <c r="O1592">
        <f>IF(A1592&lt;&gt;"","https://direcciones507.github.io/direcciones507/panel.html?codigo="&amp;A1592&amp;"&amp;nombre="&amp;ENCODEURL(B1592)&amp;"&amp;telefono="&amp;SUBSTITUTE(C1592,"-","")&amp;"&amp;referencia="&amp;ENCODEURL(E1592)&amp;"&amp;lat="&amp;IZQUIERDA(SUBSTITUTE(F1592," ",""),ENCONTRAR(",",SUBSTITUTE(F1592," ",""))-1)&amp;"&amp;lng="&amp;DERECHA(SUBSTITUTE(F1592," ",""),LARGO(SUBSTITUTE(F1592," ",""))-ENCONTRAR(",",SUBSTITUTE(F1592," ",""))),"")</f>
        <v/>
      </c>
    </row>
    <row r="1593" ht="15.75" customHeight="1" s="10">
      <c r="A1593" s="8">
        <f>CONCAT("AD507-",TEXT(ROW()-2,"0000"))</f>
        <v/>
      </c>
      <c r="C1593" s="8" t="n"/>
      <c r="F1593" s="8" t="n"/>
      <c r="G1593" s="8">
        <f>IF(F1593&lt;&gt;"",HYPERLINK("https://www.google.com/maps/search/?api=1&amp;query="&amp;SUBSTITUTE(F1593," ",""),"🗺 Google Maps"),"")</f>
        <v/>
      </c>
      <c r="H1593" s="8">
        <f>IF(F1593&lt;&gt;"",HYPERLINK("https://waze.com/ul?ll="&amp;SUBSTITUTE(F1593," ","")&amp;"&amp;navigate=yes","🚗 Waze"),"")</f>
        <v/>
      </c>
      <c r="I1593" s="8">
        <f>IF(F1593&lt;&gt;"",HYPERLINK("https://m.uber.com/ul/?action=setPickup&amp;pickup=my_location&amp;dropoff[latitude]="&amp;LEFT(SUBSTITUTE(F1593," ",""),FIND(",",SUBSTITUTE(F1593," ",""))-1)&amp;"&amp;dropoff[longitude]="&amp;MID(SUBSTITUTE(F1593," ",""),FIND(",",SUBSTITUTE(F1593," ",""))+1,99),"🚕 Uber"),"")</f>
        <v/>
      </c>
      <c r="J1593" s="8">
        <f>IF(F1593&lt;&gt;"","https://api.qrserver.com/v1/create-qr-code/?size=200x200&amp;data="&amp;ENCODEURL("https://www.google.com/maps/search/?api=1&amp;query="&amp;SUBSTITUTE(F1593," ","")),"")</f>
        <v/>
      </c>
      <c r="K1593" s="8">
        <f>IF(C1593&lt;&gt;"",HYPERLINK("https://wa.me/507"&amp;REGEXREPLACE(C1593,"[^0-9]","")&amp;"?text="&amp;ENCODEURL("Ya llegue. Codigo: "&amp;A1593&amp;". Ubicacion: "&amp;"https://www.google.com/maps/search/?api=1&amp;query="&amp;SUBSTITUTE(F1593," ","")),"📲 Avisar al cliente"),"")</f>
        <v/>
      </c>
      <c r="L1593" s="8">
        <f>IF(C1593&lt;&gt;"","https://api.qrserver.com/v1/create-qr-code/?size=200x200&amp;data="&amp;ENCODEURL("https://wa.me/507"&amp;REGEXREPLACE(C1593,"[^0-9]","")&amp;"?text="&amp;ENCODEURL("Ya llegue. Codigo: "&amp;A1593&amp;". Ubicacion: "&amp;"https://www.google.com/maps/search/?api=1&amp;query="&amp;SUBSTITUTE(F1593," ",""))),"")</f>
        <v/>
      </c>
      <c r="M1593" s="8">
        <f>IF(B1593&lt;&gt;"",TODAY(),"")</f>
        <v/>
      </c>
      <c r="N1593" s="8">
        <f>IF(F1593&lt;&gt;"",IFERROR(IF(AND(REGEXMATCH(SUBSTITUTE(TRIM(F1593)," ",""),"^-?\d+(\.\d+)?,-?\d+(\.\d+)?$"),VALUE(REGEXEXTRACT(SUBSTITUTE(TRIM(F1593)," ",""),"^-?\d+(\.\d+)?"))&gt;=-90,VALUE(REGEXEXTRACT(SUBSTITUTE(TRIM(F1593)," ",""),"^-?\d+(\.\d+)?"))&lt;=90,VALUE(REGEXEXTRACT(SUBSTITUTE(TRIM(F1593)," ",""),"-?\d+(\.\d+)?$"))&gt;=-180,VALUE(REGEXEXTRACT(SUBSTITUTE(TRIM(F1593)," ",""),"-?\d+(\.\d+)?$"))&lt;=180),"OK","REVISAR"),"REVISAR"),"")</f>
        <v/>
      </c>
      <c r="O1593">
        <f>IF(A1593&lt;&gt;"","https://direcciones507.github.io/direcciones507/panel.html?codigo="&amp;A1593&amp;"&amp;nombre="&amp;ENCODEURL(B1593)&amp;"&amp;telefono="&amp;SUBSTITUTE(C1593,"-","")&amp;"&amp;referencia="&amp;ENCODEURL(E1593)&amp;"&amp;lat="&amp;IZQUIERDA(SUBSTITUTE(F1593," ",""),ENCONTRAR(",",SUBSTITUTE(F1593," ",""))-1)&amp;"&amp;lng="&amp;DERECHA(SUBSTITUTE(F1593," ",""),LARGO(SUBSTITUTE(F1593," ",""))-ENCONTRAR(",",SUBSTITUTE(F1593," ",""))),"")</f>
        <v/>
      </c>
    </row>
    <row r="1594" ht="15.75" customHeight="1" s="10">
      <c r="A1594" s="8">
        <f>CONCAT("AD507-",TEXT(ROW()-2,"0000"))</f>
        <v/>
      </c>
      <c r="C1594" s="8" t="n"/>
      <c r="F1594" s="8" t="n"/>
      <c r="G1594" s="8">
        <f>IF(F1594&lt;&gt;"",HYPERLINK("https://www.google.com/maps/search/?api=1&amp;query="&amp;SUBSTITUTE(F1594," ",""),"🗺 Google Maps"),"")</f>
        <v/>
      </c>
      <c r="H1594" s="8">
        <f>IF(F1594&lt;&gt;"",HYPERLINK("https://waze.com/ul?ll="&amp;SUBSTITUTE(F1594," ","")&amp;"&amp;navigate=yes","🚗 Waze"),"")</f>
        <v/>
      </c>
      <c r="I1594" s="8">
        <f>IF(F1594&lt;&gt;"",HYPERLINK("https://m.uber.com/ul/?action=setPickup&amp;pickup=my_location&amp;dropoff[latitude]="&amp;LEFT(SUBSTITUTE(F1594," ",""),FIND(",",SUBSTITUTE(F1594," ",""))-1)&amp;"&amp;dropoff[longitude]="&amp;MID(SUBSTITUTE(F1594," ",""),FIND(",",SUBSTITUTE(F1594," ",""))+1,99),"🚕 Uber"),"")</f>
        <v/>
      </c>
      <c r="J1594" s="8">
        <f>IF(F1594&lt;&gt;"","https://api.qrserver.com/v1/create-qr-code/?size=200x200&amp;data="&amp;ENCODEURL("https://www.google.com/maps/search/?api=1&amp;query="&amp;SUBSTITUTE(F1594," ","")),"")</f>
        <v/>
      </c>
      <c r="K1594" s="8">
        <f>IF(C1594&lt;&gt;"",HYPERLINK("https://wa.me/507"&amp;REGEXREPLACE(C1594,"[^0-9]","")&amp;"?text="&amp;ENCODEURL("Ya llegue. Codigo: "&amp;A1594&amp;". Ubicacion: "&amp;"https://www.google.com/maps/search/?api=1&amp;query="&amp;SUBSTITUTE(F1594," ","")),"📲 Avisar al cliente"),"")</f>
        <v/>
      </c>
      <c r="L1594" s="8">
        <f>IF(C1594&lt;&gt;"","https://api.qrserver.com/v1/create-qr-code/?size=200x200&amp;data="&amp;ENCODEURL("https://wa.me/507"&amp;REGEXREPLACE(C1594,"[^0-9]","")&amp;"?text="&amp;ENCODEURL("Ya llegue. Codigo: "&amp;A1594&amp;". Ubicacion: "&amp;"https://www.google.com/maps/search/?api=1&amp;query="&amp;SUBSTITUTE(F1594," ",""))),"")</f>
        <v/>
      </c>
      <c r="M1594" s="8">
        <f>IF(B1594&lt;&gt;"",TODAY(),"")</f>
        <v/>
      </c>
      <c r="N1594" s="8">
        <f>IF(F1594&lt;&gt;"",IFERROR(IF(AND(REGEXMATCH(SUBSTITUTE(TRIM(F1594)," ",""),"^-?\d+(\.\d+)?,-?\d+(\.\d+)?$"),VALUE(REGEXEXTRACT(SUBSTITUTE(TRIM(F1594)," ",""),"^-?\d+(\.\d+)?"))&gt;=-90,VALUE(REGEXEXTRACT(SUBSTITUTE(TRIM(F1594)," ",""),"^-?\d+(\.\d+)?"))&lt;=90,VALUE(REGEXEXTRACT(SUBSTITUTE(TRIM(F1594)," ",""),"-?\d+(\.\d+)?$"))&gt;=-180,VALUE(REGEXEXTRACT(SUBSTITUTE(TRIM(F1594)," ",""),"-?\d+(\.\d+)?$"))&lt;=180),"OK","REVISAR"),"REVISAR"),"")</f>
        <v/>
      </c>
      <c r="O1594">
        <f>IF(A1594&lt;&gt;"","https://direcciones507.github.io/direcciones507/panel.html?codigo="&amp;A1594&amp;"&amp;nombre="&amp;ENCODEURL(B1594)&amp;"&amp;telefono="&amp;SUBSTITUTE(C1594,"-","")&amp;"&amp;referencia="&amp;ENCODEURL(E1594)&amp;"&amp;lat="&amp;IZQUIERDA(SUBSTITUTE(F1594," ",""),ENCONTRAR(",",SUBSTITUTE(F1594," ",""))-1)&amp;"&amp;lng="&amp;DERECHA(SUBSTITUTE(F1594," ",""),LARGO(SUBSTITUTE(F1594," ",""))-ENCONTRAR(",",SUBSTITUTE(F1594," ",""))),"")</f>
        <v/>
      </c>
    </row>
    <row r="1595" ht="15.75" customHeight="1" s="10">
      <c r="A1595" s="8">
        <f>CONCAT("AD507-",TEXT(ROW()-2,"0000"))</f>
        <v/>
      </c>
      <c r="C1595" s="8" t="n"/>
      <c r="F1595" s="8" t="n"/>
      <c r="G1595" s="8">
        <f>IF(F1595&lt;&gt;"",HYPERLINK("https://www.google.com/maps/search/?api=1&amp;query="&amp;SUBSTITUTE(F1595," ",""),"🗺 Google Maps"),"")</f>
        <v/>
      </c>
      <c r="H1595" s="8">
        <f>IF(F1595&lt;&gt;"",HYPERLINK("https://waze.com/ul?ll="&amp;SUBSTITUTE(F1595," ","")&amp;"&amp;navigate=yes","🚗 Waze"),"")</f>
        <v/>
      </c>
      <c r="I1595" s="8">
        <f>IF(F1595&lt;&gt;"",HYPERLINK("https://m.uber.com/ul/?action=setPickup&amp;pickup=my_location&amp;dropoff[latitude]="&amp;LEFT(SUBSTITUTE(F1595," ",""),FIND(",",SUBSTITUTE(F1595," ",""))-1)&amp;"&amp;dropoff[longitude]="&amp;MID(SUBSTITUTE(F1595," ",""),FIND(",",SUBSTITUTE(F1595," ",""))+1,99),"🚕 Uber"),"")</f>
        <v/>
      </c>
      <c r="J1595" s="8">
        <f>IF(F1595&lt;&gt;"","https://api.qrserver.com/v1/create-qr-code/?size=200x200&amp;data="&amp;ENCODEURL("https://www.google.com/maps/search/?api=1&amp;query="&amp;SUBSTITUTE(F1595," ","")),"")</f>
        <v/>
      </c>
      <c r="K1595" s="8">
        <f>IF(C1595&lt;&gt;"",HYPERLINK("https://wa.me/507"&amp;REGEXREPLACE(C1595,"[^0-9]","")&amp;"?text="&amp;ENCODEURL("Ya llegue. Codigo: "&amp;A1595&amp;". Ubicacion: "&amp;"https://www.google.com/maps/search/?api=1&amp;query="&amp;SUBSTITUTE(F1595," ","")),"📲 Avisar al cliente"),"")</f>
        <v/>
      </c>
      <c r="L1595" s="8">
        <f>IF(C1595&lt;&gt;"","https://api.qrserver.com/v1/create-qr-code/?size=200x200&amp;data="&amp;ENCODEURL("https://wa.me/507"&amp;REGEXREPLACE(C1595,"[^0-9]","")&amp;"?text="&amp;ENCODEURL("Ya llegue. Codigo: "&amp;A1595&amp;". Ubicacion: "&amp;"https://www.google.com/maps/search/?api=1&amp;query="&amp;SUBSTITUTE(F1595," ",""))),"")</f>
        <v/>
      </c>
      <c r="M1595" s="8">
        <f>IF(B1595&lt;&gt;"",TODAY(),"")</f>
        <v/>
      </c>
      <c r="N1595" s="8">
        <f>IF(F1595&lt;&gt;"",IFERROR(IF(AND(REGEXMATCH(SUBSTITUTE(TRIM(F1595)," ",""),"^-?\d+(\.\d+)?,-?\d+(\.\d+)?$"),VALUE(REGEXEXTRACT(SUBSTITUTE(TRIM(F1595)," ",""),"^-?\d+(\.\d+)?"))&gt;=-90,VALUE(REGEXEXTRACT(SUBSTITUTE(TRIM(F1595)," ",""),"^-?\d+(\.\d+)?"))&lt;=90,VALUE(REGEXEXTRACT(SUBSTITUTE(TRIM(F1595)," ",""),"-?\d+(\.\d+)?$"))&gt;=-180,VALUE(REGEXEXTRACT(SUBSTITUTE(TRIM(F1595)," ",""),"-?\d+(\.\d+)?$"))&lt;=180),"OK","REVISAR"),"REVISAR"),"")</f>
        <v/>
      </c>
      <c r="O1595">
        <f>IF(A1595&lt;&gt;"","https://direcciones507.github.io/direcciones507/panel.html?codigo="&amp;A1595&amp;"&amp;nombre="&amp;ENCODEURL(B1595)&amp;"&amp;telefono="&amp;SUBSTITUTE(C1595,"-","")&amp;"&amp;referencia="&amp;ENCODEURL(E1595)&amp;"&amp;lat="&amp;IZQUIERDA(SUBSTITUTE(F1595," ",""),ENCONTRAR(",",SUBSTITUTE(F1595," ",""))-1)&amp;"&amp;lng="&amp;DERECHA(SUBSTITUTE(F1595," ",""),LARGO(SUBSTITUTE(F1595," ",""))-ENCONTRAR(",",SUBSTITUTE(F1595," ",""))),"")</f>
        <v/>
      </c>
    </row>
    <row r="1596" ht="15.75" customHeight="1" s="10">
      <c r="A1596" s="8">
        <f>CONCAT("AD507-",TEXT(ROW()-2,"0000"))</f>
        <v/>
      </c>
      <c r="C1596" s="8" t="n"/>
      <c r="F1596" s="8" t="n"/>
      <c r="G1596" s="8">
        <f>IF(F1596&lt;&gt;"",HYPERLINK("https://www.google.com/maps/search/?api=1&amp;query="&amp;SUBSTITUTE(F1596," ",""),"🗺 Google Maps"),"")</f>
        <v/>
      </c>
      <c r="H1596" s="8">
        <f>IF(F1596&lt;&gt;"",HYPERLINK("https://waze.com/ul?ll="&amp;SUBSTITUTE(F1596," ","")&amp;"&amp;navigate=yes","🚗 Waze"),"")</f>
        <v/>
      </c>
      <c r="I1596" s="8">
        <f>IF(F1596&lt;&gt;"",HYPERLINK("https://m.uber.com/ul/?action=setPickup&amp;pickup=my_location&amp;dropoff[latitude]="&amp;LEFT(SUBSTITUTE(F1596," ",""),FIND(",",SUBSTITUTE(F1596," ",""))-1)&amp;"&amp;dropoff[longitude]="&amp;MID(SUBSTITUTE(F1596," ",""),FIND(",",SUBSTITUTE(F1596," ",""))+1,99),"🚕 Uber"),"")</f>
        <v/>
      </c>
      <c r="J1596" s="8">
        <f>IF(F1596&lt;&gt;"","https://api.qrserver.com/v1/create-qr-code/?size=200x200&amp;data="&amp;ENCODEURL("https://www.google.com/maps/search/?api=1&amp;query="&amp;SUBSTITUTE(F1596," ","")),"")</f>
        <v/>
      </c>
      <c r="K1596" s="8">
        <f>IF(C1596&lt;&gt;"",HYPERLINK("https://wa.me/507"&amp;REGEXREPLACE(C1596,"[^0-9]","")&amp;"?text="&amp;ENCODEURL("Ya llegue. Codigo: "&amp;A1596&amp;". Ubicacion: "&amp;"https://www.google.com/maps/search/?api=1&amp;query="&amp;SUBSTITUTE(F1596," ","")),"📲 Avisar al cliente"),"")</f>
        <v/>
      </c>
      <c r="L1596" s="8">
        <f>IF(C1596&lt;&gt;"","https://api.qrserver.com/v1/create-qr-code/?size=200x200&amp;data="&amp;ENCODEURL("https://wa.me/507"&amp;REGEXREPLACE(C1596,"[^0-9]","")&amp;"?text="&amp;ENCODEURL("Ya llegue. Codigo: "&amp;A1596&amp;". Ubicacion: "&amp;"https://www.google.com/maps/search/?api=1&amp;query="&amp;SUBSTITUTE(F1596," ",""))),"")</f>
        <v/>
      </c>
      <c r="M1596" s="8">
        <f>IF(B1596&lt;&gt;"",TODAY(),"")</f>
        <v/>
      </c>
      <c r="N1596" s="8">
        <f>IF(F1596&lt;&gt;"",IFERROR(IF(AND(REGEXMATCH(SUBSTITUTE(TRIM(F1596)," ",""),"^-?\d+(\.\d+)?,-?\d+(\.\d+)?$"),VALUE(REGEXEXTRACT(SUBSTITUTE(TRIM(F1596)," ",""),"^-?\d+(\.\d+)?"))&gt;=-90,VALUE(REGEXEXTRACT(SUBSTITUTE(TRIM(F1596)," ",""),"^-?\d+(\.\d+)?"))&lt;=90,VALUE(REGEXEXTRACT(SUBSTITUTE(TRIM(F1596)," ",""),"-?\d+(\.\d+)?$"))&gt;=-180,VALUE(REGEXEXTRACT(SUBSTITUTE(TRIM(F1596)," ",""),"-?\d+(\.\d+)?$"))&lt;=180),"OK","REVISAR"),"REVISAR"),"")</f>
        <v/>
      </c>
      <c r="O1596">
        <f>IF(A1596&lt;&gt;"","https://direcciones507.github.io/direcciones507/panel.html?codigo="&amp;A1596&amp;"&amp;nombre="&amp;ENCODEURL(B1596)&amp;"&amp;telefono="&amp;SUBSTITUTE(C1596,"-","")&amp;"&amp;referencia="&amp;ENCODEURL(E1596)&amp;"&amp;lat="&amp;IZQUIERDA(SUBSTITUTE(F1596," ",""),ENCONTRAR(",",SUBSTITUTE(F1596," ",""))-1)&amp;"&amp;lng="&amp;DERECHA(SUBSTITUTE(F1596," ",""),LARGO(SUBSTITUTE(F1596," ",""))-ENCONTRAR(",",SUBSTITUTE(F1596," ",""))),"")</f>
        <v/>
      </c>
    </row>
    <row r="1597" ht="15.75" customHeight="1" s="10">
      <c r="A1597" s="8">
        <f>CONCAT("AD507-",TEXT(ROW()-2,"0000"))</f>
        <v/>
      </c>
      <c r="C1597" s="8" t="n"/>
      <c r="F1597" s="8" t="n"/>
      <c r="G1597" s="8">
        <f>IF(F1597&lt;&gt;"",HYPERLINK("https://www.google.com/maps/search/?api=1&amp;query="&amp;SUBSTITUTE(F1597," ",""),"🗺 Google Maps"),"")</f>
        <v/>
      </c>
      <c r="H1597" s="8">
        <f>IF(F1597&lt;&gt;"",HYPERLINK("https://waze.com/ul?ll="&amp;SUBSTITUTE(F1597," ","")&amp;"&amp;navigate=yes","🚗 Waze"),"")</f>
        <v/>
      </c>
      <c r="I1597" s="8">
        <f>IF(F1597&lt;&gt;"",HYPERLINK("https://m.uber.com/ul/?action=setPickup&amp;pickup=my_location&amp;dropoff[latitude]="&amp;LEFT(SUBSTITUTE(F1597," ",""),FIND(",",SUBSTITUTE(F1597," ",""))-1)&amp;"&amp;dropoff[longitude]="&amp;MID(SUBSTITUTE(F1597," ",""),FIND(",",SUBSTITUTE(F1597," ",""))+1,99),"🚕 Uber"),"")</f>
        <v/>
      </c>
      <c r="J1597" s="8">
        <f>IF(F1597&lt;&gt;"","https://api.qrserver.com/v1/create-qr-code/?size=200x200&amp;data="&amp;ENCODEURL("https://www.google.com/maps/search/?api=1&amp;query="&amp;SUBSTITUTE(F1597," ","")),"")</f>
        <v/>
      </c>
      <c r="K1597" s="8">
        <f>IF(C1597&lt;&gt;"",HYPERLINK("https://wa.me/507"&amp;REGEXREPLACE(C1597,"[^0-9]","")&amp;"?text="&amp;ENCODEURL("Ya llegue. Codigo: "&amp;A1597&amp;". Ubicacion: "&amp;"https://www.google.com/maps/search/?api=1&amp;query="&amp;SUBSTITUTE(F1597," ","")),"📲 Avisar al cliente"),"")</f>
        <v/>
      </c>
      <c r="L1597" s="8">
        <f>IF(C1597&lt;&gt;"","https://api.qrserver.com/v1/create-qr-code/?size=200x200&amp;data="&amp;ENCODEURL("https://wa.me/507"&amp;REGEXREPLACE(C1597,"[^0-9]","")&amp;"?text="&amp;ENCODEURL("Ya llegue. Codigo: "&amp;A1597&amp;". Ubicacion: "&amp;"https://www.google.com/maps/search/?api=1&amp;query="&amp;SUBSTITUTE(F1597," ",""))),"")</f>
        <v/>
      </c>
      <c r="M1597" s="8">
        <f>IF(B1597&lt;&gt;"",TODAY(),"")</f>
        <v/>
      </c>
      <c r="N1597" s="8">
        <f>IF(F1597&lt;&gt;"",IFERROR(IF(AND(REGEXMATCH(SUBSTITUTE(TRIM(F1597)," ",""),"^-?\d+(\.\d+)?,-?\d+(\.\d+)?$"),VALUE(REGEXEXTRACT(SUBSTITUTE(TRIM(F1597)," ",""),"^-?\d+(\.\d+)?"))&gt;=-90,VALUE(REGEXEXTRACT(SUBSTITUTE(TRIM(F1597)," ",""),"^-?\d+(\.\d+)?"))&lt;=90,VALUE(REGEXEXTRACT(SUBSTITUTE(TRIM(F1597)," ",""),"-?\d+(\.\d+)?$"))&gt;=-180,VALUE(REGEXEXTRACT(SUBSTITUTE(TRIM(F1597)," ",""),"-?\d+(\.\d+)?$"))&lt;=180),"OK","REVISAR"),"REVISAR"),"")</f>
        <v/>
      </c>
      <c r="O1597">
        <f>IF(A1597&lt;&gt;"","https://direcciones507.github.io/direcciones507/panel.html?codigo="&amp;A1597&amp;"&amp;nombre="&amp;ENCODEURL(B1597)&amp;"&amp;telefono="&amp;SUBSTITUTE(C1597,"-","")&amp;"&amp;referencia="&amp;ENCODEURL(E1597)&amp;"&amp;lat="&amp;IZQUIERDA(SUBSTITUTE(F1597," ",""),ENCONTRAR(",",SUBSTITUTE(F1597," ",""))-1)&amp;"&amp;lng="&amp;DERECHA(SUBSTITUTE(F1597," ",""),LARGO(SUBSTITUTE(F1597," ",""))-ENCONTRAR(",",SUBSTITUTE(F1597," ",""))),"")</f>
        <v/>
      </c>
    </row>
    <row r="1598" ht="15.75" customHeight="1" s="10">
      <c r="A1598" s="8">
        <f>CONCAT("AD507-",TEXT(ROW()-2,"0000"))</f>
        <v/>
      </c>
      <c r="C1598" s="8" t="n"/>
      <c r="F1598" s="8" t="n"/>
      <c r="G1598" s="8">
        <f>IF(F1598&lt;&gt;"",HYPERLINK("https://www.google.com/maps/search/?api=1&amp;query="&amp;SUBSTITUTE(F1598," ",""),"🗺 Google Maps"),"")</f>
        <v/>
      </c>
      <c r="H1598" s="8">
        <f>IF(F1598&lt;&gt;"",HYPERLINK("https://waze.com/ul?ll="&amp;SUBSTITUTE(F1598," ","")&amp;"&amp;navigate=yes","🚗 Waze"),"")</f>
        <v/>
      </c>
      <c r="I1598" s="8">
        <f>IF(F1598&lt;&gt;"",HYPERLINK("https://m.uber.com/ul/?action=setPickup&amp;pickup=my_location&amp;dropoff[latitude]="&amp;LEFT(SUBSTITUTE(F1598," ",""),FIND(",",SUBSTITUTE(F1598," ",""))-1)&amp;"&amp;dropoff[longitude]="&amp;MID(SUBSTITUTE(F1598," ",""),FIND(",",SUBSTITUTE(F1598," ",""))+1,99),"🚕 Uber"),"")</f>
        <v/>
      </c>
      <c r="J1598" s="8">
        <f>IF(F1598&lt;&gt;"","https://api.qrserver.com/v1/create-qr-code/?size=200x200&amp;data="&amp;ENCODEURL("https://www.google.com/maps/search/?api=1&amp;query="&amp;SUBSTITUTE(F1598," ","")),"")</f>
        <v/>
      </c>
      <c r="K1598" s="8">
        <f>IF(C1598&lt;&gt;"",HYPERLINK("https://wa.me/507"&amp;REGEXREPLACE(C1598,"[^0-9]","")&amp;"?text="&amp;ENCODEURL("Ya llegue. Codigo: "&amp;A1598&amp;". Ubicacion: "&amp;"https://www.google.com/maps/search/?api=1&amp;query="&amp;SUBSTITUTE(F1598," ","")),"📲 Avisar al cliente"),"")</f>
        <v/>
      </c>
      <c r="L1598" s="8">
        <f>IF(C1598&lt;&gt;"","https://api.qrserver.com/v1/create-qr-code/?size=200x200&amp;data="&amp;ENCODEURL("https://wa.me/507"&amp;REGEXREPLACE(C1598,"[^0-9]","")&amp;"?text="&amp;ENCODEURL("Ya llegue. Codigo: "&amp;A1598&amp;". Ubicacion: "&amp;"https://www.google.com/maps/search/?api=1&amp;query="&amp;SUBSTITUTE(F1598," ",""))),"")</f>
        <v/>
      </c>
      <c r="M1598" s="8">
        <f>IF(B1598&lt;&gt;"",TODAY(),"")</f>
        <v/>
      </c>
      <c r="N1598" s="8">
        <f>IF(F1598&lt;&gt;"",IFERROR(IF(AND(REGEXMATCH(SUBSTITUTE(TRIM(F1598)," ",""),"^-?\d+(\.\d+)?,-?\d+(\.\d+)?$"),VALUE(REGEXEXTRACT(SUBSTITUTE(TRIM(F1598)," ",""),"^-?\d+(\.\d+)?"))&gt;=-90,VALUE(REGEXEXTRACT(SUBSTITUTE(TRIM(F1598)," ",""),"^-?\d+(\.\d+)?"))&lt;=90,VALUE(REGEXEXTRACT(SUBSTITUTE(TRIM(F1598)," ",""),"-?\d+(\.\d+)?$"))&gt;=-180,VALUE(REGEXEXTRACT(SUBSTITUTE(TRIM(F1598)," ",""),"-?\d+(\.\d+)?$"))&lt;=180),"OK","REVISAR"),"REVISAR"),"")</f>
        <v/>
      </c>
      <c r="O1598">
        <f>IF(A1598&lt;&gt;"","https://direcciones507.github.io/direcciones507/panel.html?codigo="&amp;A1598&amp;"&amp;nombre="&amp;ENCODEURL(B1598)&amp;"&amp;telefono="&amp;SUBSTITUTE(C1598,"-","")&amp;"&amp;referencia="&amp;ENCODEURL(E1598)&amp;"&amp;lat="&amp;IZQUIERDA(SUBSTITUTE(F1598," ",""),ENCONTRAR(",",SUBSTITUTE(F1598," ",""))-1)&amp;"&amp;lng="&amp;DERECHA(SUBSTITUTE(F1598," ",""),LARGO(SUBSTITUTE(F1598," ",""))-ENCONTRAR(",",SUBSTITUTE(F1598," ",""))),"")</f>
        <v/>
      </c>
    </row>
    <row r="1599" ht="15.75" customHeight="1" s="10">
      <c r="A1599" s="8">
        <f>CONCAT("AD507-",TEXT(ROW()-2,"0000"))</f>
        <v/>
      </c>
      <c r="C1599" s="8" t="n"/>
      <c r="F1599" s="8" t="n"/>
      <c r="G1599" s="8">
        <f>IF(F1599&lt;&gt;"",HYPERLINK("https://www.google.com/maps/search/?api=1&amp;query="&amp;SUBSTITUTE(F1599," ",""),"🗺 Google Maps"),"")</f>
        <v/>
      </c>
      <c r="H1599" s="8">
        <f>IF(F1599&lt;&gt;"",HYPERLINK("https://waze.com/ul?ll="&amp;SUBSTITUTE(F1599," ","")&amp;"&amp;navigate=yes","🚗 Waze"),"")</f>
        <v/>
      </c>
      <c r="I1599" s="8">
        <f>IF(F1599&lt;&gt;"",HYPERLINK("https://m.uber.com/ul/?action=setPickup&amp;pickup=my_location&amp;dropoff[latitude]="&amp;LEFT(SUBSTITUTE(F1599," ",""),FIND(",",SUBSTITUTE(F1599," ",""))-1)&amp;"&amp;dropoff[longitude]="&amp;MID(SUBSTITUTE(F1599," ",""),FIND(",",SUBSTITUTE(F1599," ",""))+1,99),"🚕 Uber"),"")</f>
        <v/>
      </c>
      <c r="J1599" s="8">
        <f>IF(F1599&lt;&gt;"","https://api.qrserver.com/v1/create-qr-code/?size=200x200&amp;data="&amp;ENCODEURL("https://www.google.com/maps/search/?api=1&amp;query="&amp;SUBSTITUTE(F1599," ","")),"")</f>
        <v/>
      </c>
      <c r="K1599" s="8">
        <f>IF(C1599&lt;&gt;"",HYPERLINK("https://wa.me/507"&amp;REGEXREPLACE(C1599,"[^0-9]","")&amp;"?text="&amp;ENCODEURL("Ya llegue. Codigo: "&amp;A1599&amp;". Ubicacion: "&amp;"https://www.google.com/maps/search/?api=1&amp;query="&amp;SUBSTITUTE(F1599," ","")),"📲 Avisar al cliente"),"")</f>
        <v/>
      </c>
      <c r="L1599" s="8">
        <f>IF(C1599&lt;&gt;"","https://api.qrserver.com/v1/create-qr-code/?size=200x200&amp;data="&amp;ENCODEURL("https://wa.me/507"&amp;REGEXREPLACE(C1599,"[^0-9]","")&amp;"?text="&amp;ENCODEURL("Ya llegue. Codigo: "&amp;A1599&amp;". Ubicacion: "&amp;"https://www.google.com/maps/search/?api=1&amp;query="&amp;SUBSTITUTE(F1599," ",""))),"")</f>
        <v/>
      </c>
      <c r="M1599" s="8">
        <f>IF(B1599&lt;&gt;"",TODAY(),"")</f>
        <v/>
      </c>
      <c r="N1599" s="8">
        <f>IF(F1599&lt;&gt;"",IFERROR(IF(AND(REGEXMATCH(SUBSTITUTE(TRIM(F1599)," ",""),"^-?\d+(\.\d+)?,-?\d+(\.\d+)?$"),VALUE(REGEXEXTRACT(SUBSTITUTE(TRIM(F1599)," ",""),"^-?\d+(\.\d+)?"))&gt;=-90,VALUE(REGEXEXTRACT(SUBSTITUTE(TRIM(F1599)," ",""),"^-?\d+(\.\d+)?"))&lt;=90,VALUE(REGEXEXTRACT(SUBSTITUTE(TRIM(F1599)," ",""),"-?\d+(\.\d+)?$"))&gt;=-180,VALUE(REGEXEXTRACT(SUBSTITUTE(TRIM(F1599)," ",""),"-?\d+(\.\d+)?$"))&lt;=180),"OK","REVISAR"),"REVISAR"),"")</f>
        <v/>
      </c>
      <c r="O1599">
        <f>IF(A1599&lt;&gt;"","https://direcciones507.github.io/direcciones507/panel.html?codigo="&amp;A1599&amp;"&amp;nombre="&amp;ENCODEURL(B1599)&amp;"&amp;telefono="&amp;SUBSTITUTE(C1599,"-","")&amp;"&amp;referencia="&amp;ENCODEURL(E1599)&amp;"&amp;lat="&amp;IZQUIERDA(SUBSTITUTE(F1599," ",""),ENCONTRAR(",",SUBSTITUTE(F1599," ",""))-1)&amp;"&amp;lng="&amp;DERECHA(SUBSTITUTE(F1599," ",""),LARGO(SUBSTITUTE(F1599," ",""))-ENCONTRAR(",",SUBSTITUTE(F1599," ",""))),"")</f>
        <v/>
      </c>
    </row>
    <row r="1600" ht="15.75" customHeight="1" s="10">
      <c r="A1600" s="8">
        <f>CONCAT("AD507-",TEXT(ROW()-2,"0000"))</f>
        <v/>
      </c>
      <c r="C1600" s="8" t="n"/>
      <c r="F1600" s="8" t="n"/>
      <c r="G1600" s="8">
        <f>IF(F1600&lt;&gt;"",HYPERLINK("https://www.google.com/maps/search/?api=1&amp;query="&amp;SUBSTITUTE(F1600," ",""),"🗺 Google Maps"),"")</f>
        <v/>
      </c>
      <c r="H1600" s="8">
        <f>IF(F1600&lt;&gt;"",HYPERLINK("https://waze.com/ul?ll="&amp;SUBSTITUTE(F1600," ","")&amp;"&amp;navigate=yes","🚗 Waze"),"")</f>
        <v/>
      </c>
      <c r="I1600" s="8">
        <f>IF(F1600&lt;&gt;"",HYPERLINK("https://m.uber.com/ul/?action=setPickup&amp;pickup=my_location&amp;dropoff[latitude]="&amp;LEFT(SUBSTITUTE(F1600," ",""),FIND(",",SUBSTITUTE(F1600," ",""))-1)&amp;"&amp;dropoff[longitude]="&amp;MID(SUBSTITUTE(F1600," ",""),FIND(",",SUBSTITUTE(F1600," ",""))+1,99),"🚕 Uber"),"")</f>
        <v/>
      </c>
      <c r="J1600" s="8">
        <f>IF(F1600&lt;&gt;"","https://api.qrserver.com/v1/create-qr-code/?size=200x200&amp;data="&amp;ENCODEURL("https://www.google.com/maps/search/?api=1&amp;query="&amp;SUBSTITUTE(F1600," ","")),"")</f>
        <v/>
      </c>
      <c r="K1600" s="8">
        <f>IF(C1600&lt;&gt;"",HYPERLINK("https://wa.me/507"&amp;REGEXREPLACE(C1600,"[^0-9]","")&amp;"?text="&amp;ENCODEURL("Ya llegue. Codigo: "&amp;A1600&amp;". Ubicacion: "&amp;"https://www.google.com/maps/search/?api=1&amp;query="&amp;SUBSTITUTE(F1600," ","")),"📲 Avisar al cliente"),"")</f>
        <v/>
      </c>
      <c r="L1600" s="8">
        <f>IF(C1600&lt;&gt;"","https://api.qrserver.com/v1/create-qr-code/?size=200x200&amp;data="&amp;ENCODEURL("https://wa.me/507"&amp;REGEXREPLACE(C1600,"[^0-9]","")&amp;"?text="&amp;ENCODEURL("Ya llegue. Codigo: "&amp;A1600&amp;". Ubicacion: "&amp;"https://www.google.com/maps/search/?api=1&amp;query="&amp;SUBSTITUTE(F1600," ",""))),"")</f>
        <v/>
      </c>
      <c r="M1600" s="8">
        <f>IF(B1600&lt;&gt;"",TODAY(),"")</f>
        <v/>
      </c>
      <c r="N1600" s="8">
        <f>IF(F1600&lt;&gt;"",IFERROR(IF(AND(REGEXMATCH(SUBSTITUTE(TRIM(F1600)," ",""),"^-?\d+(\.\d+)?,-?\d+(\.\d+)?$"),VALUE(REGEXEXTRACT(SUBSTITUTE(TRIM(F1600)," ",""),"^-?\d+(\.\d+)?"))&gt;=-90,VALUE(REGEXEXTRACT(SUBSTITUTE(TRIM(F1600)," ",""),"^-?\d+(\.\d+)?"))&lt;=90,VALUE(REGEXEXTRACT(SUBSTITUTE(TRIM(F1600)," ",""),"-?\d+(\.\d+)?$"))&gt;=-180,VALUE(REGEXEXTRACT(SUBSTITUTE(TRIM(F1600)," ",""),"-?\d+(\.\d+)?$"))&lt;=180),"OK","REVISAR"),"REVISAR"),"")</f>
        <v/>
      </c>
      <c r="O1600">
        <f>IF(A1600&lt;&gt;"","https://direcciones507.github.io/direcciones507/panel.html?codigo="&amp;A1600&amp;"&amp;nombre="&amp;ENCODEURL(B1600)&amp;"&amp;telefono="&amp;SUBSTITUTE(C1600,"-","")&amp;"&amp;referencia="&amp;ENCODEURL(E1600)&amp;"&amp;lat="&amp;IZQUIERDA(SUBSTITUTE(F1600," ",""),ENCONTRAR(",",SUBSTITUTE(F1600," ",""))-1)&amp;"&amp;lng="&amp;DERECHA(SUBSTITUTE(F1600," ",""),LARGO(SUBSTITUTE(F1600," ",""))-ENCONTRAR(",",SUBSTITUTE(F1600," ",""))),"")</f>
        <v/>
      </c>
    </row>
    <row r="1601" ht="15.75" customHeight="1" s="10">
      <c r="A1601" s="8">
        <f>CONCAT("AD507-",TEXT(ROW()-2,"0000"))</f>
        <v/>
      </c>
      <c r="C1601" s="8" t="n"/>
      <c r="F1601" s="8" t="n"/>
      <c r="G1601" s="8">
        <f>IF(F1601&lt;&gt;"",HYPERLINK("https://www.google.com/maps/search/?api=1&amp;query="&amp;SUBSTITUTE(F1601," ",""),"🗺 Google Maps"),"")</f>
        <v/>
      </c>
      <c r="H1601" s="8">
        <f>IF(F1601&lt;&gt;"",HYPERLINK("https://waze.com/ul?ll="&amp;SUBSTITUTE(F1601," ","")&amp;"&amp;navigate=yes","🚗 Waze"),"")</f>
        <v/>
      </c>
      <c r="I1601" s="8">
        <f>IF(F1601&lt;&gt;"",HYPERLINK("https://m.uber.com/ul/?action=setPickup&amp;pickup=my_location&amp;dropoff[latitude]="&amp;LEFT(SUBSTITUTE(F1601," ",""),FIND(",",SUBSTITUTE(F1601," ",""))-1)&amp;"&amp;dropoff[longitude]="&amp;MID(SUBSTITUTE(F1601," ",""),FIND(",",SUBSTITUTE(F1601," ",""))+1,99),"🚕 Uber"),"")</f>
        <v/>
      </c>
      <c r="J1601" s="8">
        <f>IF(F1601&lt;&gt;"","https://api.qrserver.com/v1/create-qr-code/?size=200x200&amp;data="&amp;ENCODEURL("https://www.google.com/maps/search/?api=1&amp;query="&amp;SUBSTITUTE(F1601," ","")),"")</f>
        <v/>
      </c>
      <c r="K1601" s="8">
        <f>IF(C1601&lt;&gt;"",HYPERLINK("https://wa.me/507"&amp;REGEXREPLACE(C1601,"[^0-9]","")&amp;"?text="&amp;ENCODEURL("Ya llegue. Codigo: "&amp;A1601&amp;". Ubicacion: "&amp;"https://www.google.com/maps/search/?api=1&amp;query="&amp;SUBSTITUTE(F1601," ","")),"📲 Avisar al cliente"),"")</f>
        <v/>
      </c>
      <c r="L1601" s="8">
        <f>IF(C1601&lt;&gt;"","https://api.qrserver.com/v1/create-qr-code/?size=200x200&amp;data="&amp;ENCODEURL("https://wa.me/507"&amp;REGEXREPLACE(C1601,"[^0-9]","")&amp;"?text="&amp;ENCODEURL("Ya llegue. Codigo: "&amp;A1601&amp;". Ubicacion: "&amp;"https://www.google.com/maps/search/?api=1&amp;query="&amp;SUBSTITUTE(F1601," ",""))),"")</f>
        <v/>
      </c>
      <c r="M1601" s="8">
        <f>IF(B1601&lt;&gt;"",TODAY(),"")</f>
        <v/>
      </c>
      <c r="N1601" s="8">
        <f>IF(F1601&lt;&gt;"",IFERROR(IF(AND(REGEXMATCH(SUBSTITUTE(TRIM(F1601)," ",""),"^-?\d+(\.\d+)?,-?\d+(\.\d+)?$"),VALUE(REGEXEXTRACT(SUBSTITUTE(TRIM(F1601)," ",""),"^-?\d+(\.\d+)?"))&gt;=-90,VALUE(REGEXEXTRACT(SUBSTITUTE(TRIM(F1601)," ",""),"^-?\d+(\.\d+)?"))&lt;=90,VALUE(REGEXEXTRACT(SUBSTITUTE(TRIM(F1601)," ",""),"-?\d+(\.\d+)?$"))&gt;=-180,VALUE(REGEXEXTRACT(SUBSTITUTE(TRIM(F1601)," ",""),"-?\d+(\.\d+)?$"))&lt;=180),"OK","REVISAR"),"REVISAR"),"")</f>
        <v/>
      </c>
      <c r="O1601">
        <f>IF(A1601&lt;&gt;"","https://direcciones507.github.io/direcciones507/panel.html?codigo="&amp;A1601&amp;"&amp;nombre="&amp;ENCODEURL(B1601)&amp;"&amp;telefono="&amp;SUBSTITUTE(C1601,"-","")&amp;"&amp;referencia="&amp;ENCODEURL(E1601)&amp;"&amp;lat="&amp;IZQUIERDA(SUBSTITUTE(F1601," ",""),ENCONTRAR(",",SUBSTITUTE(F1601," ",""))-1)&amp;"&amp;lng="&amp;DERECHA(SUBSTITUTE(F1601," ",""),LARGO(SUBSTITUTE(F1601," ",""))-ENCONTRAR(",",SUBSTITUTE(F1601," ",""))),"")</f>
        <v/>
      </c>
    </row>
    <row r="1602" ht="15.75" customHeight="1" s="10">
      <c r="A1602" s="8">
        <f>CONCAT("AD507-",TEXT(ROW()-2,"0000"))</f>
        <v/>
      </c>
      <c r="C1602" s="8" t="n"/>
      <c r="F1602" s="8" t="n"/>
      <c r="G1602" s="8">
        <f>IF(F1602&lt;&gt;"",HYPERLINK("https://www.google.com/maps/search/?api=1&amp;query="&amp;SUBSTITUTE(F1602," ",""),"🗺 Google Maps"),"")</f>
        <v/>
      </c>
      <c r="H1602" s="8">
        <f>IF(F1602&lt;&gt;"",HYPERLINK("https://waze.com/ul?ll="&amp;SUBSTITUTE(F1602," ","")&amp;"&amp;navigate=yes","🚗 Waze"),"")</f>
        <v/>
      </c>
      <c r="I1602" s="8">
        <f>IF(F1602&lt;&gt;"",HYPERLINK("https://m.uber.com/ul/?action=setPickup&amp;pickup=my_location&amp;dropoff[latitude]="&amp;LEFT(SUBSTITUTE(F1602," ",""),FIND(",",SUBSTITUTE(F1602," ",""))-1)&amp;"&amp;dropoff[longitude]="&amp;MID(SUBSTITUTE(F1602," ",""),FIND(",",SUBSTITUTE(F1602," ",""))+1,99),"🚕 Uber"),"")</f>
        <v/>
      </c>
      <c r="J1602" s="8">
        <f>IF(F1602&lt;&gt;"","https://api.qrserver.com/v1/create-qr-code/?size=200x200&amp;data="&amp;ENCODEURL("https://www.google.com/maps/search/?api=1&amp;query="&amp;SUBSTITUTE(F1602," ","")),"")</f>
        <v/>
      </c>
      <c r="K1602" s="8">
        <f>IF(C1602&lt;&gt;"",HYPERLINK("https://wa.me/507"&amp;REGEXREPLACE(C1602,"[^0-9]","")&amp;"?text="&amp;ENCODEURL("Ya llegue. Codigo: "&amp;A1602&amp;". Ubicacion: "&amp;"https://www.google.com/maps/search/?api=1&amp;query="&amp;SUBSTITUTE(F1602," ","")),"📲 Avisar al cliente"),"")</f>
        <v/>
      </c>
      <c r="L1602" s="8">
        <f>IF(C1602&lt;&gt;"","https://api.qrserver.com/v1/create-qr-code/?size=200x200&amp;data="&amp;ENCODEURL("https://wa.me/507"&amp;REGEXREPLACE(C1602,"[^0-9]","")&amp;"?text="&amp;ENCODEURL("Ya llegue. Codigo: "&amp;A1602&amp;". Ubicacion: "&amp;"https://www.google.com/maps/search/?api=1&amp;query="&amp;SUBSTITUTE(F1602," ",""))),"")</f>
        <v/>
      </c>
      <c r="M1602" s="8">
        <f>IF(B1602&lt;&gt;"",TODAY(),"")</f>
        <v/>
      </c>
      <c r="N1602" s="8">
        <f>IF(F1602&lt;&gt;"",IFERROR(IF(AND(REGEXMATCH(SUBSTITUTE(TRIM(F1602)," ",""),"^-?\d+(\.\d+)?,-?\d+(\.\d+)?$"),VALUE(REGEXEXTRACT(SUBSTITUTE(TRIM(F1602)," ",""),"^-?\d+(\.\d+)?"))&gt;=-90,VALUE(REGEXEXTRACT(SUBSTITUTE(TRIM(F1602)," ",""),"^-?\d+(\.\d+)?"))&lt;=90,VALUE(REGEXEXTRACT(SUBSTITUTE(TRIM(F1602)," ",""),"-?\d+(\.\d+)?$"))&gt;=-180,VALUE(REGEXEXTRACT(SUBSTITUTE(TRIM(F1602)," ",""),"-?\d+(\.\d+)?$"))&lt;=180),"OK","REVISAR"),"REVISAR"),"")</f>
        <v/>
      </c>
      <c r="O1602">
        <f>IF(A1602&lt;&gt;"","https://direcciones507.github.io/direcciones507/panel.html?codigo="&amp;A1602&amp;"&amp;nombre="&amp;ENCODEURL(B1602)&amp;"&amp;telefono="&amp;SUBSTITUTE(C1602,"-","")&amp;"&amp;referencia="&amp;ENCODEURL(E1602)&amp;"&amp;lat="&amp;IZQUIERDA(SUBSTITUTE(F1602," ",""),ENCONTRAR(",",SUBSTITUTE(F1602," ",""))-1)&amp;"&amp;lng="&amp;DERECHA(SUBSTITUTE(F1602," ",""),LARGO(SUBSTITUTE(F1602," ",""))-ENCONTRAR(",",SUBSTITUTE(F1602," ",""))),"")</f>
        <v/>
      </c>
    </row>
    <row r="1603" ht="15.75" customHeight="1" s="10">
      <c r="A1603" s="8">
        <f>CONCAT("AD507-",TEXT(ROW()-2,"0000"))</f>
        <v/>
      </c>
      <c r="C1603" s="8" t="n"/>
      <c r="F1603" s="8" t="n"/>
      <c r="G1603" s="8">
        <f>IF(F1603&lt;&gt;"",HYPERLINK("https://www.google.com/maps/search/?api=1&amp;query="&amp;SUBSTITUTE(F1603," ",""),"🗺 Google Maps"),"")</f>
        <v/>
      </c>
      <c r="H1603" s="8">
        <f>IF(F1603&lt;&gt;"",HYPERLINK("https://waze.com/ul?ll="&amp;SUBSTITUTE(F1603," ","")&amp;"&amp;navigate=yes","🚗 Waze"),"")</f>
        <v/>
      </c>
      <c r="I1603" s="8">
        <f>IF(F1603&lt;&gt;"",HYPERLINK("https://m.uber.com/ul/?action=setPickup&amp;pickup=my_location&amp;dropoff[latitude]="&amp;LEFT(SUBSTITUTE(F1603," ",""),FIND(",",SUBSTITUTE(F1603," ",""))-1)&amp;"&amp;dropoff[longitude]="&amp;MID(SUBSTITUTE(F1603," ",""),FIND(",",SUBSTITUTE(F1603," ",""))+1,99),"🚕 Uber"),"")</f>
        <v/>
      </c>
      <c r="J1603" s="8">
        <f>IF(F1603&lt;&gt;"","https://api.qrserver.com/v1/create-qr-code/?size=200x200&amp;data="&amp;ENCODEURL("https://www.google.com/maps/search/?api=1&amp;query="&amp;SUBSTITUTE(F1603," ","")),"")</f>
        <v/>
      </c>
      <c r="K1603" s="8">
        <f>IF(C1603&lt;&gt;"",HYPERLINK("https://wa.me/507"&amp;REGEXREPLACE(C1603,"[^0-9]","")&amp;"?text="&amp;ENCODEURL("Ya llegue. Codigo: "&amp;A1603&amp;". Ubicacion: "&amp;"https://www.google.com/maps/search/?api=1&amp;query="&amp;SUBSTITUTE(F1603," ","")),"📲 Avisar al cliente"),"")</f>
        <v/>
      </c>
      <c r="L1603" s="8">
        <f>IF(C1603&lt;&gt;"","https://api.qrserver.com/v1/create-qr-code/?size=200x200&amp;data="&amp;ENCODEURL("https://wa.me/507"&amp;REGEXREPLACE(C1603,"[^0-9]","")&amp;"?text="&amp;ENCODEURL("Ya llegue. Codigo: "&amp;A1603&amp;". Ubicacion: "&amp;"https://www.google.com/maps/search/?api=1&amp;query="&amp;SUBSTITUTE(F1603," ",""))),"")</f>
        <v/>
      </c>
      <c r="M1603" s="8">
        <f>IF(B1603&lt;&gt;"",TODAY(),"")</f>
        <v/>
      </c>
      <c r="N1603" s="8">
        <f>IF(F1603&lt;&gt;"",IFERROR(IF(AND(REGEXMATCH(SUBSTITUTE(TRIM(F1603)," ",""),"^-?\d+(\.\d+)?,-?\d+(\.\d+)?$"),VALUE(REGEXEXTRACT(SUBSTITUTE(TRIM(F1603)," ",""),"^-?\d+(\.\d+)?"))&gt;=-90,VALUE(REGEXEXTRACT(SUBSTITUTE(TRIM(F1603)," ",""),"^-?\d+(\.\d+)?"))&lt;=90,VALUE(REGEXEXTRACT(SUBSTITUTE(TRIM(F1603)," ",""),"-?\d+(\.\d+)?$"))&gt;=-180,VALUE(REGEXEXTRACT(SUBSTITUTE(TRIM(F1603)," ",""),"-?\d+(\.\d+)?$"))&lt;=180),"OK","REVISAR"),"REVISAR"),"")</f>
        <v/>
      </c>
      <c r="O1603">
        <f>IF(A1603&lt;&gt;"","https://direcciones507.github.io/direcciones507/panel.html?codigo="&amp;A1603&amp;"&amp;nombre="&amp;ENCODEURL(B1603)&amp;"&amp;telefono="&amp;SUBSTITUTE(C1603,"-","")&amp;"&amp;referencia="&amp;ENCODEURL(E1603)&amp;"&amp;lat="&amp;IZQUIERDA(SUBSTITUTE(F1603," ",""),ENCONTRAR(",",SUBSTITUTE(F1603," ",""))-1)&amp;"&amp;lng="&amp;DERECHA(SUBSTITUTE(F1603," ",""),LARGO(SUBSTITUTE(F1603," ",""))-ENCONTRAR(",",SUBSTITUTE(F1603," ",""))),"")</f>
        <v/>
      </c>
    </row>
    <row r="1604" ht="15.75" customHeight="1" s="10">
      <c r="A1604" s="8">
        <f>CONCAT("AD507-",TEXT(ROW()-2,"0000"))</f>
        <v/>
      </c>
      <c r="C1604" s="8" t="n"/>
      <c r="F1604" s="8" t="n"/>
      <c r="G1604" s="8">
        <f>IF(F1604&lt;&gt;"",HYPERLINK("https://www.google.com/maps/search/?api=1&amp;query="&amp;SUBSTITUTE(F1604," ",""),"🗺 Google Maps"),"")</f>
        <v/>
      </c>
      <c r="H1604" s="8">
        <f>IF(F1604&lt;&gt;"",HYPERLINK("https://waze.com/ul?ll="&amp;SUBSTITUTE(F1604," ","")&amp;"&amp;navigate=yes","🚗 Waze"),"")</f>
        <v/>
      </c>
      <c r="I1604" s="8">
        <f>IF(F1604&lt;&gt;"",HYPERLINK("https://m.uber.com/ul/?action=setPickup&amp;pickup=my_location&amp;dropoff[latitude]="&amp;LEFT(SUBSTITUTE(F1604," ",""),FIND(",",SUBSTITUTE(F1604," ",""))-1)&amp;"&amp;dropoff[longitude]="&amp;MID(SUBSTITUTE(F1604," ",""),FIND(",",SUBSTITUTE(F1604," ",""))+1,99),"🚕 Uber"),"")</f>
        <v/>
      </c>
      <c r="J1604" s="8">
        <f>IF(F1604&lt;&gt;"","https://api.qrserver.com/v1/create-qr-code/?size=200x200&amp;data="&amp;ENCODEURL("https://www.google.com/maps/search/?api=1&amp;query="&amp;SUBSTITUTE(F1604," ","")),"")</f>
        <v/>
      </c>
      <c r="K1604" s="8">
        <f>IF(C1604&lt;&gt;"",HYPERLINK("https://wa.me/507"&amp;REGEXREPLACE(C1604,"[^0-9]","")&amp;"?text="&amp;ENCODEURL("Ya llegue. Codigo: "&amp;A1604&amp;". Ubicacion: "&amp;"https://www.google.com/maps/search/?api=1&amp;query="&amp;SUBSTITUTE(F1604," ","")),"📲 Avisar al cliente"),"")</f>
        <v/>
      </c>
      <c r="L1604" s="8">
        <f>IF(C1604&lt;&gt;"","https://api.qrserver.com/v1/create-qr-code/?size=200x200&amp;data="&amp;ENCODEURL("https://wa.me/507"&amp;REGEXREPLACE(C1604,"[^0-9]","")&amp;"?text="&amp;ENCODEURL("Ya llegue. Codigo: "&amp;A1604&amp;". Ubicacion: "&amp;"https://www.google.com/maps/search/?api=1&amp;query="&amp;SUBSTITUTE(F1604," ",""))),"")</f>
        <v/>
      </c>
      <c r="M1604" s="8">
        <f>IF(B1604&lt;&gt;"",TODAY(),"")</f>
        <v/>
      </c>
      <c r="N1604" s="8">
        <f>IF(F1604&lt;&gt;"",IFERROR(IF(AND(REGEXMATCH(SUBSTITUTE(TRIM(F1604)," ",""),"^-?\d+(\.\d+)?,-?\d+(\.\d+)?$"),VALUE(REGEXEXTRACT(SUBSTITUTE(TRIM(F1604)," ",""),"^-?\d+(\.\d+)?"))&gt;=-90,VALUE(REGEXEXTRACT(SUBSTITUTE(TRIM(F1604)," ",""),"^-?\d+(\.\d+)?"))&lt;=90,VALUE(REGEXEXTRACT(SUBSTITUTE(TRIM(F1604)," ",""),"-?\d+(\.\d+)?$"))&gt;=-180,VALUE(REGEXEXTRACT(SUBSTITUTE(TRIM(F1604)," ",""),"-?\d+(\.\d+)?$"))&lt;=180),"OK","REVISAR"),"REVISAR"),"")</f>
        <v/>
      </c>
      <c r="O1604">
        <f>IF(A1604&lt;&gt;"","https://direcciones507.github.io/direcciones507/panel.html?codigo="&amp;A1604&amp;"&amp;nombre="&amp;ENCODEURL(B1604)&amp;"&amp;telefono="&amp;SUBSTITUTE(C1604,"-","")&amp;"&amp;referencia="&amp;ENCODEURL(E1604)&amp;"&amp;lat="&amp;IZQUIERDA(SUBSTITUTE(F1604," ",""),ENCONTRAR(",",SUBSTITUTE(F1604," ",""))-1)&amp;"&amp;lng="&amp;DERECHA(SUBSTITUTE(F1604," ",""),LARGO(SUBSTITUTE(F1604," ",""))-ENCONTRAR(",",SUBSTITUTE(F1604," ",""))),"")</f>
        <v/>
      </c>
    </row>
    <row r="1605" ht="15.75" customHeight="1" s="10">
      <c r="A1605" s="8">
        <f>CONCAT("AD507-",TEXT(ROW()-2,"0000"))</f>
        <v/>
      </c>
      <c r="C1605" s="8" t="n"/>
      <c r="F1605" s="8" t="n"/>
      <c r="G1605" s="8">
        <f>IF(F1605&lt;&gt;"",HYPERLINK("https://www.google.com/maps/search/?api=1&amp;query="&amp;SUBSTITUTE(F1605," ",""),"🗺 Google Maps"),"")</f>
        <v/>
      </c>
      <c r="H1605" s="8">
        <f>IF(F1605&lt;&gt;"",HYPERLINK("https://waze.com/ul?ll="&amp;SUBSTITUTE(F1605," ","")&amp;"&amp;navigate=yes","🚗 Waze"),"")</f>
        <v/>
      </c>
      <c r="I1605" s="8">
        <f>IF(F1605&lt;&gt;"",HYPERLINK("https://m.uber.com/ul/?action=setPickup&amp;pickup=my_location&amp;dropoff[latitude]="&amp;LEFT(SUBSTITUTE(F1605," ",""),FIND(",",SUBSTITUTE(F1605," ",""))-1)&amp;"&amp;dropoff[longitude]="&amp;MID(SUBSTITUTE(F1605," ",""),FIND(",",SUBSTITUTE(F1605," ",""))+1,99),"🚕 Uber"),"")</f>
        <v/>
      </c>
      <c r="J1605" s="8">
        <f>IF(F1605&lt;&gt;"","https://api.qrserver.com/v1/create-qr-code/?size=200x200&amp;data="&amp;ENCODEURL("https://www.google.com/maps/search/?api=1&amp;query="&amp;SUBSTITUTE(F1605," ","")),"")</f>
        <v/>
      </c>
      <c r="K1605" s="8">
        <f>IF(C1605&lt;&gt;"",HYPERLINK("https://wa.me/507"&amp;REGEXREPLACE(C1605,"[^0-9]","")&amp;"?text="&amp;ENCODEURL("Ya llegue. Codigo: "&amp;A1605&amp;". Ubicacion: "&amp;"https://www.google.com/maps/search/?api=1&amp;query="&amp;SUBSTITUTE(F1605," ","")),"📲 Avisar al cliente"),"")</f>
        <v/>
      </c>
      <c r="L1605" s="8">
        <f>IF(C1605&lt;&gt;"","https://api.qrserver.com/v1/create-qr-code/?size=200x200&amp;data="&amp;ENCODEURL("https://wa.me/507"&amp;REGEXREPLACE(C1605,"[^0-9]","")&amp;"?text="&amp;ENCODEURL("Ya llegue. Codigo: "&amp;A1605&amp;". Ubicacion: "&amp;"https://www.google.com/maps/search/?api=1&amp;query="&amp;SUBSTITUTE(F1605," ",""))),"")</f>
        <v/>
      </c>
      <c r="M1605" s="8">
        <f>IF(B1605&lt;&gt;"",TODAY(),"")</f>
        <v/>
      </c>
      <c r="N1605" s="8">
        <f>IF(F1605&lt;&gt;"",IFERROR(IF(AND(REGEXMATCH(SUBSTITUTE(TRIM(F1605)," ",""),"^-?\d+(\.\d+)?,-?\d+(\.\d+)?$"),VALUE(REGEXEXTRACT(SUBSTITUTE(TRIM(F1605)," ",""),"^-?\d+(\.\d+)?"))&gt;=-90,VALUE(REGEXEXTRACT(SUBSTITUTE(TRIM(F1605)," ",""),"^-?\d+(\.\d+)?"))&lt;=90,VALUE(REGEXEXTRACT(SUBSTITUTE(TRIM(F1605)," ",""),"-?\d+(\.\d+)?$"))&gt;=-180,VALUE(REGEXEXTRACT(SUBSTITUTE(TRIM(F1605)," ",""),"-?\d+(\.\d+)?$"))&lt;=180),"OK","REVISAR"),"REVISAR"),"")</f>
        <v/>
      </c>
      <c r="O1605">
        <f>IF(A1605&lt;&gt;"","https://direcciones507.github.io/direcciones507/panel.html?codigo="&amp;A1605&amp;"&amp;nombre="&amp;ENCODEURL(B1605)&amp;"&amp;telefono="&amp;SUBSTITUTE(C1605,"-","")&amp;"&amp;referencia="&amp;ENCODEURL(E1605)&amp;"&amp;lat="&amp;IZQUIERDA(SUBSTITUTE(F1605," ",""),ENCONTRAR(",",SUBSTITUTE(F1605," ",""))-1)&amp;"&amp;lng="&amp;DERECHA(SUBSTITUTE(F1605," ",""),LARGO(SUBSTITUTE(F1605," ",""))-ENCONTRAR(",",SUBSTITUTE(F1605," ",""))),"")</f>
        <v/>
      </c>
    </row>
    <row r="1606" ht="15.75" customHeight="1" s="10">
      <c r="A1606" s="8">
        <f>CONCAT("AD507-",TEXT(ROW()-2,"0000"))</f>
        <v/>
      </c>
      <c r="C1606" s="8" t="n"/>
      <c r="F1606" s="8" t="n"/>
      <c r="G1606" s="8">
        <f>IF(F1606&lt;&gt;"",HYPERLINK("https://www.google.com/maps/search/?api=1&amp;query="&amp;SUBSTITUTE(F1606," ",""),"🗺 Google Maps"),"")</f>
        <v/>
      </c>
      <c r="H1606" s="8">
        <f>IF(F1606&lt;&gt;"",HYPERLINK("https://waze.com/ul?ll="&amp;SUBSTITUTE(F1606," ","")&amp;"&amp;navigate=yes","🚗 Waze"),"")</f>
        <v/>
      </c>
      <c r="I1606" s="8">
        <f>IF(F1606&lt;&gt;"",HYPERLINK("https://m.uber.com/ul/?action=setPickup&amp;pickup=my_location&amp;dropoff[latitude]="&amp;LEFT(SUBSTITUTE(F1606," ",""),FIND(",",SUBSTITUTE(F1606," ",""))-1)&amp;"&amp;dropoff[longitude]="&amp;MID(SUBSTITUTE(F1606," ",""),FIND(",",SUBSTITUTE(F1606," ",""))+1,99),"🚕 Uber"),"")</f>
        <v/>
      </c>
      <c r="J1606" s="8">
        <f>IF(F1606&lt;&gt;"","https://api.qrserver.com/v1/create-qr-code/?size=200x200&amp;data="&amp;ENCODEURL("https://www.google.com/maps/search/?api=1&amp;query="&amp;SUBSTITUTE(F1606," ","")),"")</f>
        <v/>
      </c>
      <c r="K1606" s="8">
        <f>IF(C1606&lt;&gt;"",HYPERLINK("https://wa.me/507"&amp;REGEXREPLACE(C1606,"[^0-9]","")&amp;"?text="&amp;ENCODEURL("Ya llegue. Codigo: "&amp;A1606&amp;". Ubicacion: "&amp;"https://www.google.com/maps/search/?api=1&amp;query="&amp;SUBSTITUTE(F1606," ","")),"📲 Avisar al cliente"),"")</f>
        <v/>
      </c>
      <c r="L1606" s="8">
        <f>IF(C1606&lt;&gt;"","https://api.qrserver.com/v1/create-qr-code/?size=200x200&amp;data="&amp;ENCODEURL("https://wa.me/507"&amp;REGEXREPLACE(C1606,"[^0-9]","")&amp;"?text="&amp;ENCODEURL("Ya llegue. Codigo: "&amp;A1606&amp;". Ubicacion: "&amp;"https://www.google.com/maps/search/?api=1&amp;query="&amp;SUBSTITUTE(F1606," ",""))),"")</f>
        <v/>
      </c>
      <c r="M1606" s="8">
        <f>IF(B1606&lt;&gt;"",TODAY(),"")</f>
        <v/>
      </c>
      <c r="N1606" s="8">
        <f>IF(F1606&lt;&gt;"",IFERROR(IF(AND(REGEXMATCH(SUBSTITUTE(TRIM(F1606)," ",""),"^-?\d+(\.\d+)?,-?\d+(\.\d+)?$"),VALUE(REGEXEXTRACT(SUBSTITUTE(TRIM(F1606)," ",""),"^-?\d+(\.\d+)?"))&gt;=-90,VALUE(REGEXEXTRACT(SUBSTITUTE(TRIM(F1606)," ",""),"^-?\d+(\.\d+)?"))&lt;=90,VALUE(REGEXEXTRACT(SUBSTITUTE(TRIM(F1606)," ",""),"-?\d+(\.\d+)?$"))&gt;=-180,VALUE(REGEXEXTRACT(SUBSTITUTE(TRIM(F1606)," ",""),"-?\d+(\.\d+)?$"))&lt;=180),"OK","REVISAR"),"REVISAR"),"")</f>
        <v/>
      </c>
      <c r="O1606">
        <f>IF(A1606&lt;&gt;"","https://direcciones507.github.io/direcciones507/panel.html?codigo="&amp;A1606&amp;"&amp;nombre="&amp;ENCODEURL(B1606)&amp;"&amp;telefono="&amp;SUBSTITUTE(C1606,"-","")&amp;"&amp;referencia="&amp;ENCODEURL(E1606)&amp;"&amp;lat="&amp;IZQUIERDA(SUBSTITUTE(F1606," ",""),ENCONTRAR(",",SUBSTITUTE(F1606," ",""))-1)&amp;"&amp;lng="&amp;DERECHA(SUBSTITUTE(F1606," ",""),LARGO(SUBSTITUTE(F1606," ",""))-ENCONTRAR(",",SUBSTITUTE(F1606," ",""))),"")</f>
        <v/>
      </c>
    </row>
    <row r="1607" ht="15.75" customHeight="1" s="10">
      <c r="A1607" s="8">
        <f>CONCAT("AD507-",TEXT(ROW()-2,"0000"))</f>
        <v/>
      </c>
      <c r="C1607" s="8" t="n"/>
      <c r="F1607" s="8" t="n"/>
      <c r="G1607" s="8">
        <f>IF(F1607&lt;&gt;"",HYPERLINK("https://www.google.com/maps/search/?api=1&amp;query="&amp;SUBSTITUTE(F1607," ",""),"🗺 Google Maps"),"")</f>
        <v/>
      </c>
      <c r="H1607" s="8">
        <f>IF(F1607&lt;&gt;"",HYPERLINK("https://waze.com/ul?ll="&amp;SUBSTITUTE(F1607," ","")&amp;"&amp;navigate=yes","🚗 Waze"),"")</f>
        <v/>
      </c>
      <c r="I1607" s="8">
        <f>IF(F1607&lt;&gt;"",HYPERLINK("https://m.uber.com/ul/?action=setPickup&amp;pickup=my_location&amp;dropoff[latitude]="&amp;LEFT(SUBSTITUTE(F1607," ",""),FIND(",",SUBSTITUTE(F1607," ",""))-1)&amp;"&amp;dropoff[longitude]="&amp;MID(SUBSTITUTE(F1607," ",""),FIND(",",SUBSTITUTE(F1607," ",""))+1,99),"🚕 Uber"),"")</f>
        <v/>
      </c>
      <c r="J1607" s="8">
        <f>IF(F1607&lt;&gt;"","https://api.qrserver.com/v1/create-qr-code/?size=200x200&amp;data="&amp;ENCODEURL("https://www.google.com/maps/search/?api=1&amp;query="&amp;SUBSTITUTE(F1607," ","")),"")</f>
        <v/>
      </c>
      <c r="K1607" s="8">
        <f>IF(C1607&lt;&gt;"",HYPERLINK("https://wa.me/507"&amp;REGEXREPLACE(C1607,"[^0-9]","")&amp;"?text="&amp;ENCODEURL("Ya llegue. Codigo: "&amp;A1607&amp;". Ubicacion: "&amp;"https://www.google.com/maps/search/?api=1&amp;query="&amp;SUBSTITUTE(F1607," ","")),"📲 Avisar al cliente"),"")</f>
        <v/>
      </c>
      <c r="L1607" s="8">
        <f>IF(C1607&lt;&gt;"","https://api.qrserver.com/v1/create-qr-code/?size=200x200&amp;data="&amp;ENCODEURL("https://wa.me/507"&amp;REGEXREPLACE(C1607,"[^0-9]","")&amp;"?text="&amp;ENCODEURL("Ya llegue. Codigo: "&amp;A1607&amp;". Ubicacion: "&amp;"https://www.google.com/maps/search/?api=1&amp;query="&amp;SUBSTITUTE(F1607," ",""))),"")</f>
        <v/>
      </c>
      <c r="M1607" s="8">
        <f>IF(B1607&lt;&gt;"",TODAY(),"")</f>
        <v/>
      </c>
      <c r="N1607" s="8">
        <f>IF(F1607&lt;&gt;"",IFERROR(IF(AND(REGEXMATCH(SUBSTITUTE(TRIM(F1607)," ",""),"^-?\d+(\.\d+)?,-?\d+(\.\d+)?$"),VALUE(REGEXEXTRACT(SUBSTITUTE(TRIM(F1607)," ",""),"^-?\d+(\.\d+)?"))&gt;=-90,VALUE(REGEXEXTRACT(SUBSTITUTE(TRIM(F1607)," ",""),"^-?\d+(\.\d+)?"))&lt;=90,VALUE(REGEXEXTRACT(SUBSTITUTE(TRIM(F1607)," ",""),"-?\d+(\.\d+)?$"))&gt;=-180,VALUE(REGEXEXTRACT(SUBSTITUTE(TRIM(F1607)," ",""),"-?\d+(\.\d+)?$"))&lt;=180),"OK","REVISAR"),"REVISAR"),"")</f>
        <v/>
      </c>
      <c r="O1607">
        <f>IF(A1607&lt;&gt;"","https://direcciones507.github.io/direcciones507/panel.html?codigo="&amp;A1607&amp;"&amp;nombre="&amp;ENCODEURL(B1607)&amp;"&amp;telefono="&amp;SUBSTITUTE(C1607,"-","")&amp;"&amp;referencia="&amp;ENCODEURL(E1607)&amp;"&amp;lat="&amp;IZQUIERDA(SUBSTITUTE(F1607," ",""),ENCONTRAR(",",SUBSTITUTE(F1607," ",""))-1)&amp;"&amp;lng="&amp;DERECHA(SUBSTITUTE(F1607," ",""),LARGO(SUBSTITUTE(F1607," ",""))-ENCONTRAR(",",SUBSTITUTE(F1607," ",""))),"")</f>
        <v/>
      </c>
    </row>
    <row r="1608" ht="15.75" customHeight="1" s="10">
      <c r="A1608" s="8">
        <f>CONCAT("AD507-",TEXT(ROW()-2,"0000"))</f>
        <v/>
      </c>
      <c r="C1608" s="8" t="n"/>
      <c r="F1608" s="8" t="n"/>
      <c r="G1608" s="8">
        <f>IF(F1608&lt;&gt;"",HYPERLINK("https://www.google.com/maps/search/?api=1&amp;query="&amp;SUBSTITUTE(F1608," ",""),"🗺 Google Maps"),"")</f>
        <v/>
      </c>
      <c r="H1608" s="8">
        <f>IF(F1608&lt;&gt;"",HYPERLINK("https://waze.com/ul?ll="&amp;SUBSTITUTE(F1608," ","")&amp;"&amp;navigate=yes","🚗 Waze"),"")</f>
        <v/>
      </c>
      <c r="I1608" s="8">
        <f>IF(F1608&lt;&gt;"",HYPERLINK("https://m.uber.com/ul/?action=setPickup&amp;pickup=my_location&amp;dropoff[latitude]="&amp;LEFT(SUBSTITUTE(F1608," ",""),FIND(",",SUBSTITUTE(F1608," ",""))-1)&amp;"&amp;dropoff[longitude]="&amp;MID(SUBSTITUTE(F1608," ",""),FIND(",",SUBSTITUTE(F1608," ",""))+1,99),"🚕 Uber"),"")</f>
        <v/>
      </c>
      <c r="J1608" s="8">
        <f>IF(F1608&lt;&gt;"","https://api.qrserver.com/v1/create-qr-code/?size=200x200&amp;data="&amp;ENCODEURL("https://www.google.com/maps/search/?api=1&amp;query="&amp;SUBSTITUTE(F1608," ","")),"")</f>
        <v/>
      </c>
      <c r="K1608" s="8">
        <f>IF(C1608&lt;&gt;"",HYPERLINK("https://wa.me/507"&amp;REGEXREPLACE(C1608,"[^0-9]","")&amp;"?text="&amp;ENCODEURL("Ya llegue. Codigo: "&amp;A1608&amp;". Ubicacion: "&amp;"https://www.google.com/maps/search/?api=1&amp;query="&amp;SUBSTITUTE(F1608," ","")),"📲 Avisar al cliente"),"")</f>
        <v/>
      </c>
      <c r="L1608" s="8">
        <f>IF(C1608&lt;&gt;"","https://api.qrserver.com/v1/create-qr-code/?size=200x200&amp;data="&amp;ENCODEURL("https://wa.me/507"&amp;REGEXREPLACE(C1608,"[^0-9]","")&amp;"?text="&amp;ENCODEURL("Ya llegue. Codigo: "&amp;A1608&amp;". Ubicacion: "&amp;"https://www.google.com/maps/search/?api=1&amp;query="&amp;SUBSTITUTE(F1608," ",""))),"")</f>
        <v/>
      </c>
      <c r="M1608" s="8">
        <f>IF(B1608&lt;&gt;"",TODAY(),"")</f>
        <v/>
      </c>
      <c r="N1608" s="8">
        <f>IF(F1608&lt;&gt;"",IFERROR(IF(AND(REGEXMATCH(SUBSTITUTE(TRIM(F1608)," ",""),"^-?\d+(\.\d+)?,-?\d+(\.\d+)?$"),VALUE(REGEXEXTRACT(SUBSTITUTE(TRIM(F1608)," ",""),"^-?\d+(\.\d+)?"))&gt;=-90,VALUE(REGEXEXTRACT(SUBSTITUTE(TRIM(F1608)," ",""),"^-?\d+(\.\d+)?"))&lt;=90,VALUE(REGEXEXTRACT(SUBSTITUTE(TRIM(F1608)," ",""),"-?\d+(\.\d+)?$"))&gt;=-180,VALUE(REGEXEXTRACT(SUBSTITUTE(TRIM(F1608)," ",""),"-?\d+(\.\d+)?$"))&lt;=180),"OK","REVISAR"),"REVISAR"),"")</f>
        <v/>
      </c>
      <c r="O1608">
        <f>IF(A1608&lt;&gt;"","https://direcciones507.github.io/direcciones507/panel.html?codigo="&amp;A1608&amp;"&amp;nombre="&amp;ENCODEURL(B1608)&amp;"&amp;telefono="&amp;SUBSTITUTE(C1608,"-","")&amp;"&amp;referencia="&amp;ENCODEURL(E1608)&amp;"&amp;lat="&amp;IZQUIERDA(SUBSTITUTE(F1608," ",""),ENCONTRAR(",",SUBSTITUTE(F1608," ",""))-1)&amp;"&amp;lng="&amp;DERECHA(SUBSTITUTE(F1608," ",""),LARGO(SUBSTITUTE(F1608," ",""))-ENCONTRAR(",",SUBSTITUTE(F1608," ",""))),"")</f>
        <v/>
      </c>
    </row>
    <row r="1609" ht="15.75" customHeight="1" s="10">
      <c r="A1609" s="8">
        <f>CONCAT("AD507-",TEXT(ROW()-2,"0000"))</f>
        <v/>
      </c>
      <c r="C1609" s="8" t="n"/>
      <c r="F1609" s="8" t="n"/>
      <c r="G1609" s="8">
        <f>IF(F1609&lt;&gt;"",HYPERLINK("https://www.google.com/maps/search/?api=1&amp;query="&amp;SUBSTITUTE(F1609," ",""),"🗺 Google Maps"),"")</f>
        <v/>
      </c>
      <c r="H1609" s="8">
        <f>IF(F1609&lt;&gt;"",HYPERLINK("https://waze.com/ul?ll="&amp;SUBSTITUTE(F1609," ","")&amp;"&amp;navigate=yes","🚗 Waze"),"")</f>
        <v/>
      </c>
      <c r="I1609" s="8">
        <f>IF(F1609&lt;&gt;"",HYPERLINK("https://m.uber.com/ul/?action=setPickup&amp;pickup=my_location&amp;dropoff[latitude]="&amp;LEFT(SUBSTITUTE(F1609," ",""),FIND(",",SUBSTITUTE(F1609," ",""))-1)&amp;"&amp;dropoff[longitude]="&amp;MID(SUBSTITUTE(F1609," ",""),FIND(",",SUBSTITUTE(F1609," ",""))+1,99),"🚕 Uber"),"")</f>
        <v/>
      </c>
      <c r="J1609" s="8">
        <f>IF(F1609&lt;&gt;"","https://api.qrserver.com/v1/create-qr-code/?size=200x200&amp;data="&amp;ENCODEURL("https://www.google.com/maps/search/?api=1&amp;query="&amp;SUBSTITUTE(F1609," ","")),"")</f>
        <v/>
      </c>
      <c r="K1609" s="8">
        <f>IF(C1609&lt;&gt;"",HYPERLINK("https://wa.me/507"&amp;REGEXREPLACE(C1609,"[^0-9]","")&amp;"?text="&amp;ENCODEURL("Ya llegue. Codigo: "&amp;A1609&amp;". Ubicacion: "&amp;"https://www.google.com/maps/search/?api=1&amp;query="&amp;SUBSTITUTE(F1609," ","")),"📲 Avisar al cliente"),"")</f>
        <v/>
      </c>
      <c r="L1609" s="8">
        <f>IF(C1609&lt;&gt;"","https://api.qrserver.com/v1/create-qr-code/?size=200x200&amp;data="&amp;ENCODEURL("https://wa.me/507"&amp;REGEXREPLACE(C1609,"[^0-9]","")&amp;"?text="&amp;ENCODEURL("Ya llegue. Codigo: "&amp;A1609&amp;". Ubicacion: "&amp;"https://www.google.com/maps/search/?api=1&amp;query="&amp;SUBSTITUTE(F1609," ",""))),"")</f>
        <v/>
      </c>
      <c r="M1609" s="8">
        <f>IF(B1609&lt;&gt;"",TODAY(),"")</f>
        <v/>
      </c>
      <c r="N1609" s="8">
        <f>IF(F1609&lt;&gt;"",IFERROR(IF(AND(REGEXMATCH(SUBSTITUTE(TRIM(F1609)," ",""),"^-?\d+(\.\d+)?,-?\d+(\.\d+)?$"),VALUE(REGEXEXTRACT(SUBSTITUTE(TRIM(F1609)," ",""),"^-?\d+(\.\d+)?"))&gt;=-90,VALUE(REGEXEXTRACT(SUBSTITUTE(TRIM(F1609)," ",""),"^-?\d+(\.\d+)?"))&lt;=90,VALUE(REGEXEXTRACT(SUBSTITUTE(TRIM(F1609)," ",""),"-?\d+(\.\d+)?$"))&gt;=-180,VALUE(REGEXEXTRACT(SUBSTITUTE(TRIM(F1609)," ",""),"-?\d+(\.\d+)?$"))&lt;=180),"OK","REVISAR"),"REVISAR"),"")</f>
        <v/>
      </c>
      <c r="O1609">
        <f>IF(A1609&lt;&gt;"","https://direcciones507.github.io/direcciones507/panel.html?codigo="&amp;A1609&amp;"&amp;nombre="&amp;ENCODEURL(B1609)&amp;"&amp;telefono="&amp;SUBSTITUTE(C1609,"-","")&amp;"&amp;referencia="&amp;ENCODEURL(E1609)&amp;"&amp;lat="&amp;IZQUIERDA(SUBSTITUTE(F1609," ",""),ENCONTRAR(",",SUBSTITUTE(F1609," ",""))-1)&amp;"&amp;lng="&amp;DERECHA(SUBSTITUTE(F1609," ",""),LARGO(SUBSTITUTE(F1609," ",""))-ENCONTRAR(",",SUBSTITUTE(F1609," ",""))),"")</f>
        <v/>
      </c>
    </row>
    <row r="1610" ht="15.75" customHeight="1" s="10">
      <c r="A1610" s="8">
        <f>CONCAT("AD507-",TEXT(ROW()-2,"0000"))</f>
        <v/>
      </c>
      <c r="C1610" s="8" t="n"/>
      <c r="F1610" s="8" t="n"/>
      <c r="G1610" s="8">
        <f>IF(F1610&lt;&gt;"",HYPERLINK("https://www.google.com/maps/search/?api=1&amp;query="&amp;SUBSTITUTE(F1610," ",""),"🗺 Google Maps"),"")</f>
        <v/>
      </c>
      <c r="H1610" s="8">
        <f>IF(F1610&lt;&gt;"",HYPERLINK("https://waze.com/ul?ll="&amp;SUBSTITUTE(F1610," ","")&amp;"&amp;navigate=yes","🚗 Waze"),"")</f>
        <v/>
      </c>
      <c r="I1610" s="8">
        <f>IF(F1610&lt;&gt;"",HYPERLINK("https://m.uber.com/ul/?action=setPickup&amp;pickup=my_location&amp;dropoff[latitude]="&amp;LEFT(SUBSTITUTE(F1610," ",""),FIND(",",SUBSTITUTE(F1610," ",""))-1)&amp;"&amp;dropoff[longitude]="&amp;MID(SUBSTITUTE(F1610," ",""),FIND(",",SUBSTITUTE(F1610," ",""))+1,99),"🚕 Uber"),"")</f>
        <v/>
      </c>
      <c r="J1610" s="8">
        <f>IF(F1610&lt;&gt;"","https://api.qrserver.com/v1/create-qr-code/?size=200x200&amp;data="&amp;ENCODEURL("https://www.google.com/maps/search/?api=1&amp;query="&amp;SUBSTITUTE(F1610," ","")),"")</f>
        <v/>
      </c>
      <c r="K1610" s="8">
        <f>IF(C1610&lt;&gt;"",HYPERLINK("https://wa.me/507"&amp;REGEXREPLACE(C1610,"[^0-9]","")&amp;"?text="&amp;ENCODEURL("Ya llegue. Codigo: "&amp;A1610&amp;". Ubicacion: "&amp;"https://www.google.com/maps/search/?api=1&amp;query="&amp;SUBSTITUTE(F1610," ","")),"📲 Avisar al cliente"),"")</f>
        <v/>
      </c>
      <c r="L1610" s="8">
        <f>IF(C1610&lt;&gt;"","https://api.qrserver.com/v1/create-qr-code/?size=200x200&amp;data="&amp;ENCODEURL("https://wa.me/507"&amp;REGEXREPLACE(C1610,"[^0-9]","")&amp;"?text="&amp;ENCODEURL("Ya llegue. Codigo: "&amp;A1610&amp;". Ubicacion: "&amp;"https://www.google.com/maps/search/?api=1&amp;query="&amp;SUBSTITUTE(F1610," ",""))),"")</f>
        <v/>
      </c>
      <c r="M1610" s="8">
        <f>IF(B1610&lt;&gt;"",TODAY(),"")</f>
        <v/>
      </c>
      <c r="N1610" s="8">
        <f>IF(F1610&lt;&gt;"",IFERROR(IF(AND(REGEXMATCH(SUBSTITUTE(TRIM(F1610)," ",""),"^-?\d+(\.\d+)?,-?\d+(\.\d+)?$"),VALUE(REGEXEXTRACT(SUBSTITUTE(TRIM(F1610)," ",""),"^-?\d+(\.\d+)?"))&gt;=-90,VALUE(REGEXEXTRACT(SUBSTITUTE(TRIM(F1610)," ",""),"^-?\d+(\.\d+)?"))&lt;=90,VALUE(REGEXEXTRACT(SUBSTITUTE(TRIM(F1610)," ",""),"-?\d+(\.\d+)?$"))&gt;=-180,VALUE(REGEXEXTRACT(SUBSTITUTE(TRIM(F1610)," ",""),"-?\d+(\.\d+)?$"))&lt;=180),"OK","REVISAR"),"REVISAR"),"")</f>
        <v/>
      </c>
      <c r="O1610">
        <f>IF(A1610&lt;&gt;"","https://direcciones507.github.io/direcciones507/panel.html?codigo="&amp;A1610&amp;"&amp;nombre="&amp;ENCODEURL(B1610)&amp;"&amp;telefono="&amp;SUBSTITUTE(C1610,"-","")&amp;"&amp;referencia="&amp;ENCODEURL(E1610)&amp;"&amp;lat="&amp;IZQUIERDA(SUBSTITUTE(F1610," ",""),ENCONTRAR(",",SUBSTITUTE(F1610," ",""))-1)&amp;"&amp;lng="&amp;DERECHA(SUBSTITUTE(F1610," ",""),LARGO(SUBSTITUTE(F1610," ",""))-ENCONTRAR(",",SUBSTITUTE(F1610," ",""))),"")</f>
        <v/>
      </c>
    </row>
    <row r="1611" ht="15.75" customHeight="1" s="10">
      <c r="A1611" s="8">
        <f>CONCAT("AD507-",TEXT(ROW()-2,"0000"))</f>
        <v/>
      </c>
      <c r="C1611" s="8" t="n"/>
      <c r="F1611" s="8" t="n"/>
      <c r="G1611" s="8">
        <f>IF(F1611&lt;&gt;"",HYPERLINK("https://www.google.com/maps/search/?api=1&amp;query="&amp;SUBSTITUTE(F1611," ",""),"🗺 Google Maps"),"")</f>
        <v/>
      </c>
      <c r="H1611" s="8">
        <f>IF(F1611&lt;&gt;"",HYPERLINK("https://waze.com/ul?ll="&amp;SUBSTITUTE(F1611," ","")&amp;"&amp;navigate=yes","🚗 Waze"),"")</f>
        <v/>
      </c>
      <c r="I1611" s="8">
        <f>IF(F1611&lt;&gt;"",HYPERLINK("https://m.uber.com/ul/?action=setPickup&amp;pickup=my_location&amp;dropoff[latitude]="&amp;LEFT(SUBSTITUTE(F1611," ",""),FIND(",",SUBSTITUTE(F1611," ",""))-1)&amp;"&amp;dropoff[longitude]="&amp;MID(SUBSTITUTE(F1611," ",""),FIND(",",SUBSTITUTE(F1611," ",""))+1,99),"🚕 Uber"),"")</f>
        <v/>
      </c>
      <c r="J1611" s="8">
        <f>IF(F1611&lt;&gt;"","https://api.qrserver.com/v1/create-qr-code/?size=200x200&amp;data="&amp;ENCODEURL("https://www.google.com/maps/search/?api=1&amp;query="&amp;SUBSTITUTE(F1611," ","")),"")</f>
        <v/>
      </c>
      <c r="K1611" s="8">
        <f>IF(C1611&lt;&gt;"",HYPERLINK("https://wa.me/507"&amp;REGEXREPLACE(C1611,"[^0-9]","")&amp;"?text="&amp;ENCODEURL("Ya llegue. Codigo: "&amp;A1611&amp;". Ubicacion: "&amp;"https://www.google.com/maps/search/?api=1&amp;query="&amp;SUBSTITUTE(F1611," ","")),"📲 Avisar al cliente"),"")</f>
        <v/>
      </c>
      <c r="L1611" s="8">
        <f>IF(C1611&lt;&gt;"","https://api.qrserver.com/v1/create-qr-code/?size=200x200&amp;data="&amp;ENCODEURL("https://wa.me/507"&amp;REGEXREPLACE(C1611,"[^0-9]","")&amp;"?text="&amp;ENCODEURL("Ya llegue. Codigo: "&amp;A1611&amp;". Ubicacion: "&amp;"https://www.google.com/maps/search/?api=1&amp;query="&amp;SUBSTITUTE(F1611," ",""))),"")</f>
        <v/>
      </c>
      <c r="M1611" s="8">
        <f>IF(B1611&lt;&gt;"",TODAY(),"")</f>
        <v/>
      </c>
      <c r="N1611" s="8">
        <f>IF(F1611&lt;&gt;"",IFERROR(IF(AND(REGEXMATCH(SUBSTITUTE(TRIM(F1611)," ",""),"^-?\d+(\.\d+)?,-?\d+(\.\d+)?$"),VALUE(REGEXEXTRACT(SUBSTITUTE(TRIM(F1611)," ",""),"^-?\d+(\.\d+)?"))&gt;=-90,VALUE(REGEXEXTRACT(SUBSTITUTE(TRIM(F1611)," ",""),"^-?\d+(\.\d+)?"))&lt;=90,VALUE(REGEXEXTRACT(SUBSTITUTE(TRIM(F1611)," ",""),"-?\d+(\.\d+)?$"))&gt;=-180,VALUE(REGEXEXTRACT(SUBSTITUTE(TRIM(F1611)," ",""),"-?\d+(\.\d+)?$"))&lt;=180),"OK","REVISAR"),"REVISAR"),"")</f>
        <v/>
      </c>
      <c r="O1611">
        <f>IF(A1611&lt;&gt;"","https://direcciones507.github.io/direcciones507/panel.html?codigo="&amp;A1611&amp;"&amp;nombre="&amp;ENCODEURL(B1611)&amp;"&amp;telefono="&amp;SUBSTITUTE(C1611,"-","")&amp;"&amp;referencia="&amp;ENCODEURL(E1611)&amp;"&amp;lat="&amp;IZQUIERDA(SUBSTITUTE(F1611," ",""),ENCONTRAR(",",SUBSTITUTE(F1611," ",""))-1)&amp;"&amp;lng="&amp;DERECHA(SUBSTITUTE(F1611," ",""),LARGO(SUBSTITUTE(F1611," ",""))-ENCONTRAR(",",SUBSTITUTE(F1611," ",""))),"")</f>
        <v/>
      </c>
    </row>
    <row r="1612" ht="15.75" customHeight="1" s="10">
      <c r="A1612" s="8">
        <f>CONCAT("AD507-",TEXT(ROW()-2,"0000"))</f>
        <v/>
      </c>
      <c r="C1612" s="8" t="n"/>
      <c r="F1612" s="8" t="n"/>
      <c r="G1612" s="8">
        <f>IF(F1612&lt;&gt;"",HYPERLINK("https://www.google.com/maps/search/?api=1&amp;query="&amp;SUBSTITUTE(F1612," ",""),"🗺 Google Maps"),"")</f>
        <v/>
      </c>
      <c r="H1612" s="8">
        <f>IF(F1612&lt;&gt;"",HYPERLINK("https://waze.com/ul?ll="&amp;SUBSTITUTE(F1612," ","")&amp;"&amp;navigate=yes","🚗 Waze"),"")</f>
        <v/>
      </c>
      <c r="I1612" s="8">
        <f>IF(F1612&lt;&gt;"",HYPERLINK("https://m.uber.com/ul/?action=setPickup&amp;pickup=my_location&amp;dropoff[latitude]="&amp;LEFT(SUBSTITUTE(F1612," ",""),FIND(",",SUBSTITUTE(F1612," ",""))-1)&amp;"&amp;dropoff[longitude]="&amp;MID(SUBSTITUTE(F1612," ",""),FIND(",",SUBSTITUTE(F1612," ",""))+1,99),"🚕 Uber"),"")</f>
        <v/>
      </c>
      <c r="J1612" s="8">
        <f>IF(F1612&lt;&gt;"","https://api.qrserver.com/v1/create-qr-code/?size=200x200&amp;data="&amp;ENCODEURL("https://www.google.com/maps/search/?api=1&amp;query="&amp;SUBSTITUTE(F1612," ","")),"")</f>
        <v/>
      </c>
      <c r="K1612" s="8">
        <f>IF(C1612&lt;&gt;"",HYPERLINK("https://wa.me/507"&amp;REGEXREPLACE(C1612,"[^0-9]","")&amp;"?text="&amp;ENCODEURL("Ya llegue. Codigo: "&amp;A1612&amp;". Ubicacion: "&amp;"https://www.google.com/maps/search/?api=1&amp;query="&amp;SUBSTITUTE(F1612," ","")),"📲 Avisar al cliente"),"")</f>
        <v/>
      </c>
      <c r="L1612" s="8">
        <f>IF(C1612&lt;&gt;"","https://api.qrserver.com/v1/create-qr-code/?size=200x200&amp;data="&amp;ENCODEURL("https://wa.me/507"&amp;REGEXREPLACE(C1612,"[^0-9]","")&amp;"?text="&amp;ENCODEURL("Ya llegue. Codigo: "&amp;A1612&amp;". Ubicacion: "&amp;"https://www.google.com/maps/search/?api=1&amp;query="&amp;SUBSTITUTE(F1612," ",""))),"")</f>
        <v/>
      </c>
      <c r="M1612" s="8">
        <f>IF(B1612&lt;&gt;"",TODAY(),"")</f>
        <v/>
      </c>
      <c r="N1612" s="8">
        <f>IF(F1612&lt;&gt;"",IFERROR(IF(AND(REGEXMATCH(SUBSTITUTE(TRIM(F1612)," ",""),"^-?\d+(\.\d+)?,-?\d+(\.\d+)?$"),VALUE(REGEXEXTRACT(SUBSTITUTE(TRIM(F1612)," ",""),"^-?\d+(\.\d+)?"))&gt;=-90,VALUE(REGEXEXTRACT(SUBSTITUTE(TRIM(F1612)," ",""),"^-?\d+(\.\d+)?"))&lt;=90,VALUE(REGEXEXTRACT(SUBSTITUTE(TRIM(F1612)," ",""),"-?\d+(\.\d+)?$"))&gt;=-180,VALUE(REGEXEXTRACT(SUBSTITUTE(TRIM(F1612)," ",""),"-?\d+(\.\d+)?$"))&lt;=180),"OK","REVISAR"),"REVISAR"),"")</f>
        <v/>
      </c>
      <c r="O1612">
        <f>IF(A1612&lt;&gt;"","https://direcciones507.github.io/direcciones507/panel.html?codigo="&amp;A1612&amp;"&amp;nombre="&amp;ENCODEURL(B1612)&amp;"&amp;telefono="&amp;SUBSTITUTE(C1612,"-","")&amp;"&amp;referencia="&amp;ENCODEURL(E1612)&amp;"&amp;lat="&amp;IZQUIERDA(SUBSTITUTE(F1612," ",""),ENCONTRAR(",",SUBSTITUTE(F1612," ",""))-1)&amp;"&amp;lng="&amp;DERECHA(SUBSTITUTE(F1612," ",""),LARGO(SUBSTITUTE(F1612," ",""))-ENCONTRAR(",",SUBSTITUTE(F1612," ",""))),"")</f>
        <v/>
      </c>
    </row>
    <row r="1613" ht="15.75" customHeight="1" s="10">
      <c r="A1613" s="8">
        <f>CONCAT("AD507-",TEXT(ROW()-2,"0000"))</f>
        <v/>
      </c>
      <c r="C1613" s="8" t="n"/>
      <c r="F1613" s="8" t="n"/>
      <c r="G1613" s="8">
        <f>IF(F1613&lt;&gt;"",HYPERLINK("https://www.google.com/maps/search/?api=1&amp;query="&amp;SUBSTITUTE(F1613," ",""),"🗺 Google Maps"),"")</f>
        <v/>
      </c>
      <c r="H1613" s="8">
        <f>IF(F1613&lt;&gt;"",HYPERLINK("https://waze.com/ul?ll="&amp;SUBSTITUTE(F1613," ","")&amp;"&amp;navigate=yes","🚗 Waze"),"")</f>
        <v/>
      </c>
      <c r="I1613" s="8">
        <f>IF(F1613&lt;&gt;"",HYPERLINK("https://m.uber.com/ul/?action=setPickup&amp;pickup=my_location&amp;dropoff[latitude]="&amp;LEFT(SUBSTITUTE(F1613," ",""),FIND(",",SUBSTITUTE(F1613," ",""))-1)&amp;"&amp;dropoff[longitude]="&amp;MID(SUBSTITUTE(F1613," ",""),FIND(",",SUBSTITUTE(F1613," ",""))+1,99),"🚕 Uber"),"")</f>
        <v/>
      </c>
      <c r="J1613" s="8">
        <f>IF(F1613&lt;&gt;"","https://api.qrserver.com/v1/create-qr-code/?size=200x200&amp;data="&amp;ENCODEURL("https://www.google.com/maps/search/?api=1&amp;query="&amp;SUBSTITUTE(F1613," ","")),"")</f>
        <v/>
      </c>
      <c r="K1613" s="8">
        <f>IF(C1613&lt;&gt;"",HYPERLINK("https://wa.me/507"&amp;REGEXREPLACE(C1613,"[^0-9]","")&amp;"?text="&amp;ENCODEURL("Ya llegue. Codigo: "&amp;A1613&amp;". Ubicacion: "&amp;"https://www.google.com/maps/search/?api=1&amp;query="&amp;SUBSTITUTE(F1613," ","")),"📲 Avisar al cliente"),"")</f>
        <v/>
      </c>
      <c r="L1613" s="8">
        <f>IF(C1613&lt;&gt;"","https://api.qrserver.com/v1/create-qr-code/?size=200x200&amp;data="&amp;ENCODEURL("https://wa.me/507"&amp;REGEXREPLACE(C1613,"[^0-9]","")&amp;"?text="&amp;ENCODEURL("Ya llegue. Codigo: "&amp;A1613&amp;". Ubicacion: "&amp;"https://www.google.com/maps/search/?api=1&amp;query="&amp;SUBSTITUTE(F1613," ",""))),"")</f>
        <v/>
      </c>
      <c r="M1613" s="8">
        <f>IF(B1613&lt;&gt;"",TODAY(),"")</f>
        <v/>
      </c>
      <c r="N1613" s="8">
        <f>IF(F1613&lt;&gt;"",IFERROR(IF(AND(REGEXMATCH(SUBSTITUTE(TRIM(F1613)," ",""),"^-?\d+(\.\d+)?,-?\d+(\.\d+)?$"),VALUE(REGEXEXTRACT(SUBSTITUTE(TRIM(F1613)," ",""),"^-?\d+(\.\d+)?"))&gt;=-90,VALUE(REGEXEXTRACT(SUBSTITUTE(TRIM(F1613)," ",""),"^-?\d+(\.\d+)?"))&lt;=90,VALUE(REGEXEXTRACT(SUBSTITUTE(TRIM(F1613)," ",""),"-?\d+(\.\d+)?$"))&gt;=-180,VALUE(REGEXEXTRACT(SUBSTITUTE(TRIM(F1613)," ",""),"-?\d+(\.\d+)?$"))&lt;=180),"OK","REVISAR"),"REVISAR"),"")</f>
        <v/>
      </c>
      <c r="O1613">
        <f>IF(A1613&lt;&gt;"","https://direcciones507.github.io/direcciones507/panel.html?codigo="&amp;A1613&amp;"&amp;nombre="&amp;ENCODEURL(B1613)&amp;"&amp;telefono="&amp;SUBSTITUTE(C1613,"-","")&amp;"&amp;referencia="&amp;ENCODEURL(E1613)&amp;"&amp;lat="&amp;IZQUIERDA(SUBSTITUTE(F1613," ",""),ENCONTRAR(",",SUBSTITUTE(F1613," ",""))-1)&amp;"&amp;lng="&amp;DERECHA(SUBSTITUTE(F1613," ",""),LARGO(SUBSTITUTE(F1613," ",""))-ENCONTRAR(",",SUBSTITUTE(F1613," ",""))),"")</f>
        <v/>
      </c>
    </row>
    <row r="1614" ht="15.75" customHeight="1" s="10">
      <c r="A1614" s="8">
        <f>CONCAT("AD507-",TEXT(ROW()-2,"0000"))</f>
        <v/>
      </c>
      <c r="C1614" s="8" t="n"/>
      <c r="F1614" s="8" t="n"/>
      <c r="G1614" s="8">
        <f>IF(F1614&lt;&gt;"",HYPERLINK("https://www.google.com/maps/search/?api=1&amp;query="&amp;SUBSTITUTE(F1614," ",""),"🗺 Google Maps"),"")</f>
        <v/>
      </c>
      <c r="H1614" s="8">
        <f>IF(F1614&lt;&gt;"",HYPERLINK("https://waze.com/ul?ll="&amp;SUBSTITUTE(F1614," ","")&amp;"&amp;navigate=yes","🚗 Waze"),"")</f>
        <v/>
      </c>
      <c r="I1614" s="8">
        <f>IF(F1614&lt;&gt;"",HYPERLINK("https://m.uber.com/ul/?action=setPickup&amp;pickup=my_location&amp;dropoff[latitude]="&amp;LEFT(SUBSTITUTE(F1614," ",""),FIND(",",SUBSTITUTE(F1614," ",""))-1)&amp;"&amp;dropoff[longitude]="&amp;MID(SUBSTITUTE(F1614," ",""),FIND(",",SUBSTITUTE(F1614," ",""))+1,99),"🚕 Uber"),"")</f>
        <v/>
      </c>
      <c r="J1614" s="8">
        <f>IF(F1614&lt;&gt;"","https://api.qrserver.com/v1/create-qr-code/?size=200x200&amp;data="&amp;ENCODEURL("https://www.google.com/maps/search/?api=1&amp;query="&amp;SUBSTITUTE(F1614," ","")),"")</f>
        <v/>
      </c>
      <c r="K1614" s="8">
        <f>IF(C1614&lt;&gt;"",HYPERLINK("https://wa.me/507"&amp;REGEXREPLACE(C1614,"[^0-9]","")&amp;"?text="&amp;ENCODEURL("Ya llegue. Codigo: "&amp;A1614&amp;". Ubicacion: "&amp;"https://www.google.com/maps/search/?api=1&amp;query="&amp;SUBSTITUTE(F1614," ","")),"📲 Avisar al cliente"),"")</f>
        <v/>
      </c>
      <c r="L1614" s="8">
        <f>IF(C1614&lt;&gt;"","https://api.qrserver.com/v1/create-qr-code/?size=200x200&amp;data="&amp;ENCODEURL("https://wa.me/507"&amp;REGEXREPLACE(C1614,"[^0-9]","")&amp;"?text="&amp;ENCODEURL("Ya llegue. Codigo: "&amp;A1614&amp;". Ubicacion: "&amp;"https://www.google.com/maps/search/?api=1&amp;query="&amp;SUBSTITUTE(F1614," ",""))),"")</f>
        <v/>
      </c>
      <c r="M1614" s="8">
        <f>IF(B1614&lt;&gt;"",TODAY(),"")</f>
        <v/>
      </c>
      <c r="N1614" s="8">
        <f>IF(F1614&lt;&gt;"",IFERROR(IF(AND(REGEXMATCH(SUBSTITUTE(TRIM(F1614)," ",""),"^-?\d+(\.\d+)?,-?\d+(\.\d+)?$"),VALUE(REGEXEXTRACT(SUBSTITUTE(TRIM(F1614)," ",""),"^-?\d+(\.\d+)?"))&gt;=-90,VALUE(REGEXEXTRACT(SUBSTITUTE(TRIM(F1614)," ",""),"^-?\d+(\.\d+)?"))&lt;=90,VALUE(REGEXEXTRACT(SUBSTITUTE(TRIM(F1614)," ",""),"-?\d+(\.\d+)?$"))&gt;=-180,VALUE(REGEXEXTRACT(SUBSTITUTE(TRIM(F1614)," ",""),"-?\d+(\.\d+)?$"))&lt;=180),"OK","REVISAR"),"REVISAR"),"")</f>
        <v/>
      </c>
      <c r="O1614">
        <f>IF(A1614&lt;&gt;"","https://direcciones507.github.io/direcciones507/panel.html?codigo="&amp;A1614&amp;"&amp;nombre="&amp;ENCODEURL(B1614)&amp;"&amp;telefono="&amp;SUBSTITUTE(C1614,"-","")&amp;"&amp;referencia="&amp;ENCODEURL(E1614)&amp;"&amp;lat="&amp;IZQUIERDA(SUBSTITUTE(F1614," ",""),ENCONTRAR(",",SUBSTITUTE(F1614," ",""))-1)&amp;"&amp;lng="&amp;DERECHA(SUBSTITUTE(F1614," ",""),LARGO(SUBSTITUTE(F1614," ",""))-ENCONTRAR(",",SUBSTITUTE(F1614," ",""))),"")</f>
        <v/>
      </c>
    </row>
    <row r="1615" ht="15.75" customHeight="1" s="10">
      <c r="A1615" s="8">
        <f>CONCAT("AD507-",TEXT(ROW()-2,"0000"))</f>
        <v/>
      </c>
      <c r="C1615" s="8" t="n"/>
      <c r="F1615" s="8" t="n"/>
      <c r="G1615" s="8">
        <f>IF(F1615&lt;&gt;"",HYPERLINK("https://www.google.com/maps/search/?api=1&amp;query="&amp;SUBSTITUTE(F1615," ",""),"🗺 Google Maps"),"")</f>
        <v/>
      </c>
      <c r="H1615" s="8">
        <f>IF(F1615&lt;&gt;"",HYPERLINK("https://waze.com/ul?ll="&amp;SUBSTITUTE(F1615," ","")&amp;"&amp;navigate=yes","🚗 Waze"),"")</f>
        <v/>
      </c>
      <c r="I1615" s="8">
        <f>IF(F1615&lt;&gt;"",HYPERLINK("https://m.uber.com/ul/?action=setPickup&amp;pickup=my_location&amp;dropoff[latitude]="&amp;LEFT(SUBSTITUTE(F1615," ",""),FIND(",",SUBSTITUTE(F1615," ",""))-1)&amp;"&amp;dropoff[longitude]="&amp;MID(SUBSTITUTE(F1615," ",""),FIND(",",SUBSTITUTE(F1615," ",""))+1,99),"🚕 Uber"),"")</f>
        <v/>
      </c>
      <c r="J1615" s="8">
        <f>IF(F1615&lt;&gt;"","https://api.qrserver.com/v1/create-qr-code/?size=200x200&amp;data="&amp;ENCODEURL("https://www.google.com/maps/search/?api=1&amp;query="&amp;SUBSTITUTE(F1615," ","")),"")</f>
        <v/>
      </c>
      <c r="K1615" s="8">
        <f>IF(C1615&lt;&gt;"",HYPERLINK("https://wa.me/507"&amp;REGEXREPLACE(C1615,"[^0-9]","")&amp;"?text="&amp;ENCODEURL("Ya llegue. Codigo: "&amp;A1615&amp;". Ubicacion: "&amp;"https://www.google.com/maps/search/?api=1&amp;query="&amp;SUBSTITUTE(F1615," ","")),"📲 Avisar al cliente"),"")</f>
        <v/>
      </c>
      <c r="L1615" s="8">
        <f>IF(C1615&lt;&gt;"","https://api.qrserver.com/v1/create-qr-code/?size=200x200&amp;data="&amp;ENCODEURL("https://wa.me/507"&amp;REGEXREPLACE(C1615,"[^0-9]","")&amp;"?text="&amp;ENCODEURL("Ya llegue. Codigo: "&amp;A1615&amp;". Ubicacion: "&amp;"https://www.google.com/maps/search/?api=1&amp;query="&amp;SUBSTITUTE(F1615," ",""))),"")</f>
        <v/>
      </c>
      <c r="M1615" s="8">
        <f>IF(B1615&lt;&gt;"",TODAY(),"")</f>
        <v/>
      </c>
      <c r="N1615" s="8">
        <f>IF(F1615&lt;&gt;"",IFERROR(IF(AND(REGEXMATCH(SUBSTITUTE(TRIM(F1615)," ",""),"^-?\d+(\.\d+)?,-?\d+(\.\d+)?$"),VALUE(REGEXEXTRACT(SUBSTITUTE(TRIM(F1615)," ",""),"^-?\d+(\.\d+)?"))&gt;=-90,VALUE(REGEXEXTRACT(SUBSTITUTE(TRIM(F1615)," ",""),"^-?\d+(\.\d+)?"))&lt;=90,VALUE(REGEXEXTRACT(SUBSTITUTE(TRIM(F1615)," ",""),"-?\d+(\.\d+)?$"))&gt;=-180,VALUE(REGEXEXTRACT(SUBSTITUTE(TRIM(F1615)," ",""),"-?\d+(\.\d+)?$"))&lt;=180),"OK","REVISAR"),"REVISAR"),"")</f>
        <v/>
      </c>
      <c r="O1615">
        <f>IF(A1615&lt;&gt;"","https://direcciones507.github.io/direcciones507/panel.html?codigo="&amp;A1615&amp;"&amp;nombre="&amp;ENCODEURL(B1615)&amp;"&amp;telefono="&amp;SUBSTITUTE(C1615,"-","")&amp;"&amp;referencia="&amp;ENCODEURL(E1615)&amp;"&amp;lat="&amp;IZQUIERDA(SUBSTITUTE(F1615," ",""),ENCONTRAR(",",SUBSTITUTE(F1615," ",""))-1)&amp;"&amp;lng="&amp;DERECHA(SUBSTITUTE(F1615," ",""),LARGO(SUBSTITUTE(F1615," ",""))-ENCONTRAR(",",SUBSTITUTE(F1615," ",""))),"")</f>
        <v/>
      </c>
    </row>
    <row r="1616" ht="15.75" customHeight="1" s="10">
      <c r="A1616" s="8">
        <f>CONCAT("AD507-",TEXT(ROW()-2,"0000"))</f>
        <v/>
      </c>
      <c r="C1616" s="8" t="n"/>
      <c r="F1616" s="8" t="n"/>
      <c r="G1616" s="8">
        <f>IF(F1616&lt;&gt;"",HYPERLINK("https://www.google.com/maps/search/?api=1&amp;query="&amp;SUBSTITUTE(F1616," ",""),"🗺 Google Maps"),"")</f>
        <v/>
      </c>
      <c r="H1616" s="8">
        <f>IF(F1616&lt;&gt;"",HYPERLINK("https://waze.com/ul?ll="&amp;SUBSTITUTE(F1616," ","")&amp;"&amp;navigate=yes","🚗 Waze"),"")</f>
        <v/>
      </c>
      <c r="I1616" s="8">
        <f>IF(F1616&lt;&gt;"",HYPERLINK("https://m.uber.com/ul/?action=setPickup&amp;pickup=my_location&amp;dropoff[latitude]="&amp;LEFT(SUBSTITUTE(F1616," ",""),FIND(",",SUBSTITUTE(F1616," ",""))-1)&amp;"&amp;dropoff[longitude]="&amp;MID(SUBSTITUTE(F1616," ",""),FIND(",",SUBSTITUTE(F1616," ",""))+1,99),"🚕 Uber"),"")</f>
        <v/>
      </c>
      <c r="J1616" s="8">
        <f>IF(F1616&lt;&gt;"","https://api.qrserver.com/v1/create-qr-code/?size=200x200&amp;data="&amp;ENCODEURL("https://www.google.com/maps/search/?api=1&amp;query="&amp;SUBSTITUTE(F1616," ","")),"")</f>
        <v/>
      </c>
      <c r="K1616" s="8">
        <f>IF(C1616&lt;&gt;"",HYPERLINK("https://wa.me/507"&amp;REGEXREPLACE(C1616,"[^0-9]","")&amp;"?text="&amp;ENCODEURL("Ya llegue. Codigo: "&amp;A1616&amp;". Ubicacion: "&amp;"https://www.google.com/maps/search/?api=1&amp;query="&amp;SUBSTITUTE(F1616," ","")),"📲 Avisar al cliente"),"")</f>
        <v/>
      </c>
      <c r="L1616" s="8">
        <f>IF(C1616&lt;&gt;"","https://api.qrserver.com/v1/create-qr-code/?size=200x200&amp;data="&amp;ENCODEURL("https://wa.me/507"&amp;REGEXREPLACE(C1616,"[^0-9]","")&amp;"?text="&amp;ENCODEURL("Ya llegue. Codigo: "&amp;A1616&amp;". Ubicacion: "&amp;"https://www.google.com/maps/search/?api=1&amp;query="&amp;SUBSTITUTE(F1616," ",""))),"")</f>
        <v/>
      </c>
      <c r="M1616" s="8">
        <f>IF(B1616&lt;&gt;"",TODAY(),"")</f>
        <v/>
      </c>
      <c r="N1616" s="8">
        <f>IF(F1616&lt;&gt;"",IFERROR(IF(AND(REGEXMATCH(SUBSTITUTE(TRIM(F1616)," ",""),"^-?\d+(\.\d+)?,-?\d+(\.\d+)?$"),VALUE(REGEXEXTRACT(SUBSTITUTE(TRIM(F1616)," ",""),"^-?\d+(\.\d+)?"))&gt;=-90,VALUE(REGEXEXTRACT(SUBSTITUTE(TRIM(F1616)," ",""),"^-?\d+(\.\d+)?"))&lt;=90,VALUE(REGEXEXTRACT(SUBSTITUTE(TRIM(F1616)," ",""),"-?\d+(\.\d+)?$"))&gt;=-180,VALUE(REGEXEXTRACT(SUBSTITUTE(TRIM(F1616)," ",""),"-?\d+(\.\d+)?$"))&lt;=180),"OK","REVISAR"),"REVISAR"),"")</f>
        <v/>
      </c>
      <c r="O1616">
        <f>IF(A1616&lt;&gt;"","https://direcciones507.github.io/direcciones507/panel.html?codigo="&amp;A1616&amp;"&amp;nombre="&amp;ENCODEURL(B1616)&amp;"&amp;telefono="&amp;SUBSTITUTE(C1616,"-","")&amp;"&amp;referencia="&amp;ENCODEURL(E1616)&amp;"&amp;lat="&amp;IZQUIERDA(SUBSTITUTE(F1616," ",""),ENCONTRAR(",",SUBSTITUTE(F1616," ",""))-1)&amp;"&amp;lng="&amp;DERECHA(SUBSTITUTE(F1616," ",""),LARGO(SUBSTITUTE(F1616," ",""))-ENCONTRAR(",",SUBSTITUTE(F1616," ",""))),"")</f>
        <v/>
      </c>
    </row>
    <row r="1617" ht="15.75" customHeight="1" s="10">
      <c r="A1617" s="8">
        <f>CONCAT("AD507-",TEXT(ROW()-2,"0000"))</f>
        <v/>
      </c>
      <c r="C1617" s="8" t="n"/>
      <c r="F1617" s="8" t="n"/>
      <c r="G1617" s="8">
        <f>IF(F1617&lt;&gt;"",HYPERLINK("https://www.google.com/maps/search/?api=1&amp;query="&amp;SUBSTITUTE(F1617," ",""),"🗺 Google Maps"),"")</f>
        <v/>
      </c>
      <c r="H1617" s="8">
        <f>IF(F1617&lt;&gt;"",HYPERLINK("https://waze.com/ul?ll="&amp;SUBSTITUTE(F1617," ","")&amp;"&amp;navigate=yes","🚗 Waze"),"")</f>
        <v/>
      </c>
      <c r="I1617" s="8">
        <f>IF(F1617&lt;&gt;"",HYPERLINK("https://m.uber.com/ul/?action=setPickup&amp;pickup=my_location&amp;dropoff[latitude]="&amp;LEFT(SUBSTITUTE(F1617," ",""),FIND(",",SUBSTITUTE(F1617," ",""))-1)&amp;"&amp;dropoff[longitude]="&amp;MID(SUBSTITUTE(F1617," ",""),FIND(",",SUBSTITUTE(F1617," ",""))+1,99),"🚕 Uber"),"")</f>
        <v/>
      </c>
      <c r="J1617" s="8">
        <f>IF(F1617&lt;&gt;"","https://api.qrserver.com/v1/create-qr-code/?size=200x200&amp;data="&amp;ENCODEURL("https://www.google.com/maps/search/?api=1&amp;query="&amp;SUBSTITUTE(F1617," ","")),"")</f>
        <v/>
      </c>
      <c r="K1617" s="8">
        <f>IF(C1617&lt;&gt;"",HYPERLINK("https://wa.me/507"&amp;REGEXREPLACE(C1617,"[^0-9]","")&amp;"?text="&amp;ENCODEURL("Ya llegue. Codigo: "&amp;A1617&amp;". Ubicacion: "&amp;"https://www.google.com/maps/search/?api=1&amp;query="&amp;SUBSTITUTE(F1617," ","")),"📲 Avisar al cliente"),"")</f>
        <v/>
      </c>
      <c r="L1617" s="8">
        <f>IF(C1617&lt;&gt;"","https://api.qrserver.com/v1/create-qr-code/?size=200x200&amp;data="&amp;ENCODEURL("https://wa.me/507"&amp;REGEXREPLACE(C1617,"[^0-9]","")&amp;"?text="&amp;ENCODEURL("Ya llegue. Codigo: "&amp;A1617&amp;". Ubicacion: "&amp;"https://www.google.com/maps/search/?api=1&amp;query="&amp;SUBSTITUTE(F1617," ",""))),"")</f>
        <v/>
      </c>
      <c r="M1617" s="8">
        <f>IF(B1617&lt;&gt;"",TODAY(),"")</f>
        <v/>
      </c>
      <c r="N1617" s="8">
        <f>IF(F1617&lt;&gt;"",IFERROR(IF(AND(REGEXMATCH(SUBSTITUTE(TRIM(F1617)," ",""),"^-?\d+(\.\d+)?,-?\d+(\.\d+)?$"),VALUE(REGEXEXTRACT(SUBSTITUTE(TRIM(F1617)," ",""),"^-?\d+(\.\d+)?"))&gt;=-90,VALUE(REGEXEXTRACT(SUBSTITUTE(TRIM(F1617)," ",""),"^-?\d+(\.\d+)?"))&lt;=90,VALUE(REGEXEXTRACT(SUBSTITUTE(TRIM(F1617)," ",""),"-?\d+(\.\d+)?$"))&gt;=-180,VALUE(REGEXEXTRACT(SUBSTITUTE(TRIM(F1617)," ",""),"-?\d+(\.\d+)?$"))&lt;=180),"OK","REVISAR"),"REVISAR"),"")</f>
        <v/>
      </c>
      <c r="O1617">
        <f>IF(A1617&lt;&gt;"","https://direcciones507.github.io/direcciones507/panel.html?codigo="&amp;A1617&amp;"&amp;nombre="&amp;ENCODEURL(B1617)&amp;"&amp;telefono="&amp;SUBSTITUTE(C1617,"-","")&amp;"&amp;referencia="&amp;ENCODEURL(E1617)&amp;"&amp;lat="&amp;IZQUIERDA(SUBSTITUTE(F1617," ",""),ENCONTRAR(",",SUBSTITUTE(F1617," ",""))-1)&amp;"&amp;lng="&amp;DERECHA(SUBSTITUTE(F1617," ",""),LARGO(SUBSTITUTE(F1617," ",""))-ENCONTRAR(",",SUBSTITUTE(F1617," ",""))),"")</f>
        <v/>
      </c>
    </row>
    <row r="1618" ht="15.75" customHeight="1" s="10">
      <c r="A1618" s="8">
        <f>CONCAT("AD507-",TEXT(ROW()-2,"0000"))</f>
        <v/>
      </c>
      <c r="C1618" s="8" t="n"/>
      <c r="F1618" s="8" t="n"/>
      <c r="G1618" s="8">
        <f>IF(F1618&lt;&gt;"",HYPERLINK("https://www.google.com/maps/search/?api=1&amp;query="&amp;SUBSTITUTE(F1618," ",""),"🗺 Google Maps"),"")</f>
        <v/>
      </c>
      <c r="H1618" s="8">
        <f>IF(F1618&lt;&gt;"",HYPERLINK("https://waze.com/ul?ll="&amp;SUBSTITUTE(F1618," ","")&amp;"&amp;navigate=yes","🚗 Waze"),"")</f>
        <v/>
      </c>
      <c r="I1618" s="8">
        <f>IF(F1618&lt;&gt;"",HYPERLINK("https://m.uber.com/ul/?action=setPickup&amp;pickup=my_location&amp;dropoff[latitude]="&amp;LEFT(SUBSTITUTE(F1618," ",""),FIND(",",SUBSTITUTE(F1618," ",""))-1)&amp;"&amp;dropoff[longitude]="&amp;MID(SUBSTITUTE(F1618," ",""),FIND(",",SUBSTITUTE(F1618," ",""))+1,99),"🚕 Uber"),"")</f>
        <v/>
      </c>
      <c r="J1618" s="8">
        <f>IF(F1618&lt;&gt;"","https://api.qrserver.com/v1/create-qr-code/?size=200x200&amp;data="&amp;ENCODEURL("https://www.google.com/maps/search/?api=1&amp;query="&amp;SUBSTITUTE(F1618," ","")),"")</f>
        <v/>
      </c>
      <c r="K1618" s="8">
        <f>IF(C1618&lt;&gt;"",HYPERLINK("https://wa.me/507"&amp;REGEXREPLACE(C1618,"[^0-9]","")&amp;"?text="&amp;ENCODEURL("Ya llegue. Codigo: "&amp;A1618&amp;". Ubicacion: "&amp;"https://www.google.com/maps/search/?api=1&amp;query="&amp;SUBSTITUTE(F1618," ","")),"📲 Avisar al cliente"),"")</f>
        <v/>
      </c>
      <c r="L1618" s="8">
        <f>IF(C1618&lt;&gt;"","https://api.qrserver.com/v1/create-qr-code/?size=200x200&amp;data="&amp;ENCODEURL("https://wa.me/507"&amp;REGEXREPLACE(C1618,"[^0-9]","")&amp;"?text="&amp;ENCODEURL("Ya llegue. Codigo: "&amp;A1618&amp;". Ubicacion: "&amp;"https://www.google.com/maps/search/?api=1&amp;query="&amp;SUBSTITUTE(F1618," ",""))),"")</f>
        <v/>
      </c>
      <c r="M1618" s="8">
        <f>IF(B1618&lt;&gt;"",TODAY(),"")</f>
        <v/>
      </c>
      <c r="N1618" s="8">
        <f>IF(F1618&lt;&gt;"",IFERROR(IF(AND(REGEXMATCH(SUBSTITUTE(TRIM(F1618)," ",""),"^-?\d+(\.\d+)?,-?\d+(\.\d+)?$"),VALUE(REGEXEXTRACT(SUBSTITUTE(TRIM(F1618)," ",""),"^-?\d+(\.\d+)?"))&gt;=-90,VALUE(REGEXEXTRACT(SUBSTITUTE(TRIM(F1618)," ",""),"^-?\d+(\.\d+)?"))&lt;=90,VALUE(REGEXEXTRACT(SUBSTITUTE(TRIM(F1618)," ",""),"-?\d+(\.\d+)?$"))&gt;=-180,VALUE(REGEXEXTRACT(SUBSTITUTE(TRIM(F1618)," ",""),"-?\d+(\.\d+)?$"))&lt;=180),"OK","REVISAR"),"REVISAR"),"")</f>
        <v/>
      </c>
      <c r="O1618">
        <f>IF(A1618&lt;&gt;"","https://direcciones507.github.io/direcciones507/panel.html?codigo="&amp;A1618&amp;"&amp;nombre="&amp;ENCODEURL(B1618)&amp;"&amp;telefono="&amp;SUBSTITUTE(C1618,"-","")&amp;"&amp;referencia="&amp;ENCODEURL(E1618)&amp;"&amp;lat="&amp;IZQUIERDA(SUBSTITUTE(F1618," ",""),ENCONTRAR(",",SUBSTITUTE(F1618," ",""))-1)&amp;"&amp;lng="&amp;DERECHA(SUBSTITUTE(F1618," ",""),LARGO(SUBSTITUTE(F1618," ",""))-ENCONTRAR(",",SUBSTITUTE(F1618," ",""))),"")</f>
        <v/>
      </c>
    </row>
    <row r="1619" ht="15.75" customHeight="1" s="10">
      <c r="A1619" s="8">
        <f>CONCAT("AD507-",TEXT(ROW()-2,"0000"))</f>
        <v/>
      </c>
      <c r="C1619" s="8" t="n"/>
      <c r="F1619" s="8" t="n"/>
      <c r="G1619" s="8">
        <f>IF(F1619&lt;&gt;"",HYPERLINK("https://www.google.com/maps/search/?api=1&amp;query="&amp;SUBSTITUTE(F1619," ",""),"🗺 Google Maps"),"")</f>
        <v/>
      </c>
      <c r="H1619" s="8">
        <f>IF(F1619&lt;&gt;"",HYPERLINK("https://waze.com/ul?ll="&amp;SUBSTITUTE(F1619," ","")&amp;"&amp;navigate=yes","🚗 Waze"),"")</f>
        <v/>
      </c>
      <c r="I1619" s="8">
        <f>IF(F1619&lt;&gt;"",HYPERLINK("https://m.uber.com/ul/?action=setPickup&amp;pickup=my_location&amp;dropoff[latitude]="&amp;LEFT(SUBSTITUTE(F1619," ",""),FIND(",",SUBSTITUTE(F1619," ",""))-1)&amp;"&amp;dropoff[longitude]="&amp;MID(SUBSTITUTE(F1619," ",""),FIND(",",SUBSTITUTE(F1619," ",""))+1,99),"🚕 Uber"),"")</f>
        <v/>
      </c>
      <c r="J1619" s="8">
        <f>IF(F1619&lt;&gt;"","https://api.qrserver.com/v1/create-qr-code/?size=200x200&amp;data="&amp;ENCODEURL("https://www.google.com/maps/search/?api=1&amp;query="&amp;SUBSTITUTE(F1619," ","")),"")</f>
        <v/>
      </c>
      <c r="K1619" s="8">
        <f>IF(C1619&lt;&gt;"",HYPERLINK("https://wa.me/507"&amp;REGEXREPLACE(C1619,"[^0-9]","")&amp;"?text="&amp;ENCODEURL("Ya llegue. Codigo: "&amp;A1619&amp;". Ubicacion: "&amp;"https://www.google.com/maps/search/?api=1&amp;query="&amp;SUBSTITUTE(F1619," ","")),"📲 Avisar al cliente"),"")</f>
        <v/>
      </c>
      <c r="L1619" s="8">
        <f>IF(C1619&lt;&gt;"","https://api.qrserver.com/v1/create-qr-code/?size=200x200&amp;data="&amp;ENCODEURL("https://wa.me/507"&amp;REGEXREPLACE(C1619,"[^0-9]","")&amp;"?text="&amp;ENCODEURL("Ya llegue. Codigo: "&amp;A1619&amp;". Ubicacion: "&amp;"https://www.google.com/maps/search/?api=1&amp;query="&amp;SUBSTITUTE(F1619," ",""))),"")</f>
        <v/>
      </c>
      <c r="M1619" s="8">
        <f>IF(B1619&lt;&gt;"",TODAY(),"")</f>
        <v/>
      </c>
      <c r="N1619" s="8">
        <f>IF(F1619&lt;&gt;"",IFERROR(IF(AND(REGEXMATCH(SUBSTITUTE(TRIM(F1619)," ",""),"^-?\d+(\.\d+)?,-?\d+(\.\d+)?$"),VALUE(REGEXEXTRACT(SUBSTITUTE(TRIM(F1619)," ",""),"^-?\d+(\.\d+)?"))&gt;=-90,VALUE(REGEXEXTRACT(SUBSTITUTE(TRIM(F1619)," ",""),"^-?\d+(\.\d+)?"))&lt;=90,VALUE(REGEXEXTRACT(SUBSTITUTE(TRIM(F1619)," ",""),"-?\d+(\.\d+)?$"))&gt;=-180,VALUE(REGEXEXTRACT(SUBSTITUTE(TRIM(F1619)," ",""),"-?\d+(\.\d+)?$"))&lt;=180),"OK","REVISAR"),"REVISAR"),"")</f>
        <v/>
      </c>
      <c r="O1619">
        <f>IF(A1619&lt;&gt;"","https://direcciones507.github.io/direcciones507/panel.html?codigo="&amp;A1619&amp;"&amp;nombre="&amp;ENCODEURL(B1619)&amp;"&amp;telefono="&amp;SUBSTITUTE(C1619,"-","")&amp;"&amp;referencia="&amp;ENCODEURL(E1619)&amp;"&amp;lat="&amp;IZQUIERDA(SUBSTITUTE(F1619," ",""),ENCONTRAR(",",SUBSTITUTE(F1619," ",""))-1)&amp;"&amp;lng="&amp;DERECHA(SUBSTITUTE(F1619," ",""),LARGO(SUBSTITUTE(F1619," ",""))-ENCONTRAR(",",SUBSTITUTE(F1619," ",""))),"")</f>
        <v/>
      </c>
    </row>
    <row r="1620" ht="15.75" customHeight="1" s="10">
      <c r="A1620" s="8">
        <f>CONCAT("AD507-",TEXT(ROW()-2,"0000"))</f>
        <v/>
      </c>
      <c r="C1620" s="8" t="n"/>
      <c r="F1620" s="8" t="n"/>
      <c r="G1620" s="8">
        <f>IF(F1620&lt;&gt;"",HYPERLINK("https://www.google.com/maps/search/?api=1&amp;query="&amp;SUBSTITUTE(F1620," ",""),"🗺 Google Maps"),"")</f>
        <v/>
      </c>
      <c r="H1620" s="8">
        <f>IF(F1620&lt;&gt;"",HYPERLINK("https://waze.com/ul?ll="&amp;SUBSTITUTE(F1620," ","")&amp;"&amp;navigate=yes","🚗 Waze"),"")</f>
        <v/>
      </c>
      <c r="I1620" s="8">
        <f>IF(F1620&lt;&gt;"",HYPERLINK("https://m.uber.com/ul/?action=setPickup&amp;pickup=my_location&amp;dropoff[latitude]="&amp;LEFT(SUBSTITUTE(F1620," ",""),FIND(",",SUBSTITUTE(F1620," ",""))-1)&amp;"&amp;dropoff[longitude]="&amp;MID(SUBSTITUTE(F1620," ",""),FIND(",",SUBSTITUTE(F1620," ",""))+1,99),"🚕 Uber"),"")</f>
        <v/>
      </c>
      <c r="J1620" s="8">
        <f>IF(F1620&lt;&gt;"","https://api.qrserver.com/v1/create-qr-code/?size=200x200&amp;data="&amp;ENCODEURL("https://www.google.com/maps/search/?api=1&amp;query="&amp;SUBSTITUTE(F1620," ","")),"")</f>
        <v/>
      </c>
      <c r="K1620" s="8">
        <f>IF(C1620&lt;&gt;"",HYPERLINK("https://wa.me/507"&amp;REGEXREPLACE(C1620,"[^0-9]","")&amp;"?text="&amp;ENCODEURL("Ya llegue. Codigo: "&amp;A1620&amp;". Ubicacion: "&amp;"https://www.google.com/maps/search/?api=1&amp;query="&amp;SUBSTITUTE(F1620," ","")),"📲 Avisar al cliente"),"")</f>
        <v/>
      </c>
      <c r="L1620" s="8">
        <f>IF(C1620&lt;&gt;"","https://api.qrserver.com/v1/create-qr-code/?size=200x200&amp;data="&amp;ENCODEURL("https://wa.me/507"&amp;REGEXREPLACE(C1620,"[^0-9]","")&amp;"?text="&amp;ENCODEURL("Ya llegue. Codigo: "&amp;A1620&amp;". Ubicacion: "&amp;"https://www.google.com/maps/search/?api=1&amp;query="&amp;SUBSTITUTE(F1620," ",""))),"")</f>
        <v/>
      </c>
      <c r="M1620" s="8">
        <f>IF(B1620&lt;&gt;"",TODAY(),"")</f>
        <v/>
      </c>
      <c r="N1620" s="8">
        <f>IF(F1620&lt;&gt;"",IFERROR(IF(AND(REGEXMATCH(SUBSTITUTE(TRIM(F1620)," ",""),"^-?\d+(\.\d+)?,-?\d+(\.\d+)?$"),VALUE(REGEXEXTRACT(SUBSTITUTE(TRIM(F1620)," ",""),"^-?\d+(\.\d+)?"))&gt;=-90,VALUE(REGEXEXTRACT(SUBSTITUTE(TRIM(F1620)," ",""),"^-?\d+(\.\d+)?"))&lt;=90,VALUE(REGEXEXTRACT(SUBSTITUTE(TRIM(F1620)," ",""),"-?\d+(\.\d+)?$"))&gt;=-180,VALUE(REGEXEXTRACT(SUBSTITUTE(TRIM(F1620)," ",""),"-?\d+(\.\d+)?$"))&lt;=180),"OK","REVISAR"),"REVISAR"),"")</f>
        <v/>
      </c>
      <c r="O1620">
        <f>IF(A1620&lt;&gt;"","https://direcciones507.github.io/direcciones507/panel.html?codigo="&amp;A1620&amp;"&amp;nombre="&amp;ENCODEURL(B1620)&amp;"&amp;telefono="&amp;SUBSTITUTE(C1620,"-","")&amp;"&amp;referencia="&amp;ENCODEURL(E1620)&amp;"&amp;lat="&amp;IZQUIERDA(SUBSTITUTE(F1620," ",""),ENCONTRAR(",",SUBSTITUTE(F1620," ",""))-1)&amp;"&amp;lng="&amp;DERECHA(SUBSTITUTE(F1620," ",""),LARGO(SUBSTITUTE(F1620," ",""))-ENCONTRAR(",",SUBSTITUTE(F1620," ",""))),"")</f>
        <v/>
      </c>
    </row>
    <row r="1621" ht="15.75" customHeight="1" s="10">
      <c r="A1621" s="8">
        <f>CONCAT("AD507-",TEXT(ROW()-2,"0000"))</f>
        <v/>
      </c>
      <c r="C1621" s="8" t="n"/>
      <c r="F1621" s="8" t="n"/>
      <c r="G1621" s="8">
        <f>IF(F1621&lt;&gt;"",HYPERLINK("https://www.google.com/maps/search/?api=1&amp;query="&amp;SUBSTITUTE(F1621," ",""),"🗺 Google Maps"),"")</f>
        <v/>
      </c>
      <c r="H1621" s="8">
        <f>IF(F1621&lt;&gt;"",HYPERLINK("https://waze.com/ul?ll="&amp;SUBSTITUTE(F1621," ","")&amp;"&amp;navigate=yes","🚗 Waze"),"")</f>
        <v/>
      </c>
      <c r="I1621" s="8">
        <f>IF(F1621&lt;&gt;"",HYPERLINK("https://m.uber.com/ul/?action=setPickup&amp;pickup=my_location&amp;dropoff[latitude]="&amp;LEFT(SUBSTITUTE(F1621," ",""),FIND(",",SUBSTITUTE(F1621," ",""))-1)&amp;"&amp;dropoff[longitude]="&amp;MID(SUBSTITUTE(F1621," ",""),FIND(",",SUBSTITUTE(F1621," ",""))+1,99),"🚕 Uber"),"")</f>
        <v/>
      </c>
      <c r="J1621" s="8">
        <f>IF(F1621&lt;&gt;"","https://api.qrserver.com/v1/create-qr-code/?size=200x200&amp;data="&amp;ENCODEURL("https://www.google.com/maps/search/?api=1&amp;query="&amp;SUBSTITUTE(F1621," ","")),"")</f>
        <v/>
      </c>
      <c r="K1621" s="8">
        <f>IF(C1621&lt;&gt;"",HYPERLINK("https://wa.me/507"&amp;REGEXREPLACE(C1621,"[^0-9]","")&amp;"?text="&amp;ENCODEURL("Ya llegue. Codigo: "&amp;A1621&amp;". Ubicacion: "&amp;"https://www.google.com/maps/search/?api=1&amp;query="&amp;SUBSTITUTE(F1621," ","")),"📲 Avisar al cliente"),"")</f>
        <v/>
      </c>
      <c r="L1621" s="8">
        <f>IF(C1621&lt;&gt;"","https://api.qrserver.com/v1/create-qr-code/?size=200x200&amp;data="&amp;ENCODEURL("https://wa.me/507"&amp;REGEXREPLACE(C1621,"[^0-9]","")&amp;"?text="&amp;ENCODEURL("Ya llegue. Codigo: "&amp;A1621&amp;". Ubicacion: "&amp;"https://www.google.com/maps/search/?api=1&amp;query="&amp;SUBSTITUTE(F1621," ",""))),"")</f>
        <v/>
      </c>
      <c r="M1621" s="8">
        <f>IF(B1621&lt;&gt;"",TODAY(),"")</f>
        <v/>
      </c>
      <c r="N1621" s="8">
        <f>IF(F1621&lt;&gt;"",IFERROR(IF(AND(REGEXMATCH(SUBSTITUTE(TRIM(F1621)," ",""),"^-?\d+(\.\d+)?,-?\d+(\.\d+)?$"),VALUE(REGEXEXTRACT(SUBSTITUTE(TRIM(F1621)," ",""),"^-?\d+(\.\d+)?"))&gt;=-90,VALUE(REGEXEXTRACT(SUBSTITUTE(TRIM(F1621)," ",""),"^-?\d+(\.\d+)?"))&lt;=90,VALUE(REGEXEXTRACT(SUBSTITUTE(TRIM(F1621)," ",""),"-?\d+(\.\d+)?$"))&gt;=-180,VALUE(REGEXEXTRACT(SUBSTITUTE(TRIM(F1621)," ",""),"-?\d+(\.\d+)?$"))&lt;=180),"OK","REVISAR"),"REVISAR"),"")</f>
        <v/>
      </c>
      <c r="O1621">
        <f>IF(A1621&lt;&gt;"","https://direcciones507.github.io/direcciones507/panel.html?codigo="&amp;A1621&amp;"&amp;nombre="&amp;ENCODEURL(B1621)&amp;"&amp;telefono="&amp;SUBSTITUTE(C1621,"-","")&amp;"&amp;referencia="&amp;ENCODEURL(E1621)&amp;"&amp;lat="&amp;IZQUIERDA(SUBSTITUTE(F1621," ",""),ENCONTRAR(",",SUBSTITUTE(F1621," ",""))-1)&amp;"&amp;lng="&amp;DERECHA(SUBSTITUTE(F1621," ",""),LARGO(SUBSTITUTE(F1621," ",""))-ENCONTRAR(",",SUBSTITUTE(F1621," ",""))),"")</f>
        <v/>
      </c>
    </row>
    <row r="1622" ht="15.75" customHeight="1" s="10">
      <c r="A1622" s="8">
        <f>CONCAT("AD507-",TEXT(ROW()-2,"0000"))</f>
        <v/>
      </c>
      <c r="C1622" s="8" t="n"/>
      <c r="F1622" s="8" t="n"/>
      <c r="G1622" s="8">
        <f>IF(F1622&lt;&gt;"",HYPERLINK("https://www.google.com/maps/search/?api=1&amp;query="&amp;SUBSTITUTE(F1622," ",""),"🗺 Google Maps"),"")</f>
        <v/>
      </c>
      <c r="H1622" s="8">
        <f>IF(F1622&lt;&gt;"",HYPERLINK("https://waze.com/ul?ll="&amp;SUBSTITUTE(F1622," ","")&amp;"&amp;navigate=yes","🚗 Waze"),"")</f>
        <v/>
      </c>
      <c r="I1622" s="8">
        <f>IF(F1622&lt;&gt;"",HYPERLINK("https://m.uber.com/ul/?action=setPickup&amp;pickup=my_location&amp;dropoff[latitude]="&amp;LEFT(SUBSTITUTE(F1622," ",""),FIND(",",SUBSTITUTE(F1622," ",""))-1)&amp;"&amp;dropoff[longitude]="&amp;MID(SUBSTITUTE(F1622," ",""),FIND(",",SUBSTITUTE(F1622," ",""))+1,99),"🚕 Uber"),"")</f>
        <v/>
      </c>
      <c r="J1622" s="8">
        <f>IF(F1622&lt;&gt;"","https://api.qrserver.com/v1/create-qr-code/?size=200x200&amp;data="&amp;ENCODEURL("https://www.google.com/maps/search/?api=1&amp;query="&amp;SUBSTITUTE(F1622," ","")),"")</f>
        <v/>
      </c>
      <c r="K1622" s="8">
        <f>IF(C1622&lt;&gt;"",HYPERLINK("https://wa.me/507"&amp;REGEXREPLACE(C1622,"[^0-9]","")&amp;"?text="&amp;ENCODEURL("Ya llegue. Codigo: "&amp;A1622&amp;". Ubicacion: "&amp;"https://www.google.com/maps/search/?api=1&amp;query="&amp;SUBSTITUTE(F1622," ","")),"📲 Avisar al cliente"),"")</f>
        <v/>
      </c>
      <c r="L1622" s="8">
        <f>IF(C1622&lt;&gt;"","https://api.qrserver.com/v1/create-qr-code/?size=200x200&amp;data="&amp;ENCODEURL("https://wa.me/507"&amp;REGEXREPLACE(C1622,"[^0-9]","")&amp;"?text="&amp;ENCODEURL("Ya llegue. Codigo: "&amp;A1622&amp;". Ubicacion: "&amp;"https://www.google.com/maps/search/?api=1&amp;query="&amp;SUBSTITUTE(F1622," ",""))),"")</f>
        <v/>
      </c>
      <c r="M1622" s="8">
        <f>IF(B1622&lt;&gt;"",TODAY(),"")</f>
        <v/>
      </c>
      <c r="N1622" s="8">
        <f>IF(F1622&lt;&gt;"",IFERROR(IF(AND(REGEXMATCH(SUBSTITUTE(TRIM(F1622)," ",""),"^-?\d+(\.\d+)?,-?\d+(\.\d+)?$"),VALUE(REGEXEXTRACT(SUBSTITUTE(TRIM(F1622)," ",""),"^-?\d+(\.\d+)?"))&gt;=-90,VALUE(REGEXEXTRACT(SUBSTITUTE(TRIM(F1622)," ",""),"^-?\d+(\.\d+)?"))&lt;=90,VALUE(REGEXEXTRACT(SUBSTITUTE(TRIM(F1622)," ",""),"-?\d+(\.\d+)?$"))&gt;=-180,VALUE(REGEXEXTRACT(SUBSTITUTE(TRIM(F1622)," ",""),"-?\d+(\.\d+)?$"))&lt;=180),"OK","REVISAR"),"REVISAR"),"")</f>
        <v/>
      </c>
      <c r="O1622">
        <f>IF(A1622&lt;&gt;"","https://direcciones507.github.io/direcciones507/panel.html?codigo="&amp;A1622&amp;"&amp;nombre="&amp;ENCODEURL(B1622)&amp;"&amp;telefono="&amp;SUBSTITUTE(C1622,"-","")&amp;"&amp;referencia="&amp;ENCODEURL(E1622)&amp;"&amp;lat="&amp;IZQUIERDA(SUBSTITUTE(F1622," ",""),ENCONTRAR(",",SUBSTITUTE(F1622," ",""))-1)&amp;"&amp;lng="&amp;DERECHA(SUBSTITUTE(F1622," ",""),LARGO(SUBSTITUTE(F1622," ",""))-ENCONTRAR(",",SUBSTITUTE(F1622," ",""))),"")</f>
        <v/>
      </c>
    </row>
    <row r="1623" ht="15.75" customHeight="1" s="10">
      <c r="A1623" s="8">
        <f>CONCAT("AD507-",TEXT(ROW()-2,"0000"))</f>
        <v/>
      </c>
      <c r="C1623" s="8" t="n"/>
      <c r="F1623" s="8" t="n"/>
      <c r="G1623" s="8">
        <f>IF(F1623&lt;&gt;"",HYPERLINK("https://www.google.com/maps/search/?api=1&amp;query="&amp;SUBSTITUTE(F1623," ",""),"🗺 Google Maps"),"")</f>
        <v/>
      </c>
      <c r="H1623" s="8">
        <f>IF(F1623&lt;&gt;"",HYPERLINK("https://waze.com/ul?ll="&amp;SUBSTITUTE(F1623," ","")&amp;"&amp;navigate=yes","🚗 Waze"),"")</f>
        <v/>
      </c>
      <c r="I1623" s="8">
        <f>IF(F1623&lt;&gt;"",HYPERLINK("https://m.uber.com/ul/?action=setPickup&amp;pickup=my_location&amp;dropoff[latitude]="&amp;LEFT(SUBSTITUTE(F1623," ",""),FIND(",",SUBSTITUTE(F1623," ",""))-1)&amp;"&amp;dropoff[longitude]="&amp;MID(SUBSTITUTE(F1623," ",""),FIND(",",SUBSTITUTE(F1623," ",""))+1,99),"🚕 Uber"),"")</f>
        <v/>
      </c>
      <c r="J1623" s="8">
        <f>IF(F1623&lt;&gt;"","https://api.qrserver.com/v1/create-qr-code/?size=200x200&amp;data="&amp;ENCODEURL("https://www.google.com/maps/search/?api=1&amp;query="&amp;SUBSTITUTE(F1623," ","")),"")</f>
        <v/>
      </c>
      <c r="K1623" s="8">
        <f>IF(C1623&lt;&gt;"",HYPERLINK("https://wa.me/507"&amp;REGEXREPLACE(C1623,"[^0-9]","")&amp;"?text="&amp;ENCODEURL("Ya llegue. Codigo: "&amp;A1623&amp;". Ubicacion: "&amp;"https://www.google.com/maps/search/?api=1&amp;query="&amp;SUBSTITUTE(F1623," ","")),"📲 Avisar al cliente"),"")</f>
        <v/>
      </c>
      <c r="L1623" s="8">
        <f>IF(C1623&lt;&gt;"","https://api.qrserver.com/v1/create-qr-code/?size=200x200&amp;data="&amp;ENCODEURL("https://wa.me/507"&amp;REGEXREPLACE(C1623,"[^0-9]","")&amp;"?text="&amp;ENCODEURL("Ya llegue. Codigo: "&amp;A1623&amp;". Ubicacion: "&amp;"https://www.google.com/maps/search/?api=1&amp;query="&amp;SUBSTITUTE(F1623," ",""))),"")</f>
        <v/>
      </c>
      <c r="M1623" s="8">
        <f>IF(B1623&lt;&gt;"",TODAY(),"")</f>
        <v/>
      </c>
      <c r="N1623" s="8">
        <f>IF(F1623&lt;&gt;"",IFERROR(IF(AND(REGEXMATCH(SUBSTITUTE(TRIM(F1623)," ",""),"^-?\d+(\.\d+)?,-?\d+(\.\d+)?$"),VALUE(REGEXEXTRACT(SUBSTITUTE(TRIM(F1623)," ",""),"^-?\d+(\.\d+)?"))&gt;=-90,VALUE(REGEXEXTRACT(SUBSTITUTE(TRIM(F1623)," ",""),"^-?\d+(\.\d+)?"))&lt;=90,VALUE(REGEXEXTRACT(SUBSTITUTE(TRIM(F1623)," ",""),"-?\d+(\.\d+)?$"))&gt;=-180,VALUE(REGEXEXTRACT(SUBSTITUTE(TRIM(F1623)," ",""),"-?\d+(\.\d+)?$"))&lt;=180),"OK","REVISAR"),"REVISAR"),"")</f>
        <v/>
      </c>
      <c r="O1623">
        <f>IF(A1623&lt;&gt;"","https://direcciones507.github.io/direcciones507/panel.html?codigo="&amp;A1623&amp;"&amp;nombre="&amp;ENCODEURL(B1623)&amp;"&amp;telefono="&amp;SUBSTITUTE(C1623,"-","")&amp;"&amp;referencia="&amp;ENCODEURL(E1623)&amp;"&amp;lat="&amp;IZQUIERDA(SUBSTITUTE(F1623," ",""),ENCONTRAR(",",SUBSTITUTE(F1623," ",""))-1)&amp;"&amp;lng="&amp;DERECHA(SUBSTITUTE(F1623," ",""),LARGO(SUBSTITUTE(F1623," ",""))-ENCONTRAR(",",SUBSTITUTE(F1623," ",""))),"")</f>
        <v/>
      </c>
    </row>
    <row r="1624" ht="15.75" customHeight="1" s="10">
      <c r="A1624" s="8">
        <f>CONCAT("AD507-",TEXT(ROW()-2,"0000"))</f>
        <v/>
      </c>
      <c r="C1624" s="8" t="n"/>
      <c r="F1624" s="8" t="n"/>
      <c r="G1624" s="8">
        <f>IF(F1624&lt;&gt;"",HYPERLINK("https://www.google.com/maps/search/?api=1&amp;query="&amp;SUBSTITUTE(F1624," ",""),"🗺 Google Maps"),"")</f>
        <v/>
      </c>
      <c r="H1624" s="8">
        <f>IF(F1624&lt;&gt;"",HYPERLINK("https://waze.com/ul?ll="&amp;SUBSTITUTE(F1624," ","")&amp;"&amp;navigate=yes","🚗 Waze"),"")</f>
        <v/>
      </c>
      <c r="I1624" s="8">
        <f>IF(F1624&lt;&gt;"",HYPERLINK("https://m.uber.com/ul/?action=setPickup&amp;pickup=my_location&amp;dropoff[latitude]="&amp;LEFT(SUBSTITUTE(F1624," ",""),FIND(",",SUBSTITUTE(F1624," ",""))-1)&amp;"&amp;dropoff[longitude]="&amp;MID(SUBSTITUTE(F1624," ",""),FIND(",",SUBSTITUTE(F1624," ",""))+1,99),"🚕 Uber"),"")</f>
        <v/>
      </c>
      <c r="J1624" s="8">
        <f>IF(F1624&lt;&gt;"","https://api.qrserver.com/v1/create-qr-code/?size=200x200&amp;data="&amp;ENCODEURL("https://www.google.com/maps/search/?api=1&amp;query="&amp;SUBSTITUTE(F1624," ","")),"")</f>
        <v/>
      </c>
      <c r="K1624" s="8">
        <f>IF(C1624&lt;&gt;"",HYPERLINK("https://wa.me/507"&amp;REGEXREPLACE(C1624,"[^0-9]","")&amp;"?text="&amp;ENCODEURL("Ya llegue. Codigo: "&amp;A1624&amp;". Ubicacion: "&amp;"https://www.google.com/maps/search/?api=1&amp;query="&amp;SUBSTITUTE(F1624," ","")),"📲 Avisar al cliente"),"")</f>
        <v/>
      </c>
      <c r="L1624" s="8">
        <f>IF(C1624&lt;&gt;"","https://api.qrserver.com/v1/create-qr-code/?size=200x200&amp;data="&amp;ENCODEURL("https://wa.me/507"&amp;REGEXREPLACE(C1624,"[^0-9]","")&amp;"?text="&amp;ENCODEURL("Ya llegue. Codigo: "&amp;A1624&amp;". Ubicacion: "&amp;"https://www.google.com/maps/search/?api=1&amp;query="&amp;SUBSTITUTE(F1624," ",""))),"")</f>
        <v/>
      </c>
      <c r="M1624" s="8">
        <f>IF(B1624&lt;&gt;"",TODAY(),"")</f>
        <v/>
      </c>
      <c r="N1624" s="8">
        <f>IF(F1624&lt;&gt;"",IFERROR(IF(AND(REGEXMATCH(SUBSTITUTE(TRIM(F1624)," ",""),"^-?\d+(\.\d+)?,-?\d+(\.\d+)?$"),VALUE(REGEXEXTRACT(SUBSTITUTE(TRIM(F1624)," ",""),"^-?\d+(\.\d+)?"))&gt;=-90,VALUE(REGEXEXTRACT(SUBSTITUTE(TRIM(F1624)," ",""),"^-?\d+(\.\d+)?"))&lt;=90,VALUE(REGEXEXTRACT(SUBSTITUTE(TRIM(F1624)," ",""),"-?\d+(\.\d+)?$"))&gt;=-180,VALUE(REGEXEXTRACT(SUBSTITUTE(TRIM(F1624)," ",""),"-?\d+(\.\d+)?$"))&lt;=180),"OK","REVISAR"),"REVISAR"),"")</f>
        <v/>
      </c>
      <c r="O1624">
        <f>IF(A1624&lt;&gt;"","https://direcciones507.github.io/direcciones507/panel.html?codigo="&amp;A1624&amp;"&amp;nombre="&amp;ENCODEURL(B1624)&amp;"&amp;telefono="&amp;SUBSTITUTE(C1624,"-","")&amp;"&amp;referencia="&amp;ENCODEURL(E1624)&amp;"&amp;lat="&amp;IZQUIERDA(SUBSTITUTE(F1624," ",""),ENCONTRAR(",",SUBSTITUTE(F1624," ",""))-1)&amp;"&amp;lng="&amp;DERECHA(SUBSTITUTE(F1624," ",""),LARGO(SUBSTITUTE(F1624," ",""))-ENCONTRAR(",",SUBSTITUTE(F1624," ",""))),"")</f>
        <v/>
      </c>
    </row>
    <row r="1625" ht="15.75" customHeight="1" s="10">
      <c r="A1625" s="8">
        <f>CONCAT("AD507-",TEXT(ROW()-2,"0000"))</f>
        <v/>
      </c>
      <c r="C1625" s="8" t="n"/>
      <c r="F1625" s="8" t="n"/>
      <c r="G1625" s="8">
        <f>IF(F1625&lt;&gt;"",HYPERLINK("https://www.google.com/maps/search/?api=1&amp;query="&amp;SUBSTITUTE(F1625," ",""),"🗺 Google Maps"),"")</f>
        <v/>
      </c>
      <c r="H1625" s="8">
        <f>IF(F1625&lt;&gt;"",HYPERLINK("https://waze.com/ul?ll="&amp;SUBSTITUTE(F1625," ","")&amp;"&amp;navigate=yes","🚗 Waze"),"")</f>
        <v/>
      </c>
      <c r="I1625" s="8">
        <f>IF(F1625&lt;&gt;"",HYPERLINK("https://m.uber.com/ul/?action=setPickup&amp;pickup=my_location&amp;dropoff[latitude]="&amp;LEFT(SUBSTITUTE(F1625," ",""),FIND(",",SUBSTITUTE(F1625," ",""))-1)&amp;"&amp;dropoff[longitude]="&amp;MID(SUBSTITUTE(F1625," ",""),FIND(",",SUBSTITUTE(F1625," ",""))+1,99),"🚕 Uber"),"")</f>
        <v/>
      </c>
      <c r="J1625" s="8">
        <f>IF(F1625&lt;&gt;"","https://api.qrserver.com/v1/create-qr-code/?size=200x200&amp;data="&amp;ENCODEURL("https://www.google.com/maps/search/?api=1&amp;query="&amp;SUBSTITUTE(F1625," ","")),"")</f>
        <v/>
      </c>
      <c r="K1625" s="8">
        <f>IF(C1625&lt;&gt;"",HYPERLINK("https://wa.me/507"&amp;REGEXREPLACE(C1625,"[^0-9]","")&amp;"?text="&amp;ENCODEURL("Ya llegue. Codigo: "&amp;A1625&amp;". Ubicacion: "&amp;"https://www.google.com/maps/search/?api=1&amp;query="&amp;SUBSTITUTE(F1625," ","")),"📲 Avisar al cliente"),"")</f>
        <v/>
      </c>
      <c r="L1625" s="8">
        <f>IF(C1625&lt;&gt;"","https://api.qrserver.com/v1/create-qr-code/?size=200x200&amp;data="&amp;ENCODEURL("https://wa.me/507"&amp;REGEXREPLACE(C1625,"[^0-9]","")&amp;"?text="&amp;ENCODEURL("Ya llegue. Codigo: "&amp;A1625&amp;". Ubicacion: "&amp;"https://www.google.com/maps/search/?api=1&amp;query="&amp;SUBSTITUTE(F1625," ",""))),"")</f>
        <v/>
      </c>
      <c r="M1625" s="8">
        <f>IF(B1625&lt;&gt;"",TODAY(),"")</f>
        <v/>
      </c>
      <c r="N1625" s="8">
        <f>IF(F1625&lt;&gt;"",IFERROR(IF(AND(REGEXMATCH(SUBSTITUTE(TRIM(F1625)," ",""),"^-?\d+(\.\d+)?,-?\d+(\.\d+)?$"),VALUE(REGEXEXTRACT(SUBSTITUTE(TRIM(F1625)," ",""),"^-?\d+(\.\d+)?"))&gt;=-90,VALUE(REGEXEXTRACT(SUBSTITUTE(TRIM(F1625)," ",""),"^-?\d+(\.\d+)?"))&lt;=90,VALUE(REGEXEXTRACT(SUBSTITUTE(TRIM(F1625)," ",""),"-?\d+(\.\d+)?$"))&gt;=-180,VALUE(REGEXEXTRACT(SUBSTITUTE(TRIM(F1625)," ",""),"-?\d+(\.\d+)?$"))&lt;=180),"OK","REVISAR"),"REVISAR"),"")</f>
        <v/>
      </c>
      <c r="O1625">
        <f>IF(A1625&lt;&gt;"","https://direcciones507.github.io/direcciones507/panel.html?codigo="&amp;A1625&amp;"&amp;nombre="&amp;ENCODEURL(B1625)&amp;"&amp;telefono="&amp;SUBSTITUTE(C1625,"-","")&amp;"&amp;referencia="&amp;ENCODEURL(E1625)&amp;"&amp;lat="&amp;IZQUIERDA(SUBSTITUTE(F1625," ",""),ENCONTRAR(",",SUBSTITUTE(F1625," ",""))-1)&amp;"&amp;lng="&amp;DERECHA(SUBSTITUTE(F1625," ",""),LARGO(SUBSTITUTE(F1625," ",""))-ENCONTRAR(",",SUBSTITUTE(F1625," ",""))),"")</f>
        <v/>
      </c>
    </row>
    <row r="1626" ht="15.75" customHeight="1" s="10">
      <c r="A1626" s="8">
        <f>CONCAT("AD507-",TEXT(ROW()-2,"0000"))</f>
        <v/>
      </c>
      <c r="C1626" s="8" t="n"/>
      <c r="F1626" s="8" t="n"/>
      <c r="G1626" s="8">
        <f>IF(F1626&lt;&gt;"",HYPERLINK("https://www.google.com/maps/search/?api=1&amp;query="&amp;SUBSTITUTE(F1626," ",""),"🗺 Google Maps"),"")</f>
        <v/>
      </c>
      <c r="H1626" s="8">
        <f>IF(F1626&lt;&gt;"",HYPERLINK("https://waze.com/ul?ll="&amp;SUBSTITUTE(F1626," ","")&amp;"&amp;navigate=yes","🚗 Waze"),"")</f>
        <v/>
      </c>
      <c r="I1626" s="8">
        <f>IF(F1626&lt;&gt;"",HYPERLINK("https://m.uber.com/ul/?action=setPickup&amp;pickup=my_location&amp;dropoff[latitude]="&amp;LEFT(SUBSTITUTE(F1626," ",""),FIND(",",SUBSTITUTE(F1626," ",""))-1)&amp;"&amp;dropoff[longitude]="&amp;MID(SUBSTITUTE(F1626," ",""),FIND(",",SUBSTITUTE(F1626," ",""))+1,99),"🚕 Uber"),"")</f>
        <v/>
      </c>
      <c r="J1626" s="8">
        <f>IF(F1626&lt;&gt;"","https://api.qrserver.com/v1/create-qr-code/?size=200x200&amp;data="&amp;ENCODEURL("https://www.google.com/maps/search/?api=1&amp;query="&amp;SUBSTITUTE(F1626," ","")),"")</f>
        <v/>
      </c>
      <c r="K1626" s="8">
        <f>IF(C1626&lt;&gt;"",HYPERLINK("https://wa.me/507"&amp;REGEXREPLACE(C1626,"[^0-9]","")&amp;"?text="&amp;ENCODEURL("Ya llegue. Codigo: "&amp;A1626&amp;". Ubicacion: "&amp;"https://www.google.com/maps/search/?api=1&amp;query="&amp;SUBSTITUTE(F1626," ","")),"📲 Avisar al cliente"),"")</f>
        <v/>
      </c>
      <c r="L1626" s="8">
        <f>IF(C1626&lt;&gt;"","https://api.qrserver.com/v1/create-qr-code/?size=200x200&amp;data="&amp;ENCODEURL("https://wa.me/507"&amp;REGEXREPLACE(C1626,"[^0-9]","")&amp;"?text="&amp;ENCODEURL("Ya llegue. Codigo: "&amp;A1626&amp;". Ubicacion: "&amp;"https://www.google.com/maps/search/?api=1&amp;query="&amp;SUBSTITUTE(F1626," ",""))),"")</f>
        <v/>
      </c>
      <c r="M1626" s="8">
        <f>IF(B1626&lt;&gt;"",TODAY(),"")</f>
        <v/>
      </c>
      <c r="N1626" s="8">
        <f>IF(F1626&lt;&gt;"",IFERROR(IF(AND(REGEXMATCH(SUBSTITUTE(TRIM(F1626)," ",""),"^-?\d+(\.\d+)?,-?\d+(\.\d+)?$"),VALUE(REGEXEXTRACT(SUBSTITUTE(TRIM(F1626)," ",""),"^-?\d+(\.\d+)?"))&gt;=-90,VALUE(REGEXEXTRACT(SUBSTITUTE(TRIM(F1626)," ",""),"^-?\d+(\.\d+)?"))&lt;=90,VALUE(REGEXEXTRACT(SUBSTITUTE(TRIM(F1626)," ",""),"-?\d+(\.\d+)?$"))&gt;=-180,VALUE(REGEXEXTRACT(SUBSTITUTE(TRIM(F1626)," ",""),"-?\d+(\.\d+)?$"))&lt;=180),"OK","REVISAR"),"REVISAR"),"")</f>
        <v/>
      </c>
      <c r="O1626">
        <f>IF(A1626&lt;&gt;"","https://direcciones507.github.io/direcciones507/panel.html?codigo="&amp;A1626&amp;"&amp;nombre="&amp;ENCODEURL(B1626)&amp;"&amp;telefono="&amp;SUBSTITUTE(C1626,"-","")&amp;"&amp;referencia="&amp;ENCODEURL(E1626)&amp;"&amp;lat="&amp;IZQUIERDA(SUBSTITUTE(F1626," ",""),ENCONTRAR(",",SUBSTITUTE(F1626," ",""))-1)&amp;"&amp;lng="&amp;DERECHA(SUBSTITUTE(F1626," ",""),LARGO(SUBSTITUTE(F1626," ",""))-ENCONTRAR(",",SUBSTITUTE(F1626," ",""))),"")</f>
        <v/>
      </c>
    </row>
    <row r="1627" ht="15.75" customHeight="1" s="10">
      <c r="A1627" s="8">
        <f>CONCAT("AD507-",TEXT(ROW()-2,"0000"))</f>
        <v/>
      </c>
      <c r="C1627" s="8" t="n"/>
      <c r="F1627" s="8" t="n"/>
      <c r="G1627" s="8">
        <f>IF(F1627&lt;&gt;"",HYPERLINK("https://www.google.com/maps/search/?api=1&amp;query="&amp;SUBSTITUTE(F1627," ",""),"🗺 Google Maps"),"")</f>
        <v/>
      </c>
      <c r="H1627" s="8">
        <f>IF(F1627&lt;&gt;"",HYPERLINK("https://waze.com/ul?ll="&amp;SUBSTITUTE(F1627," ","")&amp;"&amp;navigate=yes","🚗 Waze"),"")</f>
        <v/>
      </c>
      <c r="I1627" s="8">
        <f>IF(F1627&lt;&gt;"",HYPERLINK("https://m.uber.com/ul/?action=setPickup&amp;pickup=my_location&amp;dropoff[latitude]="&amp;LEFT(SUBSTITUTE(F1627," ",""),FIND(",",SUBSTITUTE(F1627," ",""))-1)&amp;"&amp;dropoff[longitude]="&amp;MID(SUBSTITUTE(F1627," ",""),FIND(",",SUBSTITUTE(F1627," ",""))+1,99),"🚕 Uber"),"")</f>
        <v/>
      </c>
      <c r="J1627" s="8">
        <f>IF(F1627&lt;&gt;"","https://api.qrserver.com/v1/create-qr-code/?size=200x200&amp;data="&amp;ENCODEURL("https://www.google.com/maps/search/?api=1&amp;query="&amp;SUBSTITUTE(F1627," ","")),"")</f>
        <v/>
      </c>
      <c r="K1627" s="8">
        <f>IF(C1627&lt;&gt;"",HYPERLINK("https://wa.me/507"&amp;REGEXREPLACE(C1627,"[^0-9]","")&amp;"?text="&amp;ENCODEURL("Ya llegue. Codigo: "&amp;A1627&amp;". Ubicacion: "&amp;"https://www.google.com/maps/search/?api=1&amp;query="&amp;SUBSTITUTE(F1627," ","")),"📲 Avisar al cliente"),"")</f>
        <v/>
      </c>
      <c r="L1627" s="8">
        <f>IF(C1627&lt;&gt;"","https://api.qrserver.com/v1/create-qr-code/?size=200x200&amp;data="&amp;ENCODEURL("https://wa.me/507"&amp;REGEXREPLACE(C1627,"[^0-9]","")&amp;"?text="&amp;ENCODEURL("Ya llegue. Codigo: "&amp;A1627&amp;". Ubicacion: "&amp;"https://www.google.com/maps/search/?api=1&amp;query="&amp;SUBSTITUTE(F1627," ",""))),"")</f>
        <v/>
      </c>
      <c r="M1627" s="8">
        <f>IF(B1627&lt;&gt;"",TODAY(),"")</f>
        <v/>
      </c>
      <c r="N1627" s="8">
        <f>IF(F1627&lt;&gt;"",IFERROR(IF(AND(REGEXMATCH(SUBSTITUTE(TRIM(F1627)," ",""),"^-?\d+(\.\d+)?,-?\d+(\.\d+)?$"),VALUE(REGEXEXTRACT(SUBSTITUTE(TRIM(F1627)," ",""),"^-?\d+(\.\d+)?"))&gt;=-90,VALUE(REGEXEXTRACT(SUBSTITUTE(TRIM(F1627)," ",""),"^-?\d+(\.\d+)?"))&lt;=90,VALUE(REGEXEXTRACT(SUBSTITUTE(TRIM(F1627)," ",""),"-?\d+(\.\d+)?$"))&gt;=-180,VALUE(REGEXEXTRACT(SUBSTITUTE(TRIM(F1627)," ",""),"-?\d+(\.\d+)?$"))&lt;=180),"OK","REVISAR"),"REVISAR"),"")</f>
        <v/>
      </c>
      <c r="O1627">
        <f>IF(A1627&lt;&gt;"","https://direcciones507.github.io/direcciones507/panel.html?codigo="&amp;A1627&amp;"&amp;nombre="&amp;ENCODEURL(B1627)&amp;"&amp;telefono="&amp;SUBSTITUTE(C1627,"-","")&amp;"&amp;referencia="&amp;ENCODEURL(E1627)&amp;"&amp;lat="&amp;IZQUIERDA(SUBSTITUTE(F1627," ",""),ENCONTRAR(",",SUBSTITUTE(F1627," ",""))-1)&amp;"&amp;lng="&amp;DERECHA(SUBSTITUTE(F1627," ",""),LARGO(SUBSTITUTE(F1627," ",""))-ENCONTRAR(",",SUBSTITUTE(F1627," ",""))),"")</f>
        <v/>
      </c>
    </row>
    <row r="1628" ht="15.75" customHeight="1" s="10">
      <c r="A1628" s="8">
        <f>CONCAT("AD507-",TEXT(ROW()-2,"0000"))</f>
        <v/>
      </c>
      <c r="C1628" s="8" t="n"/>
      <c r="F1628" s="8" t="n"/>
      <c r="G1628" s="8">
        <f>IF(F1628&lt;&gt;"",HYPERLINK("https://www.google.com/maps/search/?api=1&amp;query="&amp;SUBSTITUTE(F1628," ",""),"🗺 Google Maps"),"")</f>
        <v/>
      </c>
      <c r="H1628" s="8">
        <f>IF(F1628&lt;&gt;"",HYPERLINK("https://waze.com/ul?ll="&amp;SUBSTITUTE(F1628," ","")&amp;"&amp;navigate=yes","🚗 Waze"),"")</f>
        <v/>
      </c>
      <c r="I1628" s="8">
        <f>IF(F1628&lt;&gt;"",HYPERLINK("https://m.uber.com/ul/?action=setPickup&amp;pickup=my_location&amp;dropoff[latitude]="&amp;LEFT(SUBSTITUTE(F1628," ",""),FIND(",",SUBSTITUTE(F1628," ",""))-1)&amp;"&amp;dropoff[longitude]="&amp;MID(SUBSTITUTE(F1628," ",""),FIND(",",SUBSTITUTE(F1628," ",""))+1,99),"🚕 Uber"),"")</f>
        <v/>
      </c>
      <c r="J1628" s="8">
        <f>IF(F1628&lt;&gt;"","https://api.qrserver.com/v1/create-qr-code/?size=200x200&amp;data="&amp;ENCODEURL("https://www.google.com/maps/search/?api=1&amp;query="&amp;SUBSTITUTE(F1628," ","")),"")</f>
        <v/>
      </c>
      <c r="K1628" s="8">
        <f>IF(C1628&lt;&gt;"",HYPERLINK("https://wa.me/507"&amp;REGEXREPLACE(C1628,"[^0-9]","")&amp;"?text="&amp;ENCODEURL("Ya llegue. Codigo: "&amp;A1628&amp;". Ubicacion: "&amp;"https://www.google.com/maps/search/?api=1&amp;query="&amp;SUBSTITUTE(F1628," ","")),"📲 Avisar al cliente"),"")</f>
        <v/>
      </c>
      <c r="L1628" s="8">
        <f>IF(C1628&lt;&gt;"","https://api.qrserver.com/v1/create-qr-code/?size=200x200&amp;data="&amp;ENCODEURL("https://wa.me/507"&amp;REGEXREPLACE(C1628,"[^0-9]","")&amp;"?text="&amp;ENCODEURL("Ya llegue. Codigo: "&amp;A1628&amp;". Ubicacion: "&amp;"https://www.google.com/maps/search/?api=1&amp;query="&amp;SUBSTITUTE(F1628," ",""))),"")</f>
        <v/>
      </c>
      <c r="M1628" s="8">
        <f>IF(B1628&lt;&gt;"",TODAY(),"")</f>
        <v/>
      </c>
      <c r="N1628" s="8">
        <f>IF(F1628&lt;&gt;"",IFERROR(IF(AND(REGEXMATCH(SUBSTITUTE(TRIM(F1628)," ",""),"^-?\d+(\.\d+)?,-?\d+(\.\d+)?$"),VALUE(REGEXEXTRACT(SUBSTITUTE(TRIM(F1628)," ",""),"^-?\d+(\.\d+)?"))&gt;=-90,VALUE(REGEXEXTRACT(SUBSTITUTE(TRIM(F1628)," ",""),"^-?\d+(\.\d+)?"))&lt;=90,VALUE(REGEXEXTRACT(SUBSTITUTE(TRIM(F1628)," ",""),"-?\d+(\.\d+)?$"))&gt;=-180,VALUE(REGEXEXTRACT(SUBSTITUTE(TRIM(F1628)," ",""),"-?\d+(\.\d+)?$"))&lt;=180),"OK","REVISAR"),"REVISAR"),"")</f>
        <v/>
      </c>
      <c r="O1628">
        <f>IF(A1628&lt;&gt;"","https://direcciones507.github.io/direcciones507/panel.html?codigo="&amp;A1628&amp;"&amp;nombre="&amp;ENCODEURL(B1628)&amp;"&amp;telefono="&amp;SUBSTITUTE(C1628,"-","")&amp;"&amp;referencia="&amp;ENCODEURL(E1628)&amp;"&amp;lat="&amp;IZQUIERDA(SUBSTITUTE(F1628," ",""),ENCONTRAR(",",SUBSTITUTE(F1628," ",""))-1)&amp;"&amp;lng="&amp;DERECHA(SUBSTITUTE(F1628," ",""),LARGO(SUBSTITUTE(F1628," ",""))-ENCONTRAR(",",SUBSTITUTE(F1628," ",""))),"")</f>
        <v/>
      </c>
    </row>
    <row r="1629" ht="15.75" customHeight="1" s="10">
      <c r="A1629" s="8">
        <f>CONCAT("AD507-",TEXT(ROW()-2,"0000"))</f>
        <v/>
      </c>
      <c r="C1629" s="8" t="n"/>
      <c r="F1629" s="8" t="n"/>
      <c r="G1629" s="8">
        <f>IF(F1629&lt;&gt;"",HYPERLINK("https://www.google.com/maps/search/?api=1&amp;query="&amp;SUBSTITUTE(F1629," ",""),"🗺 Google Maps"),"")</f>
        <v/>
      </c>
      <c r="H1629" s="8">
        <f>IF(F1629&lt;&gt;"",HYPERLINK("https://waze.com/ul?ll="&amp;SUBSTITUTE(F1629," ","")&amp;"&amp;navigate=yes","🚗 Waze"),"")</f>
        <v/>
      </c>
      <c r="I1629" s="8">
        <f>IF(F1629&lt;&gt;"",HYPERLINK("https://m.uber.com/ul/?action=setPickup&amp;pickup=my_location&amp;dropoff[latitude]="&amp;LEFT(SUBSTITUTE(F1629," ",""),FIND(",",SUBSTITUTE(F1629," ",""))-1)&amp;"&amp;dropoff[longitude]="&amp;MID(SUBSTITUTE(F1629," ",""),FIND(",",SUBSTITUTE(F1629," ",""))+1,99),"🚕 Uber"),"")</f>
        <v/>
      </c>
      <c r="J1629" s="8">
        <f>IF(F1629&lt;&gt;"","https://api.qrserver.com/v1/create-qr-code/?size=200x200&amp;data="&amp;ENCODEURL("https://www.google.com/maps/search/?api=1&amp;query="&amp;SUBSTITUTE(F1629," ","")),"")</f>
        <v/>
      </c>
      <c r="K1629" s="8">
        <f>IF(C1629&lt;&gt;"",HYPERLINK("https://wa.me/507"&amp;REGEXREPLACE(C1629,"[^0-9]","")&amp;"?text="&amp;ENCODEURL("Ya llegue. Codigo: "&amp;A1629&amp;". Ubicacion: "&amp;"https://www.google.com/maps/search/?api=1&amp;query="&amp;SUBSTITUTE(F1629," ","")),"📲 Avisar al cliente"),"")</f>
        <v/>
      </c>
      <c r="L1629" s="8">
        <f>IF(C1629&lt;&gt;"","https://api.qrserver.com/v1/create-qr-code/?size=200x200&amp;data="&amp;ENCODEURL("https://wa.me/507"&amp;REGEXREPLACE(C1629,"[^0-9]","")&amp;"?text="&amp;ENCODEURL("Ya llegue. Codigo: "&amp;A1629&amp;". Ubicacion: "&amp;"https://www.google.com/maps/search/?api=1&amp;query="&amp;SUBSTITUTE(F1629," ",""))),"")</f>
        <v/>
      </c>
      <c r="M1629" s="8">
        <f>IF(B1629&lt;&gt;"",TODAY(),"")</f>
        <v/>
      </c>
      <c r="N1629" s="8">
        <f>IF(F1629&lt;&gt;"",IFERROR(IF(AND(REGEXMATCH(SUBSTITUTE(TRIM(F1629)," ",""),"^-?\d+(\.\d+)?,-?\d+(\.\d+)?$"),VALUE(REGEXEXTRACT(SUBSTITUTE(TRIM(F1629)," ",""),"^-?\d+(\.\d+)?"))&gt;=-90,VALUE(REGEXEXTRACT(SUBSTITUTE(TRIM(F1629)," ",""),"^-?\d+(\.\d+)?"))&lt;=90,VALUE(REGEXEXTRACT(SUBSTITUTE(TRIM(F1629)," ",""),"-?\d+(\.\d+)?$"))&gt;=-180,VALUE(REGEXEXTRACT(SUBSTITUTE(TRIM(F1629)," ",""),"-?\d+(\.\d+)?$"))&lt;=180),"OK","REVISAR"),"REVISAR"),"")</f>
        <v/>
      </c>
      <c r="O1629">
        <f>IF(A1629&lt;&gt;"","https://direcciones507.github.io/direcciones507/panel.html?codigo="&amp;A1629&amp;"&amp;nombre="&amp;ENCODEURL(B1629)&amp;"&amp;telefono="&amp;SUBSTITUTE(C1629,"-","")&amp;"&amp;referencia="&amp;ENCODEURL(E1629)&amp;"&amp;lat="&amp;IZQUIERDA(SUBSTITUTE(F1629," ",""),ENCONTRAR(",",SUBSTITUTE(F1629," ",""))-1)&amp;"&amp;lng="&amp;DERECHA(SUBSTITUTE(F1629," ",""),LARGO(SUBSTITUTE(F1629," ",""))-ENCONTRAR(",",SUBSTITUTE(F1629," ",""))),"")</f>
        <v/>
      </c>
    </row>
    <row r="1630" ht="15.75" customHeight="1" s="10">
      <c r="A1630" s="8">
        <f>CONCAT("AD507-",TEXT(ROW()-2,"0000"))</f>
        <v/>
      </c>
      <c r="C1630" s="8" t="n"/>
      <c r="F1630" s="8" t="n"/>
      <c r="G1630" s="8">
        <f>IF(F1630&lt;&gt;"",HYPERLINK("https://www.google.com/maps/search/?api=1&amp;query="&amp;SUBSTITUTE(F1630," ",""),"🗺 Google Maps"),"")</f>
        <v/>
      </c>
      <c r="H1630" s="8">
        <f>IF(F1630&lt;&gt;"",HYPERLINK("https://waze.com/ul?ll="&amp;SUBSTITUTE(F1630," ","")&amp;"&amp;navigate=yes","🚗 Waze"),"")</f>
        <v/>
      </c>
      <c r="I1630" s="8">
        <f>IF(F1630&lt;&gt;"",HYPERLINK("https://m.uber.com/ul/?action=setPickup&amp;pickup=my_location&amp;dropoff[latitude]="&amp;LEFT(SUBSTITUTE(F1630," ",""),FIND(",",SUBSTITUTE(F1630," ",""))-1)&amp;"&amp;dropoff[longitude]="&amp;MID(SUBSTITUTE(F1630," ",""),FIND(",",SUBSTITUTE(F1630," ",""))+1,99),"🚕 Uber"),"")</f>
        <v/>
      </c>
      <c r="J1630" s="8">
        <f>IF(F1630&lt;&gt;"","https://api.qrserver.com/v1/create-qr-code/?size=200x200&amp;data="&amp;ENCODEURL("https://www.google.com/maps/search/?api=1&amp;query="&amp;SUBSTITUTE(F1630," ","")),"")</f>
        <v/>
      </c>
      <c r="K1630" s="8">
        <f>IF(C1630&lt;&gt;"",HYPERLINK("https://wa.me/507"&amp;REGEXREPLACE(C1630,"[^0-9]","")&amp;"?text="&amp;ENCODEURL("Ya llegue. Codigo: "&amp;A1630&amp;". Ubicacion: "&amp;"https://www.google.com/maps/search/?api=1&amp;query="&amp;SUBSTITUTE(F1630," ","")),"📲 Avisar al cliente"),"")</f>
        <v/>
      </c>
      <c r="L1630" s="8">
        <f>IF(C1630&lt;&gt;"","https://api.qrserver.com/v1/create-qr-code/?size=200x200&amp;data="&amp;ENCODEURL("https://wa.me/507"&amp;REGEXREPLACE(C1630,"[^0-9]","")&amp;"?text="&amp;ENCODEURL("Ya llegue. Codigo: "&amp;A1630&amp;". Ubicacion: "&amp;"https://www.google.com/maps/search/?api=1&amp;query="&amp;SUBSTITUTE(F1630," ",""))),"")</f>
        <v/>
      </c>
      <c r="M1630" s="8">
        <f>IF(B1630&lt;&gt;"",TODAY(),"")</f>
        <v/>
      </c>
      <c r="N1630" s="8">
        <f>IF(F1630&lt;&gt;"",IFERROR(IF(AND(REGEXMATCH(SUBSTITUTE(TRIM(F1630)," ",""),"^-?\d+(\.\d+)?,-?\d+(\.\d+)?$"),VALUE(REGEXEXTRACT(SUBSTITUTE(TRIM(F1630)," ",""),"^-?\d+(\.\d+)?"))&gt;=-90,VALUE(REGEXEXTRACT(SUBSTITUTE(TRIM(F1630)," ",""),"^-?\d+(\.\d+)?"))&lt;=90,VALUE(REGEXEXTRACT(SUBSTITUTE(TRIM(F1630)," ",""),"-?\d+(\.\d+)?$"))&gt;=-180,VALUE(REGEXEXTRACT(SUBSTITUTE(TRIM(F1630)," ",""),"-?\d+(\.\d+)?$"))&lt;=180),"OK","REVISAR"),"REVISAR"),"")</f>
        <v/>
      </c>
      <c r="O1630">
        <f>IF(A1630&lt;&gt;"","https://direcciones507.github.io/direcciones507/panel.html?codigo="&amp;A1630&amp;"&amp;nombre="&amp;ENCODEURL(B1630)&amp;"&amp;telefono="&amp;SUBSTITUTE(C1630,"-","")&amp;"&amp;referencia="&amp;ENCODEURL(E1630)&amp;"&amp;lat="&amp;IZQUIERDA(SUBSTITUTE(F1630," ",""),ENCONTRAR(",",SUBSTITUTE(F1630," ",""))-1)&amp;"&amp;lng="&amp;DERECHA(SUBSTITUTE(F1630," ",""),LARGO(SUBSTITUTE(F1630," ",""))-ENCONTRAR(",",SUBSTITUTE(F1630," ",""))),"")</f>
        <v/>
      </c>
    </row>
    <row r="1631" ht="15.75" customHeight="1" s="10">
      <c r="A1631" s="8">
        <f>CONCAT("AD507-",TEXT(ROW()-2,"0000"))</f>
        <v/>
      </c>
      <c r="C1631" s="8" t="n"/>
      <c r="F1631" s="8" t="n"/>
      <c r="G1631" s="8">
        <f>IF(F1631&lt;&gt;"",HYPERLINK("https://www.google.com/maps/search/?api=1&amp;query="&amp;SUBSTITUTE(F1631," ",""),"🗺 Google Maps"),"")</f>
        <v/>
      </c>
      <c r="H1631" s="8">
        <f>IF(F1631&lt;&gt;"",HYPERLINK("https://waze.com/ul?ll="&amp;SUBSTITUTE(F1631," ","")&amp;"&amp;navigate=yes","🚗 Waze"),"")</f>
        <v/>
      </c>
      <c r="I1631" s="8">
        <f>IF(F1631&lt;&gt;"",HYPERLINK("https://m.uber.com/ul/?action=setPickup&amp;pickup=my_location&amp;dropoff[latitude]="&amp;LEFT(SUBSTITUTE(F1631," ",""),FIND(",",SUBSTITUTE(F1631," ",""))-1)&amp;"&amp;dropoff[longitude]="&amp;MID(SUBSTITUTE(F1631," ",""),FIND(",",SUBSTITUTE(F1631," ",""))+1,99),"🚕 Uber"),"")</f>
        <v/>
      </c>
      <c r="J1631" s="8">
        <f>IF(F1631&lt;&gt;"","https://api.qrserver.com/v1/create-qr-code/?size=200x200&amp;data="&amp;ENCODEURL("https://www.google.com/maps/search/?api=1&amp;query="&amp;SUBSTITUTE(F1631," ","")),"")</f>
        <v/>
      </c>
      <c r="K1631" s="8">
        <f>IF(C1631&lt;&gt;"",HYPERLINK("https://wa.me/507"&amp;REGEXREPLACE(C1631,"[^0-9]","")&amp;"?text="&amp;ENCODEURL("Ya llegue. Codigo: "&amp;A1631&amp;". Ubicacion: "&amp;"https://www.google.com/maps/search/?api=1&amp;query="&amp;SUBSTITUTE(F1631," ","")),"📲 Avisar al cliente"),"")</f>
        <v/>
      </c>
      <c r="L1631" s="8">
        <f>IF(C1631&lt;&gt;"","https://api.qrserver.com/v1/create-qr-code/?size=200x200&amp;data="&amp;ENCODEURL("https://wa.me/507"&amp;REGEXREPLACE(C1631,"[^0-9]","")&amp;"?text="&amp;ENCODEURL("Ya llegue. Codigo: "&amp;A1631&amp;". Ubicacion: "&amp;"https://www.google.com/maps/search/?api=1&amp;query="&amp;SUBSTITUTE(F1631," ",""))),"")</f>
        <v/>
      </c>
      <c r="M1631" s="8">
        <f>IF(B1631&lt;&gt;"",TODAY(),"")</f>
        <v/>
      </c>
      <c r="N1631" s="8">
        <f>IF(F1631&lt;&gt;"",IFERROR(IF(AND(REGEXMATCH(SUBSTITUTE(TRIM(F1631)," ",""),"^-?\d+(\.\d+)?,-?\d+(\.\d+)?$"),VALUE(REGEXEXTRACT(SUBSTITUTE(TRIM(F1631)," ",""),"^-?\d+(\.\d+)?"))&gt;=-90,VALUE(REGEXEXTRACT(SUBSTITUTE(TRIM(F1631)," ",""),"^-?\d+(\.\d+)?"))&lt;=90,VALUE(REGEXEXTRACT(SUBSTITUTE(TRIM(F1631)," ",""),"-?\d+(\.\d+)?$"))&gt;=-180,VALUE(REGEXEXTRACT(SUBSTITUTE(TRIM(F1631)," ",""),"-?\d+(\.\d+)?$"))&lt;=180),"OK","REVISAR"),"REVISAR"),"")</f>
        <v/>
      </c>
      <c r="O1631">
        <f>IF(A1631&lt;&gt;"","https://direcciones507.github.io/direcciones507/panel.html?codigo="&amp;A1631&amp;"&amp;nombre="&amp;ENCODEURL(B1631)&amp;"&amp;telefono="&amp;SUBSTITUTE(C1631,"-","")&amp;"&amp;referencia="&amp;ENCODEURL(E1631)&amp;"&amp;lat="&amp;IZQUIERDA(SUBSTITUTE(F1631," ",""),ENCONTRAR(",",SUBSTITUTE(F1631," ",""))-1)&amp;"&amp;lng="&amp;DERECHA(SUBSTITUTE(F1631," ",""),LARGO(SUBSTITUTE(F1631," ",""))-ENCONTRAR(",",SUBSTITUTE(F1631," ",""))),"")</f>
        <v/>
      </c>
    </row>
    <row r="1632" ht="15.75" customHeight="1" s="10">
      <c r="A1632" s="8">
        <f>CONCAT("AD507-",TEXT(ROW()-2,"0000"))</f>
        <v/>
      </c>
      <c r="C1632" s="8" t="n"/>
      <c r="F1632" s="8" t="n"/>
      <c r="G1632" s="8">
        <f>IF(F1632&lt;&gt;"",HYPERLINK("https://www.google.com/maps/search/?api=1&amp;query="&amp;SUBSTITUTE(F1632," ",""),"🗺 Google Maps"),"")</f>
        <v/>
      </c>
      <c r="H1632" s="8">
        <f>IF(F1632&lt;&gt;"",HYPERLINK("https://waze.com/ul?ll="&amp;SUBSTITUTE(F1632," ","")&amp;"&amp;navigate=yes","🚗 Waze"),"")</f>
        <v/>
      </c>
      <c r="I1632" s="8">
        <f>IF(F1632&lt;&gt;"",HYPERLINK("https://m.uber.com/ul/?action=setPickup&amp;pickup=my_location&amp;dropoff[latitude]="&amp;LEFT(SUBSTITUTE(F1632," ",""),FIND(",",SUBSTITUTE(F1632," ",""))-1)&amp;"&amp;dropoff[longitude]="&amp;MID(SUBSTITUTE(F1632," ",""),FIND(",",SUBSTITUTE(F1632," ",""))+1,99),"🚕 Uber"),"")</f>
        <v/>
      </c>
      <c r="J1632" s="8">
        <f>IF(F1632&lt;&gt;"","https://api.qrserver.com/v1/create-qr-code/?size=200x200&amp;data="&amp;ENCODEURL("https://www.google.com/maps/search/?api=1&amp;query="&amp;SUBSTITUTE(F1632," ","")),"")</f>
        <v/>
      </c>
      <c r="K1632" s="8">
        <f>IF(C1632&lt;&gt;"",HYPERLINK("https://wa.me/507"&amp;REGEXREPLACE(C1632,"[^0-9]","")&amp;"?text="&amp;ENCODEURL("Ya llegue. Codigo: "&amp;A1632&amp;". Ubicacion: "&amp;"https://www.google.com/maps/search/?api=1&amp;query="&amp;SUBSTITUTE(F1632," ","")),"📲 Avisar al cliente"),"")</f>
        <v/>
      </c>
      <c r="L1632" s="8">
        <f>IF(C1632&lt;&gt;"","https://api.qrserver.com/v1/create-qr-code/?size=200x200&amp;data="&amp;ENCODEURL("https://wa.me/507"&amp;REGEXREPLACE(C1632,"[^0-9]","")&amp;"?text="&amp;ENCODEURL("Ya llegue. Codigo: "&amp;A1632&amp;". Ubicacion: "&amp;"https://www.google.com/maps/search/?api=1&amp;query="&amp;SUBSTITUTE(F1632," ",""))),"")</f>
        <v/>
      </c>
      <c r="M1632" s="8">
        <f>IF(B1632&lt;&gt;"",TODAY(),"")</f>
        <v/>
      </c>
      <c r="N1632" s="8">
        <f>IF(F1632&lt;&gt;"",IFERROR(IF(AND(REGEXMATCH(SUBSTITUTE(TRIM(F1632)," ",""),"^-?\d+(\.\d+)?,-?\d+(\.\d+)?$"),VALUE(REGEXEXTRACT(SUBSTITUTE(TRIM(F1632)," ",""),"^-?\d+(\.\d+)?"))&gt;=-90,VALUE(REGEXEXTRACT(SUBSTITUTE(TRIM(F1632)," ",""),"^-?\d+(\.\d+)?"))&lt;=90,VALUE(REGEXEXTRACT(SUBSTITUTE(TRIM(F1632)," ",""),"-?\d+(\.\d+)?$"))&gt;=-180,VALUE(REGEXEXTRACT(SUBSTITUTE(TRIM(F1632)," ",""),"-?\d+(\.\d+)?$"))&lt;=180),"OK","REVISAR"),"REVISAR"),"")</f>
        <v/>
      </c>
      <c r="O1632">
        <f>IF(A1632&lt;&gt;"","https://direcciones507.github.io/direcciones507/panel.html?codigo="&amp;A1632&amp;"&amp;nombre="&amp;ENCODEURL(B1632)&amp;"&amp;telefono="&amp;SUBSTITUTE(C1632,"-","")&amp;"&amp;referencia="&amp;ENCODEURL(E1632)&amp;"&amp;lat="&amp;IZQUIERDA(SUBSTITUTE(F1632," ",""),ENCONTRAR(",",SUBSTITUTE(F1632," ",""))-1)&amp;"&amp;lng="&amp;DERECHA(SUBSTITUTE(F1632," ",""),LARGO(SUBSTITUTE(F1632," ",""))-ENCONTRAR(",",SUBSTITUTE(F1632," ",""))),"")</f>
        <v/>
      </c>
    </row>
    <row r="1633" ht="15.75" customHeight="1" s="10">
      <c r="A1633" s="8">
        <f>CONCAT("AD507-",TEXT(ROW()-2,"0000"))</f>
        <v/>
      </c>
      <c r="C1633" s="8" t="n"/>
      <c r="F1633" s="8" t="n"/>
      <c r="G1633" s="8">
        <f>IF(F1633&lt;&gt;"",HYPERLINK("https://www.google.com/maps/search/?api=1&amp;query="&amp;SUBSTITUTE(F1633," ",""),"🗺 Google Maps"),"")</f>
        <v/>
      </c>
      <c r="H1633" s="8">
        <f>IF(F1633&lt;&gt;"",HYPERLINK("https://waze.com/ul?ll="&amp;SUBSTITUTE(F1633," ","")&amp;"&amp;navigate=yes","🚗 Waze"),"")</f>
        <v/>
      </c>
      <c r="I1633" s="8">
        <f>IF(F1633&lt;&gt;"",HYPERLINK("https://m.uber.com/ul/?action=setPickup&amp;pickup=my_location&amp;dropoff[latitude]="&amp;LEFT(SUBSTITUTE(F1633," ",""),FIND(",",SUBSTITUTE(F1633," ",""))-1)&amp;"&amp;dropoff[longitude]="&amp;MID(SUBSTITUTE(F1633," ",""),FIND(",",SUBSTITUTE(F1633," ",""))+1,99),"🚕 Uber"),"")</f>
        <v/>
      </c>
      <c r="J1633" s="8">
        <f>IF(F1633&lt;&gt;"","https://api.qrserver.com/v1/create-qr-code/?size=200x200&amp;data="&amp;ENCODEURL("https://www.google.com/maps/search/?api=1&amp;query="&amp;SUBSTITUTE(F1633," ","")),"")</f>
        <v/>
      </c>
      <c r="K1633" s="8">
        <f>IF(C1633&lt;&gt;"",HYPERLINK("https://wa.me/507"&amp;REGEXREPLACE(C1633,"[^0-9]","")&amp;"?text="&amp;ENCODEURL("Ya llegue. Codigo: "&amp;A1633&amp;". Ubicacion: "&amp;"https://www.google.com/maps/search/?api=1&amp;query="&amp;SUBSTITUTE(F1633," ","")),"📲 Avisar al cliente"),"")</f>
        <v/>
      </c>
      <c r="L1633" s="8">
        <f>IF(C1633&lt;&gt;"","https://api.qrserver.com/v1/create-qr-code/?size=200x200&amp;data="&amp;ENCODEURL("https://wa.me/507"&amp;REGEXREPLACE(C1633,"[^0-9]","")&amp;"?text="&amp;ENCODEURL("Ya llegue. Codigo: "&amp;A1633&amp;". Ubicacion: "&amp;"https://www.google.com/maps/search/?api=1&amp;query="&amp;SUBSTITUTE(F1633," ",""))),"")</f>
        <v/>
      </c>
      <c r="M1633" s="8">
        <f>IF(B1633&lt;&gt;"",TODAY(),"")</f>
        <v/>
      </c>
      <c r="N1633" s="8">
        <f>IF(F1633&lt;&gt;"",IFERROR(IF(AND(REGEXMATCH(SUBSTITUTE(TRIM(F1633)," ",""),"^-?\d+(\.\d+)?,-?\d+(\.\d+)?$"),VALUE(REGEXEXTRACT(SUBSTITUTE(TRIM(F1633)," ",""),"^-?\d+(\.\d+)?"))&gt;=-90,VALUE(REGEXEXTRACT(SUBSTITUTE(TRIM(F1633)," ",""),"^-?\d+(\.\d+)?"))&lt;=90,VALUE(REGEXEXTRACT(SUBSTITUTE(TRIM(F1633)," ",""),"-?\d+(\.\d+)?$"))&gt;=-180,VALUE(REGEXEXTRACT(SUBSTITUTE(TRIM(F1633)," ",""),"-?\d+(\.\d+)?$"))&lt;=180),"OK","REVISAR"),"REVISAR"),"")</f>
        <v/>
      </c>
      <c r="O1633">
        <f>IF(A1633&lt;&gt;"","https://direcciones507.github.io/direcciones507/panel.html?codigo="&amp;A1633&amp;"&amp;nombre="&amp;ENCODEURL(B1633)&amp;"&amp;telefono="&amp;SUBSTITUTE(C1633,"-","")&amp;"&amp;referencia="&amp;ENCODEURL(E1633)&amp;"&amp;lat="&amp;IZQUIERDA(SUBSTITUTE(F1633," ",""),ENCONTRAR(",",SUBSTITUTE(F1633," ",""))-1)&amp;"&amp;lng="&amp;DERECHA(SUBSTITUTE(F1633," ",""),LARGO(SUBSTITUTE(F1633," ",""))-ENCONTRAR(",",SUBSTITUTE(F1633," ",""))),"")</f>
        <v/>
      </c>
    </row>
    <row r="1634" ht="15.75" customHeight="1" s="10">
      <c r="A1634" s="8">
        <f>CONCAT("AD507-",TEXT(ROW()-2,"0000"))</f>
        <v/>
      </c>
      <c r="C1634" s="8" t="n"/>
      <c r="F1634" s="8" t="n"/>
      <c r="G1634" s="8">
        <f>IF(F1634&lt;&gt;"",HYPERLINK("https://www.google.com/maps/search/?api=1&amp;query="&amp;SUBSTITUTE(F1634," ",""),"🗺 Google Maps"),"")</f>
        <v/>
      </c>
      <c r="H1634" s="8">
        <f>IF(F1634&lt;&gt;"",HYPERLINK("https://waze.com/ul?ll="&amp;SUBSTITUTE(F1634," ","")&amp;"&amp;navigate=yes","🚗 Waze"),"")</f>
        <v/>
      </c>
      <c r="I1634" s="8">
        <f>IF(F1634&lt;&gt;"",HYPERLINK("https://m.uber.com/ul/?action=setPickup&amp;pickup=my_location&amp;dropoff[latitude]="&amp;LEFT(SUBSTITUTE(F1634," ",""),FIND(",",SUBSTITUTE(F1634," ",""))-1)&amp;"&amp;dropoff[longitude]="&amp;MID(SUBSTITUTE(F1634," ",""),FIND(",",SUBSTITUTE(F1634," ",""))+1,99),"🚕 Uber"),"")</f>
        <v/>
      </c>
      <c r="J1634" s="8">
        <f>IF(F1634&lt;&gt;"","https://api.qrserver.com/v1/create-qr-code/?size=200x200&amp;data="&amp;ENCODEURL("https://www.google.com/maps/search/?api=1&amp;query="&amp;SUBSTITUTE(F1634," ","")),"")</f>
        <v/>
      </c>
      <c r="K1634" s="8">
        <f>IF(C1634&lt;&gt;"",HYPERLINK("https://wa.me/507"&amp;REGEXREPLACE(C1634,"[^0-9]","")&amp;"?text="&amp;ENCODEURL("Ya llegue. Codigo: "&amp;A1634&amp;". Ubicacion: "&amp;"https://www.google.com/maps/search/?api=1&amp;query="&amp;SUBSTITUTE(F1634," ","")),"📲 Avisar al cliente"),"")</f>
        <v/>
      </c>
      <c r="L1634" s="8">
        <f>IF(C1634&lt;&gt;"","https://api.qrserver.com/v1/create-qr-code/?size=200x200&amp;data="&amp;ENCODEURL("https://wa.me/507"&amp;REGEXREPLACE(C1634,"[^0-9]","")&amp;"?text="&amp;ENCODEURL("Ya llegue. Codigo: "&amp;A1634&amp;". Ubicacion: "&amp;"https://www.google.com/maps/search/?api=1&amp;query="&amp;SUBSTITUTE(F1634," ",""))),"")</f>
        <v/>
      </c>
      <c r="M1634" s="8">
        <f>IF(B1634&lt;&gt;"",TODAY(),"")</f>
        <v/>
      </c>
      <c r="N1634" s="8">
        <f>IF(F1634&lt;&gt;"",IFERROR(IF(AND(REGEXMATCH(SUBSTITUTE(TRIM(F1634)," ",""),"^-?\d+(\.\d+)?,-?\d+(\.\d+)?$"),VALUE(REGEXEXTRACT(SUBSTITUTE(TRIM(F1634)," ",""),"^-?\d+(\.\d+)?"))&gt;=-90,VALUE(REGEXEXTRACT(SUBSTITUTE(TRIM(F1634)," ",""),"^-?\d+(\.\d+)?"))&lt;=90,VALUE(REGEXEXTRACT(SUBSTITUTE(TRIM(F1634)," ",""),"-?\d+(\.\d+)?$"))&gt;=-180,VALUE(REGEXEXTRACT(SUBSTITUTE(TRIM(F1634)," ",""),"-?\d+(\.\d+)?$"))&lt;=180),"OK","REVISAR"),"REVISAR"),"")</f>
        <v/>
      </c>
      <c r="O1634">
        <f>IF(A1634&lt;&gt;"","https://direcciones507.github.io/direcciones507/panel.html?codigo="&amp;A1634&amp;"&amp;nombre="&amp;ENCODEURL(B1634)&amp;"&amp;telefono="&amp;SUBSTITUTE(C1634,"-","")&amp;"&amp;referencia="&amp;ENCODEURL(E1634)&amp;"&amp;lat="&amp;IZQUIERDA(SUBSTITUTE(F1634," ",""),ENCONTRAR(",",SUBSTITUTE(F1634," ",""))-1)&amp;"&amp;lng="&amp;DERECHA(SUBSTITUTE(F1634," ",""),LARGO(SUBSTITUTE(F1634," ",""))-ENCONTRAR(",",SUBSTITUTE(F1634," ",""))),"")</f>
        <v/>
      </c>
    </row>
    <row r="1635" ht="15.75" customHeight="1" s="10">
      <c r="A1635" s="8">
        <f>CONCAT("AD507-",TEXT(ROW()-2,"0000"))</f>
        <v/>
      </c>
      <c r="C1635" s="8" t="n"/>
      <c r="F1635" s="8" t="n"/>
      <c r="G1635" s="8">
        <f>IF(F1635&lt;&gt;"",HYPERLINK("https://www.google.com/maps/search/?api=1&amp;query="&amp;SUBSTITUTE(F1635," ",""),"🗺 Google Maps"),"")</f>
        <v/>
      </c>
      <c r="H1635" s="8">
        <f>IF(F1635&lt;&gt;"",HYPERLINK("https://waze.com/ul?ll="&amp;SUBSTITUTE(F1635," ","")&amp;"&amp;navigate=yes","🚗 Waze"),"")</f>
        <v/>
      </c>
      <c r="I1635" s="8">
        <f>IF(F1635&lt;&gt;"",HYPERLINK("https://m.uber.com/ul/?action=setPickup&amp;pickup=my_location&amp;dropoff[latitude]="&amp;LEFT(SUBSTITUTE(F1635," ",""),FIND(",",SUBSTITUTE(F1635," ",""))-1)&amp;"&amp;dropoff[longitude]="&amp;MID(SUBSTITUTE(F1635," ",""),FIND(",",SUBSTITUTE(F1635," ",""))+1,99),"🚕 Uber"),"")</f>
        <v/>
      </c>
      <c r="J1635" s="8">
        <f>IF(F1635&lt;&gt;"","https://api.qrserver.com/v1/create-qr-code/?size=200x200&amp;data="&amp;ENCODEURL("https://www.google.com/maps/search/?api=1&amp;query="&amp;SUBSTITUTE(F1635," ","")),"")</f>
        <v/>
      </c>
      <c r="K1635" s="8">
        <f>IF(C1635&lt;&gt;"",HYPERLINK("https://wa.me/507"&amp;REGEXREPLACE(C1635,"[^0-9]","")&amp;"?text="&amp;ENCODEURL("Ya llegue. Codigo: "&amp;A1635&amp;". Ubicacion: "&amp;"https://www.google.com/maps/search/?api=1&amp;query="&amp;SUBSTITUTE(F1635," ","")),"📲 Avisar al cliente"),"")</f>
        <v/>
      </c>
      <c r="L1635" s="8">
        <f>IF(C1635&lt;&gt;"","https://api.qrserver.com/v1/create-qr-code/?size=200x200&amp;data="&amp;ENCODEURL("https://wa.me/507"&amp;REGEXREPLACE(C1635,"[^0-9]","")&amp;"?text="&amp;ENCODEURL("Ya llegue. Codigo: "&amp;A1635&amp;". Ubicacion: "&amp;"https://www.google.com/maps/search/?api=1&amp;query="&amp;SUBSTITUTE(F1635," ",""))),"")</f>
        <v/>
      </c>
      <c r="M1635" s="8">
        <f>IF(B1635&lt;&gt;"",TODAY(),"")</f>
        <v/>
      </c>
      <c r="N1635" s="8">
        <f>IF(F1635&lt;&gt;"",IFERROR(IF(AND(REGEXMATCH(SUBSTITUTE(TRIM(F1635)," ",""),"^-?\d+(\.\d+)?,-?\d+(\.\d+)?$"),VALUE(REGEXEXTRACT(SUBSTITUTE(TRIM(F1635)," ",""),"^-?\d+(\.\d+)?"))&gt;=-90,VALUE(REGEXEXTRACT(SUBSTITUTE(TRIM(F1635)," ",""),"^-?\d+(\.\d+)?"))&lt;=90,VALUE(REGEXEXTRACT(SUBSTITUTE(TRIM(F1635)," ",""),"-?\d+(\.\d+)?$"))&gt;=-180,VALUE(REGEXEXTRACT(SUBSTITUTE(TRIM(F1635)," ",""),"-?\d+(\.\d+)?$"))&lt;=180),"OK","REVISAR"),"REVISAR"),"")</f>
        <v/>
      </c>
      <c r="O1635">
        <f>IF(A1635&lt;&gt;"","https://direcciones507.github.io/direcciones507/panel.html?codigo="&amp;A1635&amp;"&amp;nombre="&amp;ENCODEURL(B1635)&amp;"&amp;telefono="&amp;SUBSTITUTE(C1635,"-","")&amp;"&amp;referencia="&amp;ENCODEURL(E1635)&amp;"&amp;lat="&amp;IZQUIERDA(SUBSTITUTE(F1635," ",""),ENCONTRAR(",",SUBSTITUTE(F1635," ",""))-1)&amp;"&amp;lng="&amp;DERECHA(SUBSTITUTE(F1635," ",""),LARGO(SUBSTITUTE(F1635," ",""))-ENCONTRAR(",",SUBSTITUTE(F1635," ",""))),"")</f>
        <v/>
      </c>
    </row>
    <row r="1636" ht="15.75" customHeight="1" s="10">
      <c r="A1636" s="8">
        <f>CONCAT("AD507-",TEXT(ROW()-2,"0000"))</f>
        <v/>
      </c>
      <c r="C1636" s="8" t="n"/>
      <c r="F1636" s="8" t="n"/>
      <c r="G1636" s="8">
        <f>IF(F1636&lt;&gt;"",HYPERLINK("https://www.google.com/maps/search/?api=1&amp;query="&amp;SUBSTITUTE(F1636," ",""),"🗺 Google Maps"),"")</f>
        <v/>
      </c>
      <c r="H1636" s="8">
        <f>IF(F1636&lt;&gt;"",HYPERLINK("https://waze.com/ul?ll="&amp;SUBSTITUTE(F1636," ","")&amp;"&amp;navigate=yes","🚗 Waze"),"")</f>
        <v/>
      </c>
      <c r="I1636" s="8">
        <f>IF(F1636&lt;&gt;"",HYPERLINK("https://m.uber.com/ul/?action=setPickup&amp;pickup=my_location&amp;dropoff[latitude]="&amp;LEFT(SUBSTITUTE(F1636," ",""),FIND(",",SUBSTITUTE(F1636," ",""))-1)&amp;"&amp;dropoff[longitude]="&amp;MID(SUBSTITUTE(F1636," ",""),FIND(",",SUBSTITUTE(F1636," ",""))+1,99),"🚕 Uber"),"")</f>
        <v/>
      </c>
      <c r="J1636" s="8">
        <f>IF(F1636&lt;&gt;"","https://api.qrserver.com/v1/create-qr-code/?size=200x200&amp;data="&amp;ENCODEURL("https://www.google.com/maps/search/?api=1&amp;query="&amp;SUBSTITUTE(F1636," ","")),"")</f>
        <v/>
      </c>
      <c r="K1636" s="8">
        <f>IF(C1636&lt;&gt;"",HYPERLINK("https://wa.me/507"&amp;REGEXREPLACE(C1636,"[^0-9]","")&amp;"?text="&amp;ENCODEURL("Ya llegue. Codigo: "&amp;A1636&amp;". Ubicacion: "&amp;"https://www.google.com/maps/search/?api=1&amp;query="&amp;SUBSTITUTE(F1636," ","")),"📲 Avisar al cliente"),"")</f>
        <v/>
      </c>
      <c r="L1636" s="8">
        <f>IF(C1636&lt;&gt;"","https://api.qrserver.com/v1/create-qr-code/?size=200x200&amp;data="&amp;ENCODEURL("https://wa.me/507"&amp;REGEXREPLACE(C1636,"[^0-9]","")&amp;"?text="&amp;ENCODEURL("Ya llegue. Codigo: "&amp;A1636&amp;". Ubicacion: "&amp;"https://www.google.com/maps/search/?api=1&amp;query="&amp;SUBSTITUTE(F1636," ",""))),"")</f>
        <v/>
      </c>
      <c r="M1636" s="8">
        <f>IF(B1636&lt;&gt;"",TODAY(),"")</f>
        <v/>
      </c>
      <c r="N1636" s="8">
        <f>IF(F1636&lt;&gt;"",IFERROR(IF(AND(REGEXMATCH(SUBSTITUTE(TRIM(F1636)," ",""),"^-?\d+(\.\d+)?,-?\d+(\.\d+)?$"),VALUE(REGEXEXTRACT(SUBSTITUTE(TRIM(F1636)," ",""),"^-?\d+(\.\d+)?"))&gt;=-90,VALUE(REGEXEXTRACT(SUBSTITUTE(TRIM(F1636)," ",""),"^-?\d+(\.\d+)?"))&lt;=90,VALUE(REGEXEXTRACT(SUBSTITUTE(TRIM(F1636)," ",""),"-?\d+(\.\d+)?$"))&gt;=-180,VALUE(REGEXEXTRACT(SUBSTITUTE(TRIM(F1636)," ",""),"-?\d+(\.\d+)?$"))&lt;=180),"OK","REVISAR"),"REVISAR"),"")</f>
        <v/>
      </c>
      <c r="O1636">
        <f>IF(A1636&lt;&gt;"","https://direcciones507.github.io/direcciones507/panel.html?codigo="&amp;A1636&amp;"&amp;nombre="&amp;ENCODEURL(B1636)&amp;"&amp;telefono="&amp;SUBSTITUTE(C1636,"-","")&amp;"&amp;referencia="&amp;ENCODEURL(E1636)&amp;"&amp;lat="&amp;IZQUIERDA(SUBSTITUTE(F1636," ",""),ENCONTRAR(",",SUBSTITUTE(F1636," ",""))-1)&amp;"&amp;lng="&amp;DERECHA(SUBSTITUTE(F1636," ",""),LARGO(SUBSTITUTE(F1636," ",""))-ENCONTRAR(",",SUBSTITUTE(F1636," ",""))),"")</f>
        <v/>
      </c>
    </row>
    <row r="1637" ht="15.75" customHeight="1" s="10">
      <c r="A1637" s="8">
        <f>CONCAT("AD507-",TEXT(ROW()-2,"0000"))</f>
        <v/>
      </c>
      <c r="C1637" s="8" t="n"/>
      <c r="F1637" s="8" t="n"/>
      <c r="G1637" s="8">
        <f>IF(F1637&lt;&gt;"",HYPERLINK("https://www.google.com/maps/search/?api=1&amp;query="&amp;SUBSTITUTE(F1637," ",""),"🗺 Google Maps"),"")</f>
        <v/>
      </c>
      <c r="H1637" s="8">
        <f>IF(F1637&lt;&gt;"",HYPERLINK("https://waze.com/ul?ll="&amp;SUBSTITUTE(F1637," ","")&amp;"&amp;navigate=yes","🚗 Waze"),"")</f>
        <v/>
      </c>
      <c r="I1637" s="8">
        <f>IF(F1637&lt;&gt;"",HYPERLINK("https://m.uber.com/ul/?action=setPickup&amp;pickup=my_location&amp;dropoff[latitude]="&amp;LEFT(SUBSTITUTE(F1637," ",""),FIND(",",SUBSTITUTE(F1637," ",""))-1)&amp;"&amp;dropoff[longitude]="&amp;MID(SUBSTITUTE(F1637," ",""),FIND(",",SUBSTITUTE(F1637," ",""))+1,99),"🚕 Uber"),"")</f>
        <v/>
      </c>
      <c r="J1637" s="8">
        <f>IF(F1637&lt;&gt;"","https://api.qrserver.com/v1/create-qr-code/?size=200x200&amp;data="&amp;ENCODEURL("https://www.google.com/maps/search/?api=1&amp;query="&amp;SUBSTITUTE(F1637," ","")),"")</f>
        <v/>
      </c>
      <c r="K1637" s="8">
        <f>IF(C1637&lt;&gt;"",HYPERLINK("https://wa.me/507"&amp;REGEXREPLACE(C1637,"[^0-9]","")&amp;"?text="&amp;ENCODEURL("Ya llegue. Codigo: "&amp;A1637&amp;". Ubicacion: "&amp;"https://www.google.com/maps/search/?api=1&amp;query="&amp;SUBSTITUTE(F1637," ","")),"📲 Avisar al cliente"),"")</f>
        <v/>
      </c>
      <c r="L1637" s="8">
        <f>IF(C1637&lt;&gt;"","https://api.qrserver.com/v1/create-qr-code/?size=200x200&amp;data="&amp;ENCODEURL("https://wa.me/507"&amp;REGEXREPLACE(C1637,"[^0-9]","")&amp;"?text="&amp;ENCODEURL("Ya llegue. Codigo: "&amp;A1637&amp;". Ubicacion: "&amp;"https://www.google.com/maps/search/?api=1&amp;query="&amp;SUBSTITUTE(F1637," ",""))),"")</f>
        <v/>
      </c>
      <c r="M1637" s="8">
        <f>IF(B1637&lt;&gt;"",TODAY(),"")</f>
        <v/>
      </c>
      <c r="N1637" s="8">
        <f>IF(F1637&lt;&gt;"",IFERROR(IF(AND(REGEXMATCH(SUBSTITUTE(TRIM(F1637)," ",""),"^-?\d+(\.\d+)?,-?\d+(\.\d+)?$"),VALUE(REGEXEXTRACT(SUBSTITUTE(TRIM(F1637)," ",""),"^-?\d+(\.\d+)?"))&gt;=-90,VALUE(REGEXEXTRACT(SUBSTITUTE(TRIM(F1637)," ",""),"^-?\d+(\.\d+)?"))&lt;=90,VALUE(REGEXEXTRACT(SUBSTITUTE(TRIM(F1637)," ",""),"-?\d+(\.\d+)?$"))&gt;=-180,VALUE(REGEXEXTRACT(SUBSTITUTE(TRIM(F1637)," ",""),"-?\d+(\.\d+)?$"))&lt;=180),"OK","REVISAR"),"REVISAR"),"")</f>
        <v/>
      </c>
      <c r="O1637">
        <f>IF(A1637&lt;&gt;"","https://direcciones507.github.io/direcciones507/panel.html?codigo="&amp;A1637&amp;"&amp;nombre="&amp;ENCODEURL(B1637)&amp;"&amp;telefono="&amp;SUBSTITUTE(C1637,"-","")&amp;"&amp;referencia="&amp;ENCODEURL(E1637)&amp;"&amp;lat="&amp;IZQUIERDA(SUBSTITUTE(F1637," ",""),ENCONTRAR(",",SUBSTITUTE(F1637," ",""))-1)&amp;"&amp;lng="&amp;DERECHA(SUBSTITUTE(F1637," ",""),LARGO(SUBSTITUTE(F1637," ",""))-ENCONTRAR(",",SUBSTITUTE(F1637," ",""))),"")</f>
        <v/>
      </c>
    </row>
    <row r="1638" ht="15.75" customHeight="1" s="10">
      <c r="A1638" s="8">
        <f>CONCAT("AD507-",TEXT(ROW()-2,"0000"))</f>
        <v/>
      </c>
      <c r="C1638" s="8" t="n"/>
      <c r="F1638" s="8" t="n"/>
      <c r="G1638" s="8">
        <f>IF(F1638&lt;&gt;"",HYPERLINK("https://www.google.com/maps/search/?api=1&amp;query="&amp;SUBSTITUTE(F1638," ",""),"🗺 Google Maps"),"")</f>
        <v/>
      </c>
      <c r="H1638" s="8">
        <f>IF(F1638&lt;&gt;"",HYPERLINK("https://waze.com/ul?ll="&amp;SUBSTITUTE(F1638," ","")&amp;"&amp;navigate=yes","🚗 Waze"),"")</f>
        <v/>
      </c>
      <c r="I1638" s="8">
        <f>IF(F1638&lt;&gt;"",HYPERLINK("https://m.uber.com/ul/?action=setPickup&amp;pickup=my_location&amp;dropoff[latitude]="&amp;LEFT(SUBSTITUTE(F1638," ",""),FIND(",",SUBSTITUTE(F1638," ",""))-1)&amp;"&amp;dropoff[longitude]="&amp;MID(SUBSTITUTE(F1638," ",""),FIND(",",SUBSTITUTE(F1638," ",""))+1,99),"🚕 Uber"),"")</f>
        <v/>
      </c>
      <c r="J1638" s="8">
        <f>IF(F1638&lt;&gt;"","https://api.qrserver.com/v1/create-qr-code/?size=200x200&amp;data="&amp;ENCODEURL("https://www.google.com/maps/search/?api=1&amp;query="&amp;SUBSTITUTE(F1638," ","")),"")</f>
        <v/>
      </c>
      <c r="K1638" s="8">
        <f>IF(C1638&lt;&gt;"",HYPERLINK("https://wa.me/507"&amp;REGEXREPLACE(C1638,"[^0-9]","")&amp;"?text="&amp;ENCODEURL("Ya llegue. Codigo: "&amp;A1638&amp;". Ubicacion: "&amp;"https://www.google.com/maps/search/?api=1&amp;query="&amp;SUBSTITUTE(F1638," ","")),"📲 Avisar al cliente"),"")</f>
        <v/>
      </c>
      <c r="L1638" s="8">
        <f>IF(C1638&lt;&gt;"","https://api.qrserver.com/v1/create-qr-code/?size=200x200&amp;data="&amp;ENCODEURL("https://wa.me/507"&amp;REGEXREPLACE(C1638,"[^0-9]","")&amp;"?text="&amp;ENCODEURL("Ya llegue. Codigo: "&amp;A1638&amp;". Ubicacion: "&amp;"https://www.google.com/maps/search/?api=1&amp;query="&amp;SUBSTITUTE(F1638," ",""))),"")</f>
        <v/>
      </c>
      <c r="M1638" s="8">
        <f>IF(B1638&lt;&gt;"",TODAY(),"")</f>
        <v/>
      </c>
      <c r="N1638" s="8">
        <f>IF(F1638&lt;&gt;"",IFERROR(IF(AND(REGEXMATCH(SUBSTITUTE(TRIM(F1638)," ",""),"^-?\d+(\.\d+)?,-?\d+(\.\d+)?$"),VALUE(REGEXEXTRACT(SUBSTITUTE(TRIM(F1638)," ",""),"^-?\d+(\.\d+)?"))&gt;=-90,VALUE(REGEXEXTRACT(SUBSTITUTE(TRIM(F1638)," ",""),"^-?\d+(\.\d+)?"))&lt;=90,VALUE(REGEXEXTRACT(SUBSTITUTE(TRIM(F1638)," ",""),"-?\d+(\.\d+)?$"))&gt;=-180,VALUE(REGEXEXTRACT(SUBSTITUTE(TRIM(F1638)," ",""),"-?\d+(\.\d+)?$"))&lt;=180),"OK","REVISAR"),"REVISAR"),"")</f>
        <v/>
      </c>
      <c r="O1638">
        <f>IF(A1638&lt;&gt;"","https://direcciones507.github.io/direcciones507/panel.html?codigo="&amp;A1638&amp;"&amp;nombre="&amp;ENCODEURL(B1638)&amp;"&amp;telefono="&amp;SUBSTITUTE(C1638,"-","")&amp;"&amp;referencia="&amp;ENCODEURL(E1638)&amp;"&amp;lat="&amp;IZQUIERDA(SUBSTITUTE(F1638," ",""),ENCONTRAR(",",SUBSTITUTE(F1638," ",""))-1)&amp;"&amp;lng="&amp;DERECHA(SUBSTITUTE(F1638," ",""),LARGO(SUBSTITUTE(F1638," ",""))-ENCONTRAR(",",SUBSTITUTE(F1638," ",""))),"")</f>
        <v/>
      </c>
    </row>
    <row r="1639" ht="15.75" customHeight="1" s="10">
      <c r="A1639" s="8">
        <f>CONCAT("AD507-",TEXT(ROW()-2,"0000"))</f>
        <v/>
      </c>
      <c r="C1639" s="8" t="n"/>
      <c r="F1639" s="8" t="n"/>
      <c r="G1639" s="8">
        <f>IF(F1639&lt;&gt;"",HYPERLINK("https://www.google.com/maps/search/?api=1&amp;query="&amp;SUBSTITUTE(F1639," ",""),"🗺 Google Maps"),"")</f>
        <v/>
      </c>
      <c r="H1639" s="8">
        <f>IF(F1639&lt;&gt;"",HYPERLINK("https://waze.com/ul?ll="&amp;SUBSTITUTE(F1639," ","")&amp;"&amp;navigate=yes","🚗 Waze"),"")</f>
        <v/>
      </c>
      <c r="I1639" s="8">
        <f>IF(F1639&lt;&gt;"",HYPERLINK("https://m.uber.com/ul/?action=setPickup&amp;pickup=my_location&amp;dropoff[latitude]="&amp;LEFT(SUBSTITUTE(F1639," ",""),FIND(",",SUBSTITUTE(F1639," ",""))-1)&amp;"&amp;dropoff[longitude]="&amp;MID(SUBSTITUTE(F1639," ",""),FIND(",",SUBSTITUTE(F1639," ",""))+1,99),"🚕 Uber"),"")</f>
        <v/>
      </c>
      <c r="J1639" s="8">
        <f>IF(F1639&lt;&gt;"","https://api.qrserver.com/v1/create-qr-code/?size=200x200&amp;data="&amp;ENCODEURL("https://www.google.com/maps/search/?api=1&amp;query="&amp;SUBSTITUTE(F1639," ","")),"")</f>
        <v/>
      </c>
      <c r="K1639" s="8">
        <f>IF(C1639&lt;&gt;"",HYPERLINK("https://wa.me/507"&amp;REGEXREPLACE(C1639,"[^0-9]","")&amp;"?text="&amp;ENCODEURL("Ya llegue. Codigo: "&amp;A1639&amp;". Ubicacion: "&amp;"https://www.google.com/maps/search/?api=1&amp;query="&amp;SUBSTITUTE(F1639," ","")),"📲 Avisar al cliente"),"")</f>
        <v/>
      </c>
      <c r="L1639" s="8">
        <f>IF(C1639&lt;&gt;"","https://api.qrserver.com/v1/create-qr-code/?size=200x200&amp;data="&amp;ENCODEURL("https://wa.me/507"&amp;REGEXREPLACE(C1639,"[^0-9]","")&amp;"?text="&amp;ENCODEURL("Ya llegue. Codigo: "&amp;A1639&amp;". Ubicacion: "&amp;"https://www.google.com/maps/search/?api=1&amp;query="&amp;SUBSTITUTE(F1639," ",""))),"")</f>
        <v/>
      </c>
      <c r="M1639" s="8">
        <f>IF(B1639&lt;&gt;"",TODAY(),"")</f>
        <v/>
      </c>
      <c r="N1639" s="8">
        <f>IF(F1639&lt;&gt;"",IFERROR(IF(AND(REGEXMATCH(SUBSTITUTE(TRIM(F1639)," ",""),"^-?\d+(\.\d+)?,-?\d+(\.\d+)?$"),VALUE(REGEXEXTRACT(SUBSTITUTE(TRIM(F1639)," ",""),"^-?\d+(\.\d+)?"))&gt;=-90,VALUE(REGEXEXTRACT(SUBSTITUTE(TRIM(F1639)," ",""),"^-?\d+(\.\d+)?"))&lt;=90,VALUE(REGEXEXTRACT(SUBSTITUTE(TRIM(F1639)," ",""),"-?\d+(\.\d+)?$"))&gt;=-180,VALUE(REGEXEXTRACT(SUBSTITUTE(TRIM(F1639)," ",""),"-?\d+(\.\d+)?$"))&lt;=180),"OK","REVISAR"),"REVISAR"),"")</f>
        <v/>
      </c>
      <c r="O1639">
        <f>IF(A1639&lt;&gt;"","https://direcciones507.github.io/direcciones507/panel.html?codigo="&amp;A1639&amp;"&amp;nombre="&amp;ENCODEURL(B1639)&amp;"&amp;telefono="&amp;SUBSTITUTE(C1639,"-","")&amp;"&amp;referencia="&amp;ENCODEURL(E1639)&amp;"&amp;lat="&amp;IZQUIERDA(SUBSTITUTE(F1639," ",""),ENCONTRAR(",",SUBSTITUTE(F1639," ",""))-1)&amp;"&amp;lng="&amp;DERECHA(SUBSTITUTE(F1639," ",""),LARGO(SUBSTITUTE(F1639," ",""))-ENCONTRAR(",",SUBSTITUTE(F1639," ",""))),"")</f>
        <v/>
      </c>
    </row>
    <row r="1640" ht="15.75" customHeight="1" s="10">
      <c r="A1640" s="8">
        <f>CONCAT("AD507-",TEXT(ROW()-2,"0000"))</f>
        <v/>
      </c>
      <c r="C1640" s="8" t="n"/>
      <c r="F1640" s="8" t="n"/>
      <c r="G1640" s="8">
        <f>IF(F1640&lt;&gt;"",HYPERLINK("https://www.google.com/maps/search/?api=1&amp;query="&amp;SUBSTITUTE(F1640," ",""),"🗺 Google Maps"),"")</f>
        <v/>
      </c>
      <c r="H1640" s="8">
        <f>IF(F1640&lt;&gt;"",HYPERLINK("https://waze.com/ul?ll="&amp;SUBSTITUTE(F1640," ","")&amp;"&amp;navigate=yes","🚗 Waze"),"")</f>
        <v/>
      </c>
      <c r="I1640" s="8">
        <f>IF(F1640&lt;&gt;"",HYPERLINK("https://m.uber.com/ul/?action=setPickup&amp;pickup=my_location&amp;dropoff[latitude]="&amp;LEFT(SUBSTITUTE(F1640," ",""),FIND(",",SUBSTITUTE(F1640," ",""))-1)&amp;"&amp;dropoff[longitude]="&amp;MID(SUBSTITUTE(F1640," ",""),FIND(",",SUBSTITUTE(F1640," ",""))+1,99),"🚕 Uber"),"")</f>
        <v/>
      </c>
      <c r="J1640" s="8">
        <f>IF(F1640&lt;&gt;"","https://api.qrserver.com/v1/create-qr-code/?size=200x200&amp;data="&amp;ENCODEURL("https://www.google.com/maps/search/?api=1&amp;query="&amp;SUBSTITUTE(F1640," ","")),"")</f>
        <v/>
      </c>
      <c r="K1640" s="8">
        <f>IF(C1640&lt;&gt;"",HYPERLINK("https://wa.me/507"&amp;REGEXREPLACE(C1640,"[^0-9]","")&amp;"?text="&amp;ENCODEURL("Ya llegue. Codigo: "&amp;A1640&amp;". Ubicacion: "&amp;"https://www.google.com/maps/search/?api=1&amp;query="&amp;SUBSTITUTE(F1640," ","")),"📲 Avisar al cliente"),"")</f>
        <v/>
      </c>
      <c r="L1640" s="8">
        <f>IF(C1640&lt;&gt;"","https://api.qrserver.com/v1/create-qr-code/?size=200x200&amp;data="&amp;ENCODEURL("https://wa.me/507"&amp;REGEXREPLACE(C1640,"[^0-9]","")&amp;"?text="&amp;ENCODEURL("Ya llegue. Codigo: "&amp;A1640&amp;". Ubicacion: "&amp;"https://www.google.com/maps/search/?api=1&amp;query="&amp;SUBSTITUTE(F1640," ",""))),"")</f>
        <v/>
      </c>
      <c r="M1640" s="8">
        <f>IF(B1640&lt;&gt;"",TODAY(),"")</f>
        <v/>
      </c>
      <c r="N1640" s="8">
        <f>IF(F1640&lt;&gt;"",IFERROR(IF(AND(REGEXMATCH(SUBSTITUTE(TRIM(F1640)," ",""),"^-?\d+(\.\d+)?,-?\d+(\.\d+)?$"),VALUE(REGEXEXTRACT(SUBSTITUTE(TRIM(F1640)," ",""),"^-?\d+(\.\d+)?"))&gt;=-90,VALUE(REGEXEXTRACT(SUBSTITUTE(TRIM(F1640)," ",""),"^-?\d+(\.\d+)?"))&lt;=90,VALUE(REGEXEXTRACT(SUBSTITUTE(TRIM(F1640)," ",""),"-?\d+(\.\d+)?$"))&gt;=-180,VALUE(REGEXEXTRACT(SUBSTITUTE(TRIM(F1640)," ",""),"-?\d+(\.\d+)?$"))&lt;=180),"OK","REVISAR"),"REVISAR"),"")</f>
        <v/>
      </c>
      <c r="O1640">
        <f>IF(A1640&lt;&gt;"","https://direcciones507.github.io/direcciones507/panel.html?codigo="&amp;A1640&amp;"&amp;nombre="&amp;ENCODEURL(B1640)&amp;"&amp;telefono="&amp;SUBSTITUTE(C1640,"-","")&amp;"&amp;referencia="&amp;ENCODEURL(E1640)&amp;"&amp;lat="&amp;IZQUIERDA(SUBSTITUTE(F1640," ",""),ENCONTRAR(",",SUBSTITUTE(F1640," ",""))-1)&amp;"&amp;lng="&amp;DERECHA(SUBSTITUTE(F1640," ",""),LARGO(SUBSTITUTE(F1640," ",""))-ENCONTRAR(",",SUBSTITUTE(F1640," ",""))),"")</f>
        <v/>
      </c>
    </row>
    <row r="1641" ht="15.75" customHeight="1" s="10">
      <c r="A1641" s="8">
        <f>CONCAT("AD507-",TEXT(ROW()-2,"0000"))</f>
        <v/>
      </c>
      <c r="C1641" s="8" t="n"/>
      <c r="F1641" s="8" t="n"/>
      <c r="G1641" s="8">
        <f>IF(F1641&lt;&gt;"",HYPERLINK("https://www.google.com/maps/search/?api=1&amp;query="&amp;SUBSTITUTE(F1641," ",""),"🗺 Google Maps"),"")</f>
        <v/>
      </c>
      <c r="H1641" s="8">
        <f>IF(F1641&lt;&gt;"",HYPERLINK("https://waze.com/ul?ll="&amp;SUBSTITUTE(F1641," ","")&amp;"&amp;navigate=yes","🚗 Waze"),"")</f>
        <v/>
      </c>
      <c r="I1641" s="8">
        <f>IF(F1641&lt;&gt;"",HYPERLINK("https://m.uber.com/ul/?action=setPickup&amp;pickup=my_location&amp;dropoff[latitude]="&amp;LEFT(SUBSTITUTE(F1641," ",""),FIND(",",SUBSTITUTE(F1641," ",""))-1)&amp;"&amp;dropoff[longitude]="&amp;MID(SUBSTITUTE(F1641," ",""),FIND(",",SUBSTITUTE(F1641," ",""))+1,99),"🚕 Uber"),"")</f>
        <v/>
      </c>
      <c r="J1641" s="8">
        <f>IF(F1641&lt;&gt;"","https://api.qrserver.com/v1/create-qr-code/?size=200x200&amp;data="&amp;ENCODEURL("https://www.google.com/maps/search/?api=1&amp;query="&amp;SUBSTITUTE(F1641," ","")),"")</f>
        <v/>
      </c>
      <c r="K1641" s="8">
        <f>IF(C1641&lt;&gt;"",HYPERLINK("https://wa.me/507"&amp;REGEXREPLACE(C1641,"[^0-9]","")&amp;"?text="&amp;ENCODEURL("Ya llegue. Codigo: "&amp;A1641&amp;". Ubicacion: "&amp;"https://www.google.com/maps/search/?api=1&amp;query="&amp;SUBSTITUTE(F1641," ","")),"📲 Avisar al cliente"),"")</f>
        <v/>
      </c>
      <c r="L1641" s="8">
        <f>IF(C1641&lt;&gt;"","https://api.qrserver.com/v1/create-qr-code/?size=200x200&amp;data="&amp;ENCODEURL("https://wa.me/507"&amp;REGEXREPLACE(C1641,"[^0-9]","")&amp;"?text="&amp;ENCODEURL("Ya llegue. Codigo: "&amp;A1641&amp;". Ubicacion: "&amp;"https://www.google.com/maps/search/?api=1&amp;query="&amp;SUBSTITUTE(F1641," ",""))),"")</f>
        <v/>
      </c>
      <c r="M1641" s="8">
        <f>IF(B1641&lt;&gt;"",TODAY(),"")</f>
        <v/>
      </c>
      <c r="N1641" s="8">
        <f>IF(F1641&lt;&gt;"",IFERROR(IF(AND(REGEXMATCH(SUBSTITUTE(TRIM(F1641)," ",""),"^-?\d+(\.\d+)?,-?\d+(\.\d+)?$"),VALUE(REGEXEXTRACT(SUBSTITUTE(TRIM(F1641)," ",""),"^-?\d+(\.\d+)?"))&gt;=-90,VALUE(REGEXEXTRACT(SUBSTITUTE(TRIM(F1641)," ",""),"^-?\d+(\.\d+)?"))&lt;=90,VALUE(REGEXEXTRACT(SUBSTITUTE(TRIM(F1641)," ",""),"-?\d+(\.\d+)?$"))&gt;=-180,VALUE(REGEXEXTRACT(SUBSTITUTE(TRIM(F1641)," ",""),"-?\d+(\.\d+)?$"))&lt;=180),"OK","REVISAR"),"REVISAR"),"")</f>
        <v/>
      </c>
      <c r="O1641">
        <f>IF(A1641&lt;&gt;"","https://direcciones507.github.io/direcciones507/panel.html?codigo="&amp;A1641&amp;"&amp;nombre="&amp;ENCODEURL(B1641)&amp;"&amp;telefono="&amp;SUBSTITUTE(C1641,"-","")&amp;"&amp;referencia="&amp;ENCODEURL(E1641)&amp;"&amp;lat="&amp;IZQUIERDA(SUBSTITUTE(F1641," ",""),ENCONTRAR(",",SUBSTITUTE(F1641," ",""))-1)&amp;"&amp;lng="&amp;DERECHA(SUBSTITUTE(F1641," ",""),LARGO(SUBSTITUTE(F1641," ",""))-ENCONTRAR(",",SUBSTITUTE(F1641," ",""))),"")</f>
        <v/>
      </c>
    </row>
    <row r="1642" ht="15.75" customHeight="1" s="10">
      <c r="A1642" s="8">
        <f>CONCAT("AD507-",TEXT(ROW()-2,"0000"))</f>
        <v/>
      </c>
      <c r="C1642" s="8" t="n"/>
      <c r="F1642" s="8" t="n"/>
      <c r="G1642" s="8">
        <f>IF(F1642&lt;&gt;"",HYPERLINK("https://www.google.com/maps/search/?api=1&amp;query="&amp;SUBSTITUTE(F1642," ",""),"🗺 Google Maps"),"")</f>
        <v/>
      </c>
      <c r="H1642" s="8">
        <f>IF(F1642&lt;&gt;"",HYPERLINK("https://waze.com/ul?ll="&amp;SUBSTITUTE(F1642," ","")&amp;"&amp;navigate=yes","🚗 Waze"),"")</f>
        <v/>
      </c>
      <c r="I1642" s="8">
        <f>IF(F1642&lt;&gt;"",HYPERLINK("https://m.uber.com/ul/?action=setPickup&amp;pickup=my_location&amp;dropoff[latitude]="&amp;LEFT(SUBSTITUTE(F1642," ",""),FIND(",",SUBSTITUTE(F1642," ",""))-1)&amp;"&amp;dropoff[longitude]="&amp;MID(SUBSTITUTE(F1642," ",""),FIND(",",SUBSTITUTE(F1642," ",""))+1,99),"🚕 Uber"),"")</f>
        <v/>
      </c>
      <c r="J1642" s="8">
        <f>IF(F1642&lt;&gt;"","https://api.qrserver.com/v1/create-qr-code/?size=200x200&amp;data="&amp;ENCODEURL("https://www.google.com/maps/search/?api=1&amp;query="&amp;SUBSTITUTE(F1642," ","")),"")</f>
        <v/>
      </c>
      <c r="K1642" s="8">
        <f>IF(C1642&lt;&gt;"",HYPERLINK("https://wa.me/507"&amp;REGEXREPLACE(C1642,"[^0-9]","")&amp;"?text="&amp;ENCODEURL("Ya llegue. Codigo: "&amp;A1642&amp;". Ubicacion: "&amp;"https://www.google.com/maps/search/?api=1&amp;query="&amp;SUBSTITUTE(F1642," ","")),"📲 Avisar al cliente"),"")</f>
        <v/>
      </c>
      <c r="L1642" s="8">
        <f>IF(C1642&lt;&gt;"","https://api.qrserver.com/v1/create-qr-code/?size=200x200&amp;data="&amp;ENCODEURL("https://wa.me/507"&amp;REGEXREPLACE(C1642,"[^0-9]","")&amp;"?text="&amp;ENCODEURL("Ya llegue. Codigo: "&amp;A1642&amp;". Ubicacion: "&amp;"https://www.google.com/maps/search/?api=1&amp;query="&amp;SUBSTITUTE(F1642," ",""))),"")</f>
        <v/>
      </c>
      <c r="M1642" s="8">
        <f>IF(B1642&lt;&gt;"",TODAY(),"")</f>
        <v/>
      </c>
      <c r="N1642" s="8">
        <f>IF(F1642&lt;&gt;"",IFERROR(IF(AND(REGEXMATCH(SUBSTITUTE(TRIM(F1642)," ",""),"^-?\d+(\.\d+)?,-?\d+(\.\d+)?$"),VALUE(REGEXEXTRACT(SUBSTITUTE(TRIM(F1642)," ",""),"^-?\d+(\.\d+)?"))&gt;=-90,VALUE(REGEXEXTRACT(SUBSTITUTE(TRIM(F1642)," ",""),"^-?\d+(\.\d+)?"))&lt;=90,VALUE(REGEXEXTRACT(SUBSTITUTE(TRIM(F1642)," ",""),"-?\d+(\.\d+)?$"))&gt;=-180,VALUE(REGEXEXTRACT(SUBSTITUTE(TRIM(F1642)," ",""),"-?\d+(\.\d+)?$"))&lt;=180),"OK","REVISAR"),"REVISAR"),"")</f>
        <v/>
      </c>
      <c r="O1642">
        <f>IF(A1642&lt;&gt;"","https://direcciones507.github.io/direcciones507/panel.html?codigo="&amp;A1642&amp;"&amp;nombre="&amp;ENCODEURL(B1642)&amp;"&amp;telefono="&amp;SUBSTITUTE(C1642,"-","")&amp;"&amp;referencia="&amp;ENCODEURL(E1642)&amp;"&amp;lat="&amp;IZQUIERDA(SUBSTITUTE(F1642," ",""),ENCONTRAR(",",SUBSTITUTE(F1642," ",""))-1)&amp;"&amp;lng="&amp;DERECHA(SUBSTITUTE(F1642," ",""),LARGO(SUBSTITUTE(F1642," ",""))-ENCONTRAR(",",SUBSTITUTE(F1642," ",""))),"")</f>
        <v/>
      </c>
    </row>
    <row r="1643" ht="15.75" customHeight="1" s="10">
      <c r="A1643" s="8">
        <f>CONCAT("AD507-",TEXT(ROW()-2,"0000"))</f>
        <v/>
      </c>
      <c r="C1643" s="8" t="n"/>
      <c r="F1643" s="8" t="n"/>
      <c r="G1643" s="8">
        <f>IF(F1643&lt;&gt;"",HYPERLINK("https://www.google.com/maps/search/?api=1&amp;query="&amp;SUBSTITUTE(F1643," ",""),"🗺 Google Maps"),"")</f>
        <v/>
      </c>
      <c r="H1643" s="8">
        <f>IF(F1643&lt;&gt;"",HYPERLINK("https://waze.com/ul?ll="&amp;SUBSTITUTE(F1643," ","")&amp;"&amp;navigate=yes","🚗 Waze"),"")</f>
        <v/>
      </c>
      <c r="I1643" s="8">
        <f>IF(F1643&lt;&gt;"",HYPERLINK("https://m.uber.com/ul/?action=setPickup&amp;pickup=my_location&amp;dropoff[latitude]="&amp;LEFT(SUBSTITUTE(F1643," ",""),FIND(",",SUBSTITUTE(F1643," ",""))-1)&amp;"&amp;dropoff[longitude]="&amp;MID(SUBSTITUTE(F1643," ",""),FIND(",",SUBSTITUTE(F1643," ",""))+1,99),"🚕 Uber"),"")</f>
        <v/>
      </c>
      <c r="J1643" s="8">
        <f>IF(F1643&lt;&gt;"","https://api.qrserver.com/v1/create-qr-code/?size=200x200&amp;data="&amp;ENCODEURL("https://www.google.com/maps/search/?api=1&amp;query="&amp;SUBSTITUTE(F1643," ","")),"")</f>
        <v/>
      </c>
      <c r="K1643" s="8">
        <f>IF(C1643&lt;&gt;"",HYPERLINK("https://wa.me/507"&amp;REGEXREPLACE(C1643,"[^0-9]","")&amp;"?text="&amp;ENCODEURL("Ya llegue. Codigo: "&amp;A1643&amp;". Ubicacion: "&amp;"https://www.google.com/maps/search/?api=1&amp;query="&amp;SUBSTITUTE(F1643," ","")),"📲 Avisar al cliente"),"")</f>
        <v/>
      </c>
      <c r="L1643" s="8">
        <f>IF(C1643&lt;&gt;"","https://api.qrserver.com/v1/create-qr-code/?size=200x200&amp;data="&amp;ENCODEURL("https://wa.me/507"&amp;REGEXREPLACE(C1643,"[^0-9]","")&amp;"?text="&amp;ENCODEURL("Ya llegue. Codigo: "&amp;A1643&amp;". Ubicacion: "&amp;"https://www.google.com/maps/search/?api=1&amp;query="&amp;SUBSTITUTE(F1643," ",""))),"")</f>
        <v/>
      </c>
      <c r="M1643" s="8">
        <f>IF(B1643&lt;&gt;"",TODAY(),"")</f>
        <v/>
      </c>
      <c r="N1643" s="8">
        <f>IF(F1643&lt;&gt;"",IFERROR(IF(AND(REGEXMATCH(SUBSTITUTE(TRIM(F1643)," ",""),"^-?\d+(\.\d+)?,-?\d+(\.\d+)?$"),VALUE(REGEXEXTRACT(SUBSTITUTE(TRIM(F1643)," ",""),"^-?\d+(\.\d+)?"))&gt;=-90,VALUE(REGEXEXTRACT(SUBSTITUTE(TRIM(F1643)," ",""),"^-?\d+(\.\d+)?"))&lt;=90,VALUE(REGEXEXTRACT(SUBSTITUTE(TRIM(F1643)," ",""),"-?\d+(\.\d+)?$"))&gt;=-180,VALUE(REGEXEXTRACT(SUBSTITUTE(TRIM(F1643)," ",""),"-?\d+(\.\d+)?$"))&lt;=180),"OK","REVISAR"),"REVISAR"),"")</f>
        <v/>
      </c>
      <c r="O1643">
        <f>IF(A1643&lt;&gt;"","https://direcciones507.github.io/direcciones507/panel.html?codigo="&amp;A1643&amp;"&amp;nombre="&amp;ENCODEURL(B1643)&amp;"&amp;telefono="&amp;SUBSTITUTE(C1643,"-","")&amp;"&amp;referencia="&amp;ENCODEURL(E1643)&amp;"&amp;lat="&amp;IZQUIERDA(SUBSTITUTE(F1643," ",""),ENCONTRAR(",",SUBSTITUTE(F1643," ",""))-1)&amp;"&amp;lng="&amp;DERECHA(SUBSTITUTE(F1643," ",""),LARGO(SUBSTITUTE(F1643," ",""))-ENCONTRAR(",",SUBSTITUTE(F1643," ",""))),"")</f>
        <v/>
      </c>
    </row>
    <row r="1644" ht="15.75" customHeight="1" s="10">
      <c r="A1644" s="8">
        <f>CONCAT("AD507-",TEXT(ROW()-2,"0000"))</f>
        <v/>
      </c>
      <c r="C1644" s="8" t="n"/>
      <c r="F1644" s="8" t="n"/>
      <c r="G1644" s="8">
        <f>IF(F1644&lt;&gt;"",HYPERLINK("https://www.google.com/maps/search/?api=1&amp;query="&amp;SUBSTITUTE(F1644," ",""),"🗺 Google Maps"),"")</f>
        <v/>
      </c>
      <c r="H1644" s="8">
        <f>IF(F1644&lt;&gt;"",HYPERLINK("https://waze.com/ul?ll="&amp;SUBSTITUTE(F1644," ","")&amp;"&amp;navigate=yes","🚗 Waze"),"")</f>
        <v/>
      </c>
      <c r="I1644" s="8">
        <f>IF(F1644&lt;&gt;"",HYPERLINK("https://m.uber.com/ul/?action=setPickup&amp;pickup=my_location&amp;dropoff[latitude]="&amp;LEFT(SUBSTITUTE(F1644," ",""),FIND(",",SUBSTITUTE(F1644," ",""))-1)&amp;"&amp;dropoff[longitude]="&amp;MID(SUBSTITUTE(F1644," ",""),FIND(",",SUBSTITUTE(F1644," ",""))+1,99),"🚕 Uber"),"")</f>
        <v/>
      </c>
      <c r="J1644" s="8">
        <f>IF(F1644&lt;&gt;"","https://api.qrserver.com/v1/create-qr-code/?size=200x200&amp;data="&amp;ENCODEURL("https://www.google.com/maps/search/?api=1&amp;query="&amp;SUBSTITUTE(F1644," ","")),"")</f>
        <v/>
      </c>
      <c r="K1644" s="8">
        <f>IF(C1644&lt;&gt;"",HYPERLINK("https://wa.me/507"&amp;REGEXREPLACE(C1644,"[^0-9]","")&amp;"?text="&amp;ENCODEURL("Ya llegue. Codigo: "&amp;A1644&amp;". Ubicacion: "&amp;"https://www.google.com/maps/search/?api=1&amp;query="&amp;SUBSTITUTE(F1644," ","")),"📲 Avisar al cliente"),"")</f>
        <v/>
      </c>
      <c r="L1644" s="8">
        <f>IF(C1644&lt;&gt;"","https://api.qrserver.com/v1/create-qr-code/?size=200x200&amp;data="&amp;ENCODEURL("https://wa.me/507"&amp;REGEXREPLACE(C1644,"[^0-9]","")&amp;"?text="&amp;ENCODEURL("Ya llegue. Codigo: "&amp;A1644&amp;". Ubicacion: "&amp;"https://www.google.com/maps/search/?api=1&amp;query="&amp;SUBSTITUTE(F1644," ",""))),"")</f>
        <v/>
      </c>
      <c r="M1644" s="8">
        <f>IF(B1644&lt;&gt;"",TODAY(),"")</f>
        <v/>
      </c>
      <c r="N1644" s="8">
        <f>IF(F1644&lt;&gt;"",IFERROR(IF(AND(REGEXMATCH(SUBSTITUTE(TRIM(F1644)," ",""),"^-?\d+(\.\d+)?,-?\d+(\.\d+)?$"),VALUE(REGEXEXTRACT(SUBSTITUTE(TRIM(F1644)," ",""),"^-?\d+(\.\d+)?"))&gt;=-90,VALUE(REGEXEXTRACT(SUBSTITUTE(TRIM(F1644)," ",""),"^-?\d+(\.\d+)?"))&lt;=90,VALUE(REGEXEXTRACT(SUBSTITUTE(TRIM(F1644)," ",""),"-?\d+(\.\d+)?$"))&gt;=-180,VALUE(REGEXEXTRACT(SUBSTITUTE(TRIM(F1644)," ",""),"-?\d+(\.\d+)?$"))&lt;=180),"OK","REVISAR"),"REVISAR"),"")</f>
        <v/>
      </c>
      <c r="O1644">
        <f>IF(A1644&lt;&gt;"","https://direcciones507.github.io/direcciones507/panel.html?codigo="&amp;A1644&amp;"&amp;nombre="&amp;ENCODEURL(B1644)&amp;"&amp;telefono="&amp;SUBSTITUTE(C1644,"-","")&amp;"&amp;referencia="&amp;ENCODEURL(E1644)&amp;"&amp;lat="&amp;IZQUIERDA(SUBSTITUTE(F1644," ",""),ENCONTRAR(",",SUBSTITUTE(F1644," ",""))-1)&amp;"&amp;lng="&amp;DERECHA(SUBSTITUTE(F1644," ",""),LARGO(SUBSTITUTE(F1644," ",""))-ENCONTRAR(",",SUBSTITUTE(F1644," ",""))),"")</f>
        <v/>
      </c>
    </row>
    <row r="1645" ht="15.75" customHeight="1" s="10">
      <c r="A1645" s="8">
        <f>CONCAT("AD507-",TEXT(ROW()-2,"0000"))</f>
        <v/>
      </c>
      <c r="C1645" s="8" t="n"/>
      <c r="F1645" s="8" t="n"/>
      <c r="G1645" s="8">
        <f>IF(F1645&lt;&gt;"",HYPERLINK("https://www.google.com/maps/search/?api=1&amp;query="&amp;SUBSTITUTE(F1645," ",""),"🗺 Google Maps"),"")</f>
        <v/>
      </c>
      <c r="H1645" s="8">
        <f>IF(F1645&lt;&gt;"",HYPERLINK("https://waze.com/ul?ll="&amp;SUBSTITUTE(F1645," ","")&amp;"&amp;navigate=yes","🚗 Waze"),"")</f>
        <v/>
      </c>
      <c r="I1645" s="8">
        <f>IF(F1645&lt;&gt;"",HYPERLINK("https://m.uber.com/ul/?action=setPickup&amp;pickup=my_location&amp;dropoff[latitude]="&amp;LEFT(SUBSTITUTE(F1645," ",""),FIND(",",SUBSTITUTE(F1645," ",""))-1)&amp;"&amp;dropoff[longitude]="&amp;MID(SUBSTITUTE(F1645," ",""),FIND(",",SUBSTITUTE(F1645," ",""))+1,99),"🚕 Uber"),"")</f>
        <v/>
      </c>
      <c r="J1645" s="8">
        <f>IF(F1645&lt;&gt;"","https://api.qrserver.com/v1/create-qr-code/?size=200x200&amp;data="&amp;ENCODEURL("https://www.google.com/maps/search/?api=1&amp;query="&amp;SUBSTITUTE(F1645," ","")),"")</f>
        <v/>
      </c>
      <c r="K1645" s="8">
        <f>IF(C1645&lt;&gt;"",HYPERLINK("https://wa.me/507"&amp;REGEXREPLACE(C1645,"[^0-9]","")&amp;"?text="&amp;ENCODEURL("Ya llegue. Codigo: "&amp;A1645&amp;". Ubicacion: "&amp;"https://www.google.com/maps/search/?api=1&amp;query="&amp;SUBSTITUTE(F1645," ","")),"📲 Avisar al cliente"),"")</f>
        <v/>
      </c>
      <c r="L1645" s="8">
        <f>IF(C1645&lt;&gt;"","https://api.qrserver.com/v1/create-qr-code/?size=200x200&amp;data="&amp;ENCODEURL("https://wa.me/507"&amp;REGEXREPLACE(C1645,"[^0-9]","")&amp;"?text="&amp;ENCODEURL("Ya llegue. Codigo: "&amp;A1645&amp;". Ubicacion: "&amp;"https://www.google.com/maps/search/?api=1&amp;query="&amp;SUBSTITUTE(F1645," ",""))),"")</f>
        <v/>
      </c>
      <c r="M1645" s="8">
        <f>IF(B1645&lt;&gt;"",TODAY(),"")</f>
        <v/>
      </c>
      <c r="N1645" s="8">
        <f>IF(F1645&lt;&gt;"",IFERROR(IF(AND(REGEXMATCH(SUBSTITUTE(TRIM(F1645)," ",""),"^-?\d+(\.\d+)?,-?\d+(\.\d+)?$"),VALUE(REGEXEXTRACT(SUBSTITUTE(TRIM(F1645)," ",""),"^-?\d+(\.\d+)?"))&gt;=-90,VALUE(REGEXEXTRACT(SUBSTITUTE(TRIM(F1645)," ",""),"^-?\d+(\.\d+)?"))&lt;=90,VALUE(REGEXEXTRACT(SUBSTITUTE(TRIM(F1645)," ",""),"-?\d+(\.\d+)?$"))&gt;=-180,VALUE(REGEXEXTRACT(SUBSTITUTE(TRIM(F1645)," ",""),"-?\d+(\.\d+)?$"))&lt;=180),"OK","REVISAR"),"REVISAR"),"")</f>
        <v/>
      </c>
      <c r="O1645">
        <f>IF(A1645&lt;&gt;"","https://direcciones507.github.io/direcciones507/panel.html?codigo="&amp;A1645&amp;"&amp;nombre="&amp;ENCODEURL(B1645)&amp;"&amp;telefono="&amp;SUBSTITUTE(C1645,"-","")&amp;"&amp;referencia="&amp;ENCODEURL(E1645)&amp;"&amp;lat="&amp;IZQUIERDA(SUBSTITUTE(F1645," ",""),ENCONTRAR(",",SUBSTITUTE(F1645," ",""))-1)&amp;"&amp;lng="&amp;DERECHA(SUBSTITUTE(F1645," ",""),LARGO(SUBSTITUTE(F1645," ",""))-ENCONTRAR(",",SUBSTITUTE(F1645," ",""))),"")</f>
        <v/>
      </c>
    </row>
    <row r="1646" ht="15.75" customHeight="1" s="10">
      <c r="A1646" s="8">
        <f>CONCAT("AD507-",TEXT(ROW()-2,"0000"))</f>
        <v/>
      </c>
      <c r="C1646" s="8" t="n"/>
      <c r="F1646" s="8" t="n"/>
      <c r="G1646" s="8">
        <f>IF(F1646&lt;&gt;"",HYPERLINK("https://www.google.com/maps/search/?api=1&amp;query="&amp;SUBSTITUTE(F1646," ",""),"🗺 Google Maps"),"")</f>
        <v/>
      </c>
      <c r="H1646" s="8">
        <f>IF(F1646&lt;&gt;"",HYPERLINK("https://waze.com/ul?ll="&amp;SUBSTITUTE(F1646," ","")&amp;"&amp;navigate=yes","🚗 Waze"),"")</f>
        <v/>
      </c>
      <c r="I1646" s="8">
        <f>IF(F1646&lt;&gt;"",HYPERLINK("https://m.uber.com/ul/?action=setPickup&amp;pickup=my_location&amp;dropoff[latitude]="&amp;LEFT(SUBSTITUTE(F1646," ",""),FIND(",",SUBSTITUTE(F1646," ",""))-1)&amp;"&amp;dropoff[longitude]="&amp;MID(SUBSTITUTE(F1646," ",""),FIND(",",SUBSTITUTE(F1646," ",""))+1,99),"🚕 Uber"),"")</f>
        <v/>
      </c>
      <c r="J1646" s="8">
        <f>IF(F1646&lt;&gt;"","https://api.qrserver.com/v1/create-qr-code/?size=200x200&amp;data="&amp;ENCODEURL("https://www.google.com/maps/search/?api=1&amp;query="&amp;SUBSTITUTE(F1646," ","")),"")</f>
        <v/>
      </c>
      <c r="K1646" s="8">
        <f>IF(C1646&lt;&gt;"",HYPERLINK("https://wa.me/507"&amp;REGEXREPLACE(C1646,"[^0-9]","")&amp;"?text="&amp;ENCODEURL("Ya llegue. Codigo: "&amp;A1646&amp;". Ubicacion: "&amp;"https://www.google.com/maps/search/?api=1&amp;query="&amp;SUBSTITUTE(F1646," ","")),"📲 Avisar al cliente"),"")</f>
        <v/>
      </c>
      <c r="L1646" s="8">
        <f>IF(C1646&lt;&gt;"","https://api.qrserver.com/v1/create-qr-code/?size=200x200&amp;data="&amp;ENCODEURL("https://wa.me/507"&amp;REGEXREPLACE(C1646,"[^0-9]","")&amp;"?text="&amp;ENCODEURL("Ya llegue. Codigo: "&amp;A1646&amp;". Ubicacion: "&amp;"https://www.google.com/maps/search/?api=1&amp;query="&amp;SUBSTITUTE(F1646," ",""))),"")</f>
        <v/>
      </c>
      <c r="M1646" s="8">
        <f>IF(B1646&lt;&gt;"",TODAY(),"")</f>
        <v/>
      </c>
      <c r="N1646" s="8">
        <f>IF(F1646&lt;&gt;"",IFERROR(IF(AND(REGEXMATCH(SUBSTITUTE(TRIM(F1646)," ",""),"^-?\d+(\.\d+)?,-?\d+(\.\d+)?$"),VALUE(REGEXEXTRACT(SUBSTITUTE(TRIM(F1646)," ",""),"^-?\d+(\.\d+)?"))&gt;=-90,VALUE(REGEXEXTRACT(SUBSTITUTE(TRIM(F1646)," ",""),"^-?\d+(\.\d+)?"))&lt;=90,VALUE(REGEXEXTRACT(SUBSTITUTE(TRIM(F1646)," ",""),"-?\d+(\.\d+)?$"))&gt;=-180,VALUE(REGEXEXTRACT(SUBSTITUTE(TRIM(F1646)," ",""),"-?\d+(\.\d+)?$"))&lt;=180),"OK","REVISAR"),"REVISAR"),"")</f>
        <v/>
      </c>
      <c r="O1646">
        <f>IF(A1646&lt;&gt;"","https://direcciones507.github.io/direcciones507/panel.html?codigo="&amp;A1646&amp;"&amp;nombre="&amp;ENCODEURL(B1646)&amp;"&amp;telefono="&amp;SUBSTITUTE(C1646,"-","")&amp;"&amp;referencia="&amp;ENCODEURL(E1646)&amp;"&amp;lat="&amp;IZQUIERDA(SUBSTITUTE(F1646," ",""),ENCONTRAR(",",SUBSTITUTE(F1646," ",""))-1)&amp;"&amp;lng="&amp;DERECHA(SUBSTITUTE(F1646," ",""),LARGO(SUBSTITUTE(F1646," ",""))-ENCONTRAR(",",SUBSTITUTE(F1646," ",""))),"")</f>
        <v/>
      </c>
    </row>
    <row r="1647" ht="15.75" customHeight="1" s="10">
      <c r="A1647" s="8">
        <f>CONCAT("AD507-",TEXT(ROW()-2,"0000"))</f>
        <v/>
      </c>
      <c r="C1647" s="8" t="n"/>
      <c r="F1647" s="8" t="n"/>
      <c r="G1647" s="8">
        <f>IF(F1647&lt;&gt;"",HYPERLINK("https://www.google.com/maps/search/?api=1&amp;query="&amp;SUBSTITUTE(F1647," ",""),"🗺 Google Maps"),"")</f>
        <v/>
      </c>
      <c r="H1647" s="8">
        <f>IF(F1647&lt;&gt;"",HYPERLINK("https://waze.com/ul?ll="&amp;SUBSTITUTE(F1647," ","")&amp;"&amp;navigate=yes","🚗 Waze"),"")</f>
        <v/>
      </c>
      <c r="I1647" s="8">
        <f>IF(F1647&lt;&gt;"",HYPERLINK("https://m.uber.com/ul/?action=setPickup&amp;pickup=my_location&amp;dropoff[latitude]="&amp;LEFT(SUBSTITUTE(F1647," ",""),FIND(",",SUBSTITUTE(F1647," ",""))-1)&amp;"&amp;dropoff[longitude]="&amp;MID(SUBSTITUTE(F1647," ",""),FIND(",",SUBSTITUTE(F1647," ",""))+1,99),"🚕 Uber"),"")</f>
        <v/>
      </c>
      <c r="J1647" s="8">
        <f>IF(F1647&lt;&gt;"","https://api.qrserver.com/v1/create-qr-code/?size=200x200&amp;data="&amp;ENCODEURL("https://www.google.com/maps/search/?api=1&amp;query="&amp;SUBSTITUTE(F1647," ","")),"")</f>
        <v/>
      </c>
      <c r="K1647" s="8">
        <f>IF(C1647&lt;&gt;"",HYPERLINK("https://wa.me/507"&amp;REGEXREPLACE(C1647,"[^0-9]","")&amp;"?text="&amp;ENCODEURL("Ya llegue. Codigo: "&amp;A1647&amp;". Ubicacion: "&amp;"https://www.google.com/maps/search/?api=1&amp;query="&amp;SUBSTITUTE(F1647," ","")),"📲 Avisar al cliente"),"")</f>
        <v/>
      </c>
      <c r="L1647" s="8">
        <f>IF(C1647&lt;&gt;"","https://api.qrserver.com/v1/create-qr-code/?size=200x200&amp;data="&amp;ENCODEURL("https://wa.me/507"&amp;REGEXREPLACE(C1647,"[^0-9]","")&amp;"?text="&amp;ENCODEURL("Ya llegue. Codigo: "&amp;A1647&amp;". Ubicacion: "&amp;"https://www.google.com/maps/search/?api=1&amp;query="&amp;SUBSTITUTE(F1647," ",""))),"")</f>
        <v/>
      </c>
      <c r="M1647" s="8">
        <f>IF(B1647&lt;&gt;"",TODAY(),"")</f>
        <v/>
      </c>
      <c r="N1647" s="8">
        <f>IF(F1647&lt;&gt;"",IFERROR(IF(AND(REGEXMATCH(SUBSTITUTE(TRIM(F1647)," ",""),"^-?\d+(\.\d+)?,-?\d+(\.\d+)?$"),VALUE(REGEXEXTRACT(SUBSTITUTE(TRIM(F1647)," ",""),"^-?\d+(\.\d+)?"))&gt;=-90,VALUE(REGEXEXTRACT(SUBSTITUTE(TRIM(F1647)," ",""),"^-?\d+(\.\d+)?"))&lt;=90,VALUE(REGEXEXTRACT(SUBSTITUTE(TRIM(F1647)," ",""),"-?\d+(\.\d+)?$"))&gt;=-180,VALUE(REGEXEXTRACT(SUBSTITUTE(TRIM(F1647)," ",""),"-?\d+(\.\d+)?$"))&lt;=180),"OK","REVISAR"),"REVISAR"),"")</f>
        <v/>
      </c>
      <c r="O1647">
        <f>IF(A1647&lt;&gt;"","https://direcciones507.github.io/direcciones507/panel.html?codigo="&amp;A1647&amp;"&amp;nombre="&amp;ENCODEURL(B1647)&amp;"&amp;telefono="&amp;SUBSTITUTE(C1647,"-","")&amp;"&amp;referencia="&amp;ENCODEURL(E1647)&amp;"&amp;lat="&amp;IZQUIERDA(SUBSTITUTE(F1647," ",""),ENCONTRAR(",",SUBSTITUTE(F1647," ",""))-1)&amp;"&amp;lng="&amp;DERECHA(SUBSTITUTE(F1647," ",""),LARGO(SUBSTITUTE(F1647," ",""))-ENCONTRAR(",",SUBSTITUTE(F1647," ",""))),"")</f>
        <v/>
      </c>
    </row>
    <row r="1648" ht="15.75" customHeight="1" s="10">
      <c r="A1648" s="8">
        <f>CONCAT("AD507-",TEXT(ROW()-2,"0000"))</f>
        <v/>
      </c>
      <c r="C1648" s="8" t="n"/>
      <c r="F1648" s="8" t="n"/>
      <c r="G1648" s="8">
        <f>IF(F1648&lt;&gt;"",HYPERLINK("https://www.google.com/maps/search/?api=1&amp;query="&amp;SUBSTITUTE(F1648," ",""),"🗺 Google Maps"),"")</f>
        <v/>
      </c>
      <c r="H1648" s="8">
        <f>IF(F1648&lt;&gt;"",HYPERLINK("https://waze.com/ul?ll="&amp;SUBSTITUTE(F1648," ","")&amp;"&amp;navigate=yes","🚗 Waze"),"")</f>
        <v/>
      </c>
      <c r="I1648" s="8">
        <f>IF(F1648&lt;&gt;"",HYPERLINK("https://m.uber.com/ul/?action=setPickup&amp;pickup=my_location&amp;dropoff[latitude]="&amp;LEFT(SUBSTITUTE(F1648," ",""),FIND(",",SUBSTITUTE(F1648," ",""))-1)&amp;"&amp;dropoff[longitude]="&amp;MID(SUBSTITUTE(F1648," ",""),FIND(",",SUBSTITUTE(F1648," ",""))+1,99),"🚕 Uber"),"")</f>
        <v/>
      </c>
      <c r="J1648" s="8">
        <f>IF(F1648&lt;&gt;"","https://api.qrserver.com/v1/create-qr-code/?size=200x200&amp;data="&amp;ENCODEURL("https://www.google.com/maps/search/?api=1&amp;query="&amp;SUBSTITUTE(F1648," ","")),"")</f>
        <v/>
      </c>
      <c r="K1648" s="8">
        <f>IF(C1648&lt;&gt;"",HYPERLINK("https://wa.me/507"&amp;REGEXREPLACE(C1648,"[^0-9]","")&amp;"?text="&amp;ENCODEURL("Ya llegue. Codigo: "&amp;A1648&amp;". Ubicacion: "&amp;"https://www.google.com/maps/search/?api=1&amp;query="&amp;SUBSTITUTE(F1648," ","")),"📲 Avisar al cliente"),"")</f>
        <v/>
      </c>
      <c r="L1648" s="8">
        <f>IF(C1648&lt;&gt;"","https://api.qrserver.com/v1/create-qr-code/?size=200x200&amp;data="&amp;ENCODEURL("https://wa.me/507"&amp;REGEXREPLACE(C1648,"[^0-9]","")&amp;"?text="&amp;ENCODEURL("Ya llegue. Codigo: "&amp;A1648&amp;". Ubicacion: "&amp;"https://www.google.com/maps/search/?api=1&amp;query="&amp;SUBSTITUTE(F1648," ",""))),"")</f>
        <v/>
      </c>
      <c r="M1648" s="8">
        <f>IF(B1648&lt;&gt;"",TODAY(),"")</f>
        <v/>
      </c>
      <c r="N1648" s="8">
        <f>IF(F1648&lt;&gt;"",IFERROR(IF(AND(REGEXMATCH(SUBSTITUTE(TRIM(F1648)," ",""),"^-?\d+(\.\d+)?,-?\d+(\.\d+)?$"),VALUE(REGEXEXTRACT(SUBSTITUTE(TRIM(F1648)," ",""),"^-?\d+(\.\d+)?"))&gt;=-90,VALUE(REGEXEXTRACT(SUBSTITUTE(TRIM(F1648)," ",""),"^-?\d+(\.\d+)?"))&lt;=90,VALUE(REGEXEXTRACT(SUBSTITUTE(TRIM(F1648)," ",""),"-?\d+(\.\d+)?$"))&gt;=-180,VALUE(REGEXEXTRACT(SUBSTITUTE(TRIM(F1648)," ",""),"-?\d+(\.\d+)?$"))&lt;=180),"OK","REVISAR"),"REVISAR"),"")</f>
        <v/>
      </c>
      <c r="O1648">
        <f>IF(A1648&lt;&gt;"","https://direcciones507.github.io/direcciones507/panel.html?codigo="&amp;A1648&amp;"&amp;nombre="&amp;ENCODEURL(B1648)&amp;"&amp;telefono="&amp;SUBSTITUTE(C1648,"-","")&amp;"&amp;referencia="&amp;ENCODEURL(E1648)&amp;"&amp;lat="&amp;IZQUIERDA(SUBSTITUTE(F1648," ",""),ENCONTRAR(",",SUBSTITUTE(F1648," ",""))-1)&amp;"&amp;lng="&amp;DERECHA(SUBSTITUTE(F1648," ",""),LARGO(SUBSTITUTE(F1648," ",""))-ENCONTRAR(",",SUBSTITUTE(F1648," ",""))),"")</f>
        <v/>
      </c>
    </row>
    <row r="1649" ht="15.75" customHeight="1" s="10">
      <c r="A1649" s="8">
        <f>CONCAT("AD507-",TEXT(ROW()-2,"0000"))</f>
        <v/>
      </c>
      <c r="C1649" s="8" t="n"/>
      <c r="F1649" s="8" t="n"/>
      <c r="G1649" s="8">
        <f>IF(F1649&lt;&gt;"",HYPERLINK("https://www.google.com/maps/search/?api=1&amp;query="&amp;SUBSTITUTE(F1649," ",""),"🗺 Google Maps"),"")</f>
        <v/>
      </c>
      <c r="H1649" s="8">
        <f>IF(F1649&lt;&gt;"",HYPERLINK("https://waze.com/ul?ll="&amp;SUBSTITUTE(F1649," ","")&amp;"&amp;navigate=yes","🚗 Waze"),"")</f>
        <v/>
      </c>
      <c r="I1649" s="8">
        <f>IF(F1649&lt;&gt;"",HYPERLINK("https://m.uber.com/ul/?action=setPickup&amp;pickup=my_location&amp;dropoff[latitude]="&amp;LEFT(SUBSTITUTE(F1649," ",""),FIND(",",SUBSTITUTE(F1649," ",""))-1)&amp;"&amp;dropoff[longitude]="&amp;MID(SUBSTITUTE(F1649," ",""),FIND(",",SUBSTITUTE(F1649," ",""))+1,99),"🚕 Uber"),"")</f>
        <v/>
      </c>
      <c r="J1649" s="8">
        <f>IF(F1649&lt;&gt;"","https://api.qrserver.com/v1/create-qr-code/?size=200x200&amp;data="&amp;ENCODEURL("https://www.google.com/maps/search/?api=1&amp;query="&amp;SUBSTITUTE(F1649," ","")),"")</f>
        <v/>
      </c>
      <c r="K1649" s="8">
        <f>IF(C1649&lt;&gt;"",HYPERLINK("https://wa.me/507"&amp;REGEXREPLACE(C1649,"[^0-9]","")&amp;"?text="&amp;ENCODEURL("Ya llegue. Codigo: "&amp;A1649&amp;". Ubicacion: "&amp;"https://www.google.com/maps/search/?api=1&amp;query="&amp;SUBSTITUTE(F1649," ","")),"📲 Avisar al cliente"),"")</f>
        <v/>
      </c>
      <c r="L1649" s="8">
        <f>IF(C1649&lt;&gt;"","https://api.qrserver.com/v1/create-qr-code/?size=200x200&amp;data="&amp;ENCODEURL("https://wa.me/507"&amp;REGEXREPLACE(C1649,"[^0-9]","")&amp;"?text="&amp;ENCODEURL("Ya llegue. Codigo: "&amp;A1649&amp;". Ubicacion: "&amp;"https://www.google.com/maps/search/?api=1&amp;query="&amp;SUBSTITUTE(F1649," ",""))),"")</f>
        <v/>
      </c>
      <c r="M1649" s="8">
        <f>IF(B1649&lt;&gt;"",TODAY(),"")</f>
        <v/>
      </c>
      <c r="N1649" s="8">
        <f>IF(F1649&lt;&gt;"",IFERROR(IF(AND(REGEXMATCH(SUBSTITUTE(TRIM(F1649)," ",""),"^-?\d+(\.\d+)?,-?\d+(\.\d+)?$"),VALUE(REGEXEXTRACT(SUBSTITUTE(TRIM(F1649)," ",""),"^-?\d+(\.\d+)?"))&gt;=-90,VALUE(REGEXEXTRACT(SUBSTITUTE(TRIM(F1649)," ",""),"^-?\d+(\.\d+)?"))&lt;=90,VALUE(REGEXEXTRACT(SUBSTITUTE(TRIM(F1649)," ",""),"-?\d+(\.\d+)?$"))&gt;=-180,VALUE(REGEXEXTRACT(SUBSTITUTE(TRIM(F1649)," ",""),"-?\d+(\.\d+)?$"))&lt;=180),"OK","REVISAR"),"REVISAR"),"")</f>
        <v/>
      </c>
      <c r="O1649">
        <f>IF(A1649&lt;&gt;"","https://direcciones507.github.io/direcciones507/panel.html?codigo="&amp;A1649&amp;"&amp;nombre="&amp;ENCODEURL(B1649)&amp;"&amp;telefono="&amp;SUBSTITUTE(C1649,"-","")&amp;"&amp;referencia="&amp;ENCODEURL(E1649)&amp;"&amp;lat="&amp;IZQUIERDA(SUBSTITUTE(F1649," ",""),ENCONTRAR(",",SUBSTITUTE(F1649," ",""))-1)&amp;"&amp;lng="&amp;DERECHA(SUBSTITUTE(F1649," ",""),LARGO(SUBSTITUTE(F1649," ",""))-ENCONTRAR(",",SUBSTITUTE(F1649," ",""))),"")</f>
        <v/>
      </c>
    </row>
    <row r="1650" ht="15.75" customHeight="1" s="10">
      <c r="A1650" s="8">
        <f>CONCAT("AD507-",TEXT(ROW()-2,"0000"))</f>
        <v/>
      </c>
      <c r="C1650" s="8" t="n"/>
      <c r="F1650" s="8" t="n"/>
      <c r="G1650" s="8">
        <f>IF(F1650&lt;&gt;"",HYPERLINK("https://www.google.com/maps/search/?api=1&amp;query="&amp;SUBSTITUTE(F1650," ",""),"🗺 Google Maps"),"")</f>
        <v/>
      </c>
      <c r="H1650" s="8">
        <f>IF(F1650&lt;&gt;"",HYPERLINK("https://waze.com/ul?ll="&amp;SUBSTITUTE(F1650," ","")&amp;"&amp;navigate=yes","🚗 Waze"),"")</f>
        <v/>
      </c>
      <c r="I1650" s="8">
        <f>IF(F1650&lt;&gt;"",HYPERLINK("https://m.uber.com/ul/?action=setPickup&amp;pickup=my_location&amp;dropoff[latitude]="&amp;LEFT(SUBSTITUTE(F1650," ",""),FIND(",",SUBSTITUTE(F1650," ",""))-1)&amp;"&amp;dropoff[longitude]="&amp;MID(SUBSTITUTE(F1650," ",""),FIND(",",SUBSTITUTE(F1650," ",""))+1,99),"🚕 Uber"),"")</f>
        <v/>
      </c>
      <c r="J1650" s="8">
        <f>IF(F1650&lt;&gt;"","https://api.qrserver.com/v1/create-qr-code/?size=200x200&amp;data="&amp;ENCODEURL("https://www.google.com/maps/search/?api=1&amp;query="&amp;SUBSTITUTE(F1650," ","")),"")</f>
        <v/>
      </c>
      <c r="K1650" s="8">
        <f>IF(C1650&lt;&gt;"",HYPERLINK("https://wa.me/507"&amp;REGEXREPLACE(C1650,"[^0-9]","")&amp;"?text="&amp;ENCODEURL("Ya llegue. Codigo: "&amp;A1650&amp;". Ubicacion: "&amp;"https://www.google.com/maps/search/?api=1&amp;query="&amp;SUBSTITUTE(F1650," ","")),"📲 Avisar al cliente"),"")</f>
        <v/>
      </c>
      <c r="L1650" s="8">
        <f>IF(C1650&lt;&gt;"","https://api.qrserver.com/v1/create-qr-code/?size=200x200&amp;data="&amp;ENCODEURL("https://wa.me/507"&amp;REGEXREPLACE(C1650,"[^0-9]","")&amp;"?text="&amp;ENCODEURL("Ya llegue. Codigo: "&amp;A1650&amp;". Ubicacion: "&amp;"https://www.google.com/maps/search/?api=1&amp;query="&amp;SUBSTITUTE(F1650," ",""))),"")</f>
        <v/>
      </c>
      <c r="M1650" s="8">
        <f>IF(B1650&lt;&gt;"",TODAY(),"")</f>
        <v/>
      </c>
      <c r="N1650" s="8">
        <f>IF(F1650&lt;&gt;"",IFERROR(IF(AND(REGEXMATCH(SUBSTITUTE(TRIM(F1650)," ",""),"^-?\d+(\.\d+)?,-?\d+(\.\d+)?$"),VALUE(REGEXEXTRACT(SUBSTITUTE(TRIM(F1650)," ",""),"^-?\d+(\.\d+)?"))&gt;=-90,VALUE(REGEXEXTRACT(SUBSTITUTE(TRIM(F1650)," ",""),"^-?\d+(\.\d+)?"))&lt;=90,VALUE(REGEXEXTRACT(SUBSTITUTE(TRIM(F1650)," ",""),"-?\d+(\.\d+)?$"))&gt;=-180,VALUE(REGEXEXTRACT(SUBSTITUTE(TRIM(F1650)," ",""),"-?\d+(\.\d+)?$"))&lt;=180),"OK","REVISAR"),"REVISAR"),"")</f>
        <v/>
      </c>
      <c r="O1650">
        <f>IF(A1650&lt;&gt;"","https://direcciones507.github.io/direcciones507/panel.html?codigo="&amp;A1650&amp;"&amp;nombre="&amp;ENCODEURL(B1650)&amp;"&amp;telefono="&amp;SUBSTITUTE(C1650,"-","")&amp;"&amp;referencia="&amp;ENCODEURL(E1650)&amp;"&amp;lat="&amp;IZQUIERDA(SUBSTITUTE(F1650," ",""),ENCONTRAR(",",SUBSTITUTE(F1650," ",""))-1)&amp;"&amp;lng="&amp;DERECHA(SUBSTITUTE(F1650," ",""),LARGO(SUBSTITUTE(F1650," ",""))-ENCONTRAR(",",SUBSTITUTE(F1650," ",""))),"")</f>
        <v/>
      </c>
    </row>
    <row r="1651" ht="15.75" customHeight="1" s="10">
      <c r="A1651" s="8">
        <f>CONCAT("AD507-",TEXT(ROW()-2,"0000"))</f>
        <v/>
      </c>
      <c r="C1651" s="8" t="n"/>
      <c r="F1651" s="8" t="n"/>
      <c r="G1651" s="8">
        <f>IF(F1651&lt;&gt;"",HYPERLINK("https://www.google.com/maps/search/?api=1&amp;query="&amp;SUBSTITUTE(F1651," ",""),"🗺 Google Maps"),"")</f>
        <v/>
      </c>
      <c r="H1651" s="8">
        <f>IF(F1651&lt;&gt;"",HYPERLINK("https://waze.com/ul?ll="&amp;SUBSTITUTE(F1651," ","")&amp;"&amp;navigate=yes","🚗 Waze"),"")</f>
        <v/>
      </c>
      <c r="I1651" s="8">
        <f>IF(F1651&lt;&gt;"",HYPERLINK("https://m.uber.com/ul/?action=setPickup&amp;pickup=my_location&amp;dropoff[latitude]="&amp;LEFT(SUBSTITUTE(F1651," ",""),FIND(",",SUBSTITUTE(F1651," ",""))-1)&amp;"&amp;dropoff[longitude]="&amp;MID(SUBSTITUTE(F1651," ",""),FIND(",",SUBSTITUTE(F1651," ",""))+1,99),"🚕 Uber"),"")</f>
        <v/>
      </c>
      <c r="J1651" s="8">
        <f>IF(F1651&lt;&gt;"","https://api.qrserver.com/v1/create-qr-code/?size=200x200&amp;data="&amp;ENCODEURL("https://www.google.com/maps/search/?api=1&amp;query="&amp;SUBSTITUTE(F1651," ","")),"")</f>
        <v/>
      </c>
      <c r="K1651" s="8">
        <f>IF(C1651&lt;&gt;"",HYPERLINK("https://wa.me/507"&amp;REGEXREPLACE(C1651,"[^0-9]","")&amp;"?text="&amp;ENCODEURL("Ya llegue. Codigo: "&amp;A1651&amp;". Ubicacion: "&amp;"https://www.google.com/maps/search/?api=1&amp;query="&amp;SUBSTITUTE(F1651," ","")),"📲 Avisar al cliente"),"")</f>
        <v/>
      </c>
      <c r="L1651" s="8">
        <f>IF(C1651&lt;&gt;"","https://api.qrserver.com/v1/create-qr-code/?size=200x200&amp;data="&amp;ENCODEURL("https://wa.me/507"&amp;REGEXREPLACE(C1651,"[^0-9]","")&amp;"?text="&amp;ENCODEURL("Ya llegue. Codigo: "&amp;A1651&amp;". Ubicacion: "&amp;"https://www.google.com/maps/search/?api=1&amp;query="&amp;SUBSTITUTE(F1651," ",""))),"")</f>
        <v/>
      </c>
      <c r="M1651" s="8">
        <f>IF(B1651&lt;&gt;"",TODAY(),"")</f>
        <v/>
      </c>
      <c r="N1651" s="8">
        <f>IF(F1651&lt;&gt;"",IFERROR(IF(AND(REGEXMATCH(SUBSTITUTE(TRIM(F1651)," ",""),"^-?\d+(\.\d+)?,-?\d+(\.\d+)?$"),VALUE(REGEXEXTRACT(SUBSTITUTE(TRIM(F1651)," ",""),"^-?\d+(\.\d+)?"))&gt;=-90,VALUE(REGEXEXTRACT(SUBSTITUTE(TRIM(F1651)," ",""),"^-?\d+(\.\d+)?"))&lt;=90,VALUE(REGEXEXTRACT(SUBSTITUTE(TRIM(F1651)," ",""),"-?\d+(\.\d+)?$"))&gt;=-180,VALUE(REGEXEXTRACT(SUBSTITUTE(TRIM(F1651)," ",""),"-?\d+(\.\d+)?$"))&lt;=180),"OK","REVISAR"),"REVISAR"),"")</f>
        <v/>
      </c>
      <c r="O1651">
        <f>IF(A1651&lt;&gt;"","https://direcciones507.github.io/direcciones507/panel.html?codigo="&amp;A1651&amp;"&amp;nombre="&amp;ENCODEURL(B1651)&amp;"&amp;telefono="&amp;SUBSTITUTE(C1651,"-","")&amp;"&amp;referencia="&amp;ENCODEURL(E1651)&amp;"&amp;lat="&amp;IZQUIERDA(SUBSTITUTE(F1651," ",""),ENCONTRAR(",",SUBSTITUTE(F1651," ",""))-1)&amp;"&amp;lng="&amp;DERECHA(SUBSTITUTE(F1651," ",""),LARGO(SUBSTITUTE(F1651," ",""))-ENCONTRAR(",",SUBSTITUTE(F1651," ",""))),"")</f>
        <v/>
      </c>
    </row>
    <row r="1652" ht="15.75" customHeight="1" s="10">
      <c r="A1652" s="8">
        <f>CONCAT("AD507-",TEXT(ROW()-2,"0000"))</f>
        <v/>
      </c>
      <c r="C1652" s="8" t="n"/>
      <c r="F1652" s="8" t="n"/>
      <c r="G1652" s="8">
        <f>IF(F1652&lt;&gt;"",HYPERLINK("https://www.google.com/maps/search/?api=1&amp;query="&amp;SUBSTITUTE(F1652," ",""),"🗺 Google Maps"),"")</f>
        <v/>
      </c>
      <c r="H1652" s="8">
        <f>IF(F1652&lt;&gt;"",HYPERLINK("https://waze.com/ul?ll="&amp;SUBSTITUTE(F1652," ","")&amp;"&amp;navigate=yes","🚗 Waze"),"")</f>
        <v/>
      </c>
      <c r="I1652" s="8">
        <f>IF(F1652&lt;&gt;"",HYPERLINK("https://m.uber.com/ul/?action=setPickup&amp;pickup=my_location&amp;dropoff[latitude]="&amp;LEFT(SUBSTITUTE(F1652," ",""),FIND(",",SUBSTITUTE(F1652," ",""))-1)&amp;"&amp;dropoff[longitude]="&amp;MID(SUBSTITUTE(F1652," ",""),FIND(",",SUBSTITUTE(F1652," ",""))+1,99),"🚕 Uber"),"")</f>
        <v/>
      </c>
      <c r="J1652" s="8">
        <f>IF(F1652&lt;&gt;"","https://api.qrserver.com/v1/create-qr-code/?size=200x200&amp;data="&amp;ENCODEURL("https://www.google.com/maps/search/?api=1&amp;query="&amp;SUBSTITUTE(F1652," ","")),"")</f>
        <v/>
      </c>
      <c r="K1652" s="8">
        <f>IF(C1652&lt;&gt;"",HYPERLINK("https://wa.me/507"&amp;REGEXREPLACE(C1652,"[^0-9]","")&amp;"?text="&amp;ENCODEURL("Ya llegue. Codigo: "&amp;A1652&amp;". Ubicacion: "&amp;"https://www.google.com/maps/search/?api=1&amp;query="&amp;SUBSTITUTE(F1652," ","")),"📲 Avisar al cliente"),"")</f>
        <v/>
      </c>
      <c r="L1652" s="8">
        <f>IF(C1652&lt;&gt;"","https://api.qrserver.com/v1/create-qr-code/?size=200x200&amp;data="&amp;ENCODEURL("https://wa.me/507"&amp;REGEXREPLACE(C1652,"[^0-9]","")&amp;"?text="&amp;ENCODEURL("Ya llegue. Codigo: "&amp;A1652&amp;". Ubicacion: "&amp;"https://www.google.com/maps/search/?api=1&amp;query="&amp;SUBSTITUTE(F1652," ",""))),"")</f>
        <v/>
      </c>
      <c r="M1652" s="8">
        <f>IF(B1652&lt;&gt;"",TODAY(),"")</f>
        <v/>
      </c>
      <c r="N1652" s="8">
        <f>IF(F1652&lt;&gt;"",IFERROR(IF(AND(REGEXMATCH(SUBSTITUTE(TRIM(F1652)," ",""),"^-?\d+(\.\d+)?,-?\d+(\.\d+)?$"),VALUE(REGEXEXTRACT(SUBSTITUTE(TRIM(F1652)," ",""),"^-?\d+(\.\d+)?"))&gt;=-90,VALUE(REGEXEXTRACT(SUBSTITUTE(TRIM(F1652)," ",""),"^-?\d+(\.\d+)?"))&lt;=90,VALUE(REGEXEXTRACT(SUBSTITUTE(TRIM(F1652)," ",""),"-?\d+(\.\d+)?$"))&gt;=-180,VALUE(REGEXEXTRACT(SUBSTITUTE(TRIM(F1652)," ",""),"-?\d+(\.\d+)?$"))&lt;=180),"OK","REVISAR"),"REVISAR"),"")</f>
        <v/>
      </c>
      <c r="O1652">
        <f>IF(A1652&lt;&gt;"","https://direcciones507.github.io/direcciones507/panel.html?codigo="&amp;A1652&amp;"&amp;nombre="&amp;ENCODEURL(B1652)&amp;"&amp;telefono="&amp;SUBSTITUTE(C1652,"-","")&amp;"&amp;referencia="&amp;ENCODEURL(E1652)&amp;"&amp;lat="&amp;IZQUIERDA(SUBSTITUTE(F1652," ",""),ENCONTRAR(",",SUBSTITUTE(F1652," ",""))-1)&amp;"&amp;lng="&amp;DERECHA(SUBSTITUTE(F1652," ",""),LARGO(SUBSTITUTE(F1652," ",""))-ENCONTRAR(",",SUBSTITUTE(F1652," ",""))),"")</f>
        <v/>
      </c>
    </row>
    <row r="1653" ht="15.75" customHeight="1" s="10">
      <c r="A1653" s="8">
        <f>CONCAT("AD507-",TEXT(ROW()-2,"0000"))</f>
        <v/>
      </c>
      <c r="C1653" s="8" t="n"/>
      <c r="F1653" s="8" t="n"/>
      <c r="G1653" s="8">
        <f>IF(F1653&lt;&gt;"",HYPERLINK("https://www.google.com/maps/search/?api=1&amp;query="&amp;SUBSTITUTE(F1653," ",""),"🗺 Google Maps"),"")</f>
        <v/>
      </c>
      <c r="H1653" s="8">
        <f>IF(F1653&lt;&gt;"",HYPERLINK("https://waze.com/ul?ll="&amp;SUBSTITUTE(F1653," ","")&amp;"&amp;navigate=yes","🚗 Waze"),"")</f>
        <v/>
      </c>
      <c r="I1653" s="8">
        <f>IF(F1653&lt;&gt;"",HYPERLINK("https://m.uber.com/ul/?action=setPickup&amp;pickup=my_location&amp;dropoff[latitude]="&amp;LEFT(SUBSTITUTE(F1653," ",""),FIND(",",SUBSTITUTE(F1653," ",""))-1)&amp;"&amp;dropoff[longitude]="&amp;MID(SUBSTITUTE(F1653," ",""),FIND(",",SUBSTITUTE(F1653," ",""))+1,99),"🚕 Uber"),"")</f>
        <v/>
      </c>
      <c r="J1653" s="8">
        <f>IF(F1653&lt;&gt;"","https://api.qrserver.com/v1/create-qr-code/?size=200x200&amp;data="&amp;ENCODEURL("https://www.google.com/maps/search/?api=1&amp;query="&amp;SUBSTITUTE(F1653," ","")),"")</f>
        <v/>
      </c>
      <c r="K1653" s="8">
        <f>IF(C1653&lt;&gt;"",HYPERLINK("https://wa.me/507"&amp;REGEXREPLACE(C1653,"[^0-9]","")&amp;"?text="&amp;ENCODEURL("Ya llegue. Codigo: "&amp;A1653&amp;". Ubicacion: "&amp;"https://www.google.com/maps/search/?api=1&amp;query="&amp;SUBSTITUTE(F1653," ","")),"📲 Avisar al cliente"),"")</f>
        <v/>
      </c>
      <c r="L1653" s="8">
        <f>IF(C1653&lt;&gt;"","https://api.qrserver.com/v1/create-qr-code/?size=200x200&amp;data="&amp;ENCODEURL("https://wa.me/507"&amp;REGEXREPLACE(C1653,"[^0-9]","")&amp;"?text="&amp;ENCODEURL("Ya llegue. Codigo: "&amp;A1653&amp;". Ubicacion: "&amp;"https://www.google.com/maps/search/?api=1&amp;query="&amp;SUBSTITUTE(F1653," ",""))),"")</f>
        <v/>
      </c>
      <c r="M1653" s="8">
        <f>IF(B1653&lt;&gt;"",TODAY(),"")</f>
        <v/>
      </c>
      <c r="N1653" s="8">
        <f>IF(F1653&lt;&gt;"",IFERROR(IF(AND(REGEXMATCH(SUBSTITUTE(TRIM(F1653)," ",""),"^-?\d+(\.\d+)?,-?\d+(\.\d+)?$"),VALUE(REGEXEXTRACT(SUBSTITUTE(TRIM(F1653)," ",""),"^-?\d+(\.\d+)?"))&gt;=-90,VALUE(REGEXEXTRACT(SUBSTITUTE(TRIM(F1653)," ",""),"^-?\d+(\.\d+)?"))&lt;=90,VALUE(REGEXEXTRACT(SUBSTITUTE(TRIM(F1653)," ",""),"-?\d+(\.\d+)?$"))&gt;=-180,VALUE(REGEXEXTRACT(SUBSTITUTE(TRIM(F1653)," ",""),"-?\d+(\.\d+)?$"))&lt;=180),"OK","REVISAR"),"REVISAR"),"")</f>
        <v/>
      </c>
      <c r="O1653">
        <f>IF(A1653&lt;&gt;"","https://direcciones507.github.io/direcciones507/panel.html?codigo="&amp;A1653&amp;"&amp;nombre="&amp;ENCODEURL(B1653)&amp;"&amp;telefono="&amp;SUBSTITUTE(C1653,"-","")&amp;"&amp;referencia="&amp;ENCODEURL(E1653)&amp;"&amp;lat="&amp;IZQUIERDA(SUBSTITUTE(F1653," ",""),ENCONTRAR(",",SUBSTITUTE(F1653," ",""))-1)&amp;"&amp;lng="&amp;DERECHA(SUBSTITUTE(F1653," ",""),LARGO(SUBSTITUTE(F1653," ",""))-ENCONTRAR(",",SUBSTITUTE(F1653," ",""))),"")</f>
        <v/>
      </c>
    </row>
    <row r="1654" ht="15.75" customHeight="1" s="10">
      <c r="A1654" s="8">
        <f>CONCAT("AD507-",TEXT(ROW()-2,"0000"))</f>
        <v/>
      </c>
      <c r="C1654" s="8" t="n"/>
      <c r="F1654" s="8" t="n"/>
      <c r="G1654" s="8">
        <f>IF(F1654&lt;&gt;"",HYPERLINK("https://www.google.com/maps/search/?api=1&amp;query="&amp;SUBSTITUTE(F1654," ",""),"🗺 Google Maps"),"")</f>
        <v/>
      </c>
      <c r="H1654" s="8">
        <f>IF(F1654&lt;&gt;"",HYPERLINK("https://waze.com/ul?ll="&amp;SUBSTITUTE(F1654," ","")&amp;"&amp;navigate=yes","🚗 Waze"),"")</f>
        <v/>
      </c>
      <c r="I1654" s="8">
        <f>IF(F1654&lt;&gt;"",HYPERLINK("https://m.uber.com/ul/?action=setPickup&amp;pickup=my_location&amp;dropoff[latitude]="&amp;LEFT(SUBSTITUTE(F1654," ",""),FIND(",",SUBSTITUTE(F1654," ",""))-1)&amp;"&amp;dropoff[longitude]="&amp;MID(SUBSTITUTE(F1654," ",""),FIND(",",SUBSTITUTE(F1654," ",""))+1,99),"🚕 Uber"),"")</f>
        <v/>
      </c>
      <c r="J1654" s="8">
        <f>IF(F1654&lt;&gt;"","https://api.qrserver.com/v1/create-qr-code/?size=200x200&amp;data="&amp;ENCODEURL("https://www.google.com/maps/search/?api=1&amp;query="&amp;SUBSTITUTE(F1654," ","")),"")</f>
        <v/>
      </c>
      <c r="K1654" s="8">
        <f>IF(C1654&lt;&gt;"",HYPERLINK("https://wa.me/507"&amp;REGEXREPLACE(C1654,"[^0-9]","")&amp;"?text="&amp;ENCODEURL("Ya llegue. Codigo: "&amp;A1654&amp;". Ubicacion: "&amp;"https://www.google.com/maps/search/?api=1&amp;query="&amp;SUBSTITUTE(F1654," ","")),"📲 Avisar al cliente"),"")</f>
        <v/>
      </c>
      <c r="L1654" s="8">
        <f>IF(C1654&lt;&gt;"","https://api.qrserver.com/v1/create-qr-code/?size=200x200&amp;data="&amp;ENCODEURL("https://wa.me/507"&amp;REGEXREPLACE(C1654,"[^0-9]","")&amp;"?text="&amp;ENCODEURL("Ya llegue. Codigo: "&amp;A1654&amp;". Ubicacion: "&amp;"https://www.google.com/maps/search/?api=1&amp;query="&amp;SUBSTITUTE(F1654," ",""))),"")</f>
        <v/>
      </c>
      <c r="M1654" s="8">
        <f>IF(B1654&lt;&gt;"",TODAY(),"")</f>
        <v/>
      </c>
      <c r="N1654" s="8">
        <f>IF(F1654&lt;&gt;"",IFERROR(IF(AND(REGEXMATCH(SUBSTITUTE(TRIM(F1654)," ",""),"^-?\d+(\.\d+)?,-?\d+(\.\d+)?$"),VALUE(REGEXEXTRACT(SUBSTITUTE(TRIM(F1654)," ",""),"^-?\d+(\.\d+)?"))&gt;=-90,VALUE(REGEXEXTRACT(SUBSTITUTE(TRIM(F1654)," ",""),"^-?\d+(\.\d+)?"))&lt;=90,VALUE(REGEXEXTRACT(SUBSTITUTE(TRIM(F1654)," ",""),"-?\d+(\.\d+)?$"))&gt;=-180,VALUE(REGEXEXTRACT(SUBSTITUTE(TRIM(F1654)," ",""),"-?\d+(\.\d+)?$"))&lt;=180),"OK","REVISAR"),"REVISAR"),"")</f>
        <v/>
      </c>
      <c r="O1654">
        <f>IF(A1654&lt;&gt;"","https://direcciones507.github.io/direcciones507/panel.html?codigo="&amp;A1654&amp;"&amp;nombre="&amp;ENCODEURL(B1654)&amp;"&amp;telefono="&amp;SUBSTITUTE(C1654,"-","")&amp;"&amp;referencia="&amp;ENCODEURL(E1654)&amp;"&amp;lat="&amp;IZQUIERDA(SUBSTITUTE(F1654," ",""),ENCONTRAR(",",SUBSTITUTE(F1654," ",""))-1)&amp;"&amp;lng="&amp;DERECHA(SUBSTITUTE(F1654," ",""),LARGO(SUBSTITUTE(F1654," ",""))-ENCONTRAR(",",SUBSTITUTE(F1654," ",""))),"")</f>
        <v/>
      </c>
    </row>
    <row r="1655" ht="15.75" customHeight="1" s="10">
      <c r="A1655" s="8">
        <f>CONCAT("AD507-",TEXT(ROW()-2,"0000"))</f>
        <v/>
      </c>
      <c r="C1655" s="8" t="n"/>
      <c r="F1655" s="8" t="n"/>
      <c r="G1655" s="8">
        <f>IF(F1655&lt;&gt;"",HYPERLINK("https://www.google.com/maps/search/?api=1&amp;query="&amp;SUBSTITUTE(F1655," ",""),"🗺 Google Maps"),"")</f>
        <v/>
      </c>
      <c r="H1655" s="8">
        <f>IF(F1655&lt;&gt;"",HYPERLINK("https://waze.com/ul?ll="&amp;SUBSTITUTE(F1655," ","")&amp;"&amp;navigate=yes","🚗 Waze"),"")</f>
        <v/>
      </c>
      <c r="I1655" s="8">
        <f>IF(F1655&lt;&gt;"",HYPERLINK("https://m.uber.com/ul/?action=setPickup&amp;pickup=my_location&amp;dropoff[latitude]="&amp;LEFT(SUBSTITUTE(F1655," ",""),FIND(",",SUBSTITUTE(F1655," ",""))-1)&amp;"&amp;dropoff[longitude]="&amp;MID(SUBSTITUTE(F1655," ",""),FIND(",",SUBSTITUTE(F1655," ",""))+1,99),"🚕 Uber"),"")</f>
        <v/>
      </c>
      <c r="J1655" s="8">
        <f>IF(F1655&lt;&gt;"","https://api.qrserver.com/v1/create-qr-code/?size=200x200&amp;data="&amp;ENCODEURL("https://www.google.com/maps/search/?api=1&amp;query="&amp;SUBSTITUTE(F1655," ","")),"")</f>
        <v/>
      </c>
      <c r="K1655" s="8">
        <f>IF(C1655&lt;&gt;"",HYPERLINK("https://wa.me/507"&amp;REGEXREPLACE(C1655,"[^0-9]","")&amp;"?text="&amp;ENCODEURL("Ya llegue. Codigo: "&amp;A1655&amp;". Ubicacion: "&amp;"https://www.google.com/maps/search/?api=1&amp;query="&amp;SUBSTITUTE(F1655," ","")),"📲 Avisar al cliente"),"")</f>
        <v/>
      </c>
      <c r="L1655" s="8">
        <f>IF(C1655&lt;&gt;"","https://api.qrserver.com/v1/create-qr-code/?size=200x200&amp;data="&amp;ENCODEURL("https://wa.me/507"&amp;REGEXREPLACE(C1655,"[^0-9]","")&amp;"?text="&amp;ENCODEURL("Ya llegue. Codigo: "&amp;A1655&amp;". Ubicacion: "&amp;"https://www.google.com/maps/search/?api=1&amp;query="&amp;SUBSTITUTE(F1655," ",""))),"")</f>
        <v/>
      </c>
      <c r="M1655" s="8">
        <f>IF(B1655&lt;&gt;"",TODAY(),"")</f>
        <v/>
      </c>
      <c r="N1655" s="8">
        <f>IF(F1655&lt;&gt;"",IFERROR(IF(AND(REGEXMATCH(SUBSTITUTE(TRIM(F1655)," ",""),"^-?\d+(\.\d+)?,-?\d+(\.\d+)?$"),VALUE(REGEXEXTRACT(SUBSTITUTE(TRIM(F1655)," ",""),"^-?\d+(\.\d+)?"))&gt;=-90,VALUE(REGEXEXTRACT(SUBSTITUTE(TRIM(F1655)," ",""),"^-?\d+(\.\d+)?"))&lt;=90,VALUE(REGEXEXTRACT(SUBSTITUTE(TRIM(F1655)," ",""),"-?\d+(\.\d+)?$"))&gt;=-180,VALUE(REGEXEXTRACT(SUBSTITUTE(TRIM(F1655)," ",""),"-?\d+(\.\d+)?$"))&lt;=180),"OK","REVISAR"),"REVISAR"),"")</f>
        <v/>
      </c>
      <c r="O1655">
        <f>IF(A1655&lt;&gt;"","https://direcciones507.github.io/direcciones507/panel.html?codigo="&amp;A1655&amp;"&amp;nombre="&amp;ENCODEURL(B1655)&amp;"&amp;telefono="&amp;SUBSTITUTE(C1655,"-","")&amp;"&amp;referencia="&amp;ENCODEURL(E1655)&amp;"&amp;lat="&amp;IZQUIERDA(SUBSTITUTE(F1655," ",""),ENCONTRAR(",",SUBSTITUTE(F1655," ",""))-1)&amp;"&amp;lng="&amp;DERECHA(SUBSTITUTE(F1655," ",""),LARGO(SUBSTITUTE(F1655," ",""))-ENCONTRAR(",",SUBSTITUTE(F1655," ",""))),"")</f>
        <v/>
      </c>
    </row>
    <row r="1656" ht="15.75" customHeight="1" s="10">
      <c r="A1656" s="8">
        <f>CONCAT("AD507-",TEXT(ROW()-2,"0000"))</f>
        <v/>
      </c>
      <c r="C1656" s="8" t="n"/>
      <c r="F1656" s="8" t="n"/>
      <c r="G1656" s="8">
        <f>IF(F1656&lt;&gt;"",HYPERLINK("https://www.google.com/maps/search/?api=1&amp;query="&amp;SUBSTITUTE(F1656," ",""),"🗺 Google Maps"),"")</f>
        <v/>
      </c>
      <c r="H1656" s="8">
        <f>IF(F1656&lt;&gt;"",HYPERLINK("https://waze.com/ul?ll="&amp;SUBSTITUTE(F1656," ","")&amp;"&amp;navigate=yes","🚗 Waze"),"")</f>
        <v/>
      </c>
      <c r="I1656" s="8">
        <f>IF(F1656&lt;&gt;"",HYPERLINK("https://m.uber.com/ul/?action=setPickup&amp;pickup=my_location&amp;dropoff[latitude]="&amp;LEFT(SUBSTITUTE(F1656," ",""),FIND(",",SUBSTITUTE(F1656," ",""))-1)&amp;"&amp;dropoff[longitude]="&amp;MID(SUBSTITUTE(F1656," ",""),FIND(",",SUBSTITUTE(F1656," ",""))+1,99),"🚕 Uber"),"")</f>
        <v/>
      </c>
      <c r="J1656" s="8">
        <f>IF(F1656&lt;&gt;"","https://api.qrserver.com/v1/create-qr-code/?size=200x200&amp;data="&amp;ENCODEURL("https://www.google.com/maps/search/?api=1&amp;query="&amp;SUBSTITUTE(F1656," ","")),"")</f>
        <v/>
      </c>
      <c r="K1656" s="8">
        <f>IF(C1656&lt;&gt;"",HYPERLINK("https://wa.me/507"&amp;REGEXREPLACE(C1656,"[^0-9]","")&amp;"?text="&amp;ENCODEURL("Ya llegue. Codigo: "&amp;A1656&amp;". Ubicacion: "&amp;"https://www.google.com/maps/search/?api=1&amp;query="&amp;SUBSTITUTE(F1656," ","")),"📲 Avisar al cliente"),"")</f>
        <v/>
      </c>
      <c r="L1656" s="8">
        <f>IF(C1656&lt;&gt;"","https://api.qrserver.com/v1/create-qr-code/?size=200x200&amp;data="&amp;ENCODEURL("https://wa.me/507"&amp;REGEXREPLACE(C1656,"[^0-9]","")&amp;"?text="&amp;ENCODEURL("Ya llegue. Codigo: "&amp;A1656&amp;". Ubicacion: "&amp;"https://www.google.com/maps/search/?api=1&amp;query="&amp;SUBSTITUTE(F1656," ",""))),"")</f>
        <v/>
      </c>
      <c r="M1656" s="8">
        <f>IF(B1656&lt;&gt;"",TODAY(),"")</f>
        <v/>
      </c>
      <c r="N1656" s="8">
        <f>IF(F1656&lt;&gt;"",IFERROR(IF(AND(REGEXMATCH(SUBSTITUTE(TRIM(F1656)," ",""),"^-?\d+(\.\d+)?,-?\d+(\.\d+)?$"),VALUE(REGEXEXTRACT(SUBSTITUTE(TRIM(F1656)," ",""),"^-?\d+(\.\d+)?"))&gt;=-90,VALUE(REGEXEXTRACT(SUBSTITUTE(TRIM(F1656)," ",""),"^-?\d+(\.\d+)?"))&lt;=90,VALUE(REGEXEXTRACT(SUBSTITUTE(TRIM(F1656)," ",""),"-?\d+(\.\d+)?$"))&gt;=-180,VALUE(REGEXEXTRACT(SUBSTITUTE(TRIM(F1656)," ",""),"-?\d+(\.\d+)?$"))&lt;=180),"OK","REVISAR"),"REVISAR"),"")</f>
        <v/>
      </c>
      <c r="O1656">
        <f>IF(A1656&lt;&gt;"","https://direcciones507.github.io/direcciones507/panel.html?codigo="&amp;A1656&amp;"&amp;nombre="&amp;ENCODEURL(B1656)&amp;"&amp;telefono="&amp;SUBSTITUTE(C1656,"-","")&amp;"&amp;referencia="&amp;ENCODEURL(E1656)&amp;"&amp;lat="&amp;IZQUIERDA(SUBSTITUTE(F1656," ",""),ENCONTRAR(",",SUBSTITUTE(F1656," ",""))-1)&amp;"&amp;lng="&amp;DERECHA(SUBSTITUTE(F1656," ",""),LARGO(SUBSTITUTE(F1656," ",""))-ENCONTRAR(",",SUBSTITUTE(F1656," ",""))),"")</f>
        <v/>
      </c>
    </row>
    <row r="1657" ht="15.75" customHeight="1" s="10">
      <c r="A1657" s="8">
        <f>CONCAT("AD507-",TEXT(ROW()-2,"0000"))</f>
        <v/>
      </c>
      <c r="C1657" s="8" t="n"/>
      <c r="F1657" s="8" t="n"/>
      <c r="G1657" s="8">
        <f>IF(F1657&lt;&gt;"",HYPERLINK("https://www.google.com/maps/search/?api=1&amp;query="&amp;SUBSTITUTE(F1657," ",""),"🗺 Google Maps"),"")</f>
        <v/>
      </c>
      <c r="H1657" s="8">
        <f>IF(F1657&lt;&gt;"",HYPERLINK("https://waze.com/ul?ll="&amp;SUBSTITUTE(F1657," ","")&amp;"&amp;navigate=yes","🚗 Waze"),"")</f>
        <v/>
      </c>
      <c r="I1657" s="8">
        <f>IF(F1657&lt;&gt;"",HYPERLINK("https://m.uber.com/ul/?action=setPickup&amp;pickup=my_location&amp;dropoff[latitude]="&amp;LEFT(SUBSTITUTE(F1657," ",""),FIND(",",SUBSTITUTE(F1657," ",""))-1)&amp;"&amp;dropoff[longitude]="&amp;MID(SUBSTITUTE(F1657," ",""),FIND(",",SUBSTITUTE(F1657," ",""))+1,99),"🚕 Uber"),"")</f>
        <v/>
      </c>
      <c r="J1657" s="8">
        <f>IF(F1657&lt;&gt;"","https://api.qrserver.com/v1/create-qr-code/?size=200x200&amp;data="&amp;ENCODEURL("https://www.google.com/maps/search/?api=1&amp;query="&amp;SUBSTITUTE(F1657," ","")),"")</f>
        <v/>
      </c>
      <c r="K1657" s="8">
        <f>IF(C1657&lt;&gt;"",HYPERLINK("https://wa.me/507"&amp;REGEXREPLACE(C1657,"[^0-9]","")&amp;"?text="&amp;ENCODEURL("Ya llegue. Codigo: "&amp;A1657&amp;". Ubicacion: "&amp;"https://www.google.com/maps/search/?api=1&amp;query="&amp;SUBSTITUTE(F1657," ","")),"📲 Avisar al cliente"),"")</f>
        <v/>
      </c>
      <c r="L1657" s="8">
        <f>IF(C1657&lt;&gt;"","https://api.qrserver.com/v1/create-qr-code/?size=200x200&amp;data="&amp;ENCODEURL("https://wa.me/507"&amp;REGEXREPLACE(C1657,"[^0-9]","")&amp;"?text="&amp;ENCODEURL("Ya llegue. Codigo: "&amp;A1657&amp;". Ubicacion: "&amp;"https://www.google.com/maps/search/?api=1&amp;query="&amp;SUBSTITUTE(F1657," ",""))),"")</f>
        <v/>
      </c>
      <c r="M1657" s="8">
        <f>IF(B1657&lt;&gt;"",TODAY(),"")</f>
        <v/>
      </c>
      <c r="N1657" s="8">
        <f>IF(F1657&lt;&gt;"",IFERROR(IF(AND(REGEXMATCH(SUBSTITUTE(TRIM(F1657)," ",""),"^-?\d+(\.\d+)?,-?\d+(\.\d+)?$"),VALUE(REGEXEXTRACT(SUBSTITUTE(TRIM(F1657)," ",""),"^-?\d+(\.\d+)?"))&gt;=-90,VALUE(REGEXEXTRACT(SUBSTITUTE(TRIM(F1657)," ",""),"^-?\d+(\.\d+)?"))&lt;=90,VALUE(REGEXEXTRACT(SUBSTITUTE(TRIM(F1657)," ",""),"-?\d+(\.\d+)?$"))&gt;=-180,VALUE(REGEXEXTRACT(SUBSTITUTE(TRIM(F1657)," ",""),"-?\d+(\.\d+)?$"))&lt;=180),"OK","REVISAR"),"REVISAR"),"")</f>
        <v/>
      </c>
      <c r="O1657">
        <f>IF(A1657&lt;&gt;"","https://direcciones507.github.io/direcciones507/panel.html?codigo="&amp;A1657&amp;"&amp;nombre="&amp;ENCODEURL(B1657)&amp;"&amp;telefono="&amp;SUBSTITUTE(C1657,"-","")&amp;"&amp;referencia="&amp;ENCODEURL(E1657)&amp;"&amp;lat="&amp;IZQUIERDA(SUBSTITUTE(F1657," ",""),ENCONTRAR(",",SUBSTITUTE(F1657," ",""))-1)&amp;"&amp;lng="&amp;DERECHA(SUBSTITUTE(F1657," ",""),LARGO(SUBSTITUTE(F1657," ",""))-ENCONTRAR(",",SUBSTITUTE(F1657," ",""))),"")</f>
        <v/>
      </c>
    </row>
    <row r="1658" ht="15.75" customHeight="1" s="10">
      <c r="A1658" s="8">
        <f>CONCAT("AD507-",TEXT(ROW()-2,"0000"))</f>
        <v/>
      </c>
      <c r="C1658" s="8" t="n"/>
      <c r="F1658" s="8" t="n"/>
      <c r="G1658" s="8">
        <f>IF(F1658&lt;&gt;"",HYPERLINK("https://www.google.com/maps/search/?api=1&amp;query="&amp;SUBSTITUTE(F1658," ",""),"🗺 Google Maps"),"")</f>
        <v/>
      </c>
      <c r="H1658" s="8">
        <f>IF(F1658&lt;&gt;"",HYPERLINK("https://waze.com/ul?ll="&amp;SUBSTITUTE(F1658," ","")&amp;"&amp;navigate=yes","🚗 Waze"),"")</f>
        <v/>
      </c>
      <c r="I1658" s="8">
        <f>IF(F1658&lt;&gt;"",HYPERLINK("https://m.uber.com/ul/?action=setPickup&amp;pickup=my_location&amp;dropoff[latitude]="&amp;LEFT(SUBSTITUTE(F1658," ",""),FIND(",",SUBSTITUTE(F1658," ",""))-1)&amp;"&amp;dropoff[longitude]="&amp;MID(SUBSTITUTE(F1658," ",""),FIND(",",SUBSTITUTE(F1658," ",""))+1,99),"🚕 Uber"),"")</f>
        <v/>
      </c>
      <c r="J1658" s="8">
        <f>IF(F1658&lt;&gt;"","https://api.qrserver.com/v1/create-qr-code/?size=200x200&amp;data="&amp;ENCODEURL("https://www.google.com/maps/search/?api=1&amp;query="&amp;SUBSTITUTE(F1658," ","")),"")</f>
        <v/>
      </c>
      <c r="K1658" s="8">
        <f>IF(C1658&lt;&gt;"",HYPERLINK("https://wa.me/507"&amp;REGEXREPLACE(C1658,"[^0-9]","")&amp;"?text="&amp;ENCODEURL("Ya llegue. Codigo: "&amp;A1658&amp;". Ubicacion: "&amp;"https://www.google.com/maps/search/?api=1&amp;query="&amp;SUBSTITUTE(F1658," ","")),"📲 Avisar al cliente"),"")</f>
        <v/>
      </c>
      <c r="L1658" s="8">
        <f>IF(C1658&lt;&gt;"","https://api.qrserver.com/v1/create-qr-code/?size=200x200&amp;data="&amp;ENCODEURL("https://wa.me/507"&amp;REGEXREPLACE(C1658,"[^0-9]","")&amp;"?text="&amp;ENCODEURL("Ya llegue. Codigo: "&amp;A1658&amp;". Ubicacion: "&amp;"https://www.google.com/maps/search/?api=1&amp;query="&amp;SUBSTITUTE(F1658," ",""))),"")</f>
        <v/>
      </c>
      <c r="M1658" s="8">
        <f>IF(B1658&lt;&gt;"",TODAY(),"")</f>
        <v/>
      </c>
      <c r="N1658" s="8">
        <f>IF(F1658&lt;&gt;"",IFERROR(IF(AND(REGEXMATCH(SUBSTITUTE(TRIM(F1658)," ",""),"^-?\d+(\.\d+)?,-?\d+(\.\d+)?$"),VALUE(REGEXEXTRACT(SUBSTITUTE(TRIM(F1658)," ",""),"^-?\d+(\.\d+)?"))&gt;=-90,VALUE(REGEXEXTRACT(SUBSTITUTE(TRIM(F1658)," ",""),"^-?\d+(\.\d+)?"))&lt;=90,VALUE(REGEXEXTRACT(SUBSTITUTE(TRIM(F1658)," ",""),"-?\d+(\.\d+)?$"))&gt;=-180,VALUE(REGEXEXTRACT(SUBSTITUTE(TRIM(F1658)," ",""),"-?\d+(\.\d+)?$"))&lt;=180),"OK","REVISAR"),"REVISAR"),"")</f>
        <v/>
      </c>
      <c r="O1658">
        <f>IF(A1658&lt;&gt;"","https://direcciones507.github.io/direcciones507/panel.html?codigo="&amp;A1658&amp;"&amp;nombre="&amp;ENCODEURL(B1658)&amp;"&amp;telefono="&amp;SUBSTITUTE(C1658,"-","")&amp;"&amp;referencia="&amp;ENCODEURL(E1658)&amp;"&amp;lat="&amp;IZQUIERDA(SUBSTITUTE(F1658," ",""),ENCONTRAR(",",SUBSTITUTE(F1658," ",""))-1)&amp;"&amp;lng="&amp;DERECHA(SUBSTITUTE(F1658," ",""),LARGO(SUBSTITUTE(F1658," ",""))-ENCONTRAR(",",SUBSTITUTE(F1658," ",""))),"")</f>
        <v/>
      </c>
    </row>
    <row r="1659" ht="15.75" customHeight="1" s="10">
      <c r="A1659" s="8">
        <f>CONCAT("AD507-",TEXT(ROW()-2,"0000"))</f>
        <v/>
      </c>
      <c r="C1659" s="8" t="n"/>
      <c r="F1659" s="8" t="n"/>
      <c r="G1659" s="8">
        <f>IF(F1659&lt;&gt;"",HYPERLINK("https://www.google.com/maps/search/?api=1&amp;query="&amp;SUBSTITUTE(F1659," ",""),"🗺 Google Maps"),"")</f>
        <v/>
      </c>
      <c r="H1659" s="8">
        <f>IF(F1659&lt;&gt;"",HYPERLINK("https://waze.com/ul?ll="&amp;SUBSTITUTE(F1659," ","")&amp;"&amp;navigate=yes","🚗 Waze"),"")</f>
        <v/>
      </c>
      <c r="I1659" s="8">
        <f>IF(F1659&lt;&gt;"",HYPERLINK("https://m.uber.com/ul/?action=setPickup&amp;pickup=my_location&amp;dropoff[latitude]="&amp;LEFT(SUBSTITUTE(F1659," ",""),FIND(",",SUBSTITUTE(F1659," ",""))-1)&amp;"&amp;dropoff[longitude]="&amp;MID(SUBSTITUTE(F1659," ",""),FIND(",",SUBSTITUTE(F1659," ",""))+1,99),"🚕 Uber"),"")</f>
        <v/>
      </c>
      <c r="J1659" s="8">
        <f>IF(F1659&lt;&gt;"","https://api.qrserver.com/v1/create-qr-code/?size=200x200&amp;data="&amp;ENCODEURL("https://www.google.com/maps/search/?api=1&amp;query="&amp;SUBSTITUTE(F1659," ","")),"")</f>
        <v/>
      </c>
      <c r="K1659" s="8">
        <f>IF(C1659&lt;&gt;"",HYPERLINK("https://wa.me/507"&amp;REGEXREPLACE(C1659,"[^0-9]","")&amp;"?text="&amp;ENCODEURL("Ya llegue. Codigo: "&amp;A1659&amp;". Ubicacion: "&amp;"https://www.google.com/maps/search/?api=1&amp;query="&amp;SUBSTITUTE(F1659," ","")),"📲 Avisar al cliente"),"")</f>
        <v/>
      </c>
      <c r="L1659" s="8">
        <f>IF(C1659&lt;&gt;"","https://api.qrserver.com/v1/create-qr-code/?size=200x200&amp;data="&amp;ENCODEURL("https://wa.me/507"&amp;REGEXREPLACE(C1659,"[^0-9]","")&amp;"?text="&amp;ENCODEURL("Ya llegue. Codigo: "&amp;A1659&amp;". Ubicacion: "&amp;"https://www.google.com/maps/search/?api=1&amp;query="&amp;SUBSTITUTE(F1659," ",""))),"")</f>
        <v/>
      </c>
      <c r="M1659" s="8">
        <f>IF(B1659&lt;&gt;"",TODAY(),"")</f>
        <v/>
      </c>
      <c r="N1659" s="8">
        <f>IF(F1659&lt;&gt;"",IFERROR(IF(AND(REGEXMATCH(SUBSTITUTE(TRIM(F1659)," ",""),"^-?\d+(\.\d+)?,-?\d+(\.\d+)?$"),VALUE(REGEXEXTRACT(SUBSTITUTE(TRIM(F1659)," ",""),"^-?\d+(\.\d+)?"))&gt;=-90,VALUE(REGEXEXTRACT(SUBSTITUTE(TRIM(F1659)," ",""),"^-?\d+(\.\d+)?"))&lt;=90,VALUE(REGEXEXTRACT(SUBSTITUTE(TRIM(F1659)," ",""),"-?\d+(\.\d+)?$"))&gt;=-180,VALUE(REGEXEXTRACT(SUBSTITUTE(TRIM(F1659)," ",""),"-?\d+(\.\d+)?$"))&lt;=180),"OK","REVISAR"),"REVISAR"),"")</f>
        <v/>
      </c>
      <c r="O1659">
        <f>IF(A1659&lt;&gt;"","https://direcciones507.github.io/direcciones507/panel.html?codigo="&amp;A1659&amp;"&amp;nombre="&amp;ENCODEURL(B1659)&amp;"&amp;telefono="&amp;SUBSTITUTE(C1659,"-","")&amp;"&amp;referencia="&amp;ENCODEURL(E1659)&amp;"&amp;lat="&amp;IZQUIERDA(SUBSTITUTE(F1659," ",""),ENCONTRAR(",",SUBSTITUTE(F1659," ",""))-1)&amp;"&amp;lng="&amp;DERECHA(SUBSTITUTE(F1659," ",""),LARGO(SUBSTITUTE(F1659," ",""))-ENCONTRAR(",",SUBSTITUTE(F1659," ",""))),"")</f>
        <v/>
      </c>
    </row>
    <row r="1660" ht="15.75" customHeight="1" s="10">
      <c r="A1660" s="8">
        <f>CONCAT("AD507-",TEXT(ROW()-2,"0000"))</f>
        <v/>
      </c>
      <c r="C1660" s="8" t="n"/>
      <c r="F1660" s="8" t="n"/>
      <c r="G1660" s="8">
        <f>IF(F1660&lt;&gt;"",HYPERLINK("https://www.google.com/maps/search/?api=1&amp;query="&amp;SUBSTITUTE(F1660," ",""),"🗺 Google Maps"),"")</f>
        <v/>
      </c>
      <c r="H1660" s="8">
        <f>IF(F1660&lt;&gt;"",HYPERLINK("https://waze.com/ul?ll="&amp;SUBSTITUTE(F1660," ","")&amp;"&amp;navigate=yes","🚗 Waze"),"")</f>
        <v/>
      </c>
      <c r="I1660" s="8">
        <f>IF(F1660&lt;&gt;"",HYPERLINK("https://m.uber.com/ul/?action=setPickup&amp;pickup=my_location&amp;dropoff[latitude]="&amp;LEFT(SUBSTITUTE(F1660," ",""),FIND(",",SUBSTITUTE(F1660," ",""))-1)&amp;"&amp;dropoff[longitude]="&amp;MID(SUBSTITUTE(F1660," ",""),FIND(",",SUBSTITUTE(F1660," ",""))+1,99),"🚕 Uber"),"")</f>
        <v/>
      </c>
      <c r="J1660" s="8">
        <f>IF(F1660&lt;&gt;"","https://api.qrserver.com/v1/create-qr-code/?size=200x200&amp;data="&amp;ENCODEURL("https://www.google.com/maps/search/?api=1&amp;query="&amp;SUBSTITUTE(F1660," ","")),"")</f>
        <v/>
      </c>
      <c r="K1660" s="8">
        <f>IF(C1660&lt;&gt;"",HYPERLINK("https://wa.me/507"&amp;REGEXREPLACE(C1660,"[^0-9]","")&amp;"?text="&amp;ENCODEURL("Ya llegue. Codigo: "&amp;A1660&amp;". Ubicacion: "&amp;"https://www.google.com/maps/search/?api=1&amp;query="&amp;SUBSTITUTE(F1660," ","")),"📲 Avisar al cliente"),"")</f>
        <v/>
      </c>
      <c r="L1660" s="8">
        <f>IF(C1660&lt;&gt;"","https://api.qrserver.com/v1/create-qr-code/?size=200x200&amp;data="&amp;ENCODEURL("https://wa.me/507"&amp;REGEXREPLACE(C1660,"[^0-9]","")&amp;"?text="&amp;ENCODEURL("Ya llegue. Codigo: "&amp;A1660&amp;". Ubicacion: "&amp;"https://www.google.com/maps/search/?api=1&amp;query="&amp;SUBSTITUTE(F1660," ",""))),"")</f>
        <v/>
      </c>
      <c r="M1660" s="8">
        <f>IF(B1660&lt;&gt;"",TODAY(),"")</f>
        <v/>
      </c>
      <c r="N1660" s="8">
        <f>IF(F1660&lt;&gt;"",IFERROR(IF(AND(REGEXMATCH(SUBSTITUTE(TRIM(F1660)," ",""),"^-?\d+(\.\d+)?,-?\d+(\.\d+)?$"),VALUE(REGEXEXTRACT(SUBSTITUTE(TRIM(F1660)," ",""),"^-?\d+(\.\d+)?"))&gt;=-90,VALUE(REGEXEXTRACT(SUBSTITUTE(TRIM(F1660)," ",""),"^-?\d+(\.\d+)?"))&lt;=90,VALUE(REGEXEXTRACT(SUBSTITUTE(TRIM(F1660)," ",""),"-?\d+(\.\d+)?$"))&gt;=-180,VALUE(REGEXEXTRACT(SUBSTITUTE(TRIM(F1660)," ",""),"-?\d+(\.\d+)?$"))&lt;=180),"OK","REVISAR"),"REVISAR"),"")</f>
        <v/>
      </c>
      <c r="O1660">
        <f>IF(A1660&lt;&gt;"","https://direcciones507.github.io/direcciones507/panel.html?codigo="&amp;A1660&amp;"&amp;nombre="&amp;ENCODEURL(B1660)&amp;"&amp;telefono="&amp;SUBSTITUTE(C1660,"-","")&amp;"&amp;referencia="&amp;ENCODEURL(E1660)&amp;"&amp;lat="&amp;IZQUIERDA(SUBSTITUTE(F1660," ",""),ENCONTRAR(",",SUBSTITUTE(F1660," ",""))-1)&amp;"&amp;lng="&amp;DERECHA(SUBSTITUTE(F1660," ",""),LARGO(SUBSTITUTE(F1660," ",""))-ENCONTRAR(",",SUBSTITUTE(F1660," ",""))),"")</f>
        <v/>
      </c>
    </row>
    <row r="1661" ht="15.75" customHeight="1" s="10">
      <c r="A1661" s="8">
        <f>CONCAT("AD507-",TEXT(ROW()-2,"0000"))</f>
        <v/>
      </c>
      <c r="C1661" s="8" t="n"/>
      <c r="F1661" s="8" t="n"/>
      <c r="G1661" s="8">
        <f>IF(F1661&lt;&gt;"",HYPERLINK("https://www.google.com/maps/search/?api=1&amp;query="&amp;SUBSTITUTE(F1661," ",""),"🗺 Google Maps"),"")</f>
        <v/>
      </c>
      <c r="H1661" s="8">
        <f>IF(F1661&lt;&gt;"",HYPERLINK("https://waze.com/ul?ll="&amp;SUBSTITUTE(F1661," ","")&amp;"&amp;navigate=yes","🚗 Waze"),"")</f>
        <v/>
      </c>
      <c r="I1661" s="8">
        <f>IF(F1661&lt;&gt;"",HYPERLINK("https://m.uber.com/ul/?action=setPickup&amp;pickup=my_location&amp;dropoff[latitude]="&amp;LEFT(SUBSTITUTE(F1661," ",""),FIND(",",SUBSTITUTE(F1661," ",""))-1)&amp;"&amp;dropoff[longitude]="&amp;MID(SUBSTITUTE(F1661," ",""),FIND(",",SUBSTITUTE(F1661," ",""))+1,99),"🚕 Uber"),"")</f>
        <v/>
      </c>
      <c r="J1661" s="8">
        <f>IF(F1661&lt;&gt;"","https://api.qrserver.com/v1/create-qr-code/?size=200x200&amp;data="&amp;ENCODEURL("https://www.google.com/maps/search/?api=1&amp;query="&amp;SUBSTITUTE(F1661," ","")),"")</f>
        <v/>
      </c>
      <c r="K1661" s="8">
        <f>IF(C1661&lt;&gt;"",HYPERLINK("https://wa.me/507"&amp;REGEXREPLACE(C1661,"[^0-9]","")&amp;"?text="&amp;ENCODEURL("Ya llegue. Codigo: "&amp;A1661&amp;". Ubicacion: "&amp;"https://www.google.com/maps/search/?api=1&amp;query="&amp;SUBSTITUTE(F1661," ","")),"📲 Avisar al cliente"),"")</f>
        <v/>
      </c>
      <c r="L1661" s="8">
        <f>IF(C1661&lt;&gt;"","https://api.qrserver.com/v1/create-qr-code/?size=200x200&amp;data="&amp;ENCODEURL("https://wa.me/507"&amp;REGEXREPLACE(C1661,"[^0-9]","")&amp;"?text="&amp;ENCODEURL("Ya llegue. Codigo: "&amp;A1661&amp;". Ubicacion: "&amp;"https://www.google.com/maps/search/?api=1&amp;query="&amp;SUBSTITUTE(F1661," ",""))),"")</f>
        <v/>
      </c>
      <c r="M1661" s="8">
        <f>IF(B1661&lt;&gt;"",TODAY(),"")</f>
        <v/>
      </c>
      <c r="N1661" s="8">
        <f>IF(F1661&lt;&gt;"",IFERROR(IF(AND(REGEXMATCH(SUBSTITUTE(TRIM(F1661)," ",""),"^-?\d+(\.\d+)?,-?\d+(\.\d+)?$"),VALUE(REGEXEXTRACT(SUBSTITUTE(TRIM(F1661)," ",""),"^-?\d+(\.\d+)?"))&gt;=-90,VALUE(REGEXEXTRACT(SUBSTITUTE(TRIM(F1661)," ",""),"^-?\d+(\.\d+)?"))&lt;=90,VALUE(REGEXEXTRACT(SUBSTITUTE(TRIM(F1661)," ",""),"-?\d+(\.\d+)?$"))&gt;=-180,VALUE(REGEXEXTRACT(SUBSTITUTE(TRIM(F1661)," ",""),"-?\d+(\.\d+)?$"))&lt;=180),"OK","REVISAR"),"REVISAR"),"")</f>
        <v/>
      </c>
      <c r="O1661">
        <f>IF(A1661&lt;&gt;"","https://direcciones507.github.io/direcciones507/panel.html?codigo="&amp;A1661&amp;"&amp;nombre="&amp;ENCODEURL(B1661)&amp;"&amp;telefono="&amp;SUBSTITUTE(C1661,"-","")&amp;"&amp;referencia="&amp;ENCODEURL(E1661)&amp;"&amp;lat="&amp;IZQUIERDA(SUBSTITUTE(F1661," ",""),ENCONTRAR(",",SUBSTITUTE(F1661," ",""))-1)&amp;"&amp;lng="&amp;DERECHA(SUBSTITUTE(F1661," ",""),LARGO(SUBSTITUTE(F1661," ",""))-ENCONTRAR(",",SUBSTITUTE(F1661," ",""))),"")</f>
        <v/>
      </c>
    </row>
    <row r="1662" ht="15.75" customHeight="1" s="10">
      <c r="A1662" s="8">
        <f>CONCAT("AD507-",TEXT(ROW()-2,"0000"))</f>
        <v/>
      </c>
      <c r="C1662" s="8" t="n"/>
      <c r="F1662" s="8" t="n"/>
      <c r="G1662" s="8">
        <f>IF(F1662&lt;&gt;"",HYPERLINK("https://www.google.com/maps/search/?api=1&amp;query="&amp;SUBSTITUTE(F1662," ",""),"🗺 Google Maps"),"")</f>
        <v/>
      </c>
      <c r="H1662" s="8">
        <f>IF(F1662&lt;&gt;"",HYPERLINK("https://waze.com/ul?ll="&amp;SUBSTITUTE(F1662," ","")&amp;"&amp;navigate=yes","🚗 Waze"),"")</f>
        <v/>
      </c>
      <c r="I1662" s="8">
        <f>IF(F1662&lt;&gt;"",HYPERLINK("https://m.uber.com/ul/?action=setPickup&amp;pickup=my_location&amp;dropoff[latitude]="&amp;LEFT(SUBSTITUTE(F1662," ",""),FIND(",",SUBSTITUTE(F1662," ",""))-1)&amp;"&amp;dropoff[longitude]="&amp;MID(SUBSTITUTE(F1662," ",""),FIND(",",SUBSTITUTE(F1662," ",""))+1,99),"🚕 Uber"),"")</f>
        <v/>
      </c>
      <c r="J1662" s="8">
        <f>IF(F1662&lt;&gt;"","https://api.qrserver.com/v1/create-qr-code/?size=200x200&amp;data="&amp;ENCODEURL("https://www.google.com/maps/search/?api=1&amp;query="&amp;SUBSTITUTE(F1662," ","")),"")</f>
        <v/>
      </c>
      <c r="K1662" s="8">
        <f>IF(C1662&lt;&gt;"",HYPERLINK("https://wa.me/507"&amp;REGEXREPLACE(C1662,"[^0-9]","")&amp;"?text="&amp;ENCODEURL("Ya llegue. Codigo: "&amp;A1662&amp;". Ubicacion: "&amp;"https://www.google.com/maps/search/?api=1&amp;query="&amp;SUBSTITUTE(F1662," ","")),"📲 Avisar al cliente"),"")</f>
        <v/>
      </c>
      <c r="L1662" s="8">
        <f>IF(C1662&lt;&gt;"","https://api.qrserver.com/v1/create-qr-code/?size=200x200&amp;data="&amp;ENCODEURL("https://wa.me/507"&amp;REGEXREPLACE(C1662,"[^0-9]","")&amp;"?text="&amp;ENCODEURL("Ya llegue. Codigo: "&amp;A1662&amp;". Ubicacion: "&amp;"https://www.google.com/maps/search/?api=1&amp;query="&amp;SUBSTITUTE(F1662," ",""))),"")</f>
        <v/>
      </c>
      <c r="M1662" s="8">
        <f>IF(B1662&lt;&gt;"",TODAY(),"")</f>
        <v/>
      </c>
      <c r="N1662" s="8">
        <f>IF(F1662&lt;&gt;"",IFERROR(IF(AND(REGEXMATCH(SUBSTITUTE(TRIM(F1662)," ",""),"^-?\d+(\.\d+)?,-?\d+(\.\d+)?$"),VALUE(REGEXEXTRACT(SUBSTITUTE(TRIM(F1662)," ",""),"^-?\d+(\.\d+)?"))&gt;=-90,VALUE(REGEXEXTRACT(SUBSTITUTE(TRIM(F1662)," ",""),"^-?\d+(\.\d+)?"))&lt;=90,VALUE(REGEXEXTRACT(SUBSTITUTE(TRIM(F1662)," ",""),"-?\d+(\.\d+)?$"))&gt;=-180,VALUE(REGEXEXTRACT(SUBSTITUTE(TRIM(F1662)," ",""),"-?\d+(\.\d+)?$"))&lt;=180),"OK","REVISAR"),"REVISAR"),"")</f>
        <v/>
      </c>
      <c r="O1662">
        <f>IF(A1662&lt;&gt;"","https://direcciones507.github.io/direcciones507/panel.html?codigo="&amp;A1662&amp;"&amp;nombre="&amp;ENCODEURL(B1662)&amp;"&amp;telefono="&amp;SUBSTITUTE(C1662,"-","")&amp;"&amp;referencia="&amp;ENCODEURL(E1662)&amp;"&amp;lat="&amp;IZQUIERDA(SUBSTITUTE(F1662," ",""),ENCONTRAR(",",SUBSTITUTE(F1662," ",""))-1)&amp;"&amp;lng="&amp;DERECHA(SUBSTITUTE(F1662," ",""),LARGO(SUBSTITUTE(F1662," ",""))-ENCONTRAR(",",SUBSTITUTE(F1662," ",""))),"")</f>
        <v/>
      </c>
    </row>
    <row r="1663" ht="15.75" customHeight="1" s="10">
      <c r="A1663" s="8">
        <f>CONCAT("AD507-",TEXT(ROW()-2,"0000"))</f>
        <v/>
      </c>
      <c r="C1663" s="8" t="n"/>
      <c r="F1663" s="8" t="n"/>
      <c r="G1663" s="8">
        <f>IF(F1663&lt;&gt;"",HYPERLINK("https://www.google.com/maps/search/?api=1&amp;query="&amp;SUBSTITUTE(F1663," ",""),"🗺 Google Maps"),"")</f>
        <v/>
      </c>
      <c r="H1663" s="8">
        <f>IF(F1663&lt;&gt;"",HYPERLINK("https://waze.com/ul?ll="&amp;SUBSTITUTE(F1663," ","")&amp;"&amp;navigate=yes","🚗 Waze"),"")</f>
        <v/>
      </c>
      <c r="I1663" s="8">
        <f>IF(F1663&lt;&gt;"",HYPERLINK("https://m.uber.com/ul/?action=setPickup&amp;pickup=my_location&amp;dropoff[latitude]="&amp;LEFT(SUBSTITUTE(F1663," ",""),FIND(",",SUBSTITUTE(F1663," ",""))-1)&amp;"&amp;dropoff[longitude]="&amp;MID(SUBSTITUTE(F1663," ",""),FIND(",",SUBSTITUTE(F1663," ",""))+1,99),"🚕 Uber"),"")</f>
        <v/>
      </c>
      <c r="J1663" s="8">
        <f>IF(F1663&lt;&gt;"","https://api.qrserver.com/v1/create-qr-code/?size=200x200&amp;data="&amp;ENCODEURL("https://www.google.com/maps/search/?api=1&amp;query="&amp;SUBSTITUTE(F1663," ","")),"")</f>
        <v/>
      </c>
      <c r="K1663" s="8">
        <f>IF(C1663&lt;&gt;"",HYPERLINK("https://wa.me/507"&amp;REGEXREPLACE(C1663,"[^0-9]","")&amp;"?text="&amp;ENCODEURL("Ya llegue. Codigo: "&amp;A1663&amp;". Ubicacion: "&amp;"https://www.google.com/maps/search/?api=1&amp;query="&amp;SUBSTITUTE(F1663," ","")),"📲 Avisar al cliente"),"")</f>
        <v/>
      </c>
      <c r="L1663" s="8">
        <f>IF(C1663&lt;&gt;"","https://api.qrserver.com/v1/create-qr-code/?size=200x200&amp;data="&amp;ENCODEURL("https://wa.me/507"&amp;REGEXREPLACE(C1663,"[^0-9]","")&amp;"?text="&amp;ENCODEURL("Ya llegue. Codigo: "&amp;A1663&amp;". Ubicacion: "&amp;"https://www.google.com/maps/search/?api=1&amp;query="&amp;SUBSTITUTE(F1663," ",""))),"")</f>
        <v/>
      </c>
      <c r="M1663" s="8">
        <f>IF(B1663&lt;&gt;"",TODAY(),"")</f>
        <v/>
      </c>
      <c r="N1663" s="8">
        <f>IF(F1663&lt;&gt;"",IFERROR(IF(AND(REGEXMATCH(SUBSTITUTE(TRIM(F1663)," ",""),"^-?\d+(\.\d+)?,-?\d+(\.\d+)?$"),VALUE(REGEXEXTRACT(SUBSTITUTE(TRIM(F1663)," ",""),"^-?\d+(\.\d+)?"))&gt;=-90,VALUE(REGEXEXTRACT(SUBSTITUTE(TRIM(F1663)," ",""),"^-?\d+(\.\d+)?"))&lt;=90,VALUE(REGEXEXTRACT(SUBSTITUTE(TRIM(F1663)," ",""),"-?\d+(\.\d+)?$"))&gt;=-180,VALUE(REGEXEXTRACT(SUBSTITUTE(TRIM(F1663)," ",""),"-?\d+(\.\d+)?$"))&lt;=180),"OK","REVISAR"),"REVISAR"),"")</f>
        <v/>
      </c>
      <c r="O1663">
        <f>IF(A1663&lt;&gt;"","https://direcciones507.github.io/direcciones507/panel.html?codigo="&amp;A1663&amp;"&amp;nombre="&amp;ENCODEURL(B1663)&amp;"&amp;telefono="&amp;SUBSTITUTE(C1663,"-","")&amp;"&amp;referencia="&amp;ENCODEURL(E1663)&amp;"&amp;lat="&amp;IZQUIERDA(SUBSTITUTE(F1663," ",""),ENCONTRAR(",",SUBSTITUTE(F1663," ",""))-1)&amp;"&amp;lng="&amp;DERECHA(SUBSTITUTE(F1663," ",""),LARGO(SUBSTITUTE(F1663," ",""))-ENCONTRAR(",",SUBSTITUTE(F1663," ",""))),"")</f>
        <v/>
      </c>
    </row>
    <row r="1664" ht="15.75" customHeight="1" s="10">
      <c r="A1664" s="8">
        <f>CONCAT("AD507-",TEXT(ROW()-2,"0000"))</f>
        <v/>
      </c>
      <c r="C1664" s="8" t="n"/>
      <c r="F1664" s="8" t="n"/>
      <c r="G1664" s="8">
        <f>IF(F1664&lt;&gt;"",HYPERLINK("https://www.google.com/maps/search/?api=1&amp;query="&amp;SUBSTITUTE(F1664," ",""),"🗺 Google Maps"),"")</f>
        <v/>
      </c>
      <c r="H1664" s="8">
        <f>IF(F1664&lt;&gt;"",HYPERLINK("https://waze.com/ul?ll="&amp;SUBSTITUTE(F1664," ","")&amp;"&amp;navigate=yes","🚗 Waze"),"")</f>
        <v/>
      </c>
      <c r="I1664" s="8">
        <f>IF(F1664&lt;&gt;"",HYPERLINK("https://m.uber.com/ul/?action=setPickup&amp;pickup=my_location&amp;dropoff[latitude]="&amp;LEFT(SUBSTITUTE(F1664," ",""),FIND(",",SUBSTITUTE(F1664," ",""))-1)&amp;"&amp;dropoff[longitude]="&amp;MID(SUBSTITUTE(F1664," ",""),FIND(",",SUBSTITUTE(F1664," ",""))+1,99),"🚕 Uber"),"")</f>
        <v/>
      </c>
      <c r="J1664" s="8">
        <f>IF(F1664&lt;&gt;"","https://api.qrserver.com/v1/create-qr-code/?size=200x200&amp;data="&amp;ENCODEURL("https://www.google.com/maps/search/?api=1&amp;query="&amp;SUBSTITUTE(F1664," ","")),"")</f>
        <v/>
      </c>
      <c r="K1664" s="8">
        <f>IF(C1664&lt;&gt;"",HYPERLINK("https://wa.me/507"&amp;REGEXREPLACE(C1664,"[^0-9]","")&amp;"?text="&amp;ENCODEURL("Ya llegue. Codigo: "&amp;A1664&amp;". Ubicacion: "&amp;"https://www.google.com/maps/search/?api=1&amp;query="&amp;SUBSTITUTE(F1664," ","")),"📲 Avisar al cliente"),"")</f>
        <v/>
      </c>
      <c r="L1664" s="8">
        <f>IF(C1664&lt;&gt;"","https://api.qrserver.com/v1/create-qr-code/?size=200x200&amp;data="&amp;ENCODEURL("https://wa.me/507"&amp;REGEXREPLACE(C1664,"[^0-9]","")&amp;"?text="&amp;ENCODEURL("Ya llegue. Codigo: "&amp;A1664&amp;". Ubicacion: "&amp;"https://www.google.com/maps/search/?api=1&amp;query="&amp;SUBSTITUTE(F1664," ",""))),"")</f>
        <v/>
      </c>
      <c r="M1664" s="8">
        <f>IF(B1664&lt;&gt;"",TODAY(),"")</f>
        <v/>
      </c>
      <c r="N1664" s="8">
        <f>IF(F1664&lt;&gt;"",IFERROR(IF(AND(REGEXMATCH(SUBSTITUTE(TRIM(F1664)," ",""),"^-?\d+(\.\d+)?,-?\d+(\.\d+)?$"),VALUE(REGEXEXTRACT(SUBSTITUTE(TRIM(F1664)," ",""),"^-?\d+(\.\d+)?"))&gt;=-90,VALUE(REGEXEXTRACT(SUBSTITUTE(TRIM(F1664)," ",""),"^-?\d+(\.\d+)?"))&lt;=90,VALUE(REGEXEXTRACT(SUBSTITUTE(TRIM(F1664)," ",""),"-?\d+(\.\d+)?$"))&gt;=-180,VALUE(REGEXEXTRACT(SUBSTITUTE(TRIM(F1664)," ",""),"-?\d+(\.\d+)?$"))&lt;=180),"OK","REVISAR"),"REVISAR"),"")</f>
        <v/>
      </c>
      <c r="O1664">
        <f>IF(A1664&lt;&gt;"","https://direcciones507.github.io/direcciones507/panel.html?codigo="&amp;A1664&amp;"&amp;nombre="&amp;ENCODEURL(B1664)&amp;"&amp;telefono="&amp;SUBSTITUTE(C1664,"-","")&amp;"&amp;referencia="&amp;ENCODEURL(E1664)&amp;"&amp;lat="&amp;IZQUIERDA(SUBSTITUTE(F1664," ",""),ENCONTRAR(",",SUBSTITUTE(F1664," ",""))-1)&amp;"&amp;lng="&amp;DERECHA(SUBSTITUTE(F1664," ",""),LARGO(SUBSTITUTE(F1664," ",""))-ENCONTRAR(",",SUBSTITUTE(F1664," ",""))),"")</f>
        <v/>
      </c>
    </row>
    <row r="1665" ht="15.75" customHeight="1" s="10">
      <c r="A1665" s="8">
        <f>CONCAT("AD507-",TEXT(ROW()-2,"0000"))</f>
        <v/>
      </c>
      <c r="C1665" s="8" t="n"/>
      <c r="F1665" s="8" t="n"/>
      <c r="G1665" s="8">
        <f>IF(F1665&lt;&gt;"",HYPERLINK("https://www.google.com/maps/search/?api=1&amp;query="&amp;SUBSTITUTE(F1665," ",""),"🗺 Google Maps"),"")</f>
        <v/>
      </c>
      <c r="H1665" s="8">
        <f>IF(F1665&lt;&gt;"",HYPERLINK("https://waze.com/ul?ll="&amp;SUBSTITUTE(F1665," ","")&amp;"&amp;navigate=yes","🚗 Waze"),"")</f>
        <v/>
      </c>
      <c r="I1665" s="8">
        <f>IF(F1665&lt;&gt;"",HYPERLINK("https://m.uber.com/ul/?action=setPickup&amp;pickup=my_location&amp;dropoff[latitude]="&amp;LEFT(SUBSTITUTE(F1665," ",""),FIND(",",SUBSTITUTE(F1665," ",""))-1)&amp;"&amp;dropoff[longitude]="&amp;MID(SUBSTITUTE(F1665," ",""),FIND(",",SUBSTITUTE(F1665," ",""))+1,99),"🚕 Uber"),"")</f>
        <v/>
      </c>
      <c r="J1665" s="8">
        <f>IF(F1665&lt;&gt;"","https://api.qrserver.com/v1/create-qr-code/?size=200x200&amp;data="&amp;ENCODEURL("https://www.google.com/maps/search/?api=1&amp;query="&amp;SUBSTITUTE(F1665," ","")),"")</f>
        <v/>
      </c>
      <c r="K1665" s="8">
        <f>IF(C1665&lt;&gt;"",HYPERLINK("https://wa.me/507"&amp;REGEXREPLACE(C1665,"[^0-9]","")&amp;"?text="&amp;ENCODEURL("Ya llegue. Codigo: "&amp;A1665&amp;". Ubicacion: "&amp;"https://www.google.com/maps/search/?api=1&amp;query="&amp;SUBSTITUTE(F1665," ","")),"📲 Avisar al cliente"),"")</f>
        <v/>
      </c>
      <c r="L1665" s="8">
        <f>IF(C1665&lt;&gt;"","https://api.qrserver.com/v1/create-qr-code/?size=200x200&amp;data="&amp;ENCODEURL("https://wa.me/507"&amp;REGEXREPLACE(C1665,"[^0-9]","")&amp;"?text="&amp;ENCODEURL("Ya llegue. Codigo: "&amp;A1665&amp;". Ubicacion: "&amp;"https://www.google.com/maps/search/?api=1&amp;query="&amp;SUBSTITUTE(F1665," ",""))),"")</f>
        <v/>
      </c>
      <c r="M1665" s="8">
        <f>IF(B1665&lt;&gt;"",TODAY(),"")</f>
        <v/>
      </c>
      <c r="N1665" s="8">
        <f>IF(F1665&lt;&gt;"",IFERROR(IF(AND(REGEXMATCH(SUBSTITUTE(TRIM(F1665)," ",""),"^-?\d+(\.\d+)?,-?\d+(\.\d+)?$"),VALUE(REGEXEXTRACT(SUBSTITUTE(TRIM(F1665)," ",""),"^-?\d+(\.\d+)?"))&gt;=-90,VALUE(REGEXEXTRACT(SUBSTITUTE(TRIM(F1665)," ",""),"^-?\d+(\.\d+)?"))&lt;=90,VALUE(REGEXEXTRACT(SUBSTITUTE(TRIM(F1665)," ",""),"-?\d+(\.\d+)?$"))&gt;=-180,VALUE(REGEXEXTRACT(SUBSTITUTE(TRIM(F1665)," ",""),"-?\d+(\.\d+)?$"))&lt;=180),"OK","REVISAR"),"REVISAR"),"")</f>
        <v/>
      </c>
      <c r="O1665">
        <f>IF(A1665&lt;&gt;"","https://direcciones507.github.io/direcciones507/panel.html?codigo="&amp;A1665&amp;"&amp;nombre="&amp;ENCODEURL(B1665)&amp;"&amp;telefono="&amp;SUBSTITUTE(C1665,"-","")&amp;"&amp;referencia="&amp;ENCODEURL(E1665)&amp;"&amp;lat="&amp;IZQUIERDA(SUBSTITUTE(F1665," ",""),ENCONTRAR(",",SUBSTITUTE(F1665," ",""))-1)&amp;"&amp;lng="&amp;DERECHA(SUBSTITUTE(F1665," ",""),LARGO(SUBSTITUTE(F1665," ",""))-ENCONTRAR(",",SUBSTITUTE(F1665," ",""))),"")</f>
        <v/>
      </c>
    </row>
    <row r="1666" ht="15.75" customHeight="1" s="10">
      <c r="A1666" s="8">
        <f>CONCAT("AD507-",TEXT(ROW()-2,"0000"))</f>
        <v/>
      </c>
      <c r="C1666" s="8" t="n"/>
      <c r="F1666" s="8" t="n"/>
      <c r="G1666" s="8">
        <f>IF(F1666&lt;&gt;"",HYPERLINK("https://www.google.com/maps/search/?api=1&amp;query="&amp;SUBSTITUTE(F1666," ",""),"🗺 Google Maps"),"")</f>
        <v/>
      </c>
      <c r="H1666" s="8">
        <f>IF(F1666&lt;&gt;"",HYPERLINK("https://waze.com/ul?ll="&amp;SUBSTITUTE(F1666," ","")&amp;"&amp;navigate=yes","🚗 Waze"),"")</f>
        <v/>
      </c>
      <c r="I1666" s="8">
        <f>IF(F1666&lt;&gt;"",HYPERLINK("https://m.uber.com/ul/?action=setPickup&amp;pickup=my_location&amp;dropoff[latitude]="&amp;LEFT(SUBSTITUTE(F1666," ",""),FIND(",",SUBSTITUTE(F1666," ",""))-1)&amp;"&amp;dropoff[longitude]="&amp;MID(SUBSTITUTE(F1666," ",""),FIND(",",SUBSTITUTE(F1666," ",""))+1,99),"🚕 Uber"),"")</f>
        <v/>
      </c>
      <c r="J1666" s="8">
        <f>IF(F1666&lt;&gt;"","https://api.qrserver.com/v1/create-qr-code/?size=200x200&amp;data="&amp;ENCODEURL("https://www.google.com/maps/search/?api=1&amp;query="&amp;SUBSTITUTE(F1666," ","")),"")</f>
        <v/>
      </c>
      <c r="K1666" s="8">
        <f>IF(C1666&lt;&gt;"",HYPERLINK("https://wa.me/507"&amp;REGEXREPLACE(C1666,"[^0-9]","")&amp;"?text="&amp;ENCODEURL("Ya llegue. Codigo: "&amp;A1666&amp;". Ubicacion: "&amp;"https://www.google.com/maps/search/?api=1&amp;query="&amp;SUBSTITUTE(F1666," ","")),"📲 Avisar al cliente"),"")</f>
        <v/>
      </c>
      <c r="L1666" s="8">
        <f>IF(C1666&lt;&gt;"","https://api.qrserver.com/v1/create-qr-code/?size=200x200&amp;data="&amp;ENCODEURL("https://wa.me/507"&amp;REGEXREPLACE(C1666,"[^0-9]","")&amp;"?text="&amp;ENCODEURL("Ya llegue. Codigo: "&amp;A1666&amp;". Ubicacion: "&amp;"https://www.google.com/maps/search/?api=1&amp;query="&amp;SUBSTITUTE(F1666," ",""))),"")</f>
        <v/>
      </c>
      <c r="M1666" s="8">
        <f>IF(B1666&lt;&gt;"",TODAY(),"")</f>
        <v/>
      </c>
      <c r="N1666" s="8">
        <f>IF(F1666&lt;&gt;"",IFERROR(IF(AND(REGEXMATCH(SUBSTITUTE(TRIM(F1666)," ",""),"^-?\d+(\.\d+)?,-?\d+(\.\d+)?$"),VALUE(REGEXEXTRACT(SUBSTITUTE(TRIM(F1666)," ",""),"^-?\d+(\.\d+)?"))&gt;=-90,VALUE(REGEXEXTRACT(SUBSTITUTE(TRIM(F1666)," ",""),"^-?\d+(\.\d+)?"))&lt;=90,VALUE(REGEXEXTRACT(SUBSTITUTE(TRIM(F1666)," ",""),"-?\d+(\.\d+)?$"))&gt;=-180,VALUE(REGEXEXTRACT(SUBSTITUTE(TRIM(F1666)," ",""),"-?\d+(\.\d+)?$"))&lt;=180),"OK","REVISAR"),"REVISAR"),"")</f>
        <v/>
      </c>
      <c r="O1666">
        <f>IF(A1666&lt;&gt;"","https://direcciones507.github.io/direcciones507/panel.html?codigo="&amp;A1666&amp;"&amp;nombre="&amp;ENCODEURL(B1666)&amp;"&amp;telefono="&amp;SUBSTITUTE(C1666,"-","")&amp;"&amp;referencia="&amp;ENCODEURL(E1666)&amp;"&amp;lat="&amp;IZQUIERDA(SUBSTITUTE(F1666," ",""),ENCONTRAR(",",SUBSTITUTE(F1666," ",""))-1)&amp;"&amp;lng="&amp;DERECHA(SUBSTITUTE(F1666," ",""),LARGO(SUBSTITUTE(F1666," ",""))-ENCONTRAR(",",SUBSTITUTE(F1666," ",""))),"")</f>
        <v/>
      </c>
    </row>
    <row r="1667" ht="15.75" customHeight="1" s="10">
      <c r="A1667" s="8">
        <f>CONCAT("AD507-",TEXT(ROW()-2,"0000"))</f>
        <v/>
      </c>
      <c r="C1667" s="8" t="n"/>
      <c r="F1667" s="8" t="n"/>
      <c r="G1667" s="8">
        <f>IF(F1667&lt;&gt;"",HYPERLINK("https://www.google.com/maps/search/?api=1&amp;query="&amp;SUBSTITUTE(F1667," ",""),"🗺 Google Maps"),"")</f>
        <v/>
      </c>
      <c r="H1667" s="8">
        <f>IF(F1667&lt;&gt;"",HYPERLINK("https://waze.com/ul?ll="&amp;SUBSTITUTE(F1667," ","")&amp;"&amp;navigate=yes","🚗 Waze"),"")</f>
        <v/>
      </c>
      <c r="I1667" s="8">
        <f>IF(F1667&lt;&gt;"",HYPERLINK("https://m.uber.com/ul/?action=setPickup&amp;pickup=my_location&amp;dropoff[latitude]="&amp;LEFT(SUBSTITUTE(F1667," ",""),FIND(",",SUBSTITUTE(F1667," ",""))-1)&amp;"&amp;dropoff[longitude]="&amp;MID(SUBSTITUTE(F1667," ",""),FIND(",",SUBSTITUTE(F1667," ",""))+1,99),"🚕 Uber"),"")</f>
        <v/>
      </c>
      <c r="J1667" s="8">
        <f>IF(F1667&lt;&gt;"","https://api.qrserver.com/v1/create-qr-code/?size=200x200&amp;data="&amp;ENCODEURL("https://www.google.com/maps/search/?api=1&amp;query="&amp;SUBSTITUTE(F1667," ","")),"")</f>
        <v/>
      </c>
      <c r="K1667" s="8">
        <f>IF(C1667&lt;&gt;"",HYPERLINK("https://wa.me/507"&amp;REGEXREPLACE(C1667,"[^0-9]","")&amp;"?text="&amp;ENCODEURL("Ya llegue. Codigo: "&amp;A1667&amp;". Ubicacion: "&amp;"https://www.google.com/maps/search/?api=1&amp;query="&amp;SUBSTITUTE(F1667," ","")),"📲 Avisar al cliente"),"")</f>
        <v/>
      </c>
      <c r="L1667" s="8">
        <f>IF(C1667&lt;&gt;"","https://api.qrserver.com/v1/create-qr-code/?size=200x200&amp;data="&amp;ENCODEURL("https://wa.me/507"&amp;REGEXREPLACE(C1667,"[^0-9]","")&amp;"?text="&amp;ENCODEURL("Ya llegue. Codigo: "&amp;A1667&amp;". Ubicacion: "&amp;"https://www.google.com/maps/search/?api=1&amp;query="&amp;SUBSTITUTE(F1667," ",""))),"")</f>
        <v/>
      </c>
      <c r="M1667" s="8">
        <f>IF(B1667&lt;&gt;"",TODAY(),"")</f>
        <v/>
      </c>
      <c r="N1667" s="8">
        <f>IF(F1667&lt;&gt;"",IFERROR(IF(AND(REGEXMATCH(SUBSTITUTE(TRIM(F1667)," ",""),"^-?\d+(\.\d+)?,-?\d+(\.\d+)?$"),VALUE(REGEXEXTRACT(SUBSTITUTE(TRIM(F1667)," ",""),"^-?\d+(\.\d+)?"))&gt;=-90,VALUE(REGEXEXTRACT(SUBSTITUTE(TRIM(F1667)," ",""),"^-?\d+(\.\d+)?"))&lt;=90,VALUE(REGEXEXTRACT(SUBSTITUTE(TRIM(F1667)," ",""),"-?\d+(\.\d+)?$"))&gt;=-180,VALUE(REGEXEXTRACT(SUBSTITUTE(TRIM(F1667)," ",""),"-?\d+(\.\d+)?$"))&lt;=180),"OK","REVISAR"),"REVISAR"),"")</f>
        <v/>
      </c>
      <c r="O1667">
        <f>IF(A1667&lt;&gt;"","https://direcciones507.github.io/direcciones507/panel.html?codigo="&amp;A1667&amp;"&amp;nombre="&amp;ENCODEURL(B1667)&amp;"&amp;telefono="&amp;SUBSTITUTE(C1667,"-","")&amp;"&amp;referencia="&amp;ENCODEURL(E1667)&amp;"&amp;lat="&amp;IZQUIERDA(SUBSTITUTE(F1667," ",""),ENCONTRAR(",",SUBSTITUTE(F1667," ",""))-1)&amp;"&amp;lng="&amp;DERECHA(SUBSTITUTE(F1667," ",""),LARGO(SUBSTITUTE(F1667," ",""))-ENCONTRAR(",",SUBSTITUTE(F1667," ",""))),"")</f>
        <v/>
      </c>
    </row>
    <row r="1668" ht="15.75" customHeight="1" s="10">
      <c r="A1668" s="8">
        <f>CONCAT("AD507-",TEXT(ROW()-2,"0000"))</f>
        <v/>
      </c>
      <c r="C1668" s="8" t="n"/>
      <c r="F1668" s="8" t="n"/>
      <c r="G1668" s="8">
        <f>IF(F1668&lt;&gt;"",HYPERLINK("https://www.google.com/maps/search/?api=1&amp;query="&amp;SUBSTITUTE(F1668," ",""),"🗺 Google Maps"),"")</f>
        <v/>
      </c>
      <c r="H1668" s="8">
        <f>IF(F1668&lt;&gt;"",HYPERLINK("https://waze.com/ul?ll="&amp;SUBSTITUTE(F1668," ","")&amp;"&amp;navigate=yes","🚗 Waze"),"")</f>
        <v/>
      </c>
      <c r="I1668" s="8">
        <f>IF(F1668&lt;&gt;"",HYPERLINK("https://m.uber.com/ul/?action=setPickup&amp;pickup=my_location&amp;dropoff[latitude]="&amp;LEFT(SUBSTITUTE(F1668," ",""),FIND(",",SUBSTITUTE(F1668," ",""))-1)&amp;"&amp;dropoff[longitude]="&amp;MID(SUBSTITUTE(F1668," ",""),FIND(",",SUBSTITUTE(F1668," ",""))+1,99),"🚕 Uber"),"")</f>
        <v/>
      </c>
      <c r="J1668" s="8">
        <f>IF(F1668&lt;&gt;"","https://api.qrserver.com/v1/create-qr-code/?size=200x200&amp;data="&amp;ENCODEURL("https://www.google.com/maps/search/?api=1&amp;query="&amp;SUBSTITUTE(F1668," ","")),"")</f>
        <v/>
      </c>
      <c r="K1668" s="8">
        <f>IF(C1668&lt;&gt;"",HYPERLINK("https://wa.me/507"&amp;REGEXREPLACE(C1668,"[^0-9]","")&amp;"?text="&amp;ENCODEURL("Ya llegue. Codigo: "&amp;A1668&amp;". Ubicacion: "&amp;"https://www.google.com/maps/search/?api=1&amp;query="&amp;SUBSTITUTE(F1668," ","")),"📲 Avisar al cliente"),"")</f>
        <v/>
      </c>
      <c r="L1668" s="8">
        <f>IF(C1668&lt;&gt;"","https://api.qrserver.com/v1/create-qr-code/?size=200x200&amp;data="&amp;ENCODEURL("https://wa.me/507"&amp;REGEXREPLACE(C1668,"[^0-9]","")&amp;"?text="&amp;ENCODEURL("Ya llegue. Codigo: "&amp;A1668&amp;". Ubicacion: "&amp;"https://www.google.com/maps/search/?api=1&amp;query="&amp;SUBSTITUTE(F1668," ",""))),"")</f>
        <v/>
      </c>
      <c r="M1668" s="8">
        <f>IF(B1668&lt;&gt;"",TODAY(),"")</f>
        <v/>
      </c>
      <c r="N1668" s="8">
        <f>IF(F1668&lt;&gt;"",IFERROR(IF(AND(REGEXMATCH(SUBSTITUTE(TRIM(F1668)," ",""),"^-?\d+(\.\d+)?,-?\d+(\.\d+)?$"),VALUE(REGEXEXTRACT(SUBSTITUTE(TRIM(F1668)," ",""),"^-?\d+(\.\d+)?"))&gt;=-90,VALUE(REGEXEXTRACT(SUBSTITUTE(TRIM(F1668)," ",""),"^-?\d+(\.\d+)?"))&lt;=90,VALUE(REGEXEXTRACT(SUBSTITUTE(TRIM(F1668)," ",""),"-?\d+(\.\d+)?$"))&gt;=-180,VALUE(REGEXEXTRACT(SUBSTITUTE(TRIM(F1668)," ",""),"-?\d+(\.\d+)?$"))&lt;=180),"OK","REVISAR"),"REVISAR"),"")</f>
        <v/>
      </c>
      <c r="O1668">
        <f>IF(A1668&lt;&gt;"","https://direcciones507.github.io/direcciones507/panel.html?codigo="&amp;A1668&amp;"&amp;nombre="&amp;ENCODEURL(B1668)&amp;"&amp;telefono="&amp;SUBSTITUTE(C1668,"-","")&amp;"&amp;referencia="&amp;ENCODEURL(E1668)&amp;"&amp;lat="&amp;IZQUIERDA(SUBSTITUTE(F1668," ",""),ENCONTRAR(",",SUBSTITUTE(F1668," ",""))-1)&amp;"&amp;lng="&amp;DERECHA(SUBSTITUTE(F1668," ",""),LARGO(SUBSTITUTE(F1668," ",""))-ENCONTRAR(",",SUBSTITUTE(F1668," ",""))),"")</f>
        <v/>
      </c>
    </row>
    <row r="1669" ht="15.75" customHeight="1" s="10">
      <c r="A1669" s="8">
        <f>CONCAT("AD507-",TEXT(ROW()-2,"0000"))</f>
        <v/>
      </c>
      <c r="C1669" s="8" t="n"/>
      <c r="F1669" s="8" t="n"/>
      <c r="G1669" s="8">
        <f>IF(F1669&lt;&gt;"",HYPERLINK("https://www.google.com/maps/search/?api=1&amp;query="&amp;SUBSTITUTE(F1669," ",""),"🗺 Google Maps"),"")</f>
        <v/>
      </c>
      <c r="H1669" s="8">
        <f>IF(F1669&lt;&gt;"",HYPERLINK("https://waze.com/ul?ll="&amp;SUBSTITUTE(F1669," ","")&amp;"&amp;navigate=yes","🚗 Waze"),"")</f>
        <v/>
      </c>
      <c r="I1669" s="8">
        <f>IF(F1669&lt;&gt;"",HYPERLINK("https://m.uber.com/ul/?action=setPickup&amp;pickup=my_location&amp;dropoff[latitude]="&amp;LEFT(SUBSTITUTE(F1669," ",""),FIND(",",SUBSTITUTE(F1669," ",""))-1)&amp;"&amp;dropoff[longitude]="&amp;MID(SUBSTITUTE(F1669," ",""),FIND(",",SUBSTITUTE(F1669," ",""))+1,99),"🚕 Uber"),"")</f>
        <v/>
      </c>
      <c r="J1669" s="8">
        <f>IF(F1669&lt;&gt;"","https://api.qrserver.com/v1/create-qr-code/?size=200x200&amp;data="&amp;ENCODEURL("https://www.google.com/maps/search/?api=1&amp;query="&amp;SUBSTITUTE(F1669," ","")),"")</f>
        <v/>
      </c>
      <c r="K1669" s="8">
        <f>IF(C1669&lt;&gt;"",HYPERLINK("https://wa.me/507"&amp;REGEXREPLACE(C1669,"[^0-9]","")&amp;"?text="&amp;ENCODEURL("Ya llegue. Codigo: "&amp;A1669&amp;". Ubicacion: "&amp;"https://www.google.com/maps/search/?api=1&amp;query="&amp;SUBSTITUTE(F1669," ","")),"📲 Avisar al cliente"),"")</f>
        <v/>
      </c>
      <c r="L1669" s="8">
        <f>IF(C1669&lt;&gt;"","https://api.qrserver.com/v1/create-qr-code/?size=200x200&amp;data="&amp;ENCODEURL("https://wa.me/507"&amp;REGEXREPLACE(C1669,"[^0-9]","")&amp;"?text="&amp;ENCODEURL("Ya llegue. Codigo: "&amp;A1669&amp;". Ubicacion: "&amp;"https://www.google.com/maps/search/?api=1&amp;query="&amp;SUBSTITUTE(F1669," ",""))),"")</f>
        <v/>
      </c>
      <c r="M1669" s="8">
        <f>IF(B1669&lt;&gt;"",TODAY(),"")</f>
        <v/>
      </c>
      <c r="N1669" s="8">
        <f>IF(F1669&lt;&gt;"",IFERROR(IF(AND(REGEXMATCH(SUBSTITUTE(TRIM(F1669)," ",""),"^-?\d+(\.\d+)?,-?\d+(\.\d+)?$"),VALUE(REGEXEXTRACT(SUBSTITUTE(TRIM(F1669)," ",""),"^-?\d+(\.\d+)?"))&gt;=-90,VALUE(REGEXEXTRACT(SUBSTITUTE(TRIM(F1669)," ",""),"^-?\d+(\.\d+)?"))&lt;=90,VALUE(REGEXEXTRACT(SUBSTITUTE(TRIM(F1669)," ",""),"-?\d+(\.\d+)?$"))&gt;=-180,VALUE(REGEXEXTRACT(SUBSTITUTE(TRIM(F1669)," ",""),"-?\d+(\.\d+)?$"))&lt;=180),"OK","REVISAR"),"REVISAR"),"")</f>
        <v/>
      </c>
      <c r="O1669">
        <f>IF(A1669&lt;&gt;"","https://direcciones507.github.io/direcciones507/panel.html?codigo="&amp;A1669&amp;"&amp;nombre="&amp;ENCODEURL(B1669)&amp;"&amp;telefono="&amp;SUBSTITUTE(C1669,"-","")&amp;"&amp;referencia="&amp;ENCODEURL(E1669)&amp;"&amp;lat="&amp;IZQUIERDA(SUBSTITUTE(F1669," ",""),ENCONTRAR(",",SUBSTITUTE(F1669," ",""))-1)&amp;"&amp;lng="&amp;DERECHA(SUBSTITUTE(F1669," ",""),LARGO(SUBSTITUTE(F1669," ",""))-ENCONTRAR(",",SUBSTITUTE(F1669," ",""))),"")</f>
        <v/>
      </c>
    </row>
    <row r="1670" ht="15.75" customHeight="1" s="10">
      <c r="A1670" s="8">
        <f>CONCAT("AD507-",TEXT(ROW()-2,"0000"))</f>
        <v/>
      </c>
      <c r="C1670" s="8" t="n"/>
      <c r="F1670" s="8" t="n"/>
      <c r="G1670" s="8">
        <f>IF(F1670&lt;&gt;"",HYPERLINK("https://www.google.com/maps/search/?api=1&amp;query="&amp;SUBSTITUTE(F1670," ",""),"🗺 Google Maps"),"")</f>
        <v/>
      </c>
      <c r="H1670" s="8">
        <f>IF(F1670&lt;&gt;"",HYPERLINK("https://waze.com/ul?ll="&amp;SUBSTITUTE(F1670," ","")&amp;"&amp;navigate=yes","🚗 Waze"),"")</f>
        <v/>
      </c>
      <c r="I1670" s="8">
        <f>IF(F1670&lt;&gt;"",HYPERLINK("https://m.uber.com/ul/?action=setPickup&amp;pickup=my_location&amp;dropoff[latitude]="&amp;LEFT(SUBSTITUTE(F1670," ",""),FIND(",",SUBSTITUTE(F1670," ",""))-1)&amp;"&amp;dropoff[longitude]="&amp;MID(SUBSTITUTE(F1670," ",""),FIND(",",SUBSTITUTE(F1670," ",""))+1,99),"🚕 Uber"),"")</f>
        <v/>
      </c>
      <c r="J1670" s="8">
        <f>IF(F1670&lt;&gt;"","https://api.qrserver.com/v1/create-qr-code/?size=200x200&amp;data="&amp;ENCODEURL("https://www.google.com/maps/search/?api=1&amp;query="&amp;SUBSTITUTE(F1670," ","")),"")</f>
        <v/>
      </c>
      <c r="K1670" s="8">
        <f>IF(C1670&lt;&gt;"",HYPERLINK("https://wa.me/507"&amp;REGEXREPLACE(C1670,"[^0-9]","")&amp;"?text="&amp;ENCODEURL("Ya llegue. Codigo: "&amp;A1670&amp;". Ubicacion: "&amp;"https://www.google.com/maps/search/?api=1&amp;query="&amp;SUBSTITUTE(F1670," ","")),"📲 Avisar al cliente"),"")</f>
        <v/>
      </c>
      <c r="L1670" s="8">
        <f>IF(C1670&lt;&gt;"","https://api.qrserver.com/v1/create-qr-code/?size=200x200&amp;data="&amp;ENCODEURL("https://wa.me/507"&amp;REGEXREPLACE(C1670,"[^0-9]","")&amp;"?text="&amp;ENCODEURL("Ya llegue. Codigo: "&amp;A1670&amp;". Ubicacion: "&amp;"https://www.google.com/maps/search/?api=1&amp;query="&amp;SUBSTITUTE(F1670," ",""))),"")</f>
        <v/>
      </c>
      <c r="M1670" s="8">
        <f>IF(B1670&lt;&gt;"",TODAY(),"")</f>
        <v/>
      </c>
      <c r="N1670" s="8">
        <f>IF(F1670&lt;&gt;"",IFERROR(IF(AND(REGEXMATCH(SUBSTITUTE(TRIM(F1670)," ",""),"^-?\d+(\.\d+)?,-?\d+(\.\d+)?$"),VALUE(REGEXEXTRACT(SUBSTITUTE(TRIM(F1670)," ",""),"^-?\d+(\.\d+)?"))&gt;=-90,VALUE(REGEXEXTRACT(SUBSTITUTE(TRIM(F1670)," ",""),"^-?\d+(\.\d+)?"))&lt;=90,VALUE(REGEXEXTRACT(SUBSTITUTE(TRIM(F1670)," ",""),"-?\d+(\.\d+)?$"))&gt;=-180,VALUE(REGEXEXTRACT(SUBSTITUTE(TRIM(F1670)," ",""),"-?\d+(\.\d+)?$"))&lt;=180),"OK","REVISAR"),"REVISAR"),"")</f>
        <v/>
      </c>
      <c r="O1670">
        <f>IF(A1670&lt;&gt;"","https://direcciones507.github.io/direcciones507/panel.html?codigo="&amp;A1670&amp;"&amp;nombre="&amp;ENCODEURL(B1670)&amp;"&amp;telefono="&amp;SUBSTITUTE(C1670,"-","")&amp;"&amp;referencia="&amp;ENCODEURL(E1670)&amp;"&amp;lat="&amp;IZQUIERDA(SUBSTITUTE(F1670," ",""),ENCONTRAR(",",SUBSTITUTE(F1670," ",""))-1)&amp;"&amp;lng="&amp;DERECHA(SUBSTITUTE(F1670," ",""),LARGO(SUBSTITUTE(F1670," ",""))-ENCONTRAR(",",SUBSTITUTE(F1670," ",""))),"")</f>
        <v/>
      </c>
    </row>
    <row r="1671" ht="15.75" customHeight="1" s="10">
      <c r="A1671" s="8">
        <f>CONCAT("AD507-",TEXT(ROW()-2,"0000"))</f>
        <v/>
      </c>
      <c r="C1671" s="8" t="n"/>
      <c r="F1671" s="8" t="n"/>
      <c r="G1671" s="8">
        <f>IF(F1671&lt;&gt;"",HYPERLINK("https://www.google.com/maps/search/?api=1&amp;query="&amp;SUBSTITUTE(F1671," ",""),"🗺 Google Maps"),"")</f>
        <v/>
      </c>
      <c r="H1671" s="8">
        <f>IF(F1671&lt;&gt;"",HYPERLINK("https://waze.com/ul?ll="&amp;SUBSTITUTE(F1671," ","")&amp;"&amp;navigate=yes","🚗 Waze"),"")</f>
        <v/>
      </c>
      <c r="I1671" s="8">
        <f>IF(F1671&lt;&gt;"",HYPERLINK("https://m.uber.com/ul/?action=setPickup&amp;pickup=my_location&amp;dropoff[latitude]="&amp;LEFT(SUBSTITUTE(F1671," ",""),FIND(",",SUBSTITUTE(F1671," ",""))-1)&amp;"&amp;dropoff[longitude]="&amp;MID(SUBSTITUTE(F1671," ",""),FIND(",",SUBSTITUTE(F1671," ",""))+1,99),"🚕 Uber"),"")</f>
        <v/>
      </c>
      <c r="J1671" s="8">
        <f>IF(F1671&lt;&gt;"","https://api.qrserver.com/v1/create-qr-code/?size=200x200&amp;data="&amp;ENCODEURL("https://www.google.com/maps/search/?api=1&amp;query="&amp;SUBSTITUTE(F1671," ","")),"")</f>
        <v/>
      </c>
      <c r="K1671" s="8">
        <f>IF(C1671&lt;&gt;"",HYPERLINK("https://wa.me/507"&amp;REGEXREPLACE(C1671,"[^0-9]","")&amp;"?text="&amp;ENCODEURL("Ya llegue. Codigo: "&amp;A1671&amp;". Ubicacion: "&amp;"https://www.google.com/maps/search/?api=1&amp;query="&amp;SUBSTITUTE(F1671," ","")),"📲 Avisar al cliente"),"")</f>
        <v/>
      </c>
      <c r="L1671" s="8">
        <f>IF(C1671&lt;&gt;"","https://api.qrserver.com/v1/create-qr-code/?size=200x200&amp;data="&amp;ENCODEURL("https://wa.me/507"&amp;REGEXREPLACE(C1671,"[^0-9]","")&amp;"?text="&amp;ENCODEURL("Ya llegue. Codigo: "&amp;A1671&amp;". Ubicacion: "&amp;"https://www.google.com/maps/search/?api=1&amp;query="&amp;SUBSTITUTE(F1671," ",""))),"")</f>
        <v/>
      </c>
      <c r="M1671" s="8">
        <f>IF(B1671&lt;&gt;"",TODAY(),"")</f>
        <v/>
      </c>
      <c r="N1671" s="8">
        <f>IF(F1671&lt;&gt;"",IFERROR(IF(AND(REGEXMATCH(SUBSTITUTE(TRIM(F1671)," ",""),"^-?\d+(\.\d+)?,-?\d+(\.\d+)?$"),VALUE(REGEXEXTRACT(SUBSTITUTE(TRIM(F1671)," ",""),"^-?\d+(\.\d+)?"))&gt;=-90,VALUE(REGEXEXTRACT(SUBSTITUTE(TRIM(F1671)," ",""),"^-?\d+(\.\d+)?"))&lt;=90,VALUE(REGEXEXTRACT(SUBSTITUTE(TRIM(F1671)," ",""),"-?\d+(\.\d+)?$"))&gt;=-180,VALUE(REGEXEXTRACT(SUBSTITUTE(TRIM(F1671)," ",""),"-?\d+(\.\d+)?$"))&lt;=180),"OK","REVISAR"),"REVISAR"),"")</f>
        <v/>
      </c>
      <c r="O1671">
        <f>IF(A1671&lt;&gt;"","https://direcciones507.github.io/direcciones507/panel.html?codigo="&amp;A1671&amp;"&amp;nombre="&amp;ENCODEURL(B1671)&amp;"&amp;telefono="&amp;SUBSTITUTE(C1671,"-","")&amp;"&amp;referencia="&amp;ENCODEURL(E1671)&amp;"&amp;lat="&amp;IZQUIERDA(SUBSTITUTE(F1671," ",""),ENCONTRAR(",",SUBSTITUTE(F1671," ",""))-1)&amp;"&amp;lng="&amp;DERECHA(SUBSTITUTE(F1671," ",""),LARGO(SUBSTITUTE(F1671," ",""))-ENCONTRAR(",",SUBSTITUTE(F1671," ",""))),"")</f>
        <v/>
      </c>
    </row>
    <row r="1672" ht="15.75" customHeight="1" s="10">
      <c r="A1672" s="8">
        <f>CONCAT("AD507-",TEXT(ROW()-2,"0000"))</f>
        <v/>
      </c>
      <c r="C1672" s="8" t="n"/>
      <c r="F1672" s="8" t="n"/>
      <c r="G1672" s="8">
        <f>IF(F1672&lt;&gt;"",HYPERLINK("https://www.google.com/maps/search/?api=1&amp;query="&amp;SUBSTITUTE(F1672," ",""),"🗺 Google Maps"),"")</f>
        <v/>
      </c>
      <c r="H1672" s="8">
        <f>IF(F1672&lt;&gt;"",HYPERLINK("https://waze.com/ul?ll="&amp;SUBSTITUTE(F1672," ","")&amp;"&amp;navigate=yes","🚗 Waze"),"")</f>
        <v/>
      </c>
      <c r="I1672" s="8">
        <f>IF(F1672&lt;&gt;"",HYPERLINK("https://m.uber.com/ul/?action=setPickup&amp;pickup=my_location&amp;dropoff[latitude]="&amp;LEFT(SUBSTITUTE(F1672," ",""),FIND(",",SUBSTITUTE(F1672," ",""))-1)&amp;"&amp;dropoff[longitude]="&amp;MID(SUBSTITUTE(F1672," ",""),FIND(",",SUBSTITUTE(F1672," ",""))+1,99),"🚕 Uber"),"")</f>
        <v/>
      </c>
      <c r="J1672" s="8">
        <f>IF(F1672&lt;&gt;"","https://api.qrserver.com/v1/create-qr-code/?size=200x200&amp;data="&amp;ENCODEURL("https://www.google.com/maps/search/?api=1&amp;query="&amp;SUBSTITUTE(F1672," ","")),"")</f>
        <v/>
      </c>
      <c r="K1672" s="8">
        <f>IF(C1672&lt;&gt;"",HYPERLINK("https://wa.me/507"&amp;REGEXREPLACE(C1672,"[^0-9]","")&amp;"?text="&amp;ENCODEURL("Ya llegue. Codigo: "&amp;A1672&amp;". Ubicacion: "&amp;"https://www.google.com/maps/search/?api=1&amp;query="&amp;SUBSTITUTE(F1672," ","")),"📲 Avisar al cliente"),"")</f>
        <v/>
      </c>
      <c r="L1672" s="8">
        <f>IF(C1672&lt;&gt;"","https://api.qrserver.com/v1/create-qr-code/?size=200x200&amp;data="&amp;ENCODEURL("https://wa.me/507"&amp;REGEXREPLACE(C1672,"[^0-9]","")&amp;"?text="&amp;ENCODEURL("Ya llegue. Codigo: "&amp;A1672&amp;". Ubicacion: "&amp;"https://www.google.com/maps/search/?api=1&amp;query="&amp;SUBSTITUTE(F1672," ",""))),"")</f>
        <v/>
      </c>
      <c r="M1672" s="8">
        <f>IF(B1672&lt;&gt;"",TODAY(),"")</f>
        <v/>
      </c>
      <c r="N1672" s="8">
        <f>IF(F1672&lt;&gt;"",IFERROR(IF(AND(REGEXMATCH(SUBSTITUTE(TRIM(F1672)," ",""),"^-?\d+(\.\d+)?,-?\d+(\.\d+)?$"),VALUE(REGEXEXTRACT(SUBSTITUTE(TRIM(F1672)," ",""),"^-?\d+(\.\d+)?"))&gt;=-90,VALUE(REGEXEXTRACT(SUBSTITUTE(TRIM(F1672)," ",""),"^-?\d+(\.\d+)?"))&lt;=90,VALUE(REGEXEXTRACT(SUBSTITUTE(TRIM(F1672)," ",""),"-?\d+(\.\d+)?$"))&gt;=-180,VALUE(REGEXEXTRACT(SUBSTITUTE(TRIM(F1672)," ",""),"-?\d+(\.\d+)?$"))&lt;=180),"OK","REVISAR"),"REVISAR"),"")</f>
        <v/>
      </c>
      <c r="O1672">
        <f>IF(A1672&lt;&gt;"","https://direcciones507.github.io/direcciones507/panel.html?codigo="&amp;A1672&amp;"&amp;nombre="&amp;ENCODEURL(B1672)&amp;"&amp;telefono="&amp;SUBSTITUTE(C1672,"-","")&amp;"&amp;referencia="&amp;ENCODEURL(E1672)&amp;"&amp;lat="&amp;IZQUIERDA(SUBSTITUTE(F1672," ",""),ENCONTRAR(",",SUBSTITUTE(F1672," ",""))-1)&amp;"&amp;lng="&amp;DERECHA(SUBSTITUTE(F1672," ",""),LARGO(SUBSTITUTE(F1672," ",""))-ENCONTRAR(",",SUBSTITUTE(F1672," ",""))),"")</f>
        <v/>
      </c>
    </row>
    <row r="1673" ht="15.75" customHeight="1" s="10">
      <c r="A1673" s="8">
        <f>CONCAT("AD507-",TEXT(ROW()-2,"0000"))</f>
        <v/>
      </c>
      <c r="C1673" s="8" t="n"/>
      <c r="F1673" s="8" t="n"/>
      <c r="G1673" s="8">
        <f>IF(F1673&lt;&gt;"",HYPERLINK("https://www.google.com/maps/search/?api=1&amp;query="&amp;SUBSTITUTE(F1673," ",""),"🗺 Google Maps"),"")</f>
        <v/>
      </c>
      <c r="H1673" s="8">
        <f>IF(F1673&lt;&gt;"",HYPERLINK("https://waze.com/ul?ll="&amp;SUBSTITUTE(F1673," ","")&amp;"&amp;navigate=yes","🚗 Waze"),"")</f>
        <v/>
      </c>
      <c r="I1673" s="8">
        <f>IF(F1673&lt;&gt;"",HYPERLINK("https://m.uber.com/ul/?action=setPickup&amp;pickup=my_location&amp;dropoff[latitude]="&amp;LEFT(SUBSTITUTE(F1673," ",""),FIND(",",SUBSTITUTE(F1673," ",""))-1)&amp;"&amp;dropoff[longitude]="&amp;MID(SUBSTITUTE(F1673," ",""),FIND(",",SUBSTITUTE(F1673," ",""))+1,99),"🚕 Uber"),"")</f>
        <v/>
      </c>
      <c r="J1673" s="8">
        <f>IF(F1673&lt;&gt;"","https://api.qrserver.com/v1/create-qr-code/?size=200x200&amp;data="&amp;ENCODEURL("https://www.google.com/maps/search/?api=1&amp;query="&amp;SUBSTITUTE(F1673," ","")),"")</f>
        <v/>
      </c>
      <c r="K1673" s="8">
        <f>IF(C1673&lt;&gt;"",HYPERLINK("https://wa.me/507"&amp;REGEXREPLACE(C1673,"[^0-9]","")&amp;"?text="&amp;ENCODEURL("Ya llegue. Codigo: "&amp;A1673&amp;". Ubicacion: "&amp;"https://www.google.com/maps/search/?api=1&amp;query="&amp;SUBSTITUTE(F1673," ","")),"📲 Avisar al cliente"),"")</f>
        <v/>
      </c>
      <c r="L1673" s="8">
        <f>IF(C1673&lt;&gt;"","https://api.qrserver.com/v1/create-qr-code/?size=200x200&amp;data="&amp;ENCODEURL("https://wa.me/507"&amp;REGEXREPLACE(C1673,"[^0-9]","")&amp;"?text="&amp;ENCODEURL("Ya llegue. Codigo: "&amp;A1673&amp;". Ubicacion: "&amp;"https://www.google.com/maps/search/?api=1&amp;query="&amp;SUBSTITUTE(F1673," ",""))),"")</f>
        <v/>
      </c>
      <c r="M1673" s="8">
        <f>IF(B1673&lt;&gt;"",TODAY(),"")</f>
        <v/>
      </c>
      <c r="N1673" s="8">
        <f>IF(F1673&lt;&gt;"",IFERROR(IF(AND(REGEXMATCH(SUBSTITUTE(TRIM(F1673)," ",""),"^-?\d+(\.\d+)?,-?\d+(\.\d+)?$"),VALUE(REGEXEXTRACT(SUBSTITUTE(TRIM(F1673)," ",""),"^-?\d+(\.\d+)?"))&gt;=-90,VALUE(REGEXEXTRACT(SUBSTITUTE(TRIM(F1673)," ",""),"^-?\d+(\.\d+)?"))&lt;=90,VALUE(REGEXEXTRACT(SUBSTITUTE(TRIM(F1673)," ",""),"-?\d+(\.\d+)?$"))&gt;=-180,VALUE(REGEXEXTRACT(SUBSTITUTE(TRIM(F1673)," ",""),"-?\d+(\.\d+)?$"))&lt;=180),"OK","REVISAR"),"REVISAR"),"")</f>
        <v/>
      </c>
      <c r="O1673">
        <f>IF(A1673&lt;&gt;"","https://direcciones507.github.io/direcciones507/panel.html?codigo="&amp;A1673&amp;"&amp;nombre="&amp;ENCODEURL(B1673)&amp;"&amp;telefono="&amp;SUBSTITUTE(C1673,"-","")&amp;"&amp;referencia="&amp;ENCODEURL(E1673)&amp;"&amp;lat="&amp;IZQUIERDA(SUBSTITUTE(F1673," ",""),ENCONTRAR(",",SUBSTITUTE(F1673," ",""))-1)&amp;"&amp;lng="&amp;DERECHA(SUBSTITUTE(F1673," ",""),LARGO(SUBSTITUTE(F1673," ",""))-ENCONTRAR(",",SUBSTITUTE(F1673," ",""))),"")</f>
        <v/>
      </c>
    </row>
    <row r="1674" ht="15.75" customHeight="1" s="10">
      <c r="A1674" s="8">
        <f>CONCAT("AD507-",TEXT(ROW()-2,"0000"))</f>
        <v/>
      </c>
      <c r="C1674" s="8" t="n"/>
      <c r="F1674" s="8" t="n"/>
      <c r="G1674" s="8">
        <f>IF(F1674&lt;&gt;"",HYPERLINK("https://www.google.com/maps/search/?api=1&amp;query="&amp;SUBSTITUTE(F1674," ",""),"🗺 Google Maps"),"")</f>
        <v/>
      </c>
      <c r="H1674" s="8">
        <f>IF(F1674&lt;&gt;"",HYPERLINK("https://waze.com/ul?ll="&amp;SUBSTITUTE(F1674," ","")&amp;"&amp;navigate=yes","🚗 Waze"),"")</f>
        <v/>
      </c>
      <c r="I1674" s="8">
        <f>IF(F1674&lt;&gt;"",HYPERLINK("https://m.uber.com/ul/?action=setPickup&amp;pickup=my_location&amp;dropoff[latitude]="&amp;LEFT(SUBSTITUTE(F1674," ",""),FIND(",",SUBSTITUTE(F1674," ",""))-1)&amp;"&amp;dropoff[longitude]="&amp;MID(SUBSTITUTE(F1674," ",""),FIND(",",SUBSTITUTE(F1674," ",""))+1,99),"🚕 Uber"),"")</f>
        <v/>
      </c>
      <c r="J1674" s="8">
        <f>IF(F1674&lt;&gt;"","https://api.qrserver.com/v1/create-qr-code/?size=200x200&amp;data="&amp;ENCODEURL("https://www.google.com/maps/search/?api=1&amp;query="&amp;SUBSTITUTE(F1674," ","")),"")</f>
        <v/>
      </c>
      <c r="K1674" s="8">
        <f>IF(C1674&lt;&gt;"",HYPERLINK("https://wa.me/507"&amp;REGEXREPLACE(C1674,"[^0-9]","")&amp;"?text="&amp;ENCODEURL("Ya llegue. Codigo: "&amp;A1674&amp;". Ubicacion: "&amp;"https://www.google.com/maps/search/?api=1&amp;query="&amp;SUBSTITUTE(F1674," ","")),"📲 Avisar al cliente"),"")</f>
        <v/>
      </c>
      <c r="L1674" s="8">
        <f>IF(C1674&lt;&gt;"","https://api.qrserver.com/v1/create-qr-code/?size=200x200&amp;data="&amp;ENCODEURL("https://wa.me/507"&amp;REGEXREPLACE(C1674,"[^0-9]","")&amp;"?text="&amp;ENCODEURL("Ya llegue. Codigo: "&amp;A1674&amp;". Ubicacion: "&amp;"https://www.google.com/maps/search/?api=1&amp;query="&amp;SUBSTITUTE(F1674," ",""))),"")</f>
        <v/>
      </c>
      <c r="M1674" s="8">
        <f>IF(B1674&lt;&gt;"",TODAY(),"")</f>
        <v/>
      </c>
      <c r="N1674" s="8">
        <f>IF(F1674&lt;&gt;"",IFERROR(IF(AND(REGEXMATCH(SUBSTITUTE(TRIM(F1674)," ",""),"^-?\d+(\.\d+)?,-?\d+(\.\d+)?$"),VALUE(REGEXEXTRACT(SUBSTITUTE(TRIM(F1674)," ",""),"^-?\d+(\.\d+)?"))&gt;=-90,VALUE(REGEXEXTRACT(SUBSTITUTE(TRIM(F1674)," ",""),"^-?\d+(\.\d+)?"))&lt;=90,VALUE(REGEXEXTRACT(SUBSTITUTE(TRIM(F1674)," ",""),"-?\d+(\.\d+)?$"))&gt;=-180,VALUE(REGEXEXTRACT(SUBSTITUTE(TRIM(F1674)," ",""),"-?\d+(\.\d+)?$"))&lt;=180),"OK","REVISAR"),"REVISAR"),"")</f>
        <v/>
      </c>
      <c r="O1674">
        <f>IF(A1674&lt;&gt;"","https://direcciones507.github.io/direcciones507/panel.html?codigo="&amp;A1674&amp;"&amp;nombre="&amp;ENCODEURL(B1674)&amp;"&amp;telefono="&amp;SUBSTITUTE(C1674,"-","")&amp;"&amp;referencia="&amp;ENCODEURL(E1674)&amp;"&amp;lat="&amp;IZQUIERDA(SUBSTITUTE(F1674," ",""),ENCONTRAR(",",SUBSTITUTE(F1674," ",""))-1)&amp;"&amp;lng="&amp;DERECHA(SUBSTITUTE(F1674," ",""),LARGO(SUBSTITUTE(F1674," ",""))-ENCONTRAR(",",SUBSTITUTE(F1674," ",""))),"")</f>
        <v/>
      </c>
    </row>
    <row r="1675" ht="15.75" customHeight="1" s="10">
      <c r="A1675" s="8">
        <f>CONCAT("AD507-",TEXT(ROW()-2,"0000"))</f>
        <v/>
      </c>
      <c r="C1675" s="8" t="n"/>
      <c r="F1675" s="8" t="n"/>
      <c r="G1675" s="8">
        <f>IF(F1675&lt;&gt;"",HYPERLINK("https://www.google.com/maps/search/?api=1&amp;query="&amp;SUBSTITUTE(F1675," ",""),"🗺 Google Maps"),"")</f>
        <v/>
      </c>
      <c r="H1675" s="8">
        <f>IF(F1675&lt;&gt;"",HYPERLINK("https://waze.com/ul?ll="&amp;SUBSTITUTE(F1675," ","")&amp;"&amp;navigate=yes","🚗 Waze"),"")</f>
        <v/>
      </c>
      <c r="I1675" s="8">
        <f>IF(F1675&lt;&gt;"",HYPERLINK("https://m.uber.com/ul/?action=setPickup&amp;pickup=my_location&amp;dropoff[latitude]="&amp;LEFT(SUBSTITUTE(F1675," ",""),FIND(",",SUBSTITUTE(F1675," ",""))-1)&amp;"&amp;dropoff[longitude]="&amp;MID(SUBSTITUTE(F1675," ",""),FIND(",",SUBSTITUTE(F1675," ",""))+1,99),"🚕 Uber"),"")</f>
        <v/>
      </c>
      <c r="J1675" s="8">
        <f>IF(F1675&lt;&gt;"","https://api.qrserver.com/v1/create-qr-code/?size=200x200&amp;data="&amp;ENCODEURL("https://www.google.com/maps/search/?api=1&amp;query="&amp;SUBSTITUTE(F1675," ","")),"")</f>
        <v/>
      </c>
      <c r="K1675" s="8">
        <f>IF(C1675&lt;&gt;"",HYPERLINK("https://wa.me/507"&amp;REGEXREPLACE(C1675,"[^0-9]","")&amp;"?text="&amp;ENCODEURL("Ya llegue. Codigo: "&amp;A1675&amp;". Ubicacion: "&amp;"https://www.google.com/maps/search/?api=1&amp;query="&amp;SUBSTITUTE(F1675," ","")),"📲 Avisar al cliente"),"")</f>
        <v/>
      </c>
      <c r="L1675" s="8">
        <f>IF(C1675&lt;&gt;"","https://api.qrserver.com/v1/create-qr-code/?size=200x200&amp;data="&amp;ENCODEURL("https://wa.me/507"&amp;REGEXREPLACE(C1675,"[^0-9]","")&amp;"?text="&amp;ENCODEURL("Ya llegue. Codigo: "&amp;A1675&amp;". Ubicacion: "&amp;"https://www.google.com/maps/search/?api=1&amp;query="&amp;SUBSTITUTE(F1675," ",""))),"")</f>
        <v/>
      </c>
      <c r="M1675" s="8">
        <f>IF(B1675&lt;&gt;"",TODAY(),"")</f>
        <v/>
      </c>
      <c r="N1675" s="8">
        <f>IF(F1675&lt;&gt;"",IFERROR(IF(AND(REGEXMATCH(SUBSTITUTE(TRIM(F1675)," ",""),"^-?\d+(\.\d+)?,-?\d+(\.\d+)?$"),VALUE(REGEXEXTRACT(SUBSTITUTE(TRIM(F1675)," ",""),"^-?\d+(\.\d+)?"))&gt;=-90,VALUE(REGEXEXTRACT(SUBSTITUTE(TRIM(F1675)," ",""),"^-?\d+(\.\d+)?"))&lt;=90,VALUE(REGEXEXTRACT(SUBSTITUTE(TRIM(F1675)," ",""),"-?\d+(\.\d+)?$"))&gt;=-180,VALUE(REGEXEXTRACT(SUBSTITUTE(TRIM(F1675)," ",""),"-?\d+(\.\d+)?$"))&lt;=180),"OK","REVISAR"),"REVISAR"),"")</f>
        <v/>
      </c>
      <c r="O1675">
        <f>IF(A1675&lt;&gt;"","https://direcciones507.github.io/direcciones507/panel.html?codigo="&amp;A1675&amp;"&amp;nombre="&amp;ENCODEURL(B1675)&amp;"&amp;telefono="&amp;SUBSTITUTE(C1675,"-","")&amp;"&amp;referencia="&amp;ENCODEURL(E1675)&amp;"&amp;lat="&amp;IZQUIERDA(SUBSTITUTE(F1675," ",""),ENCONTRAR(",",SUBSTITUTE(F1675," ",""))-1)&amp;"&amp;lng="&amp;DERECHA(SUBSTITUTE(F1675," ",""),LARGO(SUBSTITUTE(F1675," ",""))-ENCONTRAR(",",SUBSTITUTE(F1675," ",""))),"")</f>
        <v/>
      </c>
    </row>
    <row r="1676" ht="15.75" customHeight="1" s="10">
      <c r="A1676" s="8">
        <f>CONCAT("AD507-",TEXT(ROW()-2,"0000"))</f>
        <v/>
      </c>
      <c r="C1676" s="8" t="n"/>
      <c r="F1676" s="8" t="n"/>
      <c r="G1676" s="8">
        <f>IF(F1676&lt;&gt;"",HYPERLINK("https://www.google.com/maps/search/?api=1&amp;query="&amp;SUBSTITUTE(F1676," ",""),"🗺 Google Maps"),"")</f>
        <v/>
      </c>
      <c r="H1676" s="8">
        <f>IF(F1676&lt;&gt;"",HYPERLINK("https://waze.com/ul?ll="&amp;SUBSTITUTE(F1676," ","")&amp;"&amp;navigate=yes","🚗 Waze"),"")</f>
        <v/>
      </c>
      <c r="I1676" s="8">
        <f>IF(F1676&lt;&gt;"",HYPERLINK("https://m.uber.com/ul/?action=setPickup&amp;pickup=my_location&amp;dropoff[latitude]="&amp;LEFT(SUBSTITUTE(F1676," ",""),FIND(",",SUBSTITUTE(F1676," ",""))-1)&amp;"&amp;dropoff[longitude]="&amp;MID(SUBSTITUTE(F1676," ",""),FIND(",",SUBSTITUTE(F1676," ",""))+1,99),"🚕 Uber"),"")</f>
        <v/>
      </c>
      <c r="J1676" s="8">
        <f>IF(F1676&lt;&gt;"","https://api.qrserver.com/v1/create-qr-code/?size=200x200&amp;data="&amp;ENCODEURL("https://www.google.com/maps/search/?api=1&amp;query="&amp;SUBSTITUTE(F1676," ","")),"")</f>
        <v/>
      </c>
      <c r="K1676" s="8">
        <f>IF(C1676&lt;&gt;"",HYPERLINK("https://wa.me/507"&amp;REGEXREPLACE(C1676,"[^0-9]","")&amp;"?text="&amp;ENCODEURL("Ya llegue. Codigo: "&amp;A1676&amp;". Ubicacion: "&amp;"https://www.google.com/maps/search/?api=1&amp;query="&amp;SUBSTITUTE(F1676," ","")),"📲 Avisar al cliente"),"")</f>
        <v/>
      </c>
      <c r="L1676" s="8">
        <f>IF(C1676&lt;&gt;"","https://api.qrserver.com/v1/create-qr-code/?size=200x200&amp;data="&amp;ENCODEURL("https://wa.me/507"&amp;REGEXREPLACE(C1676,"[^0-9]","")&amp;"?text="&amp;ENCODEURL("Ya llegue. Codigo: "&amp;A1676&amp;". Ubicacion: "&amp;"https://www.google.com/maps/search/?api=1&amp;query="&amp;SUBSTITUTE(F1676," ",""))),"")</f>
        <v/>
      </c>
      <c r="M1676" s="8">
        <f>IF(B1676&lt;&gt;"",TODAY(),"")</f>
        <v/>
      </c>
      <c r="N1676" s="8">
        <f>IF(F1676&lt;&gt;"",IFERROR(IF(AND(REGEXMATCH(SUBSTITUTE(TRIM(F1676)," ",""),"^-?\d+(\.\d+)?,-?\d+(\.\d+)?$"),VALUE(REGEXEXTRACT(SUBSTITUTE(TRIM(F1676)," ",""),"^-?\d+(\.\d+)?"))&gt;=-90,VALUE(REGEXEXTRACT(SUBSTITUTE(TRIM(F1676)," ",""),"^-?\d+(\.\d+)?"))&lt;=90,VALUE(REGEXEXTRACT(SUBSTITUTE(TRIM(F1676)," ",""),"-?\d+(\.\d+)?$"))&gt;=-180,VALUE(REGEXEXTRACT(SUBSTITUTE(TRIM(F1676)," ",""),"-?\d+(\.\d+)?$"))&lt;=180),"OK","REVISAR"),"REVISAR"),"")</f>
        <v/>
      </c>
      <c r="O1676">
        <f>IF(A1676&lt;&gt;"","https://direcciones507.github.io/direcciones507/panel.html?codigo="&amp;A1676&amp;"&amp;nombre="&amp;ENCODEURL(B1676)&amp;"&amp;telefono="&amp;SUBSTITUTE(C1676,"-","")&amp;"&amp;referencia="&amp;ENCODEURL(E1676)&amp;"&amp;lat="&amp;IZQUIERDA(SUBSTITUTE(F1676," ",""),ENCONTRAR(",",SUBSTITUTE(F1676," ",""))-1)&amp;"&amp;lng="&amp;DERECHA(SUBSTITUTE(F1676," ",""),LARGO(SUBSTITUTE(F1676," ",""))-ENCONTRAR(",",SUBSTITUTE(F1676," ",""))),"")</f>
        <v/>
      </c>
    </row>
    <row r="1677" ht="15.75" customHeight="1" s="10">
      <c r="A1677" s="8">
        <f>CONCAT("AD507-",TEXT(ROW()-2,"0000"))</f>
        <v/>
      </c>
      <c r="C1677" s="8" t="n"/>
      <c r="F1677" s="8" t="n"/>
      <c r="G1677" s="8">
        <f>IF(F1677&lt;&gt;"",HYPERLINK("https://www.google.com/maps/search/?api=1&amp;query="&amp;SUBSTITUTE(F1677," ",""),"🗺 Google Maps"),"")</f>
        <v/>
      </c>
      <c r="H1677" s="8">
        <f>IF(F1677&lt;&gt;"",HYPERLINK("https://waze.com/ul?ll="&amp;SUBSTITUTE(F1677," ","")&amp;"&amp;navigate=yes","🚗 Waze"),"")</f>
        <v/>
      </c>
      <c r="I1677" s="8">
        <f>IF(F1677&lt;&gt;"",HYPERLINK("https://m.uber.com/ul/?action=setPickup&amp;pickup=my_location&amp;dropoff[latitude]="&amp;LEFT(SUBSTITUTE(F1677," ",""),FIND(",",SUBSTITUTE(F1677," ",""))-1)&amp;"&amp;dropoff[longitude]="&amp;MID(SUBSTITUTE(F1677," ",""),FIND(",",SUBSTITUTE(F1677," ",""))+1,99),"🚕 Uber"),"")</f>
        <v/>
      </c>
      <c r="J1677" s="8">
        <f>IF(F1677&lt;&gt;"","https://api.qrserver.com/v1/create-qr-code/?size=200x200&amp;data="&amp;ENCODEURL("https://www.google.com/maps/search/?api=1&amp;query="&amp;SUBSTITUTE(F1677," ","")),"")</f>
        <v/>
      </c>
      <c r="K1677" s="8">
        <f>IF(C1677&lt;&gt;"",HYPERLINK("https://wa.me/507"&amp;REGEXREPLACE(C1677,"[^0-9]","")&amp;"?text="&amp;ENCODEURL("Ya llegue. Codigo: "&amp;A1677&amp;". Ubicacion: "&amp;"https://www.google.com/maps/search/?api=1&amp;query="&amp;SUBSTITUTE(F1677," ","")),"📲 Avisar al cliente"),"")</f>
        <v/>
      </c>
      <c r="L1677" s="8">
        <f>IF(C1677&lt;&gt;"","https://api.qrserver.com/v1/create-qr-code/?size=200x200&amp;data="&amp;ENCODEURL("https://wa.me/507"&amp;REGEXREPLACE(C1677,"[^0-9]","")&amp;"?text="&amp;ENCODEURL("Ya llegue. Codigo: "&amp;A1677&amp;". Ubicacion: "&amp;"https://www.google.com/maps/search/?api=1&amp;query="&amp;SUBSTITUTE(F1677," ",""))),"")</f>
        <v/>
      </c>
      <c r="M1677" s="8">
        <f>IF(B1677&lt;&gt;"",TODAY(),"")</f>
        <v/>
      </c>
      <c r="N1677" s="8">
        <f>IF(F1677&lt;&gt;"",IFERROR(IF(AND(REGEXMATCH(SUBSTITUTE(TRIM(F1677)," ",""),"^-?\d+(\.\d+)?,-?\d+(\.\d+)?$"),VALUE(REGEXEXTRACT(SUBSTITUTE(TRIM(F1677)," ",""),"^-?\d+(\.\d+)?"))&gt;=-90,VALUE(REGEXEXTRACT(SUBSTITUTE(TRIM(F1677)," ",""),"^-?\d+(\.\d+)?"))&lt;=90,VALUE(REGEXEXTRACT(SUBSTITUTE(TRIM(F1677)," ",""),"-?\d+(\.\d+)?$"))&gt;=-180,VALUE(REGEXEXTRACT(SUBSTITUTE(TRIM(F1677)," ",""),"-?\d+(\.\d+)?$"))&lt;=180),"OK","REVISAR"),"REVISAR"),"")</f>
        <v/>
      </c>
      <c r="O1677">
        <f>IF(A1677&lt;&gt;"","https://direcciones507.github.io/direcciones507/panel.html?codigo="&amp;A1677&amp;"&amp;nombre="&amp;ENCODEURL(B1677)&amp;"&amp;telefono="&amp;SUBSTITUTE(C1677,"-","")&amp;"&amp;referencia="&amp;ENCODEURL(E1677)&amp;"&amp;lat="&amp;IZQUIERDA(SUBSTITUTE(F1677," ",""),ENCONTRAR(",",SUBSTITUTE(F1677," ",""))-1)&amp;"&amp;lng="&amp;DERECHA(SUBSTITUTE(F1677," ",""),LARGO(SUBSTITUTE(F1677," ",""))-ENCONTRAR(",",SUBSTITUTE(F1677," ",""))),"")</f>
        <v/>
      </c>
    </row>
    <row r="1678" ht="15.75" customHeight="1" s="10">
      <c r="A1678" s="8">
        <f>CONCAT("AD507-",TEXT(ROW()-2,"0000"))</f>
        <v/>
      </c>
      <c r="C1678" s="8" t="n"/>
      <c r="F1678" s="8" t="n"/>
      <c r="G1678" s="8">
        <f>IF(F1678&lt;&gt;"",HYPERLINK("https://www.google.com/maps/search/?api=1&amp;query="&amp;SUBSTITUTE(F1678," ",""),"🗺 Google Maps"),"")</f>
        <v/>
      </c>
      <c r="H1678" s="8">
        <f>IF(F1678&lt;&gt;"",HYPERLINK("https://waze.com/ul?ll="&amp;SUBSTITUTE(F1678," ","")&amp;"&amp;navigate=yes","🚗 Waze"),"")</f>
        <v/>
      </c>
      <c r="I1678" s="8">
        <f>IF(F1678&lt;&gt;"",HYPERLINK("https://m.uber.com/ul/?action=setPickup&amp;pickup=my_location&amp;dropoff[latitude]="&amp;LEFT(SUBSTITUTE(F1678," ",""),FIND(",",SUBSTITUTE(F1678," ",""))-1)&amp;"&amp;dropoff[longitude]="&amp;MID(SUBSTITUTE(F1678," ",""),FIND(",",SUBSTITUTE(F1678," ",""))+1,99),"🚕 Uber"),"")</f>
        <v/>
      </c>
      <c r="J1678" s="8">
        <f>IF(F1678&lt;&gt;"","https://api.qrserver.com/v1/create-qr-code/?size=200x200&amp;data="&amp;ENCODEURL("https://www.google.com/maps/search/?api=1&amp;query="&amp;SUBSTITUTE(F1678," ","")),"")</f>
        <v/>
      </c>
      <c r="K1678" s="8">
        <f>IF(C1678&lt;&gt;"",HYPERLINK("https://wa.me/507"&amp;REGEXREPLACE(C1678,"[^0-9]","")&amp;"?text="&amp;ENCODEURL("Ya llegue. Codigo: "&amp;A1678&amp;". Ubicacion: "&amp;"https://www.google.com/maps/search/?api=1&amp;query="&amp;SUBSTITUTE(F1678," ","")),"📲 Avisar al cliente"),"")</f>
        <v/>
      </c>
      <c r="L1678" s="8">
        <f>IF(C1678&lt;&gt;"","https://api.qrserver.com/v1/create-qr-code/?size=200x200&amp;data="&amp;ENCODEURL("https://wa.me/507"&amp;REGEXREPLACE(C1678,"[^0-9]","")&amp;"?text="&amp;ENCODEURL("Ya llegue. Codigo: "&amp;A1678&amp;". Ubicacion: "&amp;"https://www.google.com/maps/search/?api=1&amp;query="&amp;SUBSTITUTE(F1678," ",""))),"")</f>
        <v/>
      </c>
      <c r="M1678" s="8">
        <f>IF(B1678&lt;&gt;"",TODAY(),"")</f>
        <v/>
      </c>
      <c r="N1678" s="8">
        <f>IF(F1678&lt;&gt;"",IFERROR(IF(AND(REGEXMATCH(SUBSTITUTE(TRIM(F1678)," ",""),"^-?\d+(\.\d+)?,-?\d+(\.\d+)?$"),VALUE(REGEXEXTRACT(SUBSTITUTE(TRIM(F1678)," ",""),"^-?\d+(\.\d+)?"))&gt;=-90,VALUE(REGEXEXTRACT(SUBSTITUTE(TRIM(F1678)," ",""),"^-?\d+(\.\d+)?"))&lt;=90,VALUE(REGEXEXTRACT(SUBSTITUTE(TRIM(F1678)," ",""),"-?\d+(\.\d+)?$"))&gt;=-180,VALUE(REGEXEXTRACT(SUBSTITUTE(TRIM(F1678)," ",""),"-?\d+(\.\d+)?$"))&lt;=180),"OK","REVISAR"),"REVISAR"),"")</f>
        <v/>
      </c>
      <c r="O1678">
        <f>IF(A1678&lt;&gt;"","https://direcciones507.github.io/direcciones507/panel.html?codigo="&amp;A1678&amp;"&amp;nombre="&amp;ENCODEURL(B1678)&amp;"&amp;telefono="&amp;SUBSTITUTE(C1678,"-","")&amp;"&amp;referencia="&amp;ENCODEURL(E1678)&amp;"&amp;lat="&amp;IZQUIERDA(SUBSTITUTE(F1678," ",""),ENCONTRAR(",",SUBSTITUTE(F1678," ",""))-1)&amp;"&amp;lng="&amp;DERECHA(SUBSTITUTE(F1678," ",""),LARGO(SUBSTITUTE(F1678," ",""))-ENCONTRAR(",",SUBSTITUTE(F1678," ",""))),"")</f>
        <v/>
      </c>
    </row>
    <row r="1679" ht="15.75" customHeight="1" s="10">
      <c r="A1679" s="8">
        <f>CONCAT("AD507-",TEXT(ROW()-2,"0000"))</f>
        <v/>
      </c>
      <c r="C1679" s="8" t="n"/>
      <c r="F1679" s="8" t="n"/>
      <c r="G1679" s="8">
        <f>IF(F1679&lt;&gt;"",HYPERLINK("https://www.google.com/maps/search/?api=1&amp;query="&amp;SUBSTITUTE(F1679," ",""),"🗺 Google Maps"),"")</f>
        <v/>
      </c>
      <c r="H1679" s="8">
        <f>IF(F1679&lt;&gt;"",HYPERLINK("https://waze.com/ul?ll="&amp;SUBSTITUTE(F1679," ","")&amp;"&amp;navigate=yes","🚗 Waze"),"")</f>
        <v/>
      </c>
      <c r="I1679" s="8">
        <f>IF(F1679&lt;&gt;"",HYPERLINK("https://m.uber.com/ul/?action=setPickup&amp;pickup=my_location&amp;dropoff[latitude]="&amp;LEFT(SUBSTITUTE(F1679," ",""),FIND(",",SUBSTITUTE(F1679," ",""))-1)&amp;"&amp;dropoff[longitude]="&amp;MID(SUBSTITUTE(F1679," ",""),FIND(",",SUBSTITUTE(F1679," ",""))+1,99),"🚕 Uber"),"")</f>
        <v/>
      </c>
      <c r="J1679" s="8">
        <f>IF(F1679&lt;&gt;"","https://api.qrserver.com/v1/create-qr-code/?size=200x200&amp;data="&amp;ENCODEURL("https://www.google.com/maps/search/?api=1&amp;query="&amp;SUBSTITUTE(F1679," ","")),"")</f>
        <v/>
      </c>
      <c r="K1679" s="8">
        <f>IF(C1679&lt;&gt;"",HYPERLINK("https://wa.me/507"&amp;REGEXREPLACE(C1679,"[^0-9]","")&amp;"?text="&amp;ENCODEURL("Ya llegue. Codigo: "&amp;A1679&amp;". Ubicacion: "&amp;"https://www.google.com/maps/search/?api=1&amp;query="&amp;SUBSTITUTE(F1679," ","")),"📲 Avisar al cliente"),"")</f>
        <v/>
      </c>
      <c r="L1679" s="8">
        <f>IF(C1679&lt;&gt;"","https://api.qrserver.com/v1/create-qr-code/?size=200x200&amp;data="&amp;ENCODEURL("https://wa.me/507"&amp;REGEXREPLACE(C1679,"[^0-9]","")&amp;"?text="&amp;ENCODEURL("Ya llegue. Codigo: "&amp;A1679&amp;". Ubicacion: "&amp;"https://www.google.com/maps/search/?api=1&amp;query="&amp;SUBSTITUTE(F1679," ",""))),"")</f>
        <v/>
      </c>
      <c r="M1679" s="8">
        <f>IF(B1679&lt;&gt;"",TODAY(),"")</f>
        <v/>
      </c>
      <c r="N1679" s="8">
        <f>IF(F1679&lt;&gt;"",IFERROR(IF(AND(REGEXMATCH(SUBSTITUTE(TRIM(F1679)," ",""),"^-?\d+(\.\d+)?,-?\d+(\.\d+)?$"),VALUE(REGEXEXTRACT(SUBSTITUTE(TRIM(F1679)," ",""),"^-?\d+(\.\d+)?"))&gt;=-90,VALUE(REGEXEXTRACT(SUBSTITUTE(TRIM(F1679)," ",""),"^-?\d+(\.\d+)?"))&lt;=90,VALUE(REGEXEXTRACT(SUBSTITUTE(TRIM(F1679)," ",""),"-?\d+(\.\d+)?$"))&gt;=-180,VALUE(REGEXEXTRACT(SUBSTITUTE(TRIM(F1679)," ",""),"-?\d+(\.\d+)?$"))&lt;=180),"OK","REVISAR"),"REVISAR"),"")</f>
        <v/>
      </c>
      <c r="O1679">
        <f>IF(A1679&lt;&gt;"","https://direcciones507.github.io/direcciones507/panel.html?codigo="&amp;A1679&amp;"&amp;nombre="&amp;ENCODEURL(B1679)&amp;"&amp;telefono="&amp;SUBSTITUTE(C1679,"-","")&amp;"&amp;referencia="&amp;ENCODEURL(E1679)&amp;"&amp;lat="&amp;IZQUIERDA(SUBSTITUTE(F1679," ",""),ENCONTRAR(",",SUBSTITUTE(F1679," ",""))-1)&amp;"&amp;lng="&amp;DERECHA(SUBSTITUTE(F1679," ",""),LARGO(SUBSTITUTE(F1679," ",""))-ENCONTRAR(",",SUBSTITUTE(F1679," ",""))),"")</f>
        <v/>
      </c>
    </row>
    <row r="1680" ht="15.75" customHeight="1" s="10">
      <c r="A1680" s="8">
        <f>CONCAT("AD507-",TEXT(ROW()-2,"0000"))</f>
        <v/>
      </c>
      <c r="C1680" s="8" t="n"/>
      <c r="F1680" s="8" t="n"/>
      <c r="G1680" s="8">
        <f>IF(F1680&lt;&gt;"",HYPERLINK("https://www.google.com/maps/search/?api=1&amp;query="&amp;SUBSTITUTE(F1680," ",""),"🗺 Google Maps"),"")</f>
        <v/>
      </c>
      <c r="H1680" s="8">
        <f>IF(F1680&lt;&gt;"",HYPERLINK("https://waze.com/ul?ll="&amp;SUBSTITUTE(F1680," ","")&amp;"&amp;navigate=yes","🚗 Waze"),"")</f>
        <v/>
      </c>
      <c r="I1680" s="8">
        <f>IF(F1680&lt;&gt;"",HYPERLINK("https://m.uber.com/ul/?action=setPickup&amp;pickup=my_location&amp;dropoff[latitude]="&amp;LEFT(SUBSTITUTE(F1680," ",""),FIND(",",SUBSTITUTE(F1680," ",""))-1)&amp;"&amp;dropoff[longitude]="&amp;MID(SUBSTITUTE(F1680," ",""),FIND(",",SUBSTITUTE(F1680," ",""))+1,99),"🚕 Uber"),"")</f>
        <v/>
      </c>
      <c r="J1680" s="8">
        <f>IF(F1680&lt;&gt;"","https://api.qrserver.com/v1/create-qr-code/?size=200x200&amp;data="&amp;ENCODEURL("https://www.google.com/maps/search/?api=1&amp;query="&amp;SUBSTITUTE(F1680," ","")),"")</f>
        <v/>
      </c>
      <c r="K1680" s="8">
        <f>IF(C1680&lt;&gt;"",HYPERLINK("https://wa.me/507"&amp;REGEXREPLACE(C1680,"[^0-9]","")&amp;"?text="&amp;ENCODEURL("Ya llegue. Codigo: "&amp;A1680&amp;". Ubicacion: "&amp;"https://www.google.com/maps/search/?api=1&amp;query="&amp;SUBSTITUTE(F1680," ","")),"📲 Avisar al cliente"),"")</f>
        <v/>
      </c>
      <c r="L1680" s="8">
        <f>IF(C1680&lt;&gt;"","https://api.qrserver.com/v1/create-qr-code/?size=200x200&amp;data="&amp;ENCODEURL("https://wa.me/507"&amp;REGEXREPLACE(C1680,"[^0-9]","")&amp;"?text="&amp;ENCODEURL("Ya llegue. Codigo: "&amp;A1680&amp;". Ubicacion: "&amp;"https://www.google.com/maps/search/?api=1&amp;query="&amp;SUBSTITUTE(F1680," ",""))),"")</f>
        <v/>
      </c>
      <c r="M1680" s="8">
        <f>IF(B1680&lt;&gt;"",TODAY(),"")</f>
        <v/>
      </c>
      <c r="N1680" s="8">
        <f>IF(F1680&lt;&gt;"",IFERROR(IF(AND(REGEXMATCH(SUBSTITUTE(TRIM(F1680)," ",""),"^-?\d+(\.\d+)?,-?\d+(\.\d+)?$"),VALUE(REGEXEXTRACT(SUBSTITUTE(TRIM(F1680)," ",""),"^-?\d+(\.\d+)?"))&gt;=-90,VALUE(REGEXEXTRACT(SUBSTITUTE(TRIM(F1680)," ",""),"^-?\d+(\.\d+)?"))&lt;=90,VALUE(REGEXEXTRACT(SUBSTITUTE(TRIM(F1680)," ",""),"-?\d+(\.\d+)?$"))&gt;=-180,VALUE(REGEXEXTRACT(SUBSTITUTE(TRIM(F1680)," ",""),"-?\d+(\.\d+)?$"))&lt;=180),"OK","REVISAR"),"REVISAR"),"")</f>
        <v/>
      </c>
      <c r="O1680">
        <f>IF(A1680&lt;&gt;"","https://direcciones507.github.io/direcciones507/panel.html?codigo="&amp;A1680&amp;"&amp;nombre="&amp;ENCODEURL(B1680)&amp;"&amp;telefono="&amp;SUBSTITUTE(C1680,"-","")&amp;"&amp;referencia="&amp;ENCODEURL(E1680)&amp;"&amp;lat="&amp;IZQUIERDA(SUBSTITUTE(F1680," ",""),ENCONTRAR(",",SUBSTITUTE(F1680," ",""))-1)&amp;"&amp;lng="&amp;DERECHA(SUBSTITUTE(F1680," ",""),LARGO(SUBSTITUTE(F1680," ",""))-ENCONTRAR(",",SUBSTITUTE(F1680," ",""))),"")</f>
        <v/>
      </c>
    </row>
    <row r="1681" ht="15.75" customHeight="1" s="10">
      <c r="A1681" s="8">
        <f>CONCAT("AD507-",TEXT(ROW()-2,"0000"))</f>
        <v/>
      </c>
      <c r="C1681" s="8" t="n"/>
      <c r="F1681" s="8" t="n"/>
      <c r="G1681" s="8">
        <f>IF(F1681&lt;&gt;"",HYPERLINK("https://www.google.com/maps/search/?api=1&amp;query="&amp;SUBSTITUTE(F1681," ",""),"🗺 Google Maps"),"")</f>
        <v/>
      </c>
      <c r="H1681" s="8">
        <f>IF(F1681&lt;&gt;"",HYPERLINK("https://waze.com/ul?ll="&amp;SUBSTITUTE(F1681," ","")&amp;"&amp;navigate=yes","🚗 Waze"),"")</f>
        <v/>
      </c>
      <c r="I1681" s="8">
        <f>IF(F1681&lt;&gt;"",HYPERLINK("https://m.uber.com/ul/?action=setPickup&amp;pickup=my_location&amp;dropoff[latitude]="&amp;LEFT(SUBSTITUTE(F1681," ",""),FIND(",",SUBSTITUTE(F1681," ",""))-1)&amp;"&amp;dropoff[longitude]="&amp;MID(SUBSTITUTE(F1681," ",""),FIND(",",SUBSTITUTE(F1681," ",""))+1,99),"🚕 Uber"),"")</f>
        <v/>
      </c>
      <c r="J1681" s="8">
        <f>IF(F1681&lt;&gt;"","https://api.qrserver.com/v1/create-qr-code/?size=200x200&amp;data="&amp;ENCODEURL("https://www.google.com/maps/search/?api=1&amp;query="&amp;SUBSTITUTE(F1681," ","")),"")</f>
        <v/>
      </c>
      <c r="K1681" s="8">
        <f>IF(C1681&lt;&gt;"",HYPERLINK("https://wa.me/507"&amp;REGEXREPLACE(C1681,"[^0-9]","")&amp;"?text="&amp;ENCODEURL("Ya llegue. Codigo: "&amp;A1681&amp;". Ubicacion: "&amp;"https://www.google.com/maps/search/?api=1&amp;query="&amp;SUBSTITUTE(F1681," ","")),"📲 Avisar al cliente"),"")</f>
        <v/>
      </c>
      <c r="L1681" s="8">
        <f>IF(C1681&lt;&gt;"","https://api.qrserver.com/v1/create-qr-code/?size=200x200&amp;data="&amp;ENCODEURL("https://wa.me/507"&amp;REGEXREPLACE(C1681,"[^0-9]","")&amp;"?text="&amp;ENCODEURL("Ya llegue. Codigo: "&amp;A1681&amp;". Ubicacion: "&amp;"https://www.google.com/maps/search/?api=1&amp;query="&amp;SUBSTITUTE(F1681," ",""))),"")</f>
        <v/>
      </c>
      <c r="M1681" s="8">
        <f>IF(B1681&lt;&gt;"",TODAY(),"")</f>
        <v/>
      </c>
      <c r="N1681" s="8">
        <f>IF(F1681&lt;&gt;"",IFERROR(IF(AND(REGEXMATCH(SUBSTITUTE(TRIM(F1681)," ",""),"^-?\d+(\.\d+)?,-?\d+(\.\d+)?$"),VALUE(REGEXEXTRACT(SUBSTITUTE(TRIM(F1681)," ",""),"^-?\d+(\.\d+)?"))&gt;=-90,VALUE(REGEXEXTRACT(SUBSTITUTE(TRIM(F1681)," ",""),"^-?\d+(\.\d+)?"))&lt;=90,VALUE(REGEXEXTRACT(SUBSTITUTE(TRIM(F1681)," ",""),"-?\d+(\.\d+)?$"))&gt;=-180,VALUE(REGEXEXTRACT(SUBSTITUTE(TRIM(F1681)," ",""),"-?\d+(\.\d+)?$"))&lt;=180),"OK","REVISAR"),"REVISAR"),"")</f>
        <v/>
      </c>
      <c r="O1681">
        <f>IF(A1681&lt;&gt;"","https://direcciones507.github.io/direcciones507/panel.html?codigo="&amp;A1681&amp;"&amp;nombre="&amp;ENCODEURL(B1681)&amp;"&amp;telefono="&amp;SUBSTITUTE(C1681,"-","")&amp;"&amp;referencia="&amp;ENCODEURL(E1681)&amp;"&amp;lat="&amp;IZQUIERDA(SUBSTITUTE(F1681," ",""),ENCONTRAR(",",SUBSTITUTE(F1681," ",""))-1)&amp;"&amp;lng="&amp;DERECHA(SUBSTITUTE(F1681," ",""),LARGO(SUBSTITUTE(F1681," ",""))-ENCONTRAR(",",SUBSTITUTE(F1681," ",""))),"")</f>
        <v/>
      </c>
    </row>
    <row r="1682" ht="15.75" customHeight="1" s="10">
      <c r="A1682" s="8">
        <f>CONCAT("AD507-",TEXT(ROW()-2,"0000"))</f>
        <v/>
      </c>
      <c r="C1682" s="8" t="n"/>
      <c r="F1682" s="8" t="n"/>
      <c r="G1682" s="8">
        <f>IF(F1682&lt;&gt;"",HYPERLINK("https://www.google.com/maps/search/?api=1&amp;query="&amp;SUBSTITUTE(F1682," ",""),"🗺 Google Maps"),"")</f>
        <v/>
      </c>
      <c r="H1682" s="8">
        <f>IF(F1682&lt;&gt;"",HYPERLINK("https://waze.com/ul?ll="&amp;SUBSTITUTE(F1682," ","")&amp;"&amp;navigate=yes","🚗 Waze"),"")</f>
        <v/>
      </c>
      <c r="I1682" s="8">
        <f>IF(F1682&lt;&gt;"",HYPERLINK("https://m.uber.com/ul/?action=setPickup&amp;pickup=my_location&amp;dropoff[latitude]="&amp;LEFT(SUBSTITUTE(F1682," ",""),FIND(",",SUBSTITUTE(F1682," ",""))-1)&amp;"&amp;dropoff[longitude]="&amp;MID(SUBSTITUTE(F1682," ",""),FIND(",",SUBSTITUTE(F1682," ",""))+1,99),"🚕 Uber"),"")</f>
        <v/>
      </c>
      <c r="J1682" s="8">
        <f>IF(F1682&lt;&gt;"","https://api.qrserver.com/v1/create-qr-code/?size=200x200&amp;data="&amp;ENCODEURL("https://www.google.com/maps/search/?api=1&amp;query="&amp;SUBSTITUTE(F1682," ","")),"")</f>
        <v/>
      </c>
      <c r="K1682" s="8">
        <f>IF(C1682&lt;&gt;"",HYPERLINK("https://wa.me/507"&amp;REGEXREPLACE(C1682,"[^0-9]","")&amp;"?text="&amp;ENCODEURL("Ya llegue. Codigo: "&amp;A1682&amp;". Ubicacion: "&amp;"https://www.google.com/maps/search/?api=1&amp;query="&amp;SUBSTITUTE(F1682," ","")),"📲 Avisar al cliente"),"")</f>
        <v/>
      </c>
      <c r="L1682" s="8">
        <f>IF(C1682&lt;&gt;"","https://api.qrserver.com/v1/create-qr-code/?size=200x200&amp;data="&amp;ENCODEURL("https://wa.me/507"&amp;REGEXREPLACE(C1682,"[^0-9]","")&amp;"?text="&amp;ENCODEURL("Ya llegue. Codigo: "&amp;A1682&amp;". Ubicacion: "&amp;"https://www.google.com/maps/search/?api=1&amp;query="&amp;SUBSTITUTE(F1682," ",""))),"")</f>
        <v/>
      </c>
      <c r="M1682" s="8">
        <f>IF(B1682&lt;&gt;"",TODAY(),"")</f>
        <v/>
      </c>
      <c r="N1682" s="8">
        <f>IF(F1682&lt;&gt;"",IFERROR(IF(AND(REGEXMATCH(SUBSTITUTE(TRIM(F1682)," ",""),"^-?\d+(\.\d+)?,-?\d+(\.\d+)?$"),VALUE(REGEXEXTRACT(SUBSTITUTE(TRIM(F1682)," ",""),"^-?\d+(\.\d+)?"))&gt;=-90,VALUE(REGEXEXTRACT(SUBSTITUTE(TRIM(F1682)," ",""),"^-?\d+(\.\d+)?"))&lt;=90,VALUE(REGEXEXTRACT(SUBSTITUTE(TRIM(F1682)," ",""),"-?\d+(\.\d+)?$"))&gt;=-180,VALUE(REGEXEXTRACT(SUBSTITUTE(TRIM(F1682)," ",""),"-?\d+(\.\d+)?$"))&lt;=180),"OK","REVISAR"),"REVISAR"),"")</f>
        <v/>
      </c>
      <c r="O1682">
        <f>IF(A1682&lt;&gt;"","https://direcciones507.github.io/direcciones507/panel.html?codigo="&amp;A1682&amp;"&amp;nombre="&amp;ENCODEURL(B1682)&amp;"&amp;telefono="&amp;SUBSTITUTE(C1682,"-","")&amp;"&amp;referencia="&amp;ENCODEURL(E1682)&amp;"&amp;lat="&amp;IZQUIERDA(SUBSTITUTE(F1682," ",""),ENCONTRAR(",",SUBSTITUTE(F1682," ",""))-1)&amp;"&amp;lng="&amp;DERECHA(SUBSTITUTE(F1682," ",""),LARGO(SUBSTITUTE(F1682," ",""))-ENCONTRAR(",",SUBSTITUTE(F1682," ",""))),"")</f>
        <v/>
      </c>
    </row>
    <row r="1683" ht="15.75" customHeight="1" s="10">
      <c r="A1683" s="8">
        <f>CONCAT("AD507-",TEXT(ROW()-2,"0000"))</f>
        <v/>
      </c>
      <c r="C1683" s="8" t="n"/>
      <c r="F1683" s="8" t="n"/>
      <c r="G1683" s="8">
        <f>IF(F1683&lt;&gt;"",HYPERLINK("https://www.google.com/maps/search/?api=1&amp;query="&amp;SUBSTITUTE(F1683," ",""),"🗺 Google Maps"),"")</f>
        <v/>
      </c>
      <c r="H1683" s="8">
        <f>IF(F1683&lt;&gt;"",HYPERLINK("https://waze.com/ul?ll="&amp;SUBSTITUTE(F1683," ","")&amp;"&amp;navigate=yes","🚗 Waze"),"")</f>
        <v/>
      </c>
      <c r="I1683" s="8">
        <f>IF(F1683&lt;&gt;"",HYPERLINK("https://m.uber.com/ul/?action=setPickup&amp;pickup=my_location&amp;dropoff[latitude]="&amp;LEFT(SUBSTITUTE(F1683," ",""),FIND(",",SUBSTITUTE(F1683," ",""))-1)&amp;"&amp;dropoff[longitude]="&amp;MID(SUBSTITUTE(F1683," ",""),FIND(",",SUBSTITUTE(F1683," ",""))+1,99),"🚕 Uber"),"")</f>
        <v/>
      </c>
      <c r="J1683" s="8">
        <f>IF(F1683&lt;&gt;"","https://api.qrserver.com/v1/create-qr-code/?size=200x200&amp;data="&amp;ENCODEURL("https://www.google.com/maps/search/?api=1&amp;query="&amp;SUBSTITUTE(F1683," ","")),"")</f>
        <v/>
      </c>
      <c r="K1683" s="8">
        <f>IF(C1683&lt;&gt;"",HYPERLINK("https://wa.me/507"&amp;REGEXREPLACE(C1683,"[^0-9]","")&amp;"?text="&amp;ENCODEURL("Ya llegue. Codigo: "&amp;A1683&amp;". Ubicacion: "&amp;"https://www.google.com/maps/search/?api=1&amp;query="&amp;SUBSTITUTE(F1683," ","")),"📲 Avisar al cliente"),"")</f>
        <v/>
      </c>
      <c r="L1683" s="8">
        <f>IF(C1683&lt;&gt;"","https://api.qrserver.com/v1/create-qr-code/?size=200x200&amp;data="&amp;ENCODEURL("https://wa.me/507"&amp;REGEXREPLACE(C1683,"[^0-9]","")&amp;"?text="&amp;ENCODEURL("Ya llegue. Codigo: "&amp;A1683&amp;". Ubicacion: "&amp;"https://www.google.com/maps/search/?api=1&amp;query="&amp;SUBSTITUTE(F1683," ",""))),"")</f>
        <v/>
      </c>
      <c r="M1683" s="8">
        <f>IF(B1683&lt;&gt;"",TODAY(),"")</f>
        <v/>
      </c>
      <c r="N1683" s="8">
        <f>IF(F1683&lt;&gt;"",IFERROR(IF(AND(REGEXMATCH(SUBSTITUTE(TRIM(F1683)," ",""),"^-?\d+(\.\d+)?,-?\d+(\.\d+)?$"),VALUE(REGEXEXTRACT(SUBSTITUTE(TRIM(F1683)," ",""),"^-?\d+(\.\d+)?"))&gt;=-90,VALUE(REGEXEXTRACT(SUBSTITUTE(TRIM(F1683)," ",""),"^-?\d+(\.\d+)?"))&lt;=90,VALUE(REGEXEXTRACT(SUBSTITUTE(TRIM(F1683)," ",""),"-?\d+(\.\d+)?$"))&gt;=-180,VALUE(REGEXEXTRACT(SUBSTITUTE(TRIM(F1683)," ",""),"-?\d+(\.\d+)?$"))&lt;=180),"OK","REVISAR"),"REVISAR"),"")</f>
        <v/>
      </c>
      <c r="O1683">
        <f>IF(A1683&lt;&gt;"","https://direcciones507.github.io/direcciones507/panel.html?codigo="&amp;A1683&amp;"&amp;nombre="&amp;ENCODEURL(B1683)&amp;"&amp;telefono="&amp;SUBSTITUTE(C1683,"-","")&amp;"&amp;referencia="&amp;ENCODEURL(E1683)&amp;"&amp;lat="&amp;IZQUIERDA(SUBSTITUTE(F1683," ",""),ENCONTRAR(",",SUBSTITUTE(F1683," ",""))-1)&amp;"&amp;lng="&amp;DERECHA(SUBSTITUTE(F1683," ",""),LARGO(SUBSTITUTE(F1683," ",""))-ENCONTRAR(",",SUBSTITUTE(F1683," ",""))),"")</f>
        <v/>
      </c>
    </row>
    <row r="1684" ht="15.75" customHeight="1" s="10">
      <c r="A1684" s="8">
        <f>CONCAT("AD507-",TEXT(ROW()-2,"0000"))</f>
        <v/>
      </c>
      <c r="C1684" s="8" t="n"/>
      <c r="F1684" s="8" t="n"/>
      <c r="G1684" s="8">
        <f>IF(F1684&lt;&gt;"",HYPERLINK("https://www.google.com/maps/search/?api=1&amp;query="&amp;SUBSTITUTE(F1684," ",""),"🗺 Google Maps"),"")</f>
        <v/>
      </c>
      <c r="H1684" s="8">
        <f>IF(F1684&lt;&gt;"",HYPERLINK("https://waze.com/ul?ll="&amp;SUBSTITUTE(F1684," ","")&amp;"&amp;navigate=yes","🚗 Waze"),"")</f>
        <v/>
      </c>
      <c r="I1684" s="8">
        <f>IF(F1684&lt;&gt;"",HYPERLINK("https://m.uber.com/ul/?action=setPickup&amp;pickup=my_location&amp;dropoff[latitude]="&amp;LEFT(SUBSTITUTE(F1684," ",""),FIND(",",SUBSTITUTE(F1684," ",""))-1)&amp;"&amp;dropoff[longitude]="&amp;MID(SUBSTITUTE(F1684," ",""),FIND(",",SUBSTITUTE(F1684," ",""))+1,99),"🚕 Uber"),"")</f>
        <v/>
      </c>
      <c r="J1684" s="8">
        <f>IF(F1684&lt;&gt;"","https://api.qrserver.com/v1/create-qr-code/?size=200x200&amp;data="&amp;ENCODEURL("https://www.google.com/maps/search/?api=1&amp;query="&amp;SUBSTITUTE(F1684," ","")),"")</f>
        <v/>
      </c>
      <c r="K1684" s="8">
        <f>IF(C1684&lt;&gt;"",HYPERLINK("https://wa.me/507"&amp;REGEXREPLACE(C1684,"[^0-9]","")&amp;"?text="&amp;ENCODEURL("Ya llegue. Codigo: "&amp;A1684&amp;". Ubicacion: "&amp;"https://www.google.com/maps/search/?api=1&amp;query="&amp;SUBSTITUTE(F1684," ","")),"📲 Avisar al cliente"),"")</f>
        <v/>
      </c>
      <c r="L1684" s="8">
        <f>IF(C1684&lt;&gt;"","https://api.qrserver.com/v1/create-qr-code/?size=200x200&amp;data="&amp;ENCODEURL("https://wa.me/507"&amp;REGEXREPLACE(C1684,"[^0-9]","")&amp;"?text="&amp;ENCODEURL("Ya llegue. Codigo: "&amp;A1684&amp;". Ubicacion: "&amp;"https://www.google.com/maps/search/?api=1&amp;query="&amp;SUBSTITUTE(F1684," ",""))),"")</f>
        <v/>
      </c>
      <c r="M1684" s="8">
        <f>IF(B1684&lt;&gt;"",TODAY(),"")</f>
        <v/>
      </c>
      <c r="N1684" s="8">
        <f>IF(F1684&lt;&gt;"",IFERROR(IF(AND(REGEXMATCH(SUBSTITUTE(TRIM(F1684)," ",""),"^-?\d+(\.\d+)?,-?\d+(\.\d+)?$"),VALUE(REGEXEXTRACT(SUBSTITUTE(TRIM(F1684)," ",""),"^-?\d+(\.\d+)?"))&gt;=-90,VALUE(REGEXEXTRACT(SUBSTITUTE(TRIM(F1684)," ",""),"^-?\d+(\.\d+)?"))&lt;=90,VALUE(REGEXEXTRACT(SUBSTITUTE(TRIM(F1684)," ",""),"-?\d+(\.\d+)?$"))&gt;=-180,VALUE(REGEXEXTRACT(SUBSTITUTE(TRIM(F1684)," ",""),"-?\d+(\.\d+)?$"))&lt;=180),"OK","REVISAR"),"REVISAR"),"")</f>
        <v/>
      </c>
      <c r="O1684">
        <f>IF(A1684&lt;&gt;"","https://direcciones507.github.io/direcciones507/panel.html?codigo="&amp;A1684&amp;"&amp;nombre="&amp;ENCODEURL(B1684)&amp;"&amp;telefono="&amp;SUBSTITUTE(C1684,"-","")&amp;"&amp;referencia="&amp;ENCODEURL(E1684)&amp;"&amp;lat="&amp;IZQUIERDA(SUBSTITUTE(F1684," ",""),ENCONTRAR(",",SUBSTITUTE(F1684," ",""))-1)&amp;"&amp;lng="&amp;DERECHA(SUBSTITUTE(F1684," ",""),LARGO(SUBSTITUTE(F1684," ",""))-ENCONTRAR(",",SUBSTITUTE(F1684," ",""))),"")</f>
        <v/>
      </c>
    </row>
    <row r="1685" ht="15.75" customHeight="1" s="10">
      <c r="A1685" s="8">
        <f>CONCAT("AD507-",TEXT(ROW()-2,"0000"))</f>
        <v/>
      </c>
      <c r="C1685" s="8" t="n"/>
      <c r="F1685" s="8" t="n"/>
      <c r="G1685" s="8">
        <f>IF(F1685&lt;&gt;"",HYPERLINK("https://www.google.com/maps/search/?api=1&amp;query="&amp;SUBSTITUTE(F1685," ",""),"🗺 Google Maps"),"")</f>
        <v/>
      </c>
      <c r="H1685" s="8">
        <f>IF(F1685&lt;&gt;"",HYPERLINK("https://waze.com/ul?ll="&amp;SUBSTITUTE(F1685," ","")&amp;"&amp;navigate=yes","🚗 Waze"),"")</f>
        <v/>
      </c>
      <c r="I1685" s="8">
        <f>IF(F1685&lt;&gt;"",HYPERLINK("https://m.uber.com/ul/?action=setPickup&amp;pickup=my_location&amp;dropoff[latitude]="&amp;LEFT(SUBSTITUTE(F1685," ",""),FIND(",",SUBSTITUTE(F1685," ",""))-1)&amp;"&amp;dropoff[longitude]="&amp;MID(SUBSTITUTE(F1685," ",""),FIND(",",SUBSTITUTE(F1685," ",""))+1,99),"🚕 Uber"),"")</f>
        <v/>
      </c>
      <c r="J1685" s="8">
        <f>IF(F1685&lt;&gt;"","https://api.qrserver.com/v1/create-qr-code/?size=200x200&amp;data="&amp;ENCODEURL("https://www.google.com/maps/search/?api=1&amp;query="&amp;SUBSTITUTE(F1685," ","")),"")</f>
        <v/>
      </c>
      <c r="K1685" s="8">
        <f>IF(C1685&lt;&gt;"",HYPERLINK("https://wa.me/507"&amp;REGEXREPLACE(C1685,"[^0-9]","")&amp;"?text="&amp;ENCODEURL("Ya llegue. Codigo: "&amp;A1685&amp;". Ubicacion: "&amp;"https://www.google.com/maps/search/?api=1&amp;query="&amp;SUBSTITUTE(F1685," ","")),"📲 Avisar al cliente"),"")</f>
        <v/>
      </c>
      <c r="L1685" s="8">
        <f>IF(C1685&lt;&gt;"","https://api.qrserver.com/v1/create-qr-code/?size=200x200&amp;data="&amp;ENCODEURL("https://wa.me/507"&amp;REGEXREPLACE(C1685,"[^0-9]","")&amp;"?text="&amp;ENCODEURL("Ya llegue. Codigo: "&amp;A1685&amp;". Ubicacion: "&amp;"https://www.google.com/maps/search/?api=1&amp;query="&amp;SUBSTITUTE(F1685," ",""))),"")</f>
        <v/>
      </c>
      <c r="M1685" s="8">
        <f>IF(B1685&lt;&gt;"",TODAY(),"")</f>
        <v/>
      </c>
      <c r="N1685" s="8">
        <f>IF(F1685&lt;&gt;"",IFERROR(IF(AND(REGEXMATCH(SUBSTITUTE(TRIM(F1685)," ",""),"^-?\d+(\.\d+)?,-?\d+(\.\d+)?$"),VALUE(REGEXEXTRACT(SUBSTITUTE(TRIM(F1685)," ",""),"^-?\d+(\.\d+)?"))&gt;=-90,VALUE(REGEXEXTRACT(SUBSTITUTE(TRIM(F1685)," ",""),"^-?\d+(\.\d+)?"))&lt;=90,VALUE(REGEXEXTRACT(SUBSTITUTE(TRIM(F1685)," ",""),"-?\d+(\.\d+)?$"))&gt;=-180,VALUE(REGEXEXTRACT(SUBSTITUTE(TRIM(F1685)," ",""),"-?\d+(\.\d+)?$"))&lt;=180),"OK","REVISAR"),"REVISAR"),"")</f>
        <v/>
      </c>
      <c r="O1685">
        <f>IF(A1685&lt;&gt;"","https://direcciones507.github.io/direcciones507/panel.html?codigo="&amp;A1685&amp;"&amp;nombre="&amp;ENCODEURL(B1685)&amp;"&amp;telefono="&amp;SUBSTITUTE(C1685,"-","")&amp;"&amp;referencia="&amp;ENCODEURL(E1685)&amp;"&amp;lat="&amp;IZQUIERDA(SUBSTITUTE(F1685," ",""),ENCONTRAR(",",SUBSTITUTE(F1685," ",""))-1)&amp;"&amp;lng="&amp;DERECHA(SUBSTITUTE(F1685," ",""),LARGO(SUBSTITUTE(F1685," ",""))-ENCONTRAR(",",SUBSTITUTE(F1685," ",""))),"")</f>
        <v/>
      </c>
    </row>
    <row r="1686" ht="15.75" customHeight="1" s="10">
      <c r="A1686" s="8">
        <f>CONCAT("AD507-",TEXT(ROW()-2,"0000"))</f>
        <v/>
      </c>
      <c r="C1686" s="8" t="n"/>
      <c r="F1686" s="8" t="n"/>
      <c r="G1686" s="8">
        <f>IF(F1686&lt;&gt;"",HYPERLINK("https://www.google.com/maps/search/?api=1&amp;query="&amp;SUBSTITUTE(F1686," ",""),"🗺 Google Maps"),"")</f>
        <v/>
      </c>
      <c r="H1686" s="8">
        <f>IF(F1686&lt;&gt;"",HYPERLINK("https://waze.com/ul?ll="&amp;SUBSTITUTE(F1686," ","")&amp;"&amp;navigate=yes","🚗 Waze"),"")</f>
        <v/>
      </c>
      <c r="I1686" s="8">
        <f>IF(F1686&lt;&gt;"",HYPERLINK("https://m.uber.com/ul/?action=setPickup&amp;pickup=my_location&amp;dropoff[latitude]="&amp;LEFT(SUBSTITUTE(F1686," ",""),FIND(",",SUBSTITUTE(F1686," ",""))-1)&amp;"&amp;dropoff[longitude]="&amp;MID(SUBSTITUTE(F1686," ",""),FIND(",",SUBSTITUTE(F1686," ",""))+1,99),"🚕 Uber"),"")</f>
        <v/>
      </c>
      <c r="J1686" s="8">
        <f>IF(F1686&lt;&gt;"","https://api.qrserver.com/v1/create-qr-code/?size=200x200&amp;data="&amp;ENCODEURL("https://www.google.com/maps/search/?api=1&amp;query="&amp;SUBSTITUTE(F1686," ","")),"")</f>
        <v/>
      </c>
      <c r="K1686" s="8">
        <f>IF(C1686&lt;&gt;"",HYPERLINK("https://wa.me/507"&amp;REGEXREPLACE(C1686,"[^0-9]","")&amp;"?text="&amp;ENCODEURL("Ya llegue. Codigo: "&amp;A1686&amp;". Ubicacion: "&amp;"https://www.google.com/maps/search/?api=1&amp;query="&amp;SUBSTITUTE(F1686," ","")),"📲 Avisar al cliente"),"")</f>
        <v/>
      </c>
      <c r="L1686" s="8">
        <f>IF(C1686&lt;&gt;"","https://api.qrserver.com/v1/create-qr-code/?size=200x200&amp;data="&amp;ENCODEURL("https://wa.me/507"&amp;REGEXREPLACE(C1686,"[^0-9]","")&amp;"?text="&amp;ENCODEURL("Ya llegue. Codigo: "&amp;A1686&amp;". Ubicacion: "&amp;"https://www.google.com/maps/search/?api=1&amp;query="&amp;SUBSTITUTE(F1686," ",""))),"")</f>
        <v/>
      </c>
      <c r="M1686" s="8">
        <f>IF(B1686&lt;&gt;"",TODAY(),"")</f>
        <v/>
      </c>
      <c r="N1686" s="8">
        <f>IF(F1686&lt;&gt;"",IFERROR(IF(AND(REGEXMATCH(SUBSTITUTE(TRIM(F1686)," ",""),"^-?\d+(\.\d+)?,-?\d+(\.\d+)?$"),VALUE(REGEXEXTRACT(SUBSTITUTE(TRIM(F1686)," ",""),"^-?\d+(\.\d+)?"))&gt;=-90,VALUE(REGEXEXTRACT(SUBSTITUTE(TRIM(F1686)," ",""),"^-?\d+(\.\d+)?"))&lt;=90,VALUE(REGEXEXTRACT(SUBSTITUTE(TRIM(F1686)," ",""),"-?\d+(\.\d+)?$"))&gt;=-180,VALUE(REGEXEXTRACT(SUBSTITUTE(TRIM(F1686)," ",""),"-?\d+(\.\d+)?$"))&lt;=180),"OK","REVISAR"),"REVISAR"),"")</f>
        <v/>
      </c>
      <c r="O1686">
        <f>IF(A1686&lt;&gt;"","https://direcciones507.github.io/direcciones507/panel.html?codigo="&amp;A1686&amp;"&amp;nombre="&amp;ENCODEURL(B1686)&amp;"&amp;telefono="&amp;SUBSTITUTE(C1686,"-","")&amp;"&amp;referencia="&amp;ENCODEURL(E1686)&amp;"&amp;lat="&amp;IZQUIERDA(SUBSTITUTE(F1686," ",""),ENCONTRAR(",",SUBSTITUTE(F1686," ",""))-1)&amp;"&amp;lng="&amp;DERECHA(SUBSTITUTE(F1686," ",""),LARGO(SUBSTITUTE(F1686," ",""))-ENCONTRAR(",",SUBSTITUTE(F1686," ",""))),"")</f>
        <v/>
      </c>
    </row>
    <row r="1687" ht="15.75" customHeight="1" s="10">
      <c r="A1687" s="8">
        <f>CONCAT("AD507-",TEXT(ROW()-2,"0000"))</f>
        <v/>
      </c>
      <c r="C1687" s="8" t="n"/>
      <c r="F1687" s="8" t="n"/>
      <c r="G1687" s="8">
        <f>IF(F1687&lt;&gt;"",HYPERLINK("https://www.google.com/maps/search/?api=1&amp;query="&amp;SUBSTITUTE(F1687," ",""),"🗺 Google Maps"),"")</f>
        <v/>
      </c>
      <c r="H1687" s="8">
        <f>IF(F1687&lt;&gt;"",HYPERLINK("https://waze.com/ul?ll="&amp;SUBSTITUTE(F1687," ","")&amp;"&amp;navigate=yes","🚗 Waze"),"")</f>
        <v/>
      </c>
      <c r="I1687" s="8">
        <f>IF(F1687&lt;&gt;"",HYPERLINK("https://m.uber.com/ul/?action=setPickup&amp;pickup=my_location&amp;dropoff[latitude]="&amp;LEFT(SUBSTITUTE(F1687," ",""),FIND(",",SUBSTITUTE(F1687," ",""))-1)&amp;"&amp;dropoff[longitude]="&amp;MID(SUBSTITUTE(F1687," ",""),FIND(",",SUBSTITUTE(F1687," ",""))+1,99),"🚕 Uber"),"")</f>
        <v/>
      </c>
      <c r="J1687" s="8">
        <f>IF(F1687&lt;&gt;"","https://api.qrserver.com/v1/create-qr-code/?size=200x200&amp;data="&amp;ENCODEURL("https://www.google.com/maps/search/?api=1&amp;query="&amp;SUBSTITUTE(F1687," ","")),"")</f>
        <v/>
      </c>
      <c r="K1687" s="8">
        <f>IF(C1687&lt;&gt;"",HYPERLINK("https://wa.me/507"&amp;REGEXREPLACE(C1687,"[^0-9]","")&amp;"?text="&amp;ENCODEURL("Ya llegue. Codigo: "&amp;A1687&amp;". Ubicacion: "&amp;"https://www.google.com/maps/search/?api=1&amp;query="&amp;SUBSTITUTE(F1687," ","")),"📲 Avisar al cliente"),"")</f>
        <v/>
      </c>
      <c r="L1687" s="8">
        <f>IF(C1687&lt;&gt;"","https://api.qrserver.com/v1/create-qr-code/?size=200x200&amp;data="&amp;ENCODEURL("https://wa.me/507"&amp;REGEXREPLACE(C1687,"[^0-9]","")&amp;"?text="&amp;ENCODEURL("Ya llegue. Codigo: "&amp;A1687&amp;". Ubicacion: "&amp;"https://www.google.com/maps/search/?api=1&amp;query="&amp;SUBSTITUTE(F1687," ",""))),"")</f>
        <v/>
      </c>
      <c r="M1687" s="8">
        <f>IF(B1687&lt;&gt;"",TODAY(),"")</f>
        <v/>
      </c>
      <c r="N1687" s="8">
        <f>IF(F1687&lt;&gt;"",IFERROR(IF(AND(REGEXMATCH(SUBSTITUTE(TRIM(F1687)," ",""),"^-?\d+(\.\d+)?,-?\d+(\.\d+)?$"),VALUE(REGEXEXTRACT(SUBSTITUTE(TRIM(F1687)," ",""),"^-?\d+(\.\d+)?"))&gt;=-90,VALUE(REGEXEXTRACT(SUBSTITUTE(TRIM(F1687)," ",""),"^-?\d+(\.\d+)?"))&lt;=90,VALUE(REGEXEXTRACT(SUBSTITUTE(TRIM(F1687)," ",""),"-?\d+(\.\d+)?$"))&gt;=-180,VALUE(REGEXEXTRACT(SUBSTITUTE(TRIM(F1687)," ",""),"-?\d+(\.\d+)?$"))&lt;=180),"OK","REVISAR"),"REVISAR"),"")</f>
        <v/>
      </c>
      <c r="O1687">
        <f>IF(A1687&lt;&gt;"","https://direcciones507.github.io/direcciones507/panel.html?codigo="&amp;A1687&amp;"&amp;nombre="&amp;ENCODEURL(B1687)&amp;"&amp;telefono="&amp;SUBSTITUTE(C1687,"-","")&amp;"&amp;referencia="&amp;ENCODEURL(E1687)&amp;"&amp;lat="&amp;IZQUIERDA(SUBSTITUTE(F1687," ",""),ENCONTRAR(",",SUBSTITUTE(F1687," ",""))-1)&amp;"&amp;lng="&amp;DERECHA(SUBSTITUTE(F1687," ",""),LARGO(SUBSTITUTE(F1687," ",""))-ENCONTRAR(",",SUBSTITUTE(F1687," ",""))),"")</f>
        <v/>
      </c>
    </row>
    <row r="1688" ht="15.75" customHeight="1" s="10">
      <c r="A1688" s="8">
        <f>CONCAT("AD507-",TEXT(ROW()-2,"0000"))</f>
        <v/>
      </c>
      <c r="C1688" s="8" t="n"/>
      <c r="F1688" s="8" t="n"/>
      <c r="G1688" s="8">
        <f>IF(F1688&lt;&gt;"",HYPERLINK("https://www.google.com/maps/search/?api=1&amp;query="&amp;SUBSTITUTE(F1688," ",""),"🗺 Google Maps"),"")</f>
        <v/>
      </c>
      <c r="H1688" s="8">
        <f>IF(F1688&lt;&gt;"",HYPERLINK("https://waze.com/ul?ll="&amp;SUBSTITUTE(F1688," ","")&amp;"&amp;navigate=yes","🚗 Waze"),"")</f>
        <v/>
      </c>
      <c r="I1688" s="8">
        <f>IF(F1688&lt;&gt;"",HYPERLINK("https://m.uber.com/ul/?action=setPickup&amp;pickup=my_location&amp;dropoff[latitude]="&amp;LEFT(SUBSTITUTE(F1688," ",""),FIND(",",SUBSTITUTE(F1688," ",""))-1)&amp;"&amp;dropoff[longitude]="&amp;MID(SUBSTITUTE(F1688," ",""),FIND(",",SUBSTITUTE(F1688," ",""))+1,99),"🚕 Uber"),"")</f>
        <v/>
      </c>
      <c r="J1688" s="8">
        <f>IF(F1688&lt;&gt;"","https://api.qrserver.com/v1/create-qr-code/?size=200x200&amp;data="&amp;ENCODEURL("https://www.google.com/maps/search/?api=1&amp;query="&amp;SUBSTITUTE(F1688," ","")),"")</f>
        <v/>
      </c>
      <c r="K1688" s="8">
        <f>IF(C1688&lt;&gt;"",HYPERLINK("https://wa.me/507"&amp;REGEXREPLACE(C1688,"[^0-9]","")&amp;"?text="&amp;ENCODEURL("Ya llegue. Codigo: "&amp;A1688&amp;". Ubicacion: "&amp;"https://www.google.com/maps/search/?api=1&amp;query="&amp;SUBSTITUTE(F1688," ","")),"📲 Avisar al cliente"),"")</f>
        <v/>
      </c>
      <c r="L1688" s="8">
        <f>IF(C1688&lt;&gt;"","https://api.qrserver.com/v1/create-qr-code/?size=200x200&amp;data="&amp;ENCODEURL("https://wa.me/507"&amp;REGEXREPLACE(C1688,"[^0-9]","")&amp;"?text="&amp;ENCODEURL("Ya llegue. Codigo: "&amp;A1688&amp;". Ubicacion: "&amp;"https://www.google.com/maps/search/?api=1&amp;query="&amp;SUBSTITUTE(F1688," ",""))),"")</f>
        <v/>
      </c>
      <c r="M1688" s="8">
        <f>IF(B1688&lt;&gt;"",TODAY(),"")</f>
        <v/>
      </c>
      <c r="N1688" s="8">
        <f>IF(F1688&lt;&gt;"",IFERROR(IF(AND(REGEXMATCH(SUBSTITUTE(TRIM(F1688)," ",""),"^-?\d+(\.\d+)?,-?\d+(\.\d+)?$"),VALUE(REGEXEXTRACT(SUBSTITUTE(TRIM(F1688)," ",""),"^-?\d+(\.\d+)?"))&gt;=-90,VALUE(REGEXEXTRACT(SUBSTITUTE(TRIM(F1688)," ",""),"^-?\d+(\.\d+)?"))&lt;=90,VALUE(REGEXEXTRACT(SUBSTITUTE(TRIM(F1688)," ",""),"-?\d+(\.\d+)?$"))&gt;=-180,VALUE(REGEXEXTRACT(SUBSTITUTE(TRIM(F1688)," ",""),"-?\d+(\.\d+)?$"))&lt;=180),"OK","REVISAR"),"REVISAR"),"")</f>
        <v/>
      </c>
      <c r="O1688">
        <f>IF(A1688&lt;&gt;"","https://direcciones507.github.io/direcciones507/panel.html?codigo="&amp;A1688&amp;"&amp;nombre="&amp;ENCODEURL(B1688)&amp;"&amp;telefono="&amp;SUBSTITUTE(C1688,"-","")&amp;"&amp;referencia="&amp;ENCODEURL(E1688)&amp;"&amp;lat="&amp;IZQUIERDA(SUBSTITUTE(F1688," ",""),ENCONTRAR(",",SUBSTITUTE(F1688," ",""))-1)&amp;"&amp;lng="&amp;DERECHA(SUBSTITUTE(F1688," ",""),LARGO(SUBSTITUTE(F1688," ",""))-ENCONTRAR(",",SUBSTITUTE(F1688," ",""))),"")</f>
        <v/>
      </c>
    </row>
    <row r="1689" ht="15.75" customHeight="1" s="10">
      <c r="A1689" s="8">
        <f>CONCAT("AD507-",TEXT(ROW()-2,"0000"))</f>
        <v/>
      </c>
      <c r="C1689" s="8" t="n"/>
      <c r="F1689" s="8" t="n"/>
      <c r="G1689" s="8">
        <f>IF(F1689&lt;&gt;"",HYPERLINK("https://www.google.com/maps/search/?api=1&amp;query="&amp;SUBSTITUTE(F1689," ",""),"🗺 Google Maps"),"")</f>
        <v/>
      </c>
      <c r="H1689" s="8">
        <f>IF(F1689&lt;&gt;"",HYPERLINK("https://waze.com/ul?ll="&amp;SUBSTITUTE(F1689," ","")&amp;"&amp;navigate=yes","🚗 Waze"),"")</f>
        <v/>
      </c>
      <c r="I1689" s="8">
        <f>IF(F1689&lt;&gt;"",HYPERLINK("https://m.uber.com/ul/?action=setPickup&amp;pickup=my_location&amp;dropoff[latitude]="&amp;LEFT(SUBSTITUTE(F1689," ",""),FIND(",",SUBSTITUTE(F1689," ",""))-1)&amp;"&amp;dropoff[longitude]="&amp;MID(SUBSTITUTE(F1689," ",""),FIND(",",SUBSTITUTE(F1689," ",""))+1,99),"🚕 Uber"),"")</f>
        <v/>
      </c>
      <c r="J1689" s="8">
        <f>IF(F1689&lt;&gt;"","https://api.qrserver.com/v1/create-qr-code/?size=200x200&amp;data="&amp;ENCODEURL("https://www.google.com/maps/search/?api=1&amp;query="&amp;SUBSTITUTE(F1689," ","")),"")</f>
        <v/>
      </c>
      <c r="K1689" s="8">
        <f>IF(C1689&lt;&gt;"",HYPERLINK("https://wa.me/507"&amp;REGEXREPLACE(C1689,"[^0-9]","")&amp;"?text="&amp;ENCODEURL("Ya llegue. Codigo: "&amp;A1689&amp;". Ubicacion: "&amp;"https://www.google.com/maps/search/?api=1&amp;query="&amp;SUBSTITUTE(F1689," ","")),"📲 Avisar al cliente"),"")</f>
        <v/>
      </c>
      <c r="L1689" s="8">
        <f>IF(C1689&lt;&gt;"","https://api.qrserver.com/v1/create-qr-code/?size=200x200&amp;data="&amp;ENCODEURL("https://wa.me/507"&amp;REGEXREPLACE(C1689,"[^0-9]","")&amp;"?text="&amp;ENCODEURL("Ya llegue. Codigo: "&amp;A1689&amp;". Ubicacion: "&amp;"https://www.google.com/maps/search/?api=1&amp;query="&amp;SUBSTITUTE(F1689," ",""))),"")</f>
        <v/>
      </c>
      <c r="M1689" s="8">
        <f>IF(B1689&lt;&gt;"",TODAY(),"")</f>
        <v/>
      </c>
      <c r="N1689" s="8">
        <f>IF(F1689&lt;&gt;"",IFERROR(IF(AND(REGEXMATCH(SUBSTITUTE(TRIM(F1689)," ",""),"^-?\d+(\.\d+)?,-?\d+(\.\d+)?$"),VALUE(REGEXEXTRACT(SUBSTITUTE(TRIM(F1689)," ",""),"^-?\d+(\.\d+)?"))&gt;=-90,VALUE(REGEXEXTRACT(SUBSTITUTE(TRIM(F1689)," ",""),"^-?\d+(\.\d+)?"))&lt;=90,VALUE(REGEXEXTRACT(SUBSTITUTE(TRIM(F1689)," ",""),"-?\d+(\.\d+)?$"))&gt;=-180,VALUE(REGEXEXTRACT(SUBSTITUTE(TRIM(F1689)," ",""),"-?\d+(\.\d+)?$"))&lt;=180),"OK","REVISAR"),"REVISAR"),"")</f>
        <v/>
      </c>
      <c r="O1689">
        <f>IF(A1689&lt;&gt;"","https://direcciones507.github.io/direcciones507/panel.html?codigo="&amp;A1689&amp;"&amp;nombre="&amp;ENCODEURL(B1689)&amp;"&amp;telefono="&amp;SUBSTITUTE(C1689,"-","")&amp;"&amp;referencia="&amp;ENCODEURL(E1689)&amp;"&amp;lat="&amp;IZQUIERDA(SUBSTITUTE(F1689," ",""),ENCONTRAR(",",SUBSTITUTE(F1689," ",""))-1)&amp;"&amp;lng="&amp;DERECHA(SUBSTITUTE(F1689," ",""),LARGO(SUBSTITUTE(F1689," ",""))-ENCONTRAR(",",SUBSTITUTE(F1689," ",""))),"")</f>
        <v/>
      </c>
    </row>
    <row r="1690" ht="15.75" customHeight="1" s="10">
      <c r="A1690" s="8">
        <f>CONCAT("AD507-",TEXT(ROW()-2,"0000"))</f>
        <v/>
      </c>
      <c r="C1690" s="8" t="n"/>
      <c r="F1690" s="8" t="n"/>
      <c r="G1690" s="8">
        <f>IF(F1690&lt;&gt;"",HYPERLINK("https://www.google.com/maps/search/?api=1&amp;query="&amp;SUBSTITUTE(F1690," ",""),"🗺 Google Maps"),"")</f>
        <v/>
      </c>
      <c r="H1690" s="8">
        <f>IF(F1690&lt;&gt;"",HYPERLINK("https://waze.com/ul?ll="&amp;SUBSTITUTE(F1690," ","")&amp;"&amp;navigate=yes","🚗 Waze"),"")</f>
        <v/>
      </c>
      <c r="I1690" s="8">
        <f>IF(F1690&lt;&gt;"",HYPERLINK("https://m.uber.com/ul/?action=setPickup&amp;pickup=my_location&amp;dropoff[latitude]="&amp;LEFT(SUBSTITUTE(F1690," ",""),FIND(",",SUBSTITUTE(F1690," ",""))-1)&amp;"&amp;dropoff[longitude]="&amp;MID(SUBSTITUTE(F1690," ",""),FIND(",",SUBSTITUTE(F1690," ",""))+1,99),"🚕 Uber"),"")</f>
        <v/>
      </c>
      <c r="J1690" s="8">
        <f>IF(F1690&lt;&gt;"","https://api.qrserver.com/v1/create-qr-code/?size=200x200&amp;data="&amp;ENCODEURL("https://www.google.com/maps/search/?api=1&amp;query="&amp;SUBSTITUTE(F1690," ","")),"")</f>
        <v/>
      </c>
      <c r="K1690" s="8">
        <f>IF(C1690&lt;&gt;"",HYPERLINK("https://wa.me/507"&amp;REGEXREPLACE(C1690,"[^0-9]","")&amp;"?text="&amp;ENCODEURL("Ya llegue. Codigo: "&amp;A1690&amp;". Ubicacion: "&amp;"https://www.google.com/maps/search/?api=1&amp;query="&amp;SUBSTITUTE(F1690," ","")),"📲 Avisar al cliente"),"")</f>
        <v/>
      </c>
      <c r="L1690" s="8">
        <f>IF(C1690&lt;&gt;"","https://api.qrserver.com/v1/create-qr-code/?size=200x200&amp;data="&amp;ENCODEURL("https://wa.me/507"&amp;REGEXREPLACE(C1690,"[^0-9]","")&amp;"?text="&amp;ENCODEURL("Ya llegue. Codigo: "&amp;A1690&amp;". Ubicacion: "&amp;"https://www.google.com/maps/search/?api=1&amp;query="&amp;SUBSTITUTE(F1690," ",""))),"")</f>
        <v/>
      </c>
      <c r="M1690" s="8">
        <f>IF(B1690&lt;&gt;"",TODAY(),"")</f>
        <v/>
      </c>
      <c r="N1690" s="8">
        <f>IF(F1690&lt;&gt;"",IFERROR(IF(AND(REGEXMATCH(SUBSTITUTE(TRIM(F1690)," ",""),"^-?\d+(\.\d+)?,-?\d+(\.\d+)?$"),VALUE(REGEXEXTRACT(SUBSTITUTE(TRIM(F1690)," ",""),"^-?\d+(\.\d+)?"))&gt;=-90,VALUE(REGEXEXTRACT(SUBSTITUTE(TRIM(F1690)," ",""),"^-?\d+(\.\d+)?"))&lt;=90,VALUE(REGEXEXTRACT(SUBSTITUTE(TRIM(F1690)," ",""),"-?\d+(\.\d+)?$"))&gt;=-180,VALUE(REGEXEXTRACT(SUBSTITUTE(TRIM(F1690)," ",""),"-?\d+(\.\d+)?$"))&lt;=180),"OK","REVISAR"),"REVISAR"),"")</f>
        <v/>
      </c>
      <c r="O1690">
        <f>IF(A1690&lt;&gt;"","https://direcciones507.github.io/direcciones507/panel.html?codigo="&amp;A1690&amp;"&amp;nombre="&amp;ENCODEURL(B1690)&amp;"&amp;telefono="&amp;SUBSTITUTE(C1690,"-","")&amp;"&amp;referencia="&amp;ENCODEURL(E1690)&amp;"&amp;lat="&amp;IZQUIERDA(SUBSTITUTE(F1690," ",""),ENCONTRAR(",",SUBSTITUTE(F1690," ",""))-1)&amp;"&amp;lng="&amp;DERECHA(SUBSTITUTE(F1690," ",""),LARGO(SUBSTITUTE(F1690," ",""))-ENCONTRAR(",",SUBSTITUTE(F1690," ",""))),"")</f>
        <v/>
      </c>
    </row>
    <row r="1691" ht="15.75" customHeight="1" s="10">
      <c r="A1691" s="8">
        <f>CONCAT("AD507-",TEXT(ROW()-2,"0000"))</f>
        <v/>
      </c>
      <c r="C1691" s="8" t="n"/>
      <c r="F1691" s="8" t="n"/>
      <c r="G1691" s="8">
        <f>IF(F1691&lt;&gt;"",HYPERLINK("https://www.google.com/maps/search/?api=1&amp;query="&amp;SUBSTITUTE(F1691," ",""),"🗺 Google Maps"),"")</f>
        <v/>
      </c>
      <c r="H1691" s="8">
        <f>IF(F1691&lt;&gt;"",HYPERLINK("https://waze.com/ul?ll="&amp;SUBSTITUTE(F1691," ","")&amp;"&amp;navigate=yes","🚗 Waze"),"")</f>
        <v/>
      </c>
      <c r="I1691" s="8">
        <f>IF(F1691&lt;&gt;"",HYPERLINK("https://m.uber.com/ul/?action=setPickup&amp;pickup=my_location&amp;dropoff[latitude]="&amp;LEFT(SUBSTITUTE(F1691," ",""),FIND(",",SUBSTITUTE(F1691," ",""))-1)&amp;"&amp;dropoff[longitude]="&amp;MID(SUBSTITUTE(F1691," ",""),FIND(",",SUBSTITUTE(F1691," ",""))+1,99),"🚕 Uber"),"")</f>
        <v/>
      </c>
      <c r="J1691" s="8">
        <f>IF(F1691&lt;&gt;"","https://api.qrserver.com/v1/create-qr-code/?size=200x200&amp;data="&amp;ENCODEURL("https://www.google.com/maps/search/?api=1&amp;query="&amp;SUBSTITUTE(F1691," ","")),"")</f>
        <v/>
      </c>
      <c r="K1691" s="8">
        <f>IF(C1691&lt;&gt;"",HYPERLINK("https://wa.me/507"&amp;REGEXREPLACE(C1691,"[^0-9]","")&amp;"?text="&amp;ENCODEURL("Ya llegue. Codigo: "&amp;A1691&amp;". Ubicacion: "&amp;"https://www.google.com/maps/search/?api=1&amp;query="&amp;SUBSTITUTE(F1691," ","")),"📲 Avisar al cliente"),"")</f>
        <v/>
      </c>
      <c r="L1691" s="8">
        <f>IF(C1691&lt;&gt;"","https://api.qrserver.com/v1/create-qr-code/?size=200x200&amp;data="&amp;ENCODEURL("https://wa.me/507"&amp;REGEXREPLACE(C1691,"[^0-9]","")&amp;"?text="&amp;ENCODEURL("Ya llegue. Codigo: "&amp;A1691&amp;". Ubicacion: "&amp;"https://www.google.com/maps/search/?api=1&amp;query="&amp;SUBSTITUTE(F1691," ",""))),"")</f>
        <v/>
      </c>
      <c r="M1691" s="8">
        <f>IF(B1691&lt;&gt;"",TODAY(),"")</f>
        <v/>
      </c>
      <c r="N1691" s="8">
        <f>IF(F1691&lt;&gt;"",IFERROR(IF(AND(REGEXMATCH(SUBSTITUTE(TRIM(F1691)," ",""),"^-?\d+(\.\d+)?,-?\d+(\.\d+)?$"),VALUE(REGEXEXTRACT(SUBSTITUTE(TRIM(F1691)," ",""),"^-?\d+(\.\d+)?"))&gt;=-90,VALUE(REGEXEXTRACT(SUBSTITUTE(TRIM(F1691)," ",""),"^-?\d+(\.\d+)?"))&lt;=90,VALUE(REGEXEXTRACT(SUBSTITUTE(TRIM(F1691)," ",""),"-?\d+(\.\d+)?$"))&gt;=-180,VALUE(REGEXEXTRACT(SUBSTITUTE(TRIM(F1691)," ",""),"-?\d+(\.\d+)?$"))&lt;=180),"OK","REVISAR"),"REVISAR"),"")</f>
        <v/>
      </c>
      <c r="O1691">
        <f>IF(A1691&lt;&gt;"","https://direcciones507.github.io/direcciones507/panel.html?codigo="&amp;A1691&amp;"&amp;nombre="&amp;ENCODEURL(B1691)&amp;"&amp;telefono="&amp;SUBSTITUTE(C1691,"-","")&amp;"&amp;referencia="&amp;ENCODEURL(E1691)&amp;"&amp;lat="&amp;IZQUIERDA(SUBSTITUTE(F1691," ",""),ENCONTRAR(",",SUBSTITUTE(F1691," ",""))-1)&amp;"&amp;lng="&amp;DERECHA(SUBSTITUTE(F1691," ",""),LARGO(SUBSTITUTE(F1691," ",""))-ENCONTRAR(",",SUBSTITUTE(F1691," ",""))),"")</f>
        <v/>
      </c>
    </row>
    <row r="1692" ht="15.75" customHeight="1" s="10">
      <c r="A1692" s="8">
        <f>CONCAT("AD507-",TEXT(ROW()-2,"0000"))</f>
        <v/>
      </c>
      <c r="C1692" s="8" t="n"/>
      <c r="F1692" s="8" t="n"/>
      <c r="G1692" s="8">
        <f>IF(F1692&lt;&gt;"",HYPERLINK("https://www.google.com/maps/search/?api=1&amp;query="&amp;SUBSTITUTE(F1692," ",""),"🗺 Google Maps"),"")</f>
        <v/>
      </c>
      <c r="H1692" s="8">
        <f>IF(F1692&lt;&gt;"",HYPERLINK("https://waze.com/ul?ll="&amp;SUBSTITUTE(F1692," ","")&amp;"&amp;navigate=yes","🚗 Waze"),"")</f>
        <v/>
      </c>
      <c r="I1692" s="8">
        <f>IF(F1692&lt;&gt;"",HYPERLINK("https://m.uber.com/ul/?action=setPickup&amp;pickup=my_location&amp;dropoff[latitude]="&amp;LEFT(SUBSTITUTE(F1692," ",""),FIND(",",SUBSTITUTE(F1692," ",""))-1)&amp;"&amp;dropoff[longitude]="&amp;MID(SUBSTITUTE(F1692," ",""),FIND(",",SUBSTITUTE(F1692," ",""))+1,99),"🚕 Uber"),"")</f>
        <v/>
      </c>
      <c r="J1692" s="8">
        <f>IF(F1692&lt;&gt;"","https://api.qrserver.com/v1/create-qr-code/?size=200x200&amp;data="&amp;ENCODEURL("https://www.google.com/maps/search/?api=1&amp;query="&amp;SUBSTITUTE(F1692," ","")),"")</f>
        <v/>
      </c>
      <c r="K1692" s="8">
        <f>IF(C1692&lt;&gt;"",HYPERLINK("https://wa.me/507"&amp;REGEXREPLACE(C1692,"[^0-9]","")&amp;"?text="&amp;ENCODEURL("Ya llegue. Codigo: "&amp;A1692&amp;". Ubicacion: "&amp;"https://www.google.com/maps/search/?api=1&amp;query="&amp;SUBSTITUTE(F1692," ","")),"📲 Avisar al cliente"),"")</f>
        <v/>
      </c>
      <c r="L1692" s="8">
        <f>IF(C1692&lt;&gt;"","https://api.qrserver.com/v1/create-qr-code/?size=200x200&amp;data="&amp;ENCODEURL("https://wa.me/507"&amp;REGEXREPLACE(C1692,"[^0-9]","")&amp;"?text="&amp;ENCODEURL("Ya llegue. Codigo: "&amp;A1692&amp;". Ubicacion: "&amp;"https://www.google.com/maps/search/?api=1&amp;query="&amp;SUBSTITUTE(F1692," ",""))),"")</f>
        <v/>
      </c>
      <c r="M1692" s="8">
        <f>IF(B1692&lt;&gt;"",TODAY(),"")</f>
        <v/>
      </c>
      <c r="N1692" s="8">
        <f>IF(F1692&lt;&gt;"",IFERROR(IF(AND(REGEXMATCH(SUBSTITUTE(TRIM(F1692)," ",""),"^-?\d+(\.\d+)?,-?\d+(\.\d+)?$"),VALUE(REGEXEXTRACT(SUBSTITUTE(TRIM(F1692)," ",""),"^-?\d+(\.\d+)?"))&gt;=-90,VALUE(REGEXEXTRACT(SUBSTITUTE(TRIM(F1692)," ",""),"^-?\d+(\.\d+)?"))&lt;=90,VALUE(REGEXEXTRACT(SUBSTITUTE(TRIM(F1692)," ",""),"-?\d+(\.\d+)?$"))&gt;=-180,VALUE(REGEXEXTRACT(SUBSTITUTE(TRIM(F1692)," ",""),"-?\d+(\.\d+)?$"))&lt;=180),"OK","REVISAR"),"REVISAR"),"")</f>
        <v/>
      </c>
      <c r="O1692">
        <f>IF(A1692&lt;&gt;"","https://direcciones507.github.io/direcciones507/panel.html?codigo="&amp;A1692&amp;"&amp;nombre="&amp;ENCODEURL(B1692)&amp;"&amp;telefono="&amp;SUBSTITUTE(C1692,"-","")&amp;"&amp;referencia="&amp;ENCODEURL(E1692)&amp;"&amp;lat="&amp;IZQUIERDA(SUBSTITUTE(F1692," ",""),ENCONTRAR(",",SUBSTITUTE(F1692," ",""))-1)&amp;"&amp;lng="&amp;DERECHA(SUBSTITUTE(F1692," ",""),LARGO(SUBSTITUTE(F1692," ",""))-ENCONTRAR(",",SUBSTITUTE(F1692," ",""))),"")</f>
        <v/>
      </c>
    </row>
    <row r="1693" ht="15.75" customHeight="1" s="10">
      <c r="A1693" s="8">
        <f>CONCAT("AD507-",TEXT(ROW()-2,"0000"))</f>
        <v/>
      </c>
      <c r="C1693" s="8" t="n"/>
      <c r="F1693" s="8" t="n"/>
      <c r="G1693" s="8">
        <f>IF(F1693&lt;&gt;"",HYPERLINK("https://www.google.com/maps/search/?api=1&amp;query="&amp;SUBSTITUTE(F1693," ",""),"🗺 Google Maps"),"")</f>
        <v/>
      </c>
      <c r="H1693" s="8">
        <f>IF(F1693&lt;&gt;"",HYPERLINK("https://waze.com/ul?ll="&amp;SUBSTITUTE(F1693," ","")&amp;"&amp;navigate=yes","🚗 Waze"),"")</f>
        <v/>
      </c>
      <c r="I1693" s="8">
        <f>IF(F1693&lt;&gt;"",HYPERLINK("https://m.uber.com/ul/?action=setPickup&amp;pickup=my_location&amp;dropoff[latitude]="&amp;LEFT(SUBSTITUTE(F1693," ",""),FIND(",",SUBSTITUTE(F1693," ",""))-1)&amp;"&amp;dropoff[longitude]="&amp;MID(SUBSTITUTE(F1693," ",""),FIND(",",SUBSTITUTE(F1693," ",""))+1,99),"🚕 Uber"),"")</f>
        <v/>
      </c>
      <c r="J1693" s="8">
        <f>IF(F1693&lt;&gt;"","https://api.qrserver.com/v1/create-qr-code/?size=200x200&amp;data="&amp;ENCODEURL("https://www.google.com/maps/search/?api=1&amp;query="&amp;SUBSTITUTE(F1693," ","")),"")</f>
        <v/>
      </c>
      <c r="K1693" s="8">
        <f>IF(C1693&lt;&gt;"",HYPERLINK("https://wa.me/507"&amp;REGEXREPLACE(C1693,"[^0-9]","")&amp;"?text="&amp;ENCODEURL("Ya llegue. Codigo: "&amp;A1693&amp;". Ubicacion: "&amp;"https://www.google.com/maps/search/?api=1&amp;query="&amp;SUBSTITUTE(F1693," ","")),"📲 Avisar al cliente"),"")</f>
        <v/>
      </c>
      <c r="L1693" s="8">
        <f>IF(C1693&lt;&gt;"","https://api.qrserver.com/v1/create-qr-code/?size=200x200&amp;data="&amp;ENCODEURL("https://wa.me/507"&amp;REGEXREPLACE(C1693,"[^0-9]","")&amp;"?text="&amp;ENCODEURL("Ya llegue. Codigo: "&amp;A1693&amp;". Ubicacion: "&amp;"https://www.google.com/maps/search/?api=1&amp;query="&amp;SUBSTITUTE(F1693," ",""))),"")</f>
        <v/>
      </c>
      <c r="M1693" s="8">
        <f>IF(B1693&lt;&gt;"",TODAY(),"")</f>
        <v/>
      </c>
      <c r="N1693" s="8">
        <f>IF(F1693&lt;&gt;"",IFERROR(IF(AND(REGEXMATCH(SUBSTITUTE(TRIM(F1693)," ",""),"^-?\d+(\.\d+)?,-?\d+(\.\d+)?$"),VALUE(REGEXEXTRACT(SUBSTITUTE(TRIM(F1693)," ",""),"^-?\d+(\.\d+)?"))&gt;=-90,VALUE(REGEXEXTRACT(SUBSTITUTE(TRIM(F1693)," ",""),"^-?\d+(\.\d+)?"))&lt;=90,VALUE(REGEXEXTRACT(SUBSTITUTE(TRIM(F1693)," ",""),"-?\d+(\.\d+)?$"))&gt;=-180,VALUE(REGEXEXTRACT(SUBSTITUTE(TRIM(F1693)," ",""),"-?\d+(\.\d+)?$"))&lt;=180),"OK","REVISAR"),"REVISAR"),"")</f>
        <v/>
      </c>
      <c r="O1693">
        <f>IF(A1693&lt;&gt;"","https://direcciones507.github.io/direcciones507/panel.html?codigo="&amp;A1693&amp;"&amp;nombre="&amp;ENCODEURL(B1693)&amp;"&amp;telefono="&amp;SUBSTITUTE(C1693,"-","")&amp;"&amp;referencia="&amp;ENCODEURL(E1693)&amp;"&amp;lat="&amp;IZQUIERDA(SUBSTITUTE(F1693," ",""),ENCONTRAR(",",SUBSTITUTE(F1693," ",""))-1)&amp;"&amp;lng="&amp;DERECHA(SUBSTITUTE(F1693," ",""),LARGO(SUBSTITUTE(F1693," ",""))-ENCONTRAR(",",SUBSTITUTE(F1693," ",""))),"")</f>
        <v/>
      </c>
    </row>
    <row r="1694" ht="15.75" customHeight="1" s="10">
      <c r="A1694" s="8">
        <f>CONCAT("AD507-",TEXT(ROW()-2,"0000"))</f>
        <v/>
      </c>
      <c r="C1694" s="8" t="n"/>
      <c r="F1694" s="8" t="n"/>
      <c r="G1694" s="8">
        <f>IF(F1694&lt;&gt;"",HYPERLINK("https://www.google.com/maps/search/?api=1&amp;query="&amp;SUBSTITUTE(F1694," ",""),"🗺 Google Maps"),"")</f>
        <v/>
      </c>
      <c r="H1694" s="8">
        <f>IF(F1694&lt;&gt;"",HYPERLINK("https://waze.com/ul?ll="&amp;SUBSTITUTE(F1694," ","")&amp;"&amp;navigate=yes","🚗 Waze"),"")</f>
        <v/>
      </c>
      <c r="I1694" s="8">
        <f>IF(F1694&lt;&gt;"",HYPERLINK("https://m.uber.com/ul/?action=setPickup&amp;pickup=my_location&amp;dropoff[latitude]="&amp;LEFT(SUBSTITUTE(F1694," ",""),FIND(",",SUBSTITUTE(F1694," ",""))-1)&amp;"&amp;dropoff[longitude]="&amp;MID(SUBSTITUTE(F1694," ",""),FIND(",",SUBSTITUTE(F1694," ",""))+1,99),"🚕 Uber"),"")</f>
        <v/>
      </c>
      <c r="J1694" s="8">
        <f>IF(F1694&lt;&gt;"","https://api.qrserver.com/v1/create-qr-code/?size=200x200&amp;data="&amp;ENCODEURL("https://www.google.com/maps/search/?api=1&amp;query="&amp;SUBSTITUTE(F1694," ","")),"")</f>
        <v/>
      </c>
      <c r="K1694" s="8">
        <f>IF(C1694&lt;&gt;"",HYPERLINK("https://wa.me/507"&amp;REGEXREPLACE(C1694,"[^0-9]","")&amp;"?text="&amp;ENCODEURL("Ya llegue. Codigo: "&amp;A1694&amp;". Ubicacion: "&amp;"https://www.google.com/maps/search/?api=1&amp;query="&amp;SUBSTITUTE(F1694," ","")),"📲 Avisar al cliente"),"")</f>
        <v/>
      </c>
      <c r="L1694" s="8">
        <f>IF(C1694&lt;&gt;"","https://api.qrserver.com/v1/create-qr-code/?size=200x200&amp;data="&amp;ENCODEURL("https://wa.me/507"&amp;REGEXREPLACE(C1694,"[^0-9]","")&amp;"?text="&amp;ENCODEURL("Ya llegue. Codigo: "&amp;A1694&amp;". Ubicacion: "&amp;"https://www.google.com/maps/search/?api=1&amp;query="&amp;SUBSTITUTE(F1694," ",""))),"")</f>
        <v/>
      </c>
      <c r="M1694" s="8">
        <f>IF(B1694&lt;&gt;"",TODAY(),"")</f>
        <v/>
      </c>
      <c r="N1694" s="8">
        <f>IF(F1694&lt;&gt;"",IFERROR(IF(AND(REGEXMATCH(SUBSTITUTE(TRIM(F1694)," ",""),"^-?\d+(\.\d+)?,-?\d+(\.\d+)?$"),VALUE(REGEXEXTRACT(SUBSTITUTE(TRIM(F1694)," ",""),"^-?\d+(\.\d+)?"))&gt;=-90,VALUE(REGEXEXTRACT(SUBSTITUTE(TRIM(F1694)," ",""),"^-?\d+(\.\d+)?"))&lt;=90,VALUE(REGEXEXTRACT(SUBSTITUTE(TRIM(F1694)," ",""),"-?\d+(\.\d+)?$"))&gt;=-180,VALUE(REGEXEXTRACT(SUBSTITUTE(TRIM(F1694)," ",""),"-?\d+(\.\d+)?$"))&lt;=180),"OK","REVISAR"),"REVISAR"),"")</f>
        <v/>
      </c>
      <c r="O1694">
        <f>IF(A1694&lt;&gt;"","https://direcciones507.github.io/direcciones507/panel.html?codigo="&amp;A1694&amp;"&amp;nombre="&amp;ENCODEURL(B1694)&amp;"&amp;telefono="&amp;SUBSTITUTE(C1694,"-","")&amp;"&amp;referencia="&amp;ENCODEURL(E1694)&amp;"&amp;lat="&amp;IZQUIERDA(SUBSTITUTE(F1694," ",""),ENCONTRAR(",",SUBSTITUTE(F1694," ",""))-1)&amp;"&amp;lng="&amp;DERECHA(SUBSTITUTE(F1694," ",""),LARGO(SUBSTITUTE(F1694," ",""))-ENCONTRAR(",",SUBSTITUTE(F1694," ",""))),"")</f>
        <v/>
      </c>
    </row>
    <row r="1695" ht="15.75" customHeight="1" s="10">
      <c r="A1695" s="8">
        <f>CONCAT("AD507-",TEXT(ROW()-2,"0000"))</f>
        <v/>
      </c>
      <c r="C1695" s="8" t="n"/>
      <c r="F1695" s="8" t="n"/>
      <c r="G1695" s="8">
        <f>IF(F1695&lt;&gt;"",HYPERLINK("https://www.google.com/maps/search/?api=1&amp;query="&amp;SUBSTITUTE(F1695," ",""),"🗺 Google Maps"),"")</f>
        <v/>
      </c>
      <c r="H1695" s="8">
        <f>IF(F1695&lt;&gt;"",HYPERLINK("https://waze.com/ul?ll="&amp;SUBSTITUTE(F1695," ","")&amp;"&amp;navigate=yes","🚗 Waze"),"")</f>
        <v/>
      </c>
      <c r="I1695" s="8">
        <f>IF(F1695&lt;&gt;"",HYPERLINK("https://m.uber.com/ul/?action=setPickup&amp;pickup=my_location&amp;dropoff[latitude]="&amp;LEFT(SUBSTITUTE(F1695," ",""),FIND(",",SUBSTITUTE(F1695," ",""))-1)&amp;"&amp;dropoff[longitude]="&amp;MID(SUBSTITUTE(F1695," ",""),FIND(",",SUBSTITUTE(F1695," ",""))+1,99),"🚕 Uber"),"")</f>
        <v/>
      </c>
      <c r="J1695" s="8">
        <f>IF(F1695&lt;&gt;"","https://api.qrserver.com/v1/create-qr-code/?size=200x200&amp;data="&amp;ENCODEURL("https://www.google.com/maps/search/?api=1&amp;query="&amp;SUBSTITUTE(F1695," ","")),"")</f>
        <v/>
      </c>
      <c r="K1695" s="8">
        <f>IF(C1695&lt;&gt;"",HYPERLINK("https://wa.me/507"&amp;REGEXREPLACE(C1695,"[^0-9]","")&amp;"?text="&amp;ENCODEURL("Ya llegue. Codigo: "&amp;A1695&amp;". Ubicacion: "&amp;"https://www.google.com/maps/search/?api=1&amp;query="&amp;SUBSTITUTE(F1695," ","")),"📲 Avisar al cliente"),"")</f>
        <v/>
      </c>
      <c r="L1695" s="8">
        <f>IF(C1695&lt;&gt;"","https://api.qrserver.com/v1/create-qr-code/?size=200x200&amp;data="&amp;ENCODEURL("https://wa.me/507"&amp;REGEXREPLACE(C1695,"[^0-9]","")&amp;"?text="&amp;ENCODEURL("Ya llegue. Codigo: "&amp;A1695&amp;". Ubicacion: "&amp;"https://www.google.com/maps/search/?api=1&amp;query="&amp;SUBSTITUTE(F1695," ",""))),"")</f>
        <v/>
      </c>
      <c r="M1695" s="8">
        <f>IF(B1695&lt;&gt;"",TODAY(),"")</f>
        <v/>
      </c>
      <c r="N1695" s="8">
        <f>IF(F1695&lt;&gt;"",IFERROR(IF(AND(REGEXMATCH(SUBSTITUTE(TRIM(F1695)," ",""),"^-?\d+(\.\d+)?,-?\d+(\.\d+)?$"),VALUE(REGEXEXTRACT(SUBSTITUTE(TRIM(F1695)," ",""),"^-?\d+(\.\d+)?"))&gt;=-90,VALUE(REGEXEXTRACT(SUBSTITUTE(TRIM(F1695)," ",""),"^-?\d+(\.\d+)?"))&lt;=90,VALUE(REGEXEXTRACT(SUBSTITUTE(TRIM(F1695)," ",""),"-?\d+(\.\d+)?$"))&gt;=-180,VALUE(REGEXEXTRACT(SUBSTITUTE(TRIM(F1695)," ",""),"-?\d+(\.\d+)?$"))&lt;=180),"OK","REVISAR"),"REVISAR"),"")</f>
        <v/>
      </c>
      <c r="O1695">
        <f>IF(A1695&lt;&gt;"","https://direcciones507.github.io/direcciones507/panel.html?codigo="&amp;A1695&amp;"&amp;nombre="&amp;ENCODEURL(B1695)&amp;"&amp;telefono="&amp;SUBSTITUTE(C1695,"-","")&amp;"&amp;referencia="&amp;ENCODEURL(E1695)&amp;"&amp;lat="&amp;IZQUIERDA(SUBSTITUTE(F1695," ",""),ENCONTRAR(",",SUBSTITUTE(F1695," ",""))-1)&amp;"&amp;lng="&amp;DERECHA(SUBSTITUTE(F1695," ",""),LARGO(SUBSTITUTE(F1695," ",""))-ENCONTRAR(",",SUBSTITUTE(F1695," ",""))),"")</f>
        <v/>
      </c>
    </row>
    <row r="1696" ht="15.75" customHeight="1" s="10">
      <c r="A1696" s="8">
        <f>CONCAT("AD507-",TEXT(ROW()-2,"0000"))</f>
        <v/>
      </c>
      <c r="C1696" s="8" t="n"/>
      <c r="F1696" s="8" t="n"/>
      <c r="G1696" s="8">
        <f>IF(F1696&lt;&gt;"",HYPERLINK("https://www.google.com/maps/search/?api=1&amp;query="&amp;SUBSTITUTE(F1696," ",""),"🗺 Google Maps"),"")</f>
        <v/>
      </c>
      <c r="H1696" s="8">
        <f>IF(F1696&lt;&gt;"",HYPERLINK("https://waze.com/ul?ll="&amp;SUBSTITUTE(F1696," ","")&amp;"&amp;navigate=yes","🚗 Waze"),"")</f>
        <v/>
      </c>
      <c r="I1696" s="8">
        <f>IF(F1696&lt;&gt;"",HYPERLINK("https://m.uber.com/ul/?action=setPickup&amp;pickup=my_location&amp;dropoff[latitude]="&amp;LEFT(SUBSTITUTE(F1696," ",""),FIND(",",SUBSTITUTE(F1696," ",""))-1)&amp;"&amp;dropoff[longitude]="&amp;MID(SUBSTITUTE(F1696," ",""),FIND(",",SUBSTITUTE(F1696," ",""))+1,99),"🚕 Uber"),"")</f>
        <v/>
      </c>
      <c r="J1696" s="8">
        <f>IF(F1696&lt;&gt;"","https://api.qrserver.com/v1/create-qr-code/?size=200x200&amp;data="&amp;ENCODEURL("https://www.google.com/maps/search/?api=1&amp;query="&amp;SUBSTITUTE(F1696," ","")),"")</f>
        <v/>
      </c>
      <c r="K1696" s="8">
        <f>IF(C1696&lt;&gt;"",HYPERLINK("https://wa.me/507"&amp;REGEXREPLACE(C1696,"[^0-9]","")&amp;"?text="&amp;ENCODEURL("Ya llegue. Codigo: "&amp;A1696&amp;". Ubicacion: "&amp;"https://www.google.com/maps/search/?api=1&amp;query="&amp;SUBSTITUTE(F1696," ","")),"📲 Avisar al cliente"),"")</f>
        <v/>
      </c>
      <c r="L1696" s="8">
        <f>IF(C1696&lt;&gt;"","https://api.qrserver.com/v1/create-qr-code/?size=200x200&amp;data="&amp;ENCODEURL("https://wa.me/507"&amp;REGEXREPLACE(C1696,"[^0-9]","")&amp;"?text="&amp;ENCODEURL("Ya llegue. Codigo: "&amp;A1696&amp;". Ubicacion: "&amp;"https://www.google.com/maps/search/?api=1&amp;query="&amp;SUBSTITUTE(F1696," ",""))),"")</f>
        <v/>
      </c>
      <c r="M1696" s="8">
        <f>IF(B1696&lt;&gt;"",TODAY(),"")</f>
        <v/>
      </c>
      <c r="N1696" s="8">
        <f>IF(F1696&lt;&gt;"",IFERROR(IF(AND(REGEXMATCH(SUBSTITUTE(TRIM(F1696)," ",""),"^-?\d+(\.\d+)?,-?\d+(\.\d+)?$"),VALUE(REGEXEXTRACT(SUBSTITUTE(TRIM(F1696)," ",""),"^-?\d+(\.\d+)?"))&gt;=-90,VALUE(REGEXEXTRACT(SUBSTITUTE(TRIM(F1696)," ",""),"^-?\d+(\.\d+)?"))&lt;=90,VALUE(REGEXEXTRACT(SUBSTITUTE(TRIM(F1696)," ",""),"-?\d+(\.\d+)?$"))&gt;=-180,VALUE(REGEXEXTRACT(SUBSTITUTE(TRIM(F1696)," ",""),"-?\d+(\.\d+)?$"))&lt;=180),"OK","REVISAR"),"REVISAR"),"")</f>
        <v/>
      </c>
      <c r="O1696">
        <f>IF(A1696&lt;&gt;"","https://direcciones507.github.io/direcciones507/panel.html?codigo="&amp;A1696&amp;"&amp;nombre="&amp;ENCODEURL(B1696)&amp;"&amp;telefono="&amp;SUBSTITUTE(C1696,"-","")&amp;"&amp;referencia="&amp;ENCODEURL(E1696)&amp;"&amp;lat="&amp;IZQUIERDA(SUBSTITUTE(F1696," ",""),ENCONTRAR(",",SUBSTITUTE(F1696," ",""))-1)&amp;"&amp;lng="&amp;DERECHA(SUBSTITUTE(F1696," ",""),LARGO(SUBSTITUTE(F1696," ",""))-ENCONTRAR(",",SUBSTITUTE(F1696," ",""))),"")</f>
        <v/>
      </c>
    </row>
    <row r="1697" ht="15.75" customHeight="1" s="10">
      <c r="A1697" s="8">
        <f>CONCAT("AD507-",TEXT(ROW()-2,"0000"))</f>
        <v/>
      </c>
      <c r="C1697" s="8" t="n"/>
      <c r="F1697" s="8" t="n"/>
      <c r="G1697" s="8">
        <f>IF(F1697&lt;&gt;"",HYPERLINK("https://www.google.com/maps/search/?api=1&amp;query="&amp;SUBSTITUTE(F1697," ",""),"🗺 Google Maps"),"")</f>
        <v/>
      </c>
      <c r="H1697" s="8">
        <f>IF(F1697&lt;&gt;"",HYPERLINK("https://waze.com/ul?ll="&amp;SUBSTITUTE(F1697," ","")&amp;"&amp;navigate=yes","🚗 Waze"),"")</f>
        <v/>
      </c>
      <c r="I1697" s="8">
        <f>IF(F1697&lt;&gt;"",HYPERLINK("https://m.uber.com/ul/?action=setPickup&amp;pickup=my_location&amp;dropoff[latitude]="&amp;LEFT(SUBSTITUTE(F1697," ",""),FIND(",",SUBSTITUTE(F1697," ",""))-1)&amp;"&amp;dropoff[longitude]="&amp;MID(SUBSTITUTE(F1697," ",""),FIND(",",SUBSTITUTE(F1697," ",""))+1,99),"🚕 Uber"),"")</f>
        <v/>
      </c>
      <c r="J1697" s="8">
        <f>IF(F1697&lt;&gt;"","https://api.qrserver.com/v1/create-qr-code/?size=200x200&amp;data="&amp;ENCODEURL("https://www.google.com/maps/search/?api=1&amp;query="&amp;SUBSTITUTE(F1697," ","")),"")</f>
        <v/>
      </c>
      <c r="K1697" s="8">
        <f>IF(C1697&lt;&gt;"",HYPERLINK("https://wa.me/507"&amp;REGEXREPLACE(C1697,"[^0-9]","")&amp;"?text="&amp;ENCODEURL("Ya llegue. Codigo: "&amp;A1697&amp;". Ubicacion: "&amp;"https://www.google.com/maps/search/?api=1&amp;query="&amp;SUBSTITUTE(F1697," ","")),"📲 Avisar al cliente"),"")</f>
        <v/>
      </c>
      <c r="L1697" s="8">
        <f>IF(C1697&lt;&gt;"","https://api.qrserver.com/v1/create-qr-code/?size=200x200&amp;data="&amp;ENCODEURL("https://wa.me/507"&amp;REGEXREPLACE(C1697,"[^0-9]","")&amp;"?text="&amp;ENCODEURL("Ya llegue. Codigo: "&amp;A1697&amp;". Ubicacion: "&amp;"https://www.google.com/maps/search/?api=1&amp;query="&amp;SUBSTITUTE(F1697," ",""))),"")</f>
        <v/>
      </c>
      <c r="M1697" s="8">
        <f>IF(B1697&lt;&gt;"",TODAY(),"")</f>
        <v/>
      </c>
      <c r="N1697" s="8">
        <f>IF(F1697&lt;&gt;"",IFERROR(IF(AND(REGEXMATCH(SUBSTITUTE(TRIM(F1697)," ",""),"^-?\d+(\.\d+)?,-?\d+(\.\d+)?$"),VALUE(REGEXEXTRACT(SUBSTITUTE(TRIM(F1697)," ",""),"^-?\d+(\.\d+)?"))&gt;=-90,VALUE(REGEXEXTRACT(SUBSTITUTE(TRIM(F1697)," ",""),"^-?\d+(\.\d+)?"))&lt;=90,VALUE(REGEXEXTRACT(SUBSTITUTE(TRIM(F1697)," ",""),"-?\d+(\.\d+)?$"))&gt;=-180,VALUE(REGEXEXTRACT(SUBSTITUTE(TRIM(F1697)," ",""),"-?\d+(\.\d+)?$"))&lt;=180),"OK","REVISAR"),"REVISAR"),"")</f>
        <v/>
      </c>
      <c r="O1697">
        <f>IF(A1697&lt;&gt;"","https://direcciones507.github.io/direcciones507/panel.html?codigo="&amp;A1697&amp;"&amp;nombre="&amp;ENCODEURL(B1697)&amp;"&amp;telefono="&amp;SUBSTITUTE(C1697,"-","")&amp;"&amp;referencia="&amp;ENCODEURL(E1697)&amp;"&amp;lat="&amp;IZQUIERDA(SUBSTITUTE(F1697," ",""),ENCONTRAR(",",SUBSTITUTE(F1697," ",""))-1)&amp;"&amp;lng="&amp;DERECHA(SUBSTITUTE(F1697," ",""),LARGO(SUBSTITUTE(F1697," ",""))-ENCONTRAR(",",SUBSTITUTE(F1697," ",""))),"")</f>
        <v/>
      </c>
    </row>
    <row r="1698" ht="15.75" customHeight="1" s="10">
      <c r="A1698" s="8">
        <f>CONCAT("AD507-",TEXT(ROW()-2,"0000"))</f>
        <v/>
      </c>
      <c r="C1698" s="8" t="n"/>
      <c r="F1698" s="8" t="n"/>
      <c r="G1698" s="8">
        <f>IF(F1698&lt;&gt;"",HYPERLINK("https://www.google.com/maps/search/?api=1&amp;query="&amp;SUBSTITUTE(F1698," ",""),"🗺 Google Maps"),"")</f>
        <v/>
      </c>
      <c r="H1698" s="8">
        <f>IF(F1698&lt;&gt;"",HYPERLINK("https://waze.com/ul?ll="&amp;SUBSTITUTE(F1698," ","")&amp;"&amp;navigate=yes","🚗 Waze"),"")</f>
        <v/>
      </c>
      <c r="I1698" s="8">
        <f>IF(F1698&lt;&gt;"",HYPERLINK("https://m.uber.com/ul/?action=setPickup&amp;pickup=my_location&amp;dropoff[latitude]="&amp;LEFT(SUBSTITUTE(F1698," ",""),FIND(",",SUBSTITUTE(F1698," ",""))-1)&amp;"&amp;dropoff[longitude]="&amp;MID(SUBSTITUTE(F1698," ",""),FIND(",",SUBSTITUTE(F1698," ",""))+1,99),"🚕 Uber"),"")</f>
        <v/>
      </c>
      <c r="J1698" s="8">
        <f>IF(F1698&lt;&gt;"","https://api.qrserver.com/v1/create-qr-code/?size=200x200&amp;data="&amp;ENCODEURL("https://www.google.com/maps/search/?api=1&amp;query="&amp;SUBSTITUTE(F1698," ","")),"")</f>
        <v/>
      </c>
      <c r="K1698" s="8">
        <f>IF(C1698&lt;&gt;"",HYPERLINK("https://wa.me/507"&amp;REGEXREPLACE(C1698,"[^0-9]","")&amp;"?text="&amp;ENCODEURL("Ya llegue. Codigo: "&amp;A1698&amp;". Ubicacion: "&amp;"https://www.google.com/maps/search/?api=1&amp;query="&amp;SUBSTITUTE(F1698," ","")),"📲 Avisar al cliente"),"")</f>
        <v/>
      </c>
      <c r="L1698" s="8">
        <f>IF(C1698&lt;&gt;"","https://api.qrserver.com/v1/create-qr-code/?size=200x200&amp;data="&amp;ENCODEURL("https://wa.me/507"&amp;REGEXREPLACE(C1698,"[^0-9]","")&amp;"?text="&amp;ENCODEURL("Ya llegue. Codigo: "&amp;A1698&amp;". Ubicacion: "&amp;"https://www.google.com/maps/search/?api=1&amp;query="&amp;SUBSTITUTE(F1698," ",""))),"")</f>
        <v/>
      </c>
      <c r="M1698" s="8">
        <f>IF(B1698&lt;&gt;"",TODAY(),"")</f>
        <v/>
      </c>
      <c r="N1698" s="8">
        <f>IF(F1698&lt;&gt;"",IFERROR(IF(AND(REGEXMATCH(SUBSTITUTE(TRIM(F1698)," ",""),"^-?\d+(\.\d+)?,-?\d+(\.\d+)?$"),VALUE(REGEXEXTRACT(SUBSTITUTE(TRIM(F1698)," ",""),"^-?\d+(\.\d+)?"))&gt;=-90,VALUE(REGEXEXTRACT(SUBSTITUTE(TRIM(F1698)," ",""),"^-?\d+(\.\d+)?"))&lt;=90,VALUE(REGEXEXTRACT(SUBSTITUTE(TRIM(F1698)," ",""),"-?\d+(\.\d+)?$"))&gt;=-180,VALUE(REGEXEXTRACT(SUBSTITUTE(TRIM(F1698)," ",""),"-?\d+(\.\d+)?$"))&lt;=180),"OK","REVISAR"),"REVISAR"),"")</f>
        <v/>
      </c>
      <c r="O1698">
        <f>IF(A1698&lt;&gt;"","https://direcciones507.github.io/direcciones507/panel.html?codigo="&amp;A1698&amp;"&amp;nombre="&amp;ENCODEURL(B1698)&amp;"&amp;telefono="&amp;SUBSTITUTE(C1698,"-","")&amp;"&amp;referencia="&amp;ENCODEURL(E1698)&amp;"&amp;lat="&amp;IZQUIERDA(SUBSTITUTE(F1698," ",""),ENCONTRAR(",",SUBSTITUTE(F1698," ",""))-1)&amp;"&amp;lng="&amp;DERECHA(SUBSTITUTE(F1698," ",""),LARGO(SUBSTITUTE(F1698," ",""))-ENCONTRAR(",",SUBSTITUTE(F1698," ",""))),"")</f>
        <v/>
      </c>
    </row>
    <row r="1699" ht="15.75" customHeight="1" s="10">
      <c r="A1699" s="8">
        <f>CONCAT("AD507-",TEXT(ROW()-2,"0000"))</f>
        <v/>
      </c>
      <c r="C1699" s="8" t="n"/>
      <c r="F1699" s="8" t="n"/>
      <c r="G1699" s="8">
        <f>IF(F1699&lt;&gt;"",HYPERLINK("https://www.google.com/maps/search/?api=1&amp;query="&amp;SUBSTITUTE(F1699," ",""),"🗺 Google Maps"),"")</f>
        <v/>
      </c>
      <c r="H1699" s="8">
        <f>IF(F1699&lt;&gt;"",HYPERLINK("https://waze.com/ul?ll="&amp;SUBSTITUTE(F1699," ","")&amp;"&amp;navigate=yes","🚗 Waze"),"")</f>
        <v/>
      </c>
      <c r="I1699" s="8">
        <f>IF(F1699&lt;&gt;"",HYPERLINK("https://m.uber.com/ul/?action=setPickup&amp;pickup=my_location&amp;dropoff[latitude]="&amp;LEFT(SUBSTITUTE(F1699," ",""),FIND(",",SUBSTITUTE(F1699," ",""))-1)&amp;"&amp;dropoff[longitude]="&amp;MID(SUBSTITUTE(F1699," ",""),FIND(",",SUBSTITUTE(F1699," ",""))+1,99),"🚕 Uber"),"")</f>
        <v/>
      </c>
      <c r="J1699" s="8">
        <f>IF(F1699&lt;&gt;"","https://api.qrserver.com/v1/create-qr-code/?size=200x200&amp;data="&amp;ENCODEURL("https://www.google.com/maps/search/?api=1&amp;query="&amp;SUBSTITUTE(F1699," ","")),"")</f>
        <v/>
      </c>
      <c r="K1699" s="8">
        <f>IF(C1699&lt;&gt;"",HYPERLINK("https://wa.me/507"&amp;REGEXREPLACE(C1699,"[^0-9]","")&amp;"?text="&amp;ENCODEURL("Ya llegue. Codigo: "&amp;A1699&amp;". Ubicacion: "&amp;"https://www.google.com/maps/search/?api=1&amp;query="&amp;SUBSTITUTE(F1699," ","")),"📲 Avisar al cliente"),"")</f>
        <v/>
      </c>
      <c r="L1699" s="8">
        <f>IF(C1699&lt;&gt;"","https://api.qrserver.com/v1/create-qr-code/?size=200x200&amp;data="&amp;ENCODEURL("https://wa.me/507"&amp;REGEXREPLACE(C1699,"[^0-9]","")&amp;"?text="&amp;ENCODEURL("Ya llegue. Codigo: "&amp;A1699&amp;". Ubicacion: "&amp;"https://www.google.com/maps/search/?api=1&amp;query="&amp;SUBSTITUTE(F1699," ",""))),"")</f>
        <v/>
      </c>
      <c r="M1699" s="8">
        <f>IF(B1699&lt;&gt;"",TODAY(),"")</f>
        <v/>
      </c>
      <c r="N1699" s="8">
        <f>IF(F1699&lt;&gt;"",IFERROR(IF(AND(REGEXMATCH(SUBSTITUTE(TRIM(F1699)," ",""),"^-?\d+(\.\d+)?,-?\d+(\.\d+)?$"),VALUE(REGEXEXTRACT(SUBSTITUTE(TRIM(F1699)," ",""),"^-?\d+(\.\d+)?"))&gt;=-90,VALUE(REGEXEXTRACT(SUBSTITUTE(TRIM(F1699)," ",""),"^-?\d+(\.\d+)?"))&lt;=90,VALUE(REGEXEXTRACT(SUBSTITUTE(TRIM(F1699)," ",""),"-?\d+(\.\d+)?$"))&gt;=-180,VALUE(REGEXEXTRACT(SUBSTITUTE(TRIM(F1699)," ",""),"-?\d+(\.\d+)?$"))&lt;=180),"OK","REVISAR"),"REVISAR"),"")</f>
        <v/>
      </c>
      <c r="O1699">
        <f>IF(A1699&lt;&gt;"","https://direcciones507.github.io/direcciones507/panel.html?codigo="&amp;A1699&amp;"&amp;nombre="&amp;ENCODEURL(B1699)&amp;"&amp;telefono="&amp;SUBSTITUTE(C1699,"-","")&amp;"&amp;referencia="&amp;ENCODEURL(E1699)&amp;"&amp;lat="&amp;IZQUIERDA(SUBSTITUTE(F1699," ",""),ENCONTRAR(",",SUBSTITUTE(F1699," ",""))-1)&amp;"&amp;lng="&amp;DERECHA(SUBSTITUTE(F1699," ",""),LARGO(SUBSTITUTE(F1699," ",""))-ENCONTRAR(",",SUBSTITUTE(F1699," ",""))),"")</f>
        <v/>
      </c>
    </row>
    <row r="1700" ht="15.75" customHeight="1" s="10">
      <c r="A1700" s="8">
        <f>CONCAT("AD507-",TEXT(ROW()-2,"0000"))</f>
        <v/>
      </c>
      <c r="C1700" s="8" t="n"/>
      <c r="F1700" s="8" t="n"/>
      <c r="G1700" s="8">
        <f>IF(F1700&lt;&gt;"",HYPERLINK("https://www.google.com/maps/search/?api=1&amp;query="&amp;SUBSTITUTE(F1700," ",""),"🗺 Google Maps"),"")</f>
        <v/>
      </c>
      <c r="H1700" s="8">
        <f>IF(F1700&lt;&gt;"",HYPERLINK("https://waze.com/ul?ll="&amp;SUBSTITUTE(F1700," ","")&amp;"&amp;navigate=yes","🚗 Waze"),"")</f>
        <v/>
      </c>
      <c r="I1700" s="8">
        <f>IF(F1700&lt;&gt;"",HYPERLINK("https://m.uber.com/ul/?action=setPickup&amp;pickup=my_location&amp;dropoff[latitude]="&amp;LEFT(SUBSTITUTE(F1700," ",""),FIND(",",SUBSTITUTE(F1700," ",""))-1)&amp;"&amp;dropoff[longitude]="&amp;MID(SUBSTITUTE(F1700," ",""),FIND(",",SUBSTITUTE(F1700," ",""))+1,99),"🚕 Uber"),"")</f>
        <v/>
      </c>
      <c r="J1700" s="8">
        <f>IF(F1700&lt;&gt;"","https://api.qrserver.com/v1/create-qr-code/?size=200x200&amp;data="&amp;ENCODEURL("https://www.google.com/maps/search/?api=1&amp;query="&amp;SUBSTITUTE(F1700," ","")),"")</f>
        <v/>
      </c>
      <c r="K1700" s="8">
        <f>IF(C1700&lt;&gt;"",HYPERLINK("https://wa.me/507"&amp;REGEXREPLACE(C1700,"[^0-9]","")&amp;"?text="&amp;ENCODEURL("Ya llegue. Codigo: "&amp;A1700&amp;". Ubicacion: "&amp;"https://www.google.com/maps/search/?api=1&amp;query="&amp;SUBSTITUTE(F1700," ","")),"📲 Avisar al cliente"),"")</f>
        <v/>
      </c>
      <c r="L1700" s="8">
        <f>IF(C1700&lt;&gt;"","https://api.qrserver.com/v1/create-qr-code/?size=200x200&amp;data="&amp;ENCODEURL("https://wa.me/507"&amp;REGEXREPLACE(C1700,"[^0-9]","")&amp;"?text="&amp;ENCODEURL("Ya llegue. Codigo: "&amp;A1700&amp;". Ubicacion: "&amp;"https://www.google.com/maps/search/?api=1&amp;query="&amp;SUBSTITUTE(F1700," ",""))),"")</f>
        <v/>
      </c>
      <c r="M1700" s="8">
        <f>IF(B1700&lt;&gt;"",TODAY(),"")</f>
        <v/>
      </c>
      <c r="N1700" s="8">
        <f>IF(F1700&lt;&gt;"",IFERROR(IF(AND(REGEXMATCH(SUBSTITUTE(TRIM(F1700)," ",""),"^-?\d+(\.\d+)?,-?\d+(\.\d+)?$"),VALUE(REGEXEXTRACT(SUBSTITUTE(TRIM(F1700)," ",""),"^-?\d+(\.\d+)?"))&gt;=-90,VALUE(REGEXEXTRACT(SUBSTITUTE(TRIM(F1700)," ",""),"^-?\d+(\.\d+)?"))&lt;=90,VALUE(REGEXEXTRACT(SUBSTITUTE(TRIM(F1700)," ",""),"-?\d+(\.\d+)?$"))&gt;=-180,VALUE(REGEXEXTRACT(SUBSTITUTE(TRIM(F1700)," ",""),"-?\d+(\.\d+)?$"))&lt;=180),"OK","REVISAR"),"REVISAR"),"")</f>
        <v/>
      </c>
      <c r="O1700">
        <f>IF(A1700&lt;&gt;"","https://direcciones507.github.io/direcciones507/panel.html?codigo="&amp;A1700&amp;"&amp;nombre="&amp;ENCODEURL(B1700)&amp;"&amp;telefono="&amp;SUBSTITUTE(C1700,"-","")&amp;"&amp;referencia="&amp;ENCODEURL(E1700)&amp;"&amp;lat="&amp;IZQUIERDA(SUBSTITUTE(F1700," ",""),ENCONTRAR(",",SUBSTITUTE(F1700," ",""))-1)&amp;"&amp;lng="&amp;DERECHA(SUBSTITUTE(F1700," ",""),LARGO(SUBSTITUTE(F1700," ",""))-ENCONTRAR(",",SUBSTITUTE(F1700," ",""))),"")</f>
        <v/>
      </c>
    </row>
    <row r="1701" ht="15.75" customHeight="1" s="10">
      <c r="A1701" s="8">
        <f>CONCAT("AD507-",TEXT(ROW()-2,"0000"))</f>
        <v/>
      </c>
      <c r="C1701" s="8" t="n"/>
      <c r="F1701" s="8" t="n"/>
      <c r="G1701" s="8">
        <f>IF(F1701&lt;&gt;"",HYPERLINK("https://www.google.com/maps/search/?api=1&amp;query="&amp;SUBSTITUTE(F1701," ",""),"🗺 Google Maps"),"")</f>
        <v/>
      </c>
      <c r="H1701" s="8">
        <f>IF(F1701&lt;&gt;"",HYPERLINK("https://waze.com/ul?ll="&amp;SUBSTITUTE(F1701," ","")&amp;"&amp;navigate=yes","🚗 Waze"),"")</f>
        <v/>
      </c>
      <c r="I1701" s="8">
        <f>IF(F1701&lt;&gt;"",HYPERLINK("https://m.uber.com/ul/?action=setPickup&amp;pickup=my_location&amp;dropoff[latitude]="&amp;LEFT(SUBSTITUTE(F1701," ",""),FIND(",",SUBSTITUTE(F1701," ",""))-1)&amp;"&amp;dropoff[longitude]="&amp;MID(SUBSTITUTE(F1701," ",""),FIND(",",SUBSTITUTE(F1701," ",""))+1,99),"🚕 Uber"),"")</f>
        <v/>
      </c>
      <c r="J1701" s="8">
        <f>IF(F1701&lt;&gt;"","https://api.qrserver.com/v1/create-qr-code/?size=200x200&amp;data="&amp;ENCODEURL("https://www.google.com/maps/search/?api=1&amp;query="&amp;SUBSTITUTE(F1701," ","")),"")</f>
        <v/>
      </c>
      <c r="K1701" s="8">
        <f>IF(C1701&lt;&gt;"",HYPERLINK("https://wa.me/507"&amp;REGEXREPLACE(C1701,"[^0-9]","")&amp;"?text="&amp;ENCODEURL("Ya llegue. Codigo: "&amp;A1701&amp;". Ubicacion: "&amp;"https://www.google.com/maps/search/?api=1&amp;query="&amp;SUBSTITUTE(F1701," ","")),"📲 Avisar al cliente"),"")</f>
        <v/>
      </c>
      <c r="L1701" s="8">
        <f>IF(C1701&lt;&gt;"","https://api.qrserver.com/v1/create-qr-code/?size=200x200&amp;data="&amp;ENCODEURL("https://wa.me/507"&amp;REGEXREPLACE(C1701,"[^0-9]","")&amp;"?text="&amp;ENCODEURL("Ya llegue. Codigo: "&amp;A1701&amp;". Ubicacion: "&amp;"https://www.google.com/maps/search/?api=1&amp;query="&amp;SUBSTITUTE(F1701," ",""))),"")</f>
        <v/>
      </c>
      <c r="M1701" s="8">
        <f>IF(B1701&lt;&gt;"",TODAY(),"")</f>
        <v/>
      </c>
      <c r="N1701" s="8">
        <f>IF(F1701&lt;&gt;"",IFERROR(IF(AND(REGEXMATCH(SUBSTITUTE(TRIM(F1701)," ",""),"^-?\d+(\.\d+)?,-?\d+(\.\d+)?$"),VALUE(REGEXEXTRACT(SUBSTITUTE(TRIM(F1701)," ",""),"^-?\d+(\.\d+)?"))&gt;=-90,VALUE(REGEXEXTRACT(SUBSTITUTE(TRIM(F1701)," ",""),"^-?\d+(\.\d+)?"))&lt;=90,VALUE(REGEXEXTRACT(SUBSTITUTE(TRIM(F1701)," ",""),"-?\d+(\.\d+)?$"))&gt;=-180,VALUE(REGEXEXTRACT(SUBSTITUTE(TRIM(F1701)," ",""),"-?\d+(\.\d+)?$"))&lt;=180),"OK","REVISAR"),"REVISAR"),"")</f>
        <v/>
      </c>
      <c r="O1701">
        <f>IF(A1701&lt;&gt;"","https://direcciones507.github.io/direcciones507/panel.html?codigo="&amp;A1701&amp;"&amp;nombre="&amp;ENCODEURL(B1701)&amp;"&amp;telefono="&amp;SUBSTITUTE(C1701,"-","")&amp;"&amp;referencia="&amp;ENCODEURL(E1701)&amp;"&amp;lat="&amp;IZQUIERDA(SUBSTITUTE(F1701," ",""),ENCONTRAR(",",SUBSTITUTE(F1701," ",""))-1)&amp;"&amp;lng="&amp;DERECHA(SUBSTITUTE(F1701," ",""),LARGO(SUBSTITUTE(F1701," ",""))-ENCONTRAR(",",SUBSTITUTE(F1701," ",""))),"")</f>
        <v/>
      </c>
    </row>
    <row r="1702" ht="15.75" customHeight="1" s="10">
      <c r="A1702" s="8">
        <f>CONCAT("AD507-",TEXT(ROW()-2,"0000"))</f>
        <v/>
      </c>
      <c r="C1702" s="8" t="n"/>
      <c r="F1702" s="8" t="n"/>
      <c r="G1702" s="8">
        <f>IF(F1702&lt;&gt;"",HYPERLINK("https://www.google.com/maps/search/?api=1&amp;query="&amp;SUBSTITUTE(F1702," ",""),"🗺 Google Maps"),"")</f>
        <v/>
      </c>
      <c r="H1702" s="8">
        <f>IF(F1702&lt;&gt;"",HYPERLINK("https://waze.com/ul?ll="&amp;SUBSTITUTE(F1702," ","")&amp;"&amp;navigate=yes","🚗 Waze"),"")</f>
        <v/>
      </c>
      <c r="I1702" s="8">
        <f>IF(F1702&lt;&gt;"",HYPERLINK("https://m.uber.com/ul/?action=setPickup&amp;pickup=my_location&amp;dropoff[latitude]="&amp;LEFT(SUBSTITUTE(F1702," ",""),FIND(",",SUBSTITUTE(F1702," ",""))-1)&amp;"&amp;dropoff[longitude]="&amp;MID(SUBSTITUTE(F1702," ",""),FIND(",",SUBSTITUTE(F1702," ",""))+1,99),"🚕 Uber"),"")</f>
        <v/>
      </c>
      <c r="J1702" s="8">
        <f>IF(F1702&lt;&gt;"","https://api.qrserver.com/v1/create-qr-code/?size=200x200&amp;data="&amp;ENCODEURL("https://www.google.com/maps/search/?api=1&amp;query="&amp;SUBSTITUTE(F1702," ","")),"")</f>
        <v/>
      </c>
      <c r="K1702" s="8">
        <f>IF(C1702&lt;&gt;"",HYPERLINK("https://wa.me/507"&amp;REGEXREPLACE(C1702,"[^0-9]","")&amp;"?text="&amp;ENCODEURL("Ya llegue. Codigo: "&amp;A1702&amp;". Ubicacion: "&amp;"https://www.google.com/maps/search/?api=1&amp;query="&amp;SUBSTITUTE(F1702," ","")),"📲 Avisar al cliente"),"")</f>
        <v/>
      </c>
      <c r="L1702" s="8">
        <f>IF(C1702&lt;&gt;"","https://api.qrserver.com/v1/create-qr-code/?size=200x200&amp;data="&amp;ENCODEURL("https://wa.me/507"&amp;REGEXREPLACE(C1702,"[^0-9]","")&amp;"?text="&amp;ENCODEURL("Ya llegue. Codigo: "&amp;A1702&amp;". Ubicacion: "&amp;"https://www.google.com/maps/search/?api=1&amp;query="&amp;SUBSTITUTE(F1702," ",""))),"")</f>
        <v/>
      </c>
      <c r="M1702" s="8">
        <f>IF(B1702&lt;&gt;"",TODAY(),"")</f>
        <v/>
      </c>
      <c r="N1702" s="8">
        <f>IF(F1702&lt;&gt;"",IFERROR(IF(AND(REGEXMATCH(SUBSTITUTE(TRIM(F1702)," ",""),"^-?\d+(\.\d+)?,-?\d+(\.\d+)?$"),VALUE(REGEXEXTRACT(SUBSTITUTE(TRIM(F1702)," ",""),"^-?\d+(\.\d+)?"))&gt;=-90,VALUE(REGEXEXTRACT(SUBSTITUTE(TRIM(F1702)," ",""),"^-?\d+(\.\d+)?"))&lt;=90,VALUE(REGEXEXTRACT(SUBSTITUTE(TRIM(F1702)," ",""),"-?\d+(\.\d+)?$"))&gt;=-180,VALUE(REGEXEXTRACT(SUBSTITUTE(TRIM(F1702)," ",""),"-?\d+(\.\d+)?$"))&lt;=180),"OK","REVISAR"),"REVISAR"),"")</f>
        <v/>
      </c>
      <c r="O1702">
        <f>IF(A1702&lt;&gt;"","https://direcciones507.github.io/direcciones507/panel.html?codigo="&amp;A1702&amp;"&amp;nombre="&amp;ENCODEURL(B1702)&amp;"&amp;telefono="&amp;SUBSTITUTE(C1702,"-","")&amp;"&amp;referencia="&amp;ENCODEURL(E1702)&amp;"&amp;lat="&amp;IZQUIERDA(SUBSTITUTE(F1702," ",""),ENCONTRAR(",",SUBSTITUTE(F1702," ",""))-1)&amp;"&amp;lng="&amp;DERECHA(SUBSTITUTE(F1702," ",""),LARGO(SUBSTITUTE(F1702," ",""))-ENCONTRAR(",",SUBSTITUTE(F1702," ",""))),"")</f>
        <v/>
      </c>
    </row>
    <row r="1703" ht="15.75" customHeight="1" s="10">
      <c r="A1703" s="8">
        <f>CONCAT("AD507-",TEXT(ROW()-2,"0000"))</f>
        <v/>
      </c>
      <c r="C1703" s="8" t="n"/>
      <c r="F1703" s="8" t="n"/>
      <c r="G1703" s="8">
        <f>IF(F1703&lt;&gt;"",HYPERLINK("https://www.google.com/maps/search/?api=1&amp;query="&amp;SUBSTITUTE(F1703," ",""),"🗺 Google Maps"),"")</f>
        <v/>
      </c>
      <c r="H1703" s="8">
        <f>IF(F1703&lt;&gt;"",HYPERLINK("https://waze.com/ul?ll="&amp;SUBSTITUTE(F1703," ","")&amp;"&amp;navigate=yes","🚗 Waze"),"")</f>
        <v/>
      </c>
      <c r="I1703" s="8">
        <f>IF(F1703&lt;&gt;"",HYPERLINK("https://m.uber.com/ul/?action=setPickup&amp;pickup=my_location&amp;dropoff[latitude]="&amp;LEFT(SUBSTITUTE(F1703," ",""),FIND(",",SUBSTITUTE(F1703," ",""))-1)&amp;"&amp;dropoff[longitude]="&amp;MID(SUBSTITUTE(F1703," ",""),FIND(",",SUBSTITUTE(F1703," ",""))+1,99),"🚕 Uber"),"")</f>
        <v/>
      </c>
      <c r="J1703" s="8">
        <f>IF(F1703&lt;&gt;"","https://api.qrserver.com/v1/create-qr-code/?size=200x200&amp;data="&amp;ENCODEURL("https://www.google.com/maps/search/?api=1&amp;query="&amp;SUBSTITUTE(F1703," ","")),"")</f>
        <v/>
      </c>
      <c r="K1703" s="8">
        <f>IF(C1703&lt;&gt;"",HYPERLINK("https://wa.me/507"&amp;REGEXREPLACE(C1703,"[^0-9]","")&amp;"?text="&amp;ENCODEURL("Ya llegue. Codigo: "&amp;A1703&amp;". Ubicacion: "&amp;"https://www.google.com/maps/search/?api=1&amp;query="&amp;SUBSTITUTE(F1703," ","")),"📲 Avisar al cliente"),"")</f>
        <v/>
      </c>
      <c r="L1703" s="8">
        <f>IF(C1703&lt;&gt;"","https://api.qrserver.com/v1/create-qr-code/?size=200x200&amp;data="&amp;ENCODEURL("https://wa.me/507"&amp;REGEXREPLACE(C1703,"[^0-9]","")&amp;"?text="&amp;ENCODEURL("Ya llegue. Codigo: "&amp;A1703&amp;". Ubicacion: "&amp;"https://www.google.com/maps/search/?api=1&amp;query="&amp;SUBSTITUTE(F1703," ",""))),"")</f>
        <v/>
      </c>
      <c r="M1703" s="8">
        <f>IF(B1703&lt;&gt;"",TODAY(),"")</f>
        <v/>
      </c>
      <c r="N1703" s="8">
        <f>IF(F1703&lt;&gt;"",IFERROR(IF(AND(REGEXMATCH(SUBSTITUTE(TRIM(F1703)," ",""),"^-?\d+(\.\d+)?,-?\d+(\.\d+)?$"),VALUE(REGEXEXTRACT(SUBSTITUTE(TRIM(F1703)," ",""),"^-?\d+(\.\d+)?"))&gt;=-90,VALUE(REGEXEXTRACT(SUBSTITUTE(TRIM(F1703)," ",""),"^-?\d+(\.\d+)?"))&lt;=90,VALUE(REGEXEXTRACT(SUBSTITUTE(TRIM(F1703)," ",""),"-?\d+(\.\d+)?$"))&gt;=-180,VALUE(REGEXEXTRACT(SUBSTITUTE(TRIM(F1703)," ",""),"-?\d+(\.\d+)?$"))&lt;=180),"OK","REVISAR"),"REVISAR"),"")</f>
        <v/>
      </c>
      <c r="O1703">
        <f>IF(A1703&lt;&gt;"","https://direcciones507.github.io/direcciones507/panel.html?codigo="&amp;A1703&amp;"&amp;nombre="&amp;ENCODEURL(B1703)&amp;"&amp;telefono="&amp;SUBSTITUTE(C1703,"-","")&amp;"&amp;referencia="&amp;ENCODEURL(E1703)&amp;"&amp;lat="&amp;IZQUIERDA(SUBSTITUTE(F1703," ",""),ENCONTRAR(",",SUBSTITUTE(F1703," ",""))-1)&amp;"&amp;lng="&amp;DERECHA(SUBSTITUTE(F1703," ",""),LARGO(SUBSTITUTE(F1703," ",""))-ENCONTRAR(",",SUBSTITUTE(F1703," ",""))),"")</f>
        <v/>
      </c>
    </row>
    <row r="1704" ht="15.75" customHeight="1" s="10">
      <c r="A1704" s="8">
        <f>CONCAT("AD507-",TEXT(ROW()-2,"0000"))</f>
        <v/>
      </c>
      <c r="C1704" s="8" t="n"/>
      <c r="F1704" s="8" t="n"/>
      <c r="G1704" s="8">
        <f>IF(F1704&lt;&gt;"",HYPERLINK("https://www.google.com/maps/search/?api=1&amp;query="&amp;SUBSTITUTE(F1704," ",""),"🗺 Google Maps"),"")</f>
        <v/>
      </c>
      <c r="H1704" s="8">
        <f>IF(F1704&lt;&gt;"",HYPERLINK("https://waze.com/ul?ll="&amp;SUBSTITUTE(F1704," ","")&amp;"&amp;navigate=yes","🚗 Waze"),"")</f>
        <v/>
      </c>
      <c r="I1704" s="8">
        <f>IF(F1704&lt;&gt;"",HYPERLINK("https://m.uber.com/ul/?action=setPickup&amp;pickup=my_location&amp;dropoff[latitude]="&amp;LEFT(SUBSTITUTE(F1704," ",""),FIND(",",SUBSTITUTE(F1704," ",""))-1)&amp;"&amp;dropoff[longitude]="&amp;MID(SUBSTITUTE(F1704," ",""),FIND(",",SUBSTITUTE(F1704," ",""))+1,99),"🚕 Uber"),"")</f>
        <v/>
      </c>
      <c r="J1704" s="8">
        <f>IF(F1704&lt;&gt;"","https://api.qrserver.com/v1/create-qr-code/?size=200x200&amp;data="&amp;ENCODEURL("https://www.google.com/maps/search/?api=1&amp;query="&amp;SUBSTITUTE(F1704," ","")),"")</f>
        <v/>
      </c>
      <c r="K1704" s="8">
        <f>IF(C1704&lt;&gt;"",HYPERLINK("https://wa.me/507"&amp;REGEXREPLACE(C1704,"[^0-9]","")&amp;"?text="&amp;ENCODEURL("Ya llegue. Codigo: "&amp;A1704&amp;". Ubicacion: "&amp;"https://www.google.com/maps/search/?api=1&amp;query="&amp;SUBSTITUTE(F1704," ","")),"📲 Avisar al cliente"),"")</f>
        <v/>
      </c>
      <c r="L1704" s="8">
        <f>IF(C1704&lt;&gt;"","https://api.qrserver.com/v1/create-qr-code/?size=200x200&amp;data="&amp;ENCODEURL("https://wa.me/507"&amp;REGEXREPLACE(C1704,"[^0-9]","")&amp;"?text="&amp;ENCODEURL("Ya llegue. Codigo: "&amp;A1704&amp;". Ubicacion: "&amp;"https://www.google.com/maps/search/?api=1&amp;query="&amp;SUBSTITUTE(F1704," ",""))),"")</f>
        <v/>
      </c>
      <c r="M1704" s="8">
        <f>IF(B1704&lt;&gt;"",TODAY(),"")</f>
        <v/>
      </c>
      <c r="N1704" s="8">
        <f>IF(F1704&lt;&gt;"",IFERROR(IF(AND(REGEXMATCH(SUBSTITUTE(TRIM(F1704)," ",""),"^-?\d+(\.\d+)?,-?\d+(\.\d+)?$"),VALUE(REGEXEXTRACT(SUBSTITUTE(TRIM(F1704)," ",""),"^-?\d+(\.\d+)?"))&gt;=-90,VALUE(REGEXEXTRACT(SUBSTITUTE(TRIM(F1704)," ",""),"^-?\d+(\.\d+)?"))&lt;=90,VALUE(REGEXEXTRACT(SUBSTITUTE(TRIM(F1704)," ",""),"-?\d+(\.\d+)?$"))&gt;=-180,VALUE(REGEXEXTRACT(SUBSTITUTE(TRIM(F1704)," ",""),"-?\d+(\.\d+)?$"))&lt;=180),"OK","REVISAR"),"REVISAR"),"")</f>
        <v/>
      </c>
      <c r="O1704">
        <f>IF(A1704&lt;&gt;"","https://direcciones507.github.io/direcciones507/panel.html?codigo="&amp;A1704&amp;"&amp;nombre="&amp;ENCODEURL(B1704)&amp;"&amp;telefono="&amp;SUBSTITUTE(C1704,"-","")&amp;"&amp;referencia="&amp;ENCODEURL(E1704)&amp;"&amp;lat="&amp;IZQUIERDA(SUBSTITUTE(F1704," ",""),ENCONTRAR(",",SUBSTITUTE(F1704," ",""))-1)&amp;"&amp;lng="&amp;DERECHA(SUBSTITUTE(F1704," ",""),LARGO(SUBSTITUTE(F1704," ",""))-ENCONTRAR(",",SUBSTITUTE(F1704," ",""))),"")</f>
        <v/>
      </c>
    </row>
    <row r="1705" ht="15.75" customHeight="1" s="10">
      <c r="A1705" s="8">
        <f>CONCAT("AD507-",TEXT(ROW()-2,"0000"))</f>
        <v/>
      </c>
      <c r="C1705" s="8" t="n"/>
      <c r="F1705" s="8" t="n"/>
      <c r="G1705" s="8">
        <f>IF(F1705&lt;&gt;"",HYPERLINK("https://www.google.com/maps/search/?api=1&amp;query="&amp;SUBSTITUTE(F1705," ",""),"🗺 Google Maps"),"")</f>
        <v/>
      </c>
      <c r="H1705" s="8">
        <f>IF(F1705&lt;&gt;"",HYPERLINK("https://waze.com/ul?ll="&amp;SUBSTITUTE(F1705," ","")&amp;"&amp;navigate=yes","🚗 Waze"),"")</f>
        <v/>
      </c>
      <c r="I1705" s="8">
        <f>IF(F1705&lt;&gt;"",HYPERLINK("https://m.uber.com/ul/?action=setPickup&amp;pickup=my_location&amp;dropoff[latitude]="&amp;LEFT(SUBSTITUTE(F1705," ",""),FIND(",",SUBSTITUTE(F1705," ",""))-1)&amp;"&amp;dropoff[longitude]="&amp;MID(SUBSTITUTE(F1705," ",""),FIND(",",SUBSTITUTE(F1705," ",""))+1,99),"🚕 Uber"),"")</f>
        <v/>
      </c>
      <c r="J1705" s="8">
        <f>IF(F1705&lt;&gt;"","https://api.qrserver.com/v1/create-qr-code/?size=200x200&amp;data="&amp;ENCODEURL("https://www.google.com/maps/search/?api=1&amp;query="&amp;SUBSTITUTE(F1705," ","")),"")</f>
        <v/>
      </c>
      <c r="K1705" s="8">
        <f>IF(C1705&lt;&gt;"",HYPERLINK("https://wa.me/507"&amp;REGEXREPLACE(C1705,"[^0-9]","")&amp;"?text="&amp;ENCODEURL("Ya llegue. Codigo: "&amp;A1705&amp;". Ubicacion: "&amp;"https://www.google.com/maps/search/?api=1&amp;query="&amp;SUBSTITUTE(F1705," ","")),"📲 Avisar al cliente"),"")</f>
        <v/>
      </c>
      <c r="L1705" s="8">
        <f>IF(C1705&lt;&gt;"","https://api.qrserver.com/v1/create-qr-code/?size=200x200&amp;data="&amp;ENCODEURL("https://wa.me/507"&amp;REGEXREPLACE(C1705,"[^0-9]","")&amp;"?text="&amp;ENCODEURL("Ya llegue. Codigo: "&amp;A1705&amp;". Ubicacion: "&amp;"https://www.google.com/maps/search/?api=1&amp;query="&amp;SUBSTITUTE(F1705," ",""))),"")</f>
        <v/>
      </c>
      <c r="M1705" s="8">
        <f>IF(B1705&lt;&gt;"",TODAY(),"")</f>
        <v/>
      </c>
      <c r="N1705" s="8">
        <f>IF(F1705&lt;&gt;"",IFERROR(IF(AND(REGEXMATCH(SUBSTITUTE(TRIM(F1705)," ",""),"^-?\d+(\.\d+)?,-?\d+(\.\d+)?$"),VALUE(REGEXEXTRACT(SUBSTITUTE(TRIM(F1705)," ",""),"^-?\d+(\.\d+)?"))&gt;=-90,VALUE(REGEXEXTRACT(SUBSTITUTE(TRIM(F1705)," ",""),"^-?\d+(\.\d+)?"))&lt;=90,VALUE(REGEXEXTRACT(SUBSTITUTE(TRIM(F1705)," ",""),"-?\d+(\.\d+)?$"))&gt;=-180,VALUE(REGEXEXTRACT(SUBSTITUTE(TRIM(F1705)," ",""),"-?\d+(\.\d+)?$"))&lt;=180),"OK","REVISAR"),"REVISAR"),"")</f>
        <v/>
      </c>
      <c r="O1705">
        <f>IF(A1705&lt;&gt;"","https://direcciones507.github.io/direcciones507/panel.html?codigo="&amp;A1705&amp;"&amp;nombre="&amp;ENCODEURL(B1705)&amp;"&amp;telefono="&amp;SUBSTITUTE(C1705,"-","")&amp;"&amp;referencia="&amp;ENCODEURL(E1705)&amp;"&amp;lat="&amp;IZQUIERDA(SUBSTITUTE(F1705," ",""),ENCONTRAR(",",SUBSTITUTE(F1705," ",""))-1)&amp;"&amp;lng="&amp;DERECHA(SUBSTITUTE(F1705," ",""),LARGO(SUBSTITUTE(F1705," ",""))-ENCONTRAR(",",SUBSTITUTE(F1705," ",""))),"")</f>
        <v/>
      </c>
    </row>
    <row r="1706" ht="15.75" customHeight="1" s="10">
      <c r="A1706" s="8">
        <f>CONCAT("AD507-",TEXT(ROW()-2,"0000"))</f>
        <v/>
      </c>
      <c r="C1706" s="8" t="n"/>
      <c r="F1706" s="8" t="n"/>
      <c r="G1706" s="8">
        <f>IF(F1706&lt;&gt;"",HYPERLINK("https://www.google.com/maps/search/?api=1&amp;query="&amp;SUBSTITUTE(F1706," ",""),"🗺 Google Maps"),"")</f>
        <v/>
      </c>
      <c r="H1706" s="8">
        <f>IF(F1706&lt;&gt;"",HYPERLINK("https://waze.com/ul?ll="&amp;SUBSTITUTE(F1706," ","")&amp;"&amp;navigate=yes","🚗 Waze"),"")</f>
        <v/>
      </c>
      <c r="I1706" s="8">
        <f>IF(F1706&lt;&gt;"",HYPERLINK("https://m.uber.com/ul/?action=setPickup&amp;pickup=my_location&amp;dropoff[latitude]="&amp;LEFT(SUBSTITUTE(F1706," ",""),FIND(",",SUBSTITUTE(F1706," ",""))-1)&amp;"&amp;dropoff[longitude]="&amp;MID(SUBSTITUTE(F1706," ",""),FIND(",",SUBSTITUTE(F1706," ",""))+1,99),"🚕 Uber"),"")</f>
        <v/>
      </c>
      <c r="J1706" s="8">
        <f>IF(F1706&lt;&gt;"","https://api.qrserver.com/v1/create-qr-code/?size=200x200&amp;data="&amp;ENCODEURL("https://www.google.com/maps/search/?api=1&amp;query="&amp;SUBSTITUTE(F1706," ","")),"")</f>
        <v/>
      </c>
      <c r="K1706" s="8">
        <f>IF(C1706&lt;&gt;"",HYPERLINK("https://wa.me/507"&amp;REGEXREPLACE(C1706,"[^0-9]","")&amp;"?text="&amp;ENCODEURL("Ya llegue. Codigo: "&amp;A1706&amp;". Ubicacion: "&amp;"https://www.google.com/maps/search/?api=1&amp;query="&amp;SUBSTITUTE(F1706," ","")),"📲 Avisar al cliente"),"")</f>
        <v/>
      </c>
      <c r="L1706" s="8">
        <f>IF(C1706&lt;&gt;"","https://api.qrserver.com/v1/create-qr-code/?size=200x200&amp;data="&amp;ENCODEURL("https://wa.me/507"&amp;REGEXREPLACE(C1706,"[^0-9]","")&amp;"?text="&amp;ENCODEURL("Ya llegue. Codigo: "&amp;A1706&amp;". Ubicacion: "&amp;"https://www.google.com/maps/search/?api=1&amp;query="&amp;SUBSTITUTE(F1706," ",""))),"")</f>
        <v/>
      </c>
      <c r="M1706" s="8">
        <f>IF(B1706&lt;&gt;"",TODAY(),"")</f>
        <v/>
      </c>
      <c r="N1706" s="8">
        <f>IF(F1706&lt;&gt;"",IFERROR(IF(AND(REGEXMATCH(SUBSTITUTE(TRIM(F1706)," ",""),"^-?\d+(\.\d+)?,-?\d+(\.\d+)?$"),VALUE(REGEXEXTRACT(SUBSTITUTE(TRIM(F1706)," ",""),"^-?\d+(\.\d+)?"))&gt;=-90,VALUE(REGEXEXTRACT(SUBSTITUTE(TRIM(F1706)," ",""),"^-?\d+(\.\d+)?"))&lt;=90,VALUE(REGEXEXTRACT(SUBSTITUTE(TRIM(F1706)," ",""),"-?\d+(\.\d+)?$"))&gt;=-180,VALUE(REGEXEXTRACT(SUBSTITUTE(TRIM(F1706)," ",""),"-?\d+(\.\d+)?$"))&lt;=180),"OK","REVISAR"),"REVISAR"),"")</f>
        <v/>
      </c>
      <c r="O1706">
        <f>IF(A1706&lt;&gt;"","https://direcciones507.github.io/direcciones507/panel.html?codigo="&amp;A1706&amp;"&amp;nombre="&amp;ENCODEURL(B1706)&amp;"&amp;telefono="&amp;SUBSTITUTE(C1706,"-","")&amp;"&amp;referencia="&amp;ENCODEURL(E1706)&amp;"&amp;lat="&amp;IZQUIERDA(SUBSTITUTE(F1706," ",""),ENCONTRAR(",",SUBSTITUTE(F1706," ",""))-1)&amp;"&amp;lng="&amp;DERECHA(SUBSTITUTE(F1706," ",""),LARGO(SUBSTITUTE(F1706," ",""))-ENCONTRAR(",",SUBSTITUTE(F1706," ",""))),"")</f>
        <v/>
      </c>
    </row>
    <row r="1707" ht="15.75" customHeight="1" s="10">
      <c r="A1707" s="8">
        <f>CONCAT("AD507-",TEXT(ROW()-2,"0000"))</f>
        <v/>
      </c>
      <c r="C1707" s="8" t="n"/>
      <c r="F1707" s="8" t="n"/>
      <c r="G1707" s="8">
        <f>IF(F1707&lt;&gt;"",HYPERLINK("https://www.google.com/maps/search/?api=1&amp;query="&amp;SUBSTITUTE(F1707," ",""),"🗺 Google Maps"),"")</f>
        <v/>
      </c>
      <c r="H1707" s="8">
        <f>IF(F1707&lt;&gt;"",HYPERLINK("https://waze.com/ul?ll="&amp;SUBSTITUTE(F1707," ","")&amp;"&amp;navigate=yes","🚗 Waze"),"")</f>
        <v/>
      </c>
      <c r="I1707" s="8">
        <f>IF(F1707&lt;&gt;"",HYPERLINK("https://m.uber.com/ul/?action=setPickup&amp;pickup=my_location&amp;dropoff[latitude]="&amp;LEFT(SUBSTITUTE(F1707," ",""),FIND(",",SUBSTITUTE(F1707," ",""))-1)&amp;"&amp;dropoff[longitude]="&amp;MID(SUBSTITUTE(F1707," ",""),FIND(",",SUBSTITUTE(F1707," ",""))+1,99),"🚕 Uber"),"")</f>
        <v/>
      </c>
      <c r="J1707" s="8">
        <f>IF(F1707&lt;&gt;"","https://api.qrserver.com/v1/create-qr-code/?size=200x200&amp;data="&amp;ENCODEURL("https://www.google.com/maps/search/?api=1&amp;query="&amp;SUBSTITUTE(F1707," ","")),"")</f>
        <v/>
      </c>
      <c r="K1707" s="8">
        <f>IF(C1707&lt;&gt;"",HYPERLINK("https://wa.me/507"&amp;REGEXREPLACE(C1707,"[^0-9]","")&amp;"?text="&amp;ENCODEURL("Ya llegue. Codigo: "&amp;A1707&amp;". Ubicacion: "&amp;"https://www.google.com/maps/search/?api=1&amp;query="&amp;SUBSTITUTE(F1707," ","")),"📲 Avisar al cliente"),"")</f>
        <v/>
      </c>
      <c r="L1707" s="8">
        <f>IF(C1707&lt;&gt;"","https://api.qrserver.com/v1/create-qr-code/?size=200x200&amp;data="&amp;ENCODEURL("https://wa.me/507"&amp;REGEXREPLACE(C1707,"[^0-9]","")&amp;"?text="&amp;ENCODEURL("Ya llegue. Codigo: "&amp;A1707&amp;". Ubicacion: "&amp;"https://www.google.com/maps/search/?api=1&amp;query="&amp;SUBSTITUTE(F1707," ",""))),"")</f>
        <v/>
      </c>
      <c r="M1707" s="8">
        <f>IF(B1707&lt;&gt;"",TODAY(),"")</f>
        <v/>
      </c>
      <c r="N1707" s="8">
        <f>IF(F1707&lt;&gt;"",IFERROR(IF(AND(REGEXMATCH(SUBSTITUTE(TRIM(F1707)," ",""),"^-?\d+(\.\d+)?,-?\d+(\.\d+)?$"),VALUE(REGEXEXTRACT(SUBSTITUTE(TRIM(F1707)," ",""),"^-?\d+(\.\d+)?"))&gt;=-90,VALUE(REGEXEXTRACT(SUBSTITUTE(TRIM(F1707)," ",""),"^-?\d+(\.\d+)?"))&lt;=90,VALUE(REGEXEXTRACT(SUBSTITUTE(TRIM(F1707)," ",""),"-?\d+(\.\d+)?$"))&gt;=-180,VALUE(REGEXEXTRACT(SUBSTITUTE(TRIM(F1707)," ",""),"-?\d+(\.\d+)?$"))&lt;=180),"OK","REVISAR"),"REVISAR"),"")</f>
        <v/>
      </c>
      <c r="O1707">
        <f>IF(A1707&lt;&gt;"","https://direcciones507.github.io/direcciones507/panel.html?codigo="&amp;A1707&amp;"&amp;nombre="&amp;ENCODEURL(B1707)&amp;"&amp;telefono="&amp;SUBSTITUTE(C1707,"-","")&amp;"&amp;referencia="&amp;ENCODEURL(E1707)&amp;"&amp;lat="&amp;IZQUIERDA(SUBSTITUTE(F1707," ",""),ENCONTRAR(",",SUBSTITUTE(F1707," ",""))-1)&amp;"&amp;lng="&amp;DERECHA(SUBSTITUTE(F1707," ",""),LARGO(SUBSTITUTE(F1707," ",""))-ENCONTRAR(",",SUBSTITUTE(F1707," ",""))),"")</f>
        <v/>
      </c>
    </row>
    <row r="1708" ht="15.75" customHeight="1" s="10">
      <c r="A1708" s="8">
        <f>CONCAT("AD507-",TEXT(ROW()-2,"0000"))</f>
        <v/>
      </c>
      <c r="C1708" s="8" t="n"/>
      <c r="F1708" s="8" t="n"/>
      <c r="G1708" s="8">
        <f>IF(F1708&lt;&gt;"",HYPERLINK("https://www.google.com/maps/search/?api=1&amp;query="&amp;SUBSTITUTE(F1708," ",""),"🗺 Google Maps"),"")</f>
        <v/>
      </c>
      <c r="H1708" s="8">
        <f>IF(F1708&lt;&gt;"",HYPERLINK("https://waze.com/ul?ll="&amp;SUBSTITUTE(F1708," ","")&amp;"&amp;navigate=yes","🚗 Waze"),"")</f>
        <v/>
      </c>
      <c r="I1708" s="8">
        <f>IF(F1708&lt;&gt;"",HYPERLINK("https://m.uber.com/ul/?action=setPickup&amp;pickup=my_location&amp;dropoff[latitude]="&amp;LEFT(SUBSTITUTE(F1708," ",""),FIND(",",SUBSTITUTE(F1708," ",""))-1)&amp;"&amp;dropoff[longitude]="&amp;MID(SUBSTITUTE(F1708," ",""),FIND(",",SUBSTITUTE(F1708," ",""))+1,99),"🚕 Uber"),"")</f>
        <v/>
      </c>
      <c r="J1708" s="8">
        <f>IF(F1708&lt;&gt;"","https://api.qrserver.com/v1/create-qr-code/?size=200x200&amp;data="&amp;ENCODEURL("https://www.google.com/maps/search/?api=1&amp;query="&amp;SUBSTITUTE(F1708," ","")),"")</f>
        <v/>
      </c>
      <c r="K1708" s="8">
        <f>IF(C1708&lt;&gt;"",HYPERLINK("https://wa.me/507"&amp;REGEXREPLACE(C1708,"[^0-9]","")&amp;"?text="&amp;ENCODEURL("Ya llegue. Codigo: "&amp;A1708&amp;". Ubicacion: "&amp;"https://www.google.com/maps/search/?api=1&amp;query="&amp;SUBSTITUTE(F1708," ","")),"📲 Avisar al cliente"),"")</f>
        <v/>
      </c>
      <c r="L1708" s="8">
        <f>IF(C1708&lt;&gt;"","https://api.qrserver.com/v1/create-qr-code/?size=200x200&amp;data="&amp;ENCODEURL("https://wa.me/507"&amp;REGEXREPLACE(C1708,"[^0-9]","")&amp;"?text="&amp;ENCODEURL("Ya llegue. Codigo: "&amp;A1708&amp;". Ubicacion: "&amp;"https://www.google.com/maps/search/?api=1&amp;query="&amp;SUBSTITUTE(F1708," ",""))),"")</f>
        <v/>
      </c>
      <c r="M1708" s="8">
        <f>IF(B1708&lt;&gt;"",TODAY(),"")</f>
        <v/>
      </c>
      <c r="N1708" s="8">
        <f>IF(F1708&lt;&gt;"",IFERROR(IF(AND(REGEXMATCH(SUBSTITUTE(TRIM(F1708)," ",""),"^-?\d+(\.\d+)?,-?\d+(\.\d+)?$"),VALUE(REGEXEXTRACT(SUBSTITUTE(TRIM(F1708)," ",""),"^-?\d+(\.\d+)?"))&gt;=-90,VALUE(REGEXEXTRACT(SUBSTITUTE(TRIM(F1708)," ",""),"^-?\d+(\.\d+)?"))&lt;=90,VALUE(REGEXEXTRACT(SUBSTITUTE(TRIM(F1708)," ",""),"-?\d+(\.\d+)?$"))&gt;=-180,VALUE(REGEXEXTRACT(SUBSTITUTE(TRIM(F1708)," ",""),"-?\d+(\.\d+)?$"))&lt;=180),"OK","REVISAR"),"REVISAR"),"")</f>
        <v/>
      </c>
      <c r="O1708">
        <f>IF(A1708&lt;&gt;"","https://direcciones507.github.io/direcciones507/panel.html?codigo="&amp;A1708&amp;"&amp;nombre="&amp;ENCODEURL(B1708)&amp;"&amp;telefono="&amp;SUBSTITUTE(C1708,"-","")&amp;"&amp;referencia="&amp;ENCODEURL(E1708)&amp;"&amp;lat="&amp;IZQUIERDA(SUBSTITUTE(F1708," ",""),ENCONTRAR(",",SUBSTITUTE(F1708," ",""))-1)&amp;"&amp;lng="&amp;DERECHA(SUBSTITUTE(F1708," ",""),LARGO(SUBSTITUTE(F1708," ",""))-ENCONTRAR(",",SUBSTITUTE(F1708," ",""))),"")</f>
        <v/>
      </c>
    </row>
    <row r="1709" ht="15.75" customHeight="1" s="10">
      <c r="A1709" s="8">
        <f>CONCAT("AD507-",TEXT(ROW()-2,"0000"))</f>
        <v/>
      </c>
      <c r="C1709" s="8" t="n"/>
      <c r="F1709" s="8" t="n"/>
      <c r="G1709" s="8">
        <f>IF(F1709&lt;&gt;"",HYPERLINK("https://www.google.com/maps/search/?api=1&amp;query="&amp;SUBSTITUTE(F1709," ",""),"🗺 Google Maps"),"")</f>
        <v/>
      </c>
      <c r="H1709" s="8">
        <f>IF(F1709&lt;&gt;"",HYPERLINK("https://waze.com/ul?ll="&amp;SUBSTITUTE(F1709," ","")&amp;"&amp;navigate=yes","🚗 Waze"),"")</f>
        <v/>
      </c>
      <c r="I1709" s="8">
        <f>IF(F1709&lt;&gt;"",HYPERLINK("https://m.uber.com/ul/?action=setPickup&amp;pickup=my_location&amp;dropoff[latitude]="&amp;LEFT(SUBSTITUTE(F1709," ",""),FIND(",",SUBSTITUTE(F1709," ",""))-1)&amp;"&amp;dropoff[longitude]="&amp;MID(SUBSTITUTE(F1709," ",""),FIND(",",SUBSTITUTE(F1709," ",""))+1,99),"🚕 Uber"),"")</f>
        <v/>
      </c>
      <c r="J1709" s="8">
        <f>IF(F1709&lt;&gt;"","https://api.qrserver.com/v1/create-qr-code/?size=200x200&amp;data="&amp;ENCODEURL("https://www.google.com/maps/search/?api=1&amp;query="&amp;SUBSTITUTE(F1709," ","")),"")</f>
        <v/>
      </c>
      <c r="K1709" s="8">
        <f>IF(C1709&lt;&gt;"",HYPERLINK("https://wa.me/507"&amp;REGEXREPLACE(C1709,"[^0-9]","")&amp;"?text="&amp;ENCODEURL("Ya llegue. Codigo: "&amp;A1709&amp;". Ubicacion: "&amp;"https://www.google.com/maps/search/?api=1&amp;query="&amp;SUBSTITUTE(F1709," ","")),"📲 Avisar al cliente"),"")</f>
        <v/>
      </c>
      <c r="L1709" s="8">
        <f>IF(C1709&lt;&gt;"","https://api.qrserver.com/v1/create-qr-code/?size=200x200&amp;data="&amp;ENCODEURL("https://wa.me/507"&amp;REGEXREPLACE(C1709,"[^0-9]","")&amp;"?text="&amp;ENCODEURL("Ya llegue. Codigo: "&amp;A1709&amp;". Ubicacion: "&amp;"https://www.google.com/maps/search/?api=1&amp;query="&amp;SUBSTITUTE(F1709," ",""))),"")</f>
        <v/>
      </c>
      <c r="M1709" s="8">
        <f>IF(B1709&lt;&gt;"",TODAY(),"")</f>
        <v/>
      </c>
      <c r="N1709" s="8">
        <f>IF(F1709&lt;&gt;"",IFERROR(IF(AND(REGEXMATCH(SUBSTITUTE(TRIM(F1709)," ",""),"^-?\d+(\.\d+)?,-?\d+(\.\d+)?$"),VALUE(REGEXEXTRACT(SUBSTITUTE(TRIM(F1709)," ",""),"^-?\d+(\.\d+)?"))&gt;=-90,VALUE(REGEXEXTRACT(SUBSTITUTE(TRIM(F1709)," ",""),"^-?\d+(\.\d+)?"))&lt;=90,VALUE(REGEXEXTRACT(SUBSTITUTE(TRIM(F1709)," ",""),"-?\d+(\.\d+)?$"))&gt;=-180,VALUE(REGEXEXTRACT(SUBSTITUTE(TRIM(F1709)," ",""),"-?\d+(\.\d+)?$"))&lt;=180),"OK","REVISAR"),"REVISAR"),"")</f>
        <v/>
      </c>
      <c r="O1709">
        <f>IF(A1709&lt;&gt;"","https://direcciones507.github.io/direcciones507/panel.html?codigo="&amp;A1709&amp;"&amp;nombre="&amp;ENCODEURL(B1709)&amp;"&amp;telefono="&amp;SUBSTITUTE(C1709,"-","")&amp;"&amp;referencia="&amp;ENCODEURL(E1709)&amp;"&amp;lat="&amp;IZQUIERDA(SUBSTITUTE(F1709," ",""),ENCONTRAR(",",SUBSTITUTE(F1709," ",""))-1)&amp;"&amp;lng="&amp;DERECHA(SUBSTITUTE(F1709," ",""),LARGO(SUBSTITUTE(F1709," ",""))-ENCONTRAR(",",SUBSTITUTE(F1709," ",""))),"")</f>
        <v/>
      </c>
    </row>
    <row r="1710" ht="15.75" customHeight="1" s="10">
      <c r="A1710" s="8">
        <f>CONCAT("AD507-",TEXT(ROW()-2,"0000"))</f>
        <v/>
      </c>
      <c r="C1710" s="8" t="n"/>
      <c r="F1710" s="8" t="n"/>
      <c r="G1710" s="8">
        <f>IF(F1710&lt;&gt;"",HYPERLINK("https://www.google.com/maps/search/?api=1&amp;query="&amp;SUBSTITUTE(F1710," ",""),"🗺 Google Maps"),"")</f>
        <v/>
      </c>
      <c r="H1710" s="8">
        <f>IF(F1710&lt;&gt;"",HYPERLINK("https://waze.com/ul?ll="&amp;SUBSTITUTE(F1710," ","")&amp;"&amp;navigate=yes","🚗 Waze"),"")</f>
        <v/>
      </c>
      <c r="I1710" s="8">
        <f>IF(F1710&lt;&gt;"",HYPERLINK("https://m.uber.com/ul/?action=setPickup&amp;pickup=my_location&amp;dropoff[latitude]="&amp;LEFT(SUBSTITUTE(F1710," ",""),FIND(",",SUBSTITUTE(F1710," ",""))-1)&amp;"&amp;dropoff[longitude]="&amp;MID(SUBSTITUTE(F1710," ",""),FIND(",",SUBSTITUTE(F1710," ",""))+1,99),"🚕 Uber"),"")</f>
        <v/>
      </c>
      <c r="J1710" s="8">
        <f>IF(F1710&lt;&gt;"","https://api.qrserver.com/v1/create-qr-code/?size=200x200&amp;data="&amp;ENCODEURL("https://www.google.com/maps/search/?api=1&amp;query="&amp;SUBSTITUTE(F1710," ","")),"")</f>
        <v/>
      </c>
      <c r="K1710" s="8">
        <f>IF(C1710&lt;&gt;"",HYPERLINK("https://wa.me/507"&amp;REGEXREPLACE(C1710,"[^0-9]","")&amp;"?text="&amp;ENCODEURL("Ya llegue. Codigo: "&amp;A1710&amp;". Ubicacion: "&amp;"https://www.google.com/maps/search/?api=1&amp;query="&amp;SUBSTITUTE(F1710," ","")),"📲 Avisar al cliente"),"")</f>
        <v/>
      </c>
      <c r="L1710" s="8">
        <f>IF(C1710&lt;&gt;"","https://api.qrserver.com/v1/create-qr-code/?size=200x200&amp;data="&amp;ENCODEURL("https://wa.me/507"&amp;REGEXREPLACE(C1710,"[^0-9]","")&amp;"?text="&amp;ENCODEURL("Ya llegue. Codigo: "&amp;A1710&amp;". Ubicacion: "&amp;"https://www.google.com/maps/search/?api=1&amp;query="&amp;SUBSTITUTE(F1710," ",""))),"")</f>
        <v/>
      </c>
      <c r="M1710" s="8">
        <f>IF(B1710&lt;&gt;"",TODAY(),"")</f>
        <v/>
      </c>
      <c r="N1710" s="8">
        <f>IF(F1710&lt;&gt;"",IFERROR(IF(AND(REGEXMATCH(SUBSTITUTE(TRIM(F1710)," ",""),"^-?\d+(\.\d+)?,-?\d+(\.\d+)?$"),VALUE(REGEXEXTRACT(SUBSTITUTE(TRIM(F1710)," ",""),"^-?\d+(\.\d+)?"))&gt;=-90,VALUE(REGEXEXTRACT(SUBSTITUTE(TRIM(F1710)," ",""),"^-?\d+(\.\d+)?"))&lt;=90,VALUE(REGEXEXTRACT(SUBSTITUTE(TRIM(F1710)," ",""),"-?\d+(\.\d+)?$"))&gt;=-180,VALUE(REGEXEXTRACT(SUBSTITUTE(TRIM(F1710)," ",""),"-?\d+(\.\d+)?$"))&lt;=180),"OK","REVISAR"),"REVISAR"),"")</f>
        <v/>
      </c>
      <c r="O1710">
        <f>IF(A1710&lt;&gt;"","https://direcciones507.github.io/direcciones507/panel.html?codigo="&amp;A1710&amp;"&amp;nombre="&amp;ENCODEURL(B1710)&amp;"&amp;telefono="&amp;SUBSTITUTE(C1710,"-","")&amp;"&amp;referencia="&amp;ENCODEURL(E1710)&amp;"&amp;lat="&amp;IZQUIERDA(SUBSTITUTE(F1710," ",""),ENCONTRAR(",",SUBSTITUTE(F1710," ",""))-1)&amp;"&amp;lng="&amp;DERECHA(SUBSTITUTE(F1710," ",""),LARGO(SUBSTITUTE(F1710," ",""))-ENCONTRAR(",",SUBSTITUTE(F1710," ",""))),"")</f>
        <v/>
      </c>
    </row>
    <row r="1711" ht="15.75" customHeight="1" s="10">
      <c r="A1711" s="8">
        <f>CONCAT("AD507-",TEXT(ROW()-2,"0000"))</f>
        <v/>
      </c>
      <c r="C1711" s="8" t="n"/>
      <c r="F1711" s="8" t="n"/>
      <c r="G1711" s="8">
        <f>IF(F1711&lt;&gt;"",HYPERLINK("https://www.google.com/maps/search/?api=1&amp;query="&amp;SUBSTITUTE(F1711," ",""),"🗺 Google Maps"),"")</f>
        <v/>
      </c>
      <c r="H1711" s="8">
        <f>IF(F1711&lt;&gt;"",HYPERLINK("https://waze.com/ul?ll="&amp;SUBSTITUTE(F1711," ","")&amp;"&amp;navigate=yes","🚗 Waze"),"")</f>
        <v/>
      </c>
      <c r="I1711" s="8">
        <f>IF(F1711&lt;&gt;"",HYPERLINK("https://m.uber.com/ul/?action=setPickup&amp;pickup=my_location&amp;dropoff[latitude]="&amp;LEFT(SUBSTITUTE(F1711," ",""),FIND(",",SUBSTITUTE(F1711," ",""))-1)&amp;"&amp;dropoff[longitude]="&amp;MID(SUBSTITUTE(F1711," ",""),FIND(",",SUBSTITUTE(F1711," ",""))+1,99),"🚕 Uber"),"")</f>
        <v/>
      </c>
      <c r="J1711" s="8">
        <f>IF(F1711&lt;&gt;"","https://api.qrserver.com/v1/create-qr-code/?size=200x200&amp;data="&amp;ENCODEURL("https://www.google.com/maps/search/?api=1&amp;query="&amp;SUBSTITUTE(F1711," ","")),"")</f>
        <v/>
      </c>
      <c r="K1711" s="8">
        <f>IF(C1711&lt;&gt;"",HYPERLINK("https://wa.me/507"&amp;REGEXREPLACE(C1711,"[^0-9]","")&amp;"?text="&amp;ENCODEURL("Ya llegue. Codigo: "&amp;A1711&amp;". Ubicacion: "&amp;"https://www.google.com/maps/search/?api=1&amp;query="&amp;SUBSTITUTE(F1711," ","")),"📲 Avisar al cliente"),"")</f>
        <v/>
      </c>
      <c r="L1711" s="8">
        <f>IF(C1711&lt;&gt;"","https://api.qrserver.com/v1/create-qr-code/?size=200x200&amp;data="&amp;ENCODEURL("https://wa.me/507"&amp;REGEXREPLACE(C1711,"[^0-9]","")&amp;"?text="&amp;ENCODEURL("Ya llegue. Codigo: "&amp;A1711&amp;". Ubicacion: "&amp;"https://www.google.com/maps/search/?api=1&amp;query="&amp;SUBSTITUTE(F1711," ",""))),"")</f>
        <v/>
      </c>
      <c r="M1711" s="8">
        <f>IF(B1711&lt;&gt;"",TODAY(),"")</f>
        <v/>
      </c>
      <c r="N1711" s="8">
        <f>IF(F1711&lt;&gt;"",IFERROR(IF(AND(REGEXMATCH(SUBSTITUTE(TRIM(F1711)," ",""),"^-?\d+(\.\d+)?,-?\d+(\.\d+)?$"),VALUE(REGEXEXTRACT(SUBSTITUTE(TRIM(F1711)," ",""),"^-?\d+(\.\d+)?"))&gt;=-90,VALUE(REGEXEXTRACT(SUBSTITUTE(TRIM(F1711)," ",""),"^-?\d+(\.\d+)?"))&lt;=90,VALUE(REGEXEXTRACT(SUBSTITUTE(TRIM(F1711)," ",""),"-?\d+(\.\d+)?$"))&gt;=-180,VALUE(REGEXEXTRACT(SUBSTITUTE(TRIM(F1711)," ",""),"-?\d+(\.\d+)?$"))&lt;=180),"OK","REVISAR"),"REVISAR"),"")</f>
        <v/>
      </c>
      <c r="O1711">
        <f>IF(A1711&lt;&gt;"","https://direcciones507.github.io/direcciones507/panel.html?codigo="&amp;A1711&amp;"&amp;nombre="&amp;ENCODEURL(B1711)&amp;"&amp;telefono="&amp;SUBSTITUTE(C1711,"-","")&amp;"&amp;referencia="&amp;ENCODEURL(E1711)&amp;"&amp;lat="&amp;IZQUIERDA(SUBSTITUTE(F1711," ",""),ENCONTRAR(",",SUBSTITUTE(F1711," ",""))-1)&amp;"&amp;lng="&amp;DERECHA(SUBSTITUTE(F1711," ",""),LARGO(SUBSTITUTE(F1711," ",""))-ENCONTRAR(",",SUBSTITUTE(F1711," ",""))),"")</f>
        <v/>
      </c>
    </row>
    <row r="1712" ht="15.75" customHeight="1" s="10">
      <c r="A1712" s="8">
        <f>CONCAT("AD507-",TEXT(ROW()-2,"0000"))</f>
        <v/>
      </c>
      <c r="C1712" s="8" t="n"/>
      <c r="F1712" s="8" t="n"/>
      <c r="G1712" s="8">
        <f>IF(F1712&lt;&gt;"",HYPERLINK("https://www.google.com/maps/search/?api=1&amp;query="&amp;SUBSTITUTE(F1712," ",""),"🗺 Google Maps"),"")</f>
        <v/>
      </c>
      <c r="H1712" s="8">
        <f>IF(F1712&lt;&gt;"",HYPERLINK("https://waze.com/ul?ll="&amp;SUBSTITUTE(F1712," ","")&amp;"&amp;navigate=yes","🚗 Waze"),"")</f>
        <v/>
      </c>
      <c r="I1712" s="8">
        <f>IF(F1712&lt;&gt;"",HYPERLINK("https://m.uber.com/ul/?action=setPickup&amp;pickup=my_location&amp;dropoff[latitude]="&amp;LEFT(SUBSTITUTE(F1712," ",""),FIND(",",SUBSTITUTE(F1712," ",""))-1)&amp;"&amp;dropoff[longitude]="&amp;MID(SUBSTITUTE(F1712," ",""),FIND(",",SUBSTITUTE(F1712," ",""))+1,99),"🚕 Uber"),"")</f>
        <v/>
      </c>
      <c r="J1712" s="8">
        <f>IF(F1712&lt;&gt;"","https://api.qrserver.com/v1/create-qr-code/?size=200x200&amp;data="&amp;ENCODEURL("https://www.google.com/maps/search/?api=1&amp;query="&amp;SUBSTITUTE(F1712," ","")),"")</f>
        <v/>
      </c>
      <c r="K1712" s="8">
        <f>IF(C1712&lt;&gt;"",HYPERLINK("https://wa.me/507"&amp;REGEXREPLACE(C1712,"[^0-9]","")&amp;"?text="&amp;ENCODEURL("Ya llegue. Codigo: "&amp;A1712&amp;". Ubicacion: "&amp;"https://www.google.com/maps/search/?api=1&amp;query="&amp;SUBSTITUTE(F1712," ","")),"📲 Avisar al cliente"),"")</f>
        <v/>
      </c>
      <c r="L1712" s="8">
        <f>IF(C1712&lt;&gt;"","https://api.qrserver.com/v1/create-qr-code/?size=200x200&amp;data="&amp;ENCODEURL("https://wa.me/507"&amp;REGEXREPLACE(C1712,"[^0-9]","")&amp;"?text="&amp;ENCODEURL("Ya llegue. Codigo: "&amp;A1712&amp;". Ubicacion: "&amp;"https://www.google.com/maps/search/?api=1&amp;query="&amp;SUBSTITUTE(F1712," ",""))),"")</f>
        <v/>
      </c>
      <c r="M1712" s="8">
        <f>IF(B1712&lt;&gt;"",TODAY(),"")</f>
        <v/>
      </c>
      <c r="N1712" s="8">
        <f>IF(F1712&lt;&gt;"",IFERROR(IF(AND(REGEXMATCH(SUBSTITUTE(TRIM(F1712)," ",""),"^-?\d+(\.\d+)?,-?\d+(\.\d+)?$"),VALUE(REGEXEXTRACT(SUBSTITUTE(TRIM(F1712)," ",""),"^-?\d+(\.\d+)?"))&gt;=-90,VALUE(REGEXEXTRACT(SUBSTITUTE(TRIM(F1712)," ",""),"^-?\d+(\.\d+)?"))&lt;=90,VALUE(REGEXEXTRACT(SUBSTITUTE(TRIM(F1712)," ",""),"-?\d+(\.\d+)?$"))&gt;=-180,VALUE(REGEXEXTRACT(SUBSTITUTE(TRIM(F1712)," ",""),"-?\d+(\.\d+)?$"))&lt;=180),"OK","REVISAR"),"REVISAR"),"")</f>
        <v/>
      </c>
      <c r="O1712">
        <f>IF(A1712&lt;&gt;"","https://direcciones507.github.io/direcciones507/panel.html?codigo="&amp;A1712&amp;"&amp;nombre="&amp;ENCODEURL(B1712)&amp;"&amp;telefono="&amp;SUBSTITUTE(C1712,"-","")&amp;"&amp;referencia="&amp;ENCODEURL(E1712)&amp;"&amp;lat="&amp;IZQUIERDA(SUBSTITUTE(F1712," ",""),ENCONTRAR(",",SUBSTITUTE(F1712," ",""))-1)&amp;"&amp;lng="&amp;DERECHA(SUBSTITUTE(F1712," ",""),LARGO(SUBSTITUTE(F1712," ",""))-ENCONTRAR(",",SUBSTITUTE(F1712," ",""))),"")</f>
        <v/>
      </c>
    </row>
    <row r="1713" ht="15.75" customHeight="1" s="10">
      <c r="A1713" s="8">
        <f>CONCAT("AD507-",TEXT(ROW()-2,"0000"))</f>
        <v/>
      </c>
      <c r="C1713" s="8" t="n"/>
      <c r="F1713" s="8" t="n"/>
      <c r="G1713" s="8">
        <f>IF(F1713&lt;&gt;"",HYPERLINK("https://www.google.com/maps/search/?api=1&amp;query="&amp;SUBSTITUTE(F1713," ",""),"🗺 Google Maps"),"")</f>
        <v/>
      </c>
      <c r="H1713" s="8">
        <f>IF(F1713&lt;&gt;"",HYPERLINK("https://waze.com/ul?ll="&amp;SUBSTITUTE(F1713," ","")&amp;"&amp;navigate=yes","🚗 Waze"),"")</f>
        <v/>
      </c>
      <c r="I1713" s="8">
        <f>IF(F1713&lt;&gt;"",HYPERLINK("https://m.uber.com/ul/?action=setPickup&amp;pickup=my_location&amp;dropoff[latitude]="&amp;LEFT(SUBSTITUTE(F1713," ",""),FIND(",",SUBSTITUTE(F1713," ",""))-1)&amp;"&amp;dropoff[longitude]="&amp;MID(SUBSTITUTE(F1713," ",""),FIND(",",SUBSTITUTE(F1713," ",""))+1,99),"🚕 Uber"),"")</f>
        <v/>
      </c>
      <c r="J1713" s="8">
        <f>IF(F1713&lt;&gt;"","https://api.qrserver.com/v1/create-qr-code/?size=200x200&amp;data="&amp;ENCODEURL("https://www.google.com/maps/search/?api=1&amp;query="&amp;SUBSTITUTE(F1713," ","")),"")</f>
        <v/>
      </c>
      <c r="K1713" s="8">
        <f>IF(C1713&lt;&gt;"",HYPERLINK("https://wa.me/507"&amp;REGEXREPLACE(C1713,"[^0-9]","")&amp;"?text="&amp;ENCODEURL("Ya llegue. Codigo: "&amp;A1713&amp;". Ubicacion: "&amp;"https://www.google.com/maps/search/?api=1&amp;query="&amp;SUBSTITUTE(F1713," ","")),"📲 Avisar al cliente"),"")</f>
        <v/>
      </c>
      <c r="L1713" s="8">
        <f>IF(C1713&lt;&gt;"","https://api.qrserver.com/v1/create-qr-code/?size=200x200&amp;data="&amp;ENCODEURL("https://wa.me/507"&amp;REGEXREPLACE(C1713,"[^0-9]","")&amp;"?text="&amp;ENCODEURL("Ya llegue. Codigo: "&amp;A1713&amp;". Ubicacion: "&amp;"https://www.google.com/maps/search/?api=1&amp;query="&amp;SUBSTITUTE(F1713," ",""))),"")</f>
        <v/>
      </c>
      <c r="M1713" s="8">
        <f>IF(B1713&lt;&gt;"",TODAY(),"")</f>
        <v/>
      </c>
      <c r="N1713" s="8">
        <f>IF(F1713&lt;&gt;"",IFERROR(IF(AND(REGEXMATCH(SUBSTITUTE(TRIM(F1713)," ",""),"^-?\d+(\.\d+)?,-?\d+(\.\d+)?$"),VALUE(REGEXEXTRACT(SUBSTITUTE(TRIM(F1713)," ",""),"^-?\d+(\.\d+)?"))&gt;=-90,VALUE(REGEXEXTRACT(SUBSTITUTE(TRIM(F1713)," ",""),"^-?\d+(\.\d+)?"))&lt;=90,VALUE(REGEXEXTRACT(SUBSTITUTE(TRIM(F1713)," ",""),"-?\d+(\.\d+)?$"))&gt;=-180,VALUE(REGEXEXTRACT(SUBSTITUTE(TRIM(F1713)," ",""),"-?\d+(\.\d+)?$"))&lt;=180),"OK","REVISAR"),"REVISAR"),"")</f>
        <v/>
      </c>
      <c r="O1713">
        <f>IF(A1713&lt;&gt;"","https://direcciones507.github.io/direcciones507/panel.html?codigo="&amp;A1713&amp;"&amp;nombre="&amp;ENCODEURL(B1713)&amp;"&amp;telefono="&amp;SUBSTITUTE(C1713,"-","")&amp;"&amp;referencia="&amp;ENCODEURL(E1713)&amp;"&amp;lat="&amp;IZQUIERDA(SUBSTITUTE(F1713," ",""),ENCONTRAR(",",SUBSTITUTE(F1713," ",""))-1)&amp;"&amp;lng="&amp;DERECHA(SUBSTITUTE(F1713," ",""),LARGO(SUBSTITUTE(F1713," ",""))-ENCONTRAR(",",SUBSTITUTE(F1713," ",""))),"")</f>
        <v/>
      </c>
    </row>
    <row r="1714" ht="15.75" customHeight="1" s="10">
      <c r="A1714" s="8">
        <f>CONCAT("AD507-",TEXT(ROW()-2,"0000"))</f>
        <v/>
      </c>
      <c r="C1714" s="8" t="n"/>
      <c r="F1714" s="8" t="n"/>
      <c r="G1714" s="8">
        <f>IF(F1714&lt;&gt;"",HYPERLINK("https://www.google.com/maps/search/?api=1&amp;query="&amp;SUBSTITUTE(F1714," ",""),"🗺 Google Maps"),"")</f>
        <v/>
      </c>
      <c r="H1714" s="8">
        <f>IF(F1714&lt;&gt;"",HYPERLINK("https://waze.com/ul?ll="&amp;SUBSTITUTE(F1714," ","")&amp;"&amp;navigate=yes","🚗 Waze"),"")</f>
        <v/>
      </c>
      <c r="I1714" s="8">
        <f>IF(F1714&lt;&gt;"",HYPERLINK("https://m.uber.com/ul/?action=setPickup&amp;pickup=my_location&amp;dropoff[latitude]="&amp;LEFT(SUBSTITUTE(F1714," ",""),FIND(",",SUBSTITUTE(F1714," ",""))-1)&amp;"&amp;dropoff[longitude]="&amp;MID(SUBSTITUTE(F1714," ",""),FIND(",",SUBSTITUTE(F1714," ",""))+1,99),"🚕 Uber"),"")</f>
        <v/>
      </c>
      <c r="J1714" s="8">
        <f>IF(F1714&lt;&gt;"","https://api.qrserver.com/v1/create-qr-code/?size=200x200&amp;data="&amp;ENCODEURL("https://www.google.com/maps/search/?api=1&amp;query="&amp;SUBSTITUTE(F1714," ","")),"")</f>
        <v/>
      </c>
      <c r="K1714" s="8">
        <f>IF(C1714&lt;&gt;"",HYPERLINK("https://wa.me/507"&amp;REGEXREPLACE(C1714,"[^0-9]","")&amp;"?text="&amp;ENCODEURL("Ya llegue. Codigo: "&amp;A1714&amp;". Ubicacion: "&amp;"https://www.google.com/maps/search/?api=1&amp;query="&amp;SUBSTITUTE(F1714," ","")),"📲 Avisar al cliente"),"")</f>
        <v/>
      </c>
      <c r="L1714" s="8">
        <f>IF(C1714&lt;&gt;"","https://api.qrserver.com/v1/create-qr-code/?size=200x200&amp;data="&amp;ENCODEURL("https://wa.me/507"&amp;REGEXREPLACE(C1714,"[^0-9]","")&amp;"?text="&amp;ENCODEURL("Ya llegue. Codigo: "&amp;A1714&amp;". Ubicacion: "&amp;"https://www.google.com/maps/search/?api=1&amp;query="&amp;SUBSTITUTE(F1714," ",""))),"")</f>
        <v/>
      </c>
      <c r="M1714" s="8">
        <f>IF(B1714&lt;&gt;"",TODAY(),"")</f>
        <v/>
      </c>
      <c r="N1714" s="8">
        <f>IF(F1714&lt;&gt;"",IFERROR(IF(AND(REGEXMATCH(SUBSTITUTE(TRIM(F1714)," ",""),"^-?\d+(\.\d+)?,-?\d+(\.\d+)?$"),VALUE(REGEXEXTRACT(SUBSTITUTE(TRIM(F1714)," ",""),"^-?\d+(\.\d+)?"))&gt;=-90,VALUE(REGEXEXTRACT(SUBSTITUTE(TRIM(F1714)," ",""),"^-?\d+(\.\d+)?"))&lt;=90,VALUE(REGEXEXTRACT(SUBSTITUTE(TRIM(F1714)," ",""),"-?\d+(\.\d+)?$"))&gt;=-180,VALUE(REGEXEXTRACT(SUBSTITUTE(TRIM(F1714)," ",""),"-?\d+(\.\d+)?$"))&lt;=180),"OK","REVISAR"),"REVISAR"),"")</f>
        <v/>
      </c>
      <c r="O1714">
        <f>IF(A1714&lt;&gt;"","https://direcciones507.github.io/direcciones507/panel.html?codigo="&amp;A1714&amp;"&amp;nombre="&amp;ENCODEURL(B1714)&amp;"&amp;telefono="&amp;SUBSTITUTE(C1714,"-","")&amp;"&amp;referencia="&amp;ENCODEURL(E1714)&amp;"&amp;lat="&amp;IZQUIERDA(SUBSTITUTE(F1714," ",""),ENCONTRAR(",",SUBSTITUTE(F1714," ",""))-1)&amp;"&amp;lng="&amp;DERECHA(SUBSTITUTE(F1714," ",""),LARGO(SUBSTITUTE(F1714," ",""))-ENCONTRAR(",",SUBSTITUTE(F1714," ",""))),"")</f>
        <v/>
      </c>
    </row>
    <row r="1715" ht="15.75" customHeight="1" s="10">
      <c r="A1715" s="8">
        <f>CONCAT("AD507-",TEXT(ROW()-2,"0000"))</f>
        <v/>
      </c>
      <c r="C1715" s="8" t="n"/>
      <c r="F1715" s="8" t="n"/>
      <c r="G1715" s="8">
        <f>IF(F1715&lt;&gt;"",HYPERLINK("https://www.google.com/maps/search/?api=1&amp;query="&amp;SUBSTITUTE(F1715," ",""),"🗺 Google Maps"),"")</f>
        <v/>
      </c>
      <c r="H1715" s="8">
        <f>IF(F1715&lt;&gt;"",HYPERLINK("https://waze.com/ul?ll="&amp;SUBSTITUTE(F1715," ","")&amp;"&amp;navigate=yes","🚗 Waze"),"")</f>
        <v/>
      </c>
      <c r="I1715" s="8">
        <f>IF(F1715&lt;&gt;"",HYPERLINK("https://m.uber.com/ul/?action=setPickup&amp;pickup=my_location&amp;dropoff[latitude]="&amp;LEFT(SUBSTITUTE(F1715," ",""),FIND(",",SUBSTITUTE(F1715," ",""))-1)&amp;"&amp;dropoff[longitude]="&amp;MID(SUBSTITUTE(F1715," ",""),FIND(",",SUBSTITUTE(F1715," ",""))+1,99),"🚕 Uber"),"")</f>
        <v/>
      </c>
      <c r="J1715" s="8">
        <f>IF(F1715&lt;&gt;"","https://api.qrserver.com/v1/create-qr-code/?size=200x200&amp;data="&amp;ENCODEURL("https://www.google.com/maps/search/?api=1&amp;query="&amp;SUBSTITUTE(F1715," ","")),"")</f>
        <v/>
      </c>
      <c r="K1715" s="8">
        <f>IF(C1715&lt;&gt;"",HYPERLINK("https://wa.me/507"&amp;REGEXREPLACE(C1715,"[^0-9]","")&amp;"?text="&amp;ENCODEURL("Ya llegue. Codigo: "&amp;A1715&amp;". Ubicacion: "&amp;"https://www.google.com/maps/search/?api=1&amp;query="&amp;SUBSTITUTE(F1715," ","")),"📲 Avisar al cliente"),"")</f>
        <v/>
      </c>
      <c r="L1715" s="8">
        <f>IF(C1715&lt;&gt;"","https://api.qrserver.com/v1/create-qr-code/?size=200x200&amp;data="&amp;ENCODEURL("https://wa.me/507"&amp;REGEXREPLACE(C1715,"[^0-9]","")&amp;"?text="&amp;ENCODEURL("Ya llegue. Codigo: "&amp;A1715&amp;". Ubicacion: "&amp;"https://www.google.com/maps/search/?api=1&amp;query="&amp;SUBSTITUTE(F1715," ",""))),"")</f>
        <v/>
      </c>
      <c r="M1715" s="8">
        <f>IF(B1715&lt;&gt;"",TODAY(),"")</f>
        <v/>
      </c>
      <c r="N1715" s="8">
        <f>IF(F1715&lt;&gt;"",IFERROR(IF(AND(REGEXMATCH(SUBSTITUTE(TRIM(F1715)," ",""),"^-?\d+(\.\d+)?,-?\d+(\.\d+)?$"),VALUE(REGEXEXTRACT(SUBSTITUTE(TRIM(F1715)," ",""),"^-?\d+(\.\d+)?"))&gt;=-90,VALUE(REGEXEXTRACT(SUBSTITUTE(TRIM(F1715)," ",""),"^-?\d+(\.\d+)?"))&lt;=90,VALUE(REGEXEXTRACT(SUBSTITUTE(TRIM(F1715)," ",""),"-?\d+(\.\d+)?$"))&gt;=-180,VALUE(REGEXEXTRACT(SUBSTITUTE(TRIM(F1715)," ",""),"-?\d+(\.\d+)?$"))&lt;=180),"OK","REVISAR"),"REVISAR"),"")</f>
        <v/>
      </c>
      <c r="O1715">
        <f>IF(A1715&lt;&gt;"","https://direcciones507.github.io/direcciones507/panel.html?codigo="&amp;A1715&amp;"&amp;nombre="&amp;ENCODEURL(B1715)&amp;"&amp;telefono="&amp;SUBSTITUTE(C1715,"-","")&amp;"&amp;referencia="&amp;ENCODEURL(E1715)&amp;"&amp;lat="&amp;IZQUIERDA(SUBSTITUTE(F1715," ",""),ENCONTRAR(",",SUBSTITUTE(F1715," ",""))-1)&amp;"&amp;lng="&amp;DERECHA(SUBSTITUTE(F1715," ",""),LARGO(SUBSTITUTE(F1715," ",""))-ENCONTRAR(",",SUBSTITUTE(F1715," ",""))),"")</f>
        <v/>
      </c>
    </row>
    <row r="1716" ht="15.75" customHeight="1" s="10">
      <c r="A1716" s="8">
        <f>CONCAT("AD507-",TEXT(ROW()-2,"0000"))</f>
        <v/>
      </c>
      <c r="C1716" s="8" t="n"/>
      <c r="F1716" s="8" t="n"/>
      <c r="G1716" s="8">
        <f>IF(F1716&lt;&gt;"",HYPERLINK("https://www.google.com/maps/search/?api=1&amp;query="&amp;SUBSTITUTE(F1716," ",""),"🗺 Google Maps"),"")</f>
        <v/>
      </c>
      <c r="H1716" s="8">
        <f>IF(F1716&lt;&gt;"",HYPERLINK("https://waze.com/ul?ll="&amp;SUBSTITUTE(F1716," ","")&amp;"&amp;navigate=yes","🚗 Waze"),"")</f>
        <v/>
      </c>
      <c r="I1716" s="8">
        <f>IF(F1716&lt;&gt;"",HYPERLINK("https://m.uber.com/ul/?action=setPickup&amp;pickup=my_location&amp;dropoff[latitude]="&amp;LEFT(SUBSTITUTE(F1716," ",""),FIND(",",SUBSTITUTE(F1716," ",""))-1)&amp;"&amp;dropoff[longitude]="&amp;MID(SUBSTITUTE(F1716," ",""),FIND(",",SUBSTITUTE(F1716," ",""))+1,99),"🚕 Uber"),"")</f>
        <v/>
      </c>
      <c r="J1716" s="8">
        <f>IF(F1716&lt;&gt;"","https://api.qrserver.com/v1/create-qr-code/?size=200x200&amp;data="&amp;ENCODEURL("https://www.google.com/maps/search/?api=1&amp;query="&amp;SUBSTITUTE(F1716," ","")),"")</f>
        <v/>
      </c>
      <c r="K1716" s="8">
        <f>IF(C1716&lt;&gt;"",HYPERLINK("https://wa.me/507"&amp;REGEXREPLACE(C1716,"[^0-9]","")&amp;"?text="&amp;ENCODEURL("Ya llegue. Codigo: "&amp;A1716&amp;". Ubicacion: "&amp;"https://www.google.com/maps/search/?api=1&amp;query="&amp;SUBSTITUTE(F1716," ","")),"📲 Avisar al cliente"),"")</f>
        <v/>
      </c>
      <c r="L1716" s="8">
        <f>IF(C1716&lt;&gt;"","https://api.qrserver.com/v1/create-qr-code/?size=200x200&amp;data="&amp;ENCODEURL("https://wa.me/507"&amp;REGEXREPLACE(C1716,"[^0-9]","")&amp;"?text="&amp;ENCODEURL("Ya llegue. Codigo: "&amp;A1716&amp;". Ubicacion: "&amp;"https://www.google.com/maps/search/?api=1&amp;query="&amp;SUBSTITUTE(F1716," ",""))),"")</f>
        <v/>
      </c>
      <c r="M1716" s="8">
        <f>IF(B1716&lt;&gt;"",TODAY(),"")</f>
        <v/>
      </c>
      <c r="N1716" s="8">
        <f>IF(F1716&lt;&gt;"",IFERROR(IF(AND(REGEXMATCH(SUBSTITUTE(TRIM(F1716)," ",""),"^-?\d+(\.\d+)?,-?\d+(\.\d+)?$"),VALUE(REGEXEXTRACT(SUBSTITUTE(TRIM(F1716)," ",""),"^-?\d+(\.\d+)?"))&gt;=-90,VALUE(REGEXEXTRACT(SUBSTITUTE(TRIM(F1716)," ",""),"^-?\d+(\.\d+)?"))&lt;=90,VALUE(REGEXEXTRACT(SUBSTITUTE(TRIM(F1716)," ",""),"-?\d+(\.\d+)?$"))&gt;=-180,VALUE(REGEXEXTRACT(SUBSTITUTE(TRIM(F1716)," ",""),"-?\d+(\.\d+)?$"))&lt;=180),"OK","REVISAR"),"REVISAR"),"")</f>
        <v/>
      </c>
      <c r="O1716">
        <f>IF(A1716&lt;&gt;"","https://direcciones507.github.io/direcciones507/panel.html?codigo="&amp;A1716&amp;"&amp;nombre="&amp;ENCODEURL(B1716)&amp;"&amp;telefono="&amp;SUBSTITUTE(C1716,"-","")&amp;"&amp;referencia="&amp;ENCODEURL(E1716)&amp;"&amp;lat="&amp;IZQUIERDA(SUBSTITUTE(F1716," ",""),ENCONTRAR(",",SUBSTITUTE(F1716," ",""))-1)&amp;"&amp;lng="&amp;DERECHA(SUBSTITUTE(F1716," ",""),LARGO(SUBSTITUTE(F1716," ",""))-ENCONTRAR(",",SUBSTITUTE(F1716," ",""))),"")</f>
        <v/>
      </c>
    </row>
    <row r="1717" ht="15.75" customHeight="1" s="10">
      <c r="A1717" s="8">
        <f>CONCAT("AD507-",TEXT(ROW()-2,"0000"))</f>
        <v/>
      </c>
      <c r="C1717" s="8" t="n"/>
      <c r="F1717" s="8" t="n"/>
      <c r="G1717" s="8">
        <f>IF(F1717&lt;&gt;"",HYPERLINK("https://www.google.com/maps/search/?api=1&amp;query="&amp;SUBSTITUTE(F1717," ",""),"🗺 Google Maps"),"")</f>
        <v/>
      </c>
      <c r="H1717" s="8">
        <f>IF(F1717&lt;&gt;"",HYPERLINK("https://waze.com/ul?ll="&amp;SUBSTITUTE(F1717," ","")&amp;"&amp;navigate=yes","🚗 Waze"),"")</f>
        <v/>
      </c>
      <c r="I1717" s="8">
        <f>IF(F1717&lt;&gt;"",HYPERLINK("https://m.uber.com/ul/?action=setPickup&amp;pickup=my_location&amp;dropoff[latitude]="&amp;LEFT(SUBSTITUTE(F1717," ",""),FIND(",",SUBSTITUTE(F1717," ",""))-1)&amp;"&amp;dropoff[longitude]="&amp;MID(SUBSTITUTE(F1717," ",""),FIND(",",SUBSTITUTE(F1717," ",""))+1,99),"🚕 Uber"),"")</f>
        <v/>
      </c>
      <c r="J1717" s="8">
        <f>IF(F1717&lt;&gt;"","https://api.qrserver.com/v1/create-qr-code/?size=200x200&amp;data="&amp;ENCODEURL("https://www.google.com/maps/search/?api=1&amp;query="&amp;SUBSTITUTE(F1717," ","")),"")</f>
        <v/>
      </c>
      <c r="K1717" s="8">
        <f>IF(C1717&lt;&gt;"",HYPERLINK("https://wa.me/507"&amp;REGEXREPLACE(C1717,"[^0-9]","")&amp;"?text="&amp;ENCODEURL("Ya llegue. Codigo: "&amp;A1717&amp;". Ubicacion: "&amp;"https://www.google.com/maps/search/?api=1&amp;query="&amp;SUBSTITUTE(F1717," ","")),"📲 Avisar al cliente"),"")</f>
        <v/>
      </c>
      <c r="L1717" s="8">
        <f>IF(C1717&lt;&gt;"","https://api.qrserver.com/v1/create-qr-code/?size=200x200&amp;data="&amp;ENCODEURL("https://wa.me/507"&amp;REGEXREPLACE(C1717,"[^0-9]","")&amp;"?text="&amp;ENCODEURL("Ya llegue. Codigo: "&amp;A1717&amp;". Ubicacion: "&amp;"https://www.google.com/maps/search/?api=1&amp;query="&amp;SUBSTITUTE(F1717," ",""))),"")</f>
        <v/>
      </c>
      <c r="M1717" s="8">
        <f>IF(B1717&lt;&gt;"",TODAY(),"")</f>
        <v/>
      </c>
      <c r="N1717" s="8">
        <f>IF(F1717&lt;&gt;"",IFERROR(IF(AND(REGEXMATCH(SUBSTITUTE(TRIM(F1717)," ",""),"^-?\d+(\.\d+)?,-?\d+(\.\d+)?$"),VALUE(REGEXEXTRACT(SUBSTITUTE(TRIM(F1717)," ",""),"^-?\d+(\.\d+)?"))&gt;=-90,VALUE(REGEXEXTRACT(SUBSTITUTE(TRIM(F1717)," ",""),"^-?\d+(\.\d+)?"))&lt;=90,VALUE(REGEXEXTRACT(SUBSTITUTE(TRIM(F1717)," ",""),"-?\d+(\.\d+)?$"))&gt;=-180,VALUE(REGEXEXTRACT(SUBSTITUTE(TRIM(F1717)," ",""),"-?\d+(\.\d+)?$"))&lt;=180),"OK","REVISAR"),"REVISAR"),"")</f>
        <v/>
      </c>
      <c r="O1717">
        <f>IF(A1717&lt;&gt;"","https://direcciones507.github.io/direcciones507/panel.html?codigo="&amp;A1717&amp;"&amp;nombre="&amp;ENCODEURL(B1717)&amp;"&amp;telefono="&amp;SUBSTITUTE(C1717,"-","")&amp;"&amp;referencia="&amp;ENCODEURL(E1717)&amp;"&amp;lat="&amp;IZQUIERDA(SUBSTITUTE(F1717," ",""),ENCONTRAR(",",SUBSTITUTE(F1717," ",""))-1)&amp;"&amp;lng="&amp;DERECHA(SUBSTITUTE(F1717," ",""),LARGO(SUBSTITUTE(F1717," ",""))-ENCONTRAR(",",SUBSTITUTE(F1717," ",""))),"")</f>
        <v/>
      </c>
    </row>
    <row r="1718" ht="15.75" customHeight="1" s="10">
      <c r="A1718" s="8">
        <f>CONCAT("AD507-",TEXT(ROW()-2,"0000"))</f>
        <v/>
      </c>
      <c r="C1718" s="8" t="n"/>
      <c r="F1718" s="8" t="n"/>
      <c r="G1718" s="8">
        <f>IF(F1718&lt;&gt;"",HYPERLINK("https://www.google.com/maps/search/?api=1&amp;query="&amp;SUBSTITUTE(F1718," ",""),"🗺 Google Maps"),"")</f>
        <v/>
      </c>
      <c r="H1718" s="8">
        <f>IF(F1718&lt;&gt;"",HYPERLINK("https://waze.com/ul?ll="&amp;SUBSTITUTE(F1718," ","")&amp;"&amp;navigate=yes","🚗 Waze"),"")</f>
        <v/>
      </c>
      <c r="I1718" s="8">
        <f>IF(F1718&lt;&gt;"",HYPERLINK("https://m.uber.com/ul/?action=setPickup&amp;pickup=my_location&amp;dropoff[latitude]="&amp;LEFT(SUBSTITUTE(F1718," ",""),FIND(",",SUBSTITUTE(F1718," ",""))-1)&amp;"&amp;dropoff[longitude]="&amp;MID(SUBSTITUTE(F1718," ",""),FIND(",",SUBSTITUTE(F1718," ",""))+1,99),"🚕 Uber"),"")</f>
        <v/>
      </c>
      <c r="J1718" s="8">
        <f>IF(F1718&lt;&gt;"","https://api.qrserver.com/v1/create-qr-code/?size=200x200&amp;data="&amp;ENCODEURL("https://www.google.com/maps/search/?api=1&amp;query="&amp;SUBSTITUTE(F1718," ","")),"")</f>
        <v/>
      </c>
      <c r="K1718" s="8">
        <f>IF(C1718&lt;&gt;"",HYPERLINK("https://wa.me/507"&amp;REGEXREPLACE(C1718,"[^0-9]","")&amp;"?text="&amp;ENCODEURL("Ya llegue. Codigo: "&amp;A1718&amp;". Ubicacion: "&amp;"https://www.google.com/maps/search/?api=1&amp;query="&amp;SUBSTITUTE(F1718," ","")),"📲 Avisar al cliente"),"")</f>
        <v/>
      </c>
      <c r="L1718" s="8">
        <f>IF(C1718&lt;&gt;"","https://api.qrserver.com/v1/create-qr-code/?size=200x200&amp;data="&amp;ENCODEURL("https://wa.me/507"&amp;REGEXREPLACE(C1718,"[^0-9]","")&amp;"?text="&amp;ENCODEURL("Ya llegue. Codigo: "&amp;A1718&amp;". Ubicacion: "&amp;"https://www.google.com/maps/search/?api=1&amp;query="&amp;SUBSTITUTE(F1718," ",""))),"")</f>
        <v/>
      </c>
      <c r="M1718" s="8">
        <f>IF(B1718&lt;&gt;"",TODAY(),"")</f>
        <v/>
      </c>
      <c r="N1718" s="8">
        <f>IF(F1718&lt;&gt;"",IFERROR(IF(AND(REGEXMATCH(SUBSTITUTE(TRIM(F1718)," ",""),"^-?\d+(\.\d+)?,-?\d+(\.\d+)?$"),VALUE(REGEXEXTRACT(SUBSTITUTE(TRIM(F1718)," ",""),"^-?\d+(\.\d+)?"))&gt;=-90,VALUE(REGEXEXTRACT(SUBSTITUTE(TRIM(F1718)," ",""),"^-?\d+(\.\d+)?"))&lt;=90,VALUE(REGEXEXTRACT(SUBSTITUTE(TRIM(F1718)," ",""),"-?\d+(\.\d+)?$"))&gt;=-180,VALUE(REGEXEXTRACT(SUBSTITUTE(TRIM(F1718)," ",""),"-?\d+(\.\d+)?$"))&lt;=180),"OK","REVISAR"),"REVISAR"),"")</f>
        <v/>
      </c>
      <c r="O1718">
        <f>IF(A1718&lt;&gt;"","https://direcciones507.github.io/direcciones507/panel.html?codigo="&amp;A1718&amp;"&amp;nombre="&amp;ENCODEURL(B1718)&amp;"&amp;telefono="&amp;SUBSTITUTE(C1718,"-","")&amp;"&amp;referencia="&amp;ENCODEURL(E1718)&amp;"&amp;lat="&amp;IZQUIERDA(SUBSTITUTE(F1718," ",""),ENCONTRAR(",",SUBSTITUTE(F1718," ",""))-1)&amp;"&amp;lng="&amp;DERECHA(SUBSTITUTE(F1718," ",""),LARGO(SUBSTITUTE(F1718," ",""))-ENCONTRAR(",",SUBSTITUTE(F1718," ",""))),"")</f>
        <v/>
      </c>
    </row>
    <row r="1719" ht="15.75" customHeight="1" s="10">
      <c r="A1719" s="8">
        <f>CONCAT("AD507-",TEXT(ROW()-2,"0000"))</f>
        <v/>
      </c>
      <c r="C1719" s="8" t="n"/>
      <c r="F1719" s="8" t="n"/>
      <c r="G1719" s="8">
        <f>IF(F1719&lt;&gt;"",HYPERLINK("https://www.google.com/maps/search/?api=1&amp;query="&amp;SUBSTITUTE(F1719," ",""),"🗺 Google Maps"),"")</f>
        <v/>
      </c>
      <c r="H1719" s="8">
        <f>IF(F1719&lt;&gt;"",HYPERLINK("https://waze.com/ul?ll="&amp;SUBSTITUTE(F1719," ","")&amp;"&amp;navigate=yes","🚗 Waze"),"")</f>
        <v/>
      </c>
      <c r="I1719" s="8">
        <f>IF(F1719&lt;&gt;"",HYPERLINK("https://m.uber.com/ul/?action=setPickup&amp;pickup=my_location&amp;dropoff[latitude]="&amp;LEFT(SUBSTITUTE(F1719," ",""),FIND(",",SUBSTITUTE(F1719," ",""))-1)&amp;"&amp;dropoff[longitude]="&amp;MID(SUBSTITUTE(F1719," ",""),FIND(",",SUBSTITUTE(F1719," ",""))+1,99),"🚕 Uber"),"")</f>
        <v/>
      </c>
      <c r="J1719" s="8">
        <f>IF(F1719&lt;&gt;"","https://api.qrserver.com/v1/create-qr-code/?size=200x200&amp;data="&amp;ENCODEURL("https://www.google.com/maps/search/?api=1&amp;query="&amp;SUBSTITUTE(F1719," ","")),"")</f>
        <v/>
      </c>
      <c r="K1719" s="8">
        <f>IF(C1719&lt;&gt;"",HYPERLINK("https://wa.me/507"&amp;REGEXREPLACE(C1719,"[^0-9]","")&amp;"?text="&amp;ENCODEURL("Ya llegue. Codigo: "&amp;A1719&amp;". Ubicacion: "&amp;"https://www.google.com/maps/search/?api=1&amp;query="&amp;SUBSTITUTE(F1719," ","")),"📲 Avisar al cliente"),"")</f>
        <v/>
      </c>
      <c r="L1719" s="8">
        <f>IF(C1719&lt;&gt;"","https://api.qrserver.com/v1/create-qr-code/?size=200x200&amp;data="&amp;ENCODEURL("https://wa.me/507"&amp;REGEXREPLACE(C1719,"[^0-9]","")&amp;"?text="&amp;ENCODEURL("Ya llegue. Codigo: "&amp;A1719&amp;". Ubicacion: "&amp;"https://www.google.com/maps/search/?api=1&amp;query="&amp;SUBSTITUTE(F1719," ",""))),"")</f>
        <v/>
      </c>
      <c r="M1719" s="8">
        <f>IF(B1719&lt;&gt;"",TODAY(),"")</f>
        <v/>
      </c>
      <c r="N1719" s="8">
        <f>IF(F1719&lt;&gt;"",IFERROR(IF(AND(REGEXMATCH(SUBSTITUTE(TRIM(F1719)," ",""),"^-?\d+(\.\d+)?,-?\d+(\.\d+)?$"),VALUE(REGEXEXTRACT(SUBSTITUTE(TRIM(F1719)," ",""),"^-?\d+(\.\d+)?"))&gt;=-90,VALUE(REGEXEXTRACT(SUBSTITUTE(TRIM(F1719)," ",""),"^-?\d+(\.\d+)?"))&lt;=90,VALUE(REGEXEXTRACT(SUBSTITUTE(TRIM(F1719)," ",""),"-?\d+(\.\d+)?$"))&gt;=-180,VALUE(REGEXEXTRACT(SUBSTITUTE(TRIM(F1719)," ",""),"-?\d+(\.\d+)?$"))&lt;=180),"OK","REVISAR"),"REVISAR"),"")</f>
        <v/>
      </c>
      <c r="O1719">
        <f>IF(A1719&lt;&gt;"","https://direcciones507.github.io/direcciones507/panel.html?codigo="&amp;A1719&amp;"&amp;nombre="&amp;ENCODEURL(B1719)&amp;"&amp;telefono="&amp;SUBSTITUTE(C1719,"-","")&amp;"&amp;referencia="&amp;ENCODEURL(E1719)&amp;"&amp;lat="&amp;IZQUIERDA(SUBSTITUTE(F1719," ",""),ENCONTRAR(",",SUBSTITUTE(F1719," ",""))-1)&amp;"&amp;lng="&amp;DERECHA(SUBSTITUTE(F1719," ",""),LARGO(SUBSTITUTE(F1719," ",""))-ENCONTRAR(",",SUBSTITUTE(F1719," ",""))),"")</f>
        <v/>
      </c>
    </row>
    <row r="1720" ht="15.75" customHeight="1" s="10">
      <c r="A1720" s="8">
        <f>CONCAT("AD507-",TEXT(ROW()-2,"0000"))</f>
        <v/>
      </c>
      <c r="C1720" s="8" t="n"/>
      <c r="F1720" s="8" t="n"/>
      <c r="G1720" s="8">
        <f>IF(F1720&lt;&gt;"",HYPERLINK("https://www.google.com/maps/search/?api=1&amp;query="&amp;SUBSTITUTE(F1720," ",""),"🗺 Google Maps"),"")</f>
        <v/>
      </c>
      <c r="H1720" s="8">
        <f>IF(F1720&lt;&gt;"",HYPERLINK("https://waze.com/ul?ll="&amp;SUBSTITUTE(F1720," ","")&amp;"&amp;navigate=yes","🚗 Waze"),"")</f>
        <v/>
      </c>
      <c r="I1720" s="8">
        <f>IF(F1720&lt;&gt;"",HYPERLINK("https://m.uber.com/ul/?action=setPickup&amp;pickup=my_location&amp;dropoff[latitude]="&amp;LEFT(SUBSTITUTE(F1720," ",""),FIND(",",SUBSTITUTE(F1720," ",""))-1)&amp;"&amp;dropoff[longitude]="&amp;MID(SUBSTITUTE(F1720," ",""),FIND(",",SUBSTITUTE(F1720," ",""))+1,99),"🚕 Uber"),"")</f>
        <v/>
      </c>
      <c r="J1720" s="8">
        <f>IF(F1720&lt;&gt;"","https://api.qrserver.com/v1/create-qr-code/?size=200x200&amp;data="&amp;ENCODEURL("https://www.google.com/maps/search/?api=1&amp;query="&amp;SUBSTITUTE(F1720," ","")),"")</f>
        <v/>
      </c>
      <c r="K1720" s="8">
        <f>IF(C1720&lt;&gt;"",HYPERLINK("https://wa.me/507"&amp;REGEXREPLACE(C1720,"[^0-9]","")&amp;"?text="&amp;ENCODEURL("Ya llegue. Codigo: "&amp;A1720&amp;". Ubicacion: "&amp;"https://www.google.com/maps/search/?api=1&amp;query="&amp;SUBSTITUTE(F1720," ","")),"📲 Avisar al cliente"),"")</f>
        <v/>
      </c>
      <c r="L1720" s="8">
        <f>IF(C1720&lt;&gt;"","https://api.qrserver.com/v1/create-qr-code/?size=200x200&amp;data="&amp;ENCODEURL("https://wa.me/507"&amp;REGEXREPLACE(C1720,"[^0-9]","")&amp;"?text="&amp;ENCODEURL("Ya llegue. Codigo: "&amp;A1720&amp;". Ubicacion: "&amp;"https://www.google.com/maps/search/?api=1&amp;query="&amp;SUBSTITUTE(F1720," ",""))),"")</f>
        <v/>
      </c>
      <c r="M1720" s="8">
        <f>IF(B1720&lt;&gt;"",TODAY(),"")</f>
        <v/>
      </c>
      <c r="N1720" s="8">
        <f>IF(F1720&lt;&gt;"",IFERROR(IF(AND(REGEXMATCH(SUBSTITUTE(TRIM(F1720)," ",""),"^-?\d+(\.\d+)?,-?\d+(\.\d+)?$"),VALUE(REGEXEXTRACT(SUBSTITUTE(TRIM(F1720)," ",""),"^-?\d+(\.\d+)?"))&gt;=-90,VALUE(REGEXEXTRACT(SUBSTITUTE(TRIM(F1720)," ",""),"^-?\d+(\.\d+)?"))&lt;=90,VALUE(REGEXEXTRACT(SUBSTITUTE(TRIM(F1720)," ",""),"-?\d+(\.\d+)?$"))&gt;=-180,VALUE(REGEXEXTRACT(SUBSTITUTE(TRIM(F1720)," ",""),"-?\d+(\.\d+)?$"))&lt;=180),"OK","REVISAR"),"REVISAR"),"")</f>
        <v/>
      </c>
      <c r="O1720">
        <f>IF(A1720&lt;&gt;"","https://direcciones507.github.io/direcciones507/panel.html?codigo="&amp;A1720&amp;"&amp;nombre="&amp;ENCODEURL(B1720)&amp;"&amp;telefono="&amp;SUBSTITUTE(C1720,"-","")&amp;"&amp;referencia="&amp;ENCODEURL(E1720)&amp;"&amp;lat="&amp;IZQUIERDA(SUBSTITUTE(F1720," ",""),ENCONTRAR(",",SUBSTITUTE(F1720," ",""))-1)&amp;"&amp;lng="&amp;DERECHA(SUBSTITUTE(F1720," ",""),LARGO(SUBSTITUTE(F1720," ",""))-ENCONTRAR(",",SUBSTITUTE(F1720," ",""))),"")</f>
        <v/>
      </c>
    </row>
    <row r="1721" ht="15.75" customHeight="1" s="10">
      <c r="A1721" s="8">
        <f>CONCAT("AD507-",TEXT(ROW()-2,"0000"))</f>
        <v/>
      </c>
      <c r="C1721" s="8" t="n"/>
      <c r="F1721" s="8" t="n"/>
      <c r="G1721" s="8">
        <f>IF(F1721&lt;&gt;"",HYPERLINK("https://www.google.com/maps/search/?api=1&amp;query="&amp;SUBSTITUTE(F1721," ",""),"🗺 Google Maps"),"")</f>
        <v/>
      </c>
      <c r="H1721" s="8">
        <f>IF(F1721&lt;&gt;"",HYPERLINK("https://waze.com/ul?ll="&amp;SUBSTITUTE(F1721," ","")&amp;"&amp;navigate=yes","🚗 Waze"),"")</f>
        <v/>
      </c>
      <c r="I1721" s="8">
        <f>IF(F1721&lt;&gt;"",HYPERLINK("https://m.uber.com/ul/?action=setPickup&amp;pickup=my_location&amp;dropoff[latitude]="&amp;LEFT(SUBSTITUTE(F1721," ",""),FIND(",",SUBSTITUTE(F1721," ",""))-1)&amp;"&amp;dropoff[longitude]="&amp;MID(SUBSTITUTE(F1721," ",""),FIND(",",SUBSTITUTE(F1721," ",""))+1,99),"🚕 Uber"),"")</f>
        <v/>
      </c>
      <c r="J1721" s="8">
        <f>IF(F1721&lt;&gt;"","https://api.qrserver.com/v1/create-qr-code/?size=200x200&amp;data="&amp;ENCODEURL("https://www.google.com/maps/search/?api=1&amp;query="&amp;SUBSTITUTE(F1721," ","")),"")</f>
        <v/>
      </c>
      <c r="K1721" s="8">
        <f>IF(C1721&lt;&gt;"",HYPERLINK("https://wa.me/507"&amp;REGEXREPLACE(C1721,"[^0-9]","")&amp;"?text="&amp;ENCODEURL("Ya llegue. Codigo: "&amp;A1721&amp;". Ubicacion: "&amp;"https://www.google.com/maps/search/?api=1&amp;query="&amp;SUBSTITUTE(F1721," ","")),"📲 Avisar al cliente"),"")</f>
        <v/>
      </c>
      <c r="L1721" s="8">
        <f>IF(C1721&lt;&gt;"","https://api.qrserver.com/v1/create-qr-code/?size=200x200&amp;data="&amp;ENCODEURL("https://wa.me/507"&amp;REGEXREPLACE(C1721,"[^0-9]","")&amp;"?text="&amp;ENCODEURL("Ya llegue. Codigo: "&amp;A1721&amp;". Ubicacion: "&amp;"https://www.google.com/maps/search/?api=1&amp;query="&amp;SUBSTITUTE(F1721," ",""))),"")</f>
        <v/>
      </c>
      <c r="M1721" s="8">
        <f>IF(B1721&lt;&gt;"",TODAY(),"")</f>
        <v/>
      </c>
      <c r="N1721" s="8">
        <f>IF(F1721&lt;&gt;"",IFERROR(IF(AND(REGEXMATCH(SUBSTITUTE(TRIM(F1721)," ",""),"^-?\d+(\.\d+)?,-?\d+(\.\d+)?$"),VALUE(REGEXEXTRACT(SUBSTITUTE(TRIM(F1721)," ",""),"^-?\d+(\.\d+)?"))&gt;=-90,VALUE(REGEXEXTRACT(SUBSTITUTE(TRIM(F1721)," ",""),"^-?\d+(\.\d+)?"))&lt;=90,VALUE(REGEXEXTRACT(SUBSTITUTE(TRIM(F1721)," ",""),"-?\d+(\.\d+)?$"))&gt;=-180,VALUE(REGEXEXTRACT(SUBSTITUTE(TRIM(F1721)," ",""),"-?\d+(\.\d+)?$"))&lt;=180),"OK","REVISAR"),"REVISAR"),"")</f>
        <v/>
      </c>
      <c r="O1721">
        <f>IF(A1721&lt;&gt;"","https://direcciones507.github.io/direcciones507/panel.html?codigo="&amp;A1721&amp;"&amp;nombre="&amp;ENCODEURL(B1721)&amp;"&amp;telefono="&amp;SUBSTITUTE(C1721,"-","")&amp;"&amp;referencia="&amp;ENCODEURL(E1721)&amp;"&amp;lat="&amp;IZQUIERDA(SUBSTITUTE(F1721," ",""),ENCONTRAR(",",SUBSTITUTE(F1721," ",""))-1)&amp;"&amp;lng="&amp;DERECHA(SUBSTITUTE(F1721," ",""),LARGO(SUBSTITUTE(F1721," ",""))-ENCONTRAR(",",SUBSTITUTE(F1721," ",""))),"")</f>
        <v/>
      </c>
    </row>
    <row r="1722" ht="15.75" customHeight="1" s="10">
      <c r="A1722" s="8">
        <f>CONCAT("AD507-",TEXT(ROW()-2,"0000"))</f>
        <v/>
      </c>
      <c r="C1722" s="8" t="n"/>
      <c r="F1722" s="8" t="n"/>
      <c r="G1722" s="8">
        <f>IF(F1722&lt;&gt;"",HYPERLINK("https://www.google.com/maps/search/?api=1&amp;query="&amp;SUBSTITUTE(F1722," ",""),"🗺 Google Maps"),"")</f>
        <v/>
      </c>
      <c r="H1722" s="8">
        <f>IF(F1722&lt;&gt;"",HYPERLINK("https://waze.com/ul?ll="&amp;SUBSTITUTE(F1722," ","")&amp;"&amp;navigate=yes","🚗 Waze"),"")</f>
        <v/>
      </c>
      <c r="I1722" s="8">
        <f>IF(F1722&lt;&gt;"",HYPERLINK("https://m.uber.com/ul/?action=setPickup&amp;pickup=my_location&amp;dropoff[latitude]="&amp;LEFT(SUBSTITUTE(F1722," ",""),FIND(",",SUBSTITUTE(F1722," ",""))-1)&amp;"&amp;dropoff[longitude]="&amp;MID(SUBSTITUTE(F1722," ",""),FIND(",",SUBSTITUTE(F1722," ",""))+1,99),"🚕 Uber"),"")</f>
        <v/>
      </c>
      <c r="J1722" s="8">
        <f>IF(F1722&lt;&gt;"","https://api.qrserver.com/v1/create-qr-code/?size=200x200&amp;data="&amp;ENCODEURL("https://www.google.com/maps/search/?api=1&amp;query="&amp;SUBSTITUTE(F1722," ","")),"")</f>
        <v/>
      </c>
      <c r="K1722" s="8">
        <f>IF(C1722&lt;&gt;"",HYPERLINK("https://wa.me/507"&amp;REGEXREPLACE(C1722,"[^0-9]","")&amp;"?text="&amp;ENCODEURL("Ya llegue. Codigo: "&amp;A1722&amp;". Ubicacion: "&amp;"https://www.google.com/maps/search/?api=1&amp;query="&amp;SUBSTITUTE(F1722," ","")),"📲 Avisar al cliente"),"")</f>
        <v/>
      </c>
      <c r="L1722" s="8">
        <f>IF(C1722&lt;&gt;"","https://api.qrserver.com/v1/create-qr-code/?size=200x200&amp;data="&amp;ENCODEURL("https://wa.me/507"&amp;REGEXREPLACE(C1722,"[^0-9]","")&amp;"?text="&amp;ENCODEURL("Ya llegue. Codigo: "&amp;A1722&amp;". Ubicacion: "&amp;"https://www.google.com/maps/search/?api=1&amp;query="&amp;SUBSTITUTE(F1722," ",""))),"")</f>
        <v/>
      </c>
      <c r="M1722" s="8">
        <f>IF(B1722&lt;&gt;"",TODAY(),"")</f>
        <v/>
      </c>
      <c r="N1722" s="8">
        <f>IF(F1722&lt;&gt;"",IFERROR(IF(AND(REGEXMATCH(SUBSTITUTE(TRIM(F1722)," ",""),"^-?\d+(\.\d+)?,-?\d+(\.\d+)?$"),VALUE(REGEXEXTRACT(SUBSTITUTE(TRIM(F1722)," ",""),"^-?\d+(\.\d+)?"))&gt;=-90,VALUE(REGEXEXTRACT(SUBSTITUTE(TRIM(F1722)," ",""),"^-?\d+(\.\d+)?"))&lt;=90,VALUE(REGEXEXTRACT(SUBSTITUTE(TRIM(F1722)," ",""),"-?\d+(\.\d+)?$"))&gt;=-180,VALUE(REGEXEXTRACT(SUBSTITUTE(TRIM(F1722)," ",""),"-?\d+(\.\d+)?$"))&lt;=180),"OK","REVISAR"),"REVISAR"),"")</f>
        <v/>
      </c>
      <c r="O1722">
        <f>IF(A1722&lt;&gt;"","https://direcciones507.github.io/direcciones507/panel.html?codigo="&amp;A1722&amp;"&amp;nombre="&amp;ENCODEURL(B1722)&amp;"&amp;telefono="&amp;SUBSTITUTE(C1722,"-","")&amp;"&amp;referencia="&amp;ENCODEURL(E1722)&amp;"&amp;lat="&amp;IZQUIERDA(SUBSTITUTE(F1722," ",""),ENCONTRAR(",",SUBSTITUTE(F1722," ",""))-1)&amp;"&amp;lng="&amp;DERECHA(SUBSTITUTE(F1722," ",""),LARGO(SUBSTITUTE(F1722," ",""))-ENCONTRAR(",",SUBSTITUTE(F1722," ",""))),"")</f>
        <v/>
      </c>
    </row>
    <row r="1723" ht="15.75" customHeight="1" s="10">
      <c r="A1723" s="8">
        <f>CONCAT("AD507-",TEXT(ROW()-2,"0000"))</f>
        <v/>
      </c>
      <c r="C1723" s="8" t="n"/>
      <c r="F1723" s="8" t="n"/>
      <c r="G1723" s="8">
        <f>IF(F1723&lt;&gt;"",HYPERLINK("https://www.google.com/maps/search/?api=1&amp;query="&amp;SUBSTITUTE(F1723," ",""),"🗺 Google Maps"),"")</f>
        <v/>
      </c>
      <c r="H1723" s="8">
        <f>IF(F1723&lt;&gt;"",HYPERLINK("https://waze.com/ul?ll="&amp;SUBSTITUTE(F1723," ","")&amp;"&amp;navigate=yes","🚗 Waze"),"")</f>
        <v/>
      </c>
      <c r="I1723" s="8">
        <f>IF(F1723&lt;&gt;"",HYPERLINK("https://m.uber.com/ul/?action=setPickup&amp;pickup=my_location&amp;dropoff[latitude]="&amp;LEFT(SUBSTITUTE(F1723," ",""),FIND(",",SUBSTITUTE(F1723," ",""))-1)&amp;"&amp;dropoff[longitude]="&amp;MID(SUBSTITUTE(F1723," ",""),FIND(",",SUBSTITUTE(F1723," ",""))+1,99),"🚕 Uber"),"")</f>
        <v/>
      </c>
      <c r="J1723" s="8">
        <f>IF(F1723&lt;&gt;"","https://api.qrserver.com/v1/create-qr-code/?size=200x200&amp;data="&amp;ENCODEURL("https://www.google.com/maps/search/?api=1&amp;query="&amp;SUBSTITUTE(F1723," ","")),"")</f>
        <v/>
      </c>
      <c r="K1723" s="8">
        <f>IF(C1723&lt;&gt;"",HYPERLINK("https://wa.me/507"&amp;REGEXREPLACE(C1723,"[^0-9]","")&amp;"?text="&amp;ENCODEURL("Ya llegue. Codigo: "&amp;A1723&amp;". Ubicacion: "&amp;"https://www.google.com/maps/search/?api=1&amp;query="&amp;SUBSTITUTE(F1723," ","")),"📲 Avisar al cliente"),"")</f>
        <v/>
      </c>
      <c r="L1723" s="8">
        <f>IF(C1723&lt;&gt;"","https://api.qrserver.com/v1/create-qr-code/?size=200x200&amp;data="&amp;ENCODEURL("https://wa.me/507"&amp;REGEXREPLACE(C1723,"[^0-9]","")&amp;"?text="&amp;ENCODEURL("Ya llegue. Codigo: "&amp;A1723&amp;". Ubicacion: "&amp;"https://www.google.com/maps/search/?api=1&amp;query="&amp;SUBSTITUTE(F1723," ",""))),"")</f>
        <v/>
      </c>
      <c r="M1723" s="8">
        <f>IF(B1723&lt;&gt;"",TODAY(),"")</f>
        <v/>
      </c>
      <c r="N1723" s="8">
        <f>IF(F1723&lt;&gt;"",IFERROR(IF(AND(REGEXMATCH(SUBSTITUTE(TRIM(F1723)," ",""),"^-?\d+(\.\d+)?,-?\d+(\.\d+)?$"),VALUE(REGEXEXTRACT(SUBSTITUTE(TRIM(F1723)," ",""),"^-?\d+(\.\d+)?"))&gt;=-90,VALUE(REGEXEXTRACT(SUBSTITUTE(TRIM(F1723)," ",""),"^-?\d+(\.\d+)?"))&lt;=90,VALUE(REGEXEXTRACT(SUBSTITUTE(TRIM(F1723)," ",""),"-?\d+(\.\d+)?$"))&gt;=-180,VALUE(REGEXEXTRACT(SUBSTITUTE(TRIM(F1723)," ",""),"-?\d+(\.\d+)?$"))&lt;=180),"OK","REVISAR"),"REVISAR"),"")</f>
        <v/>
      </c>
      <c r="O1723">
        <f>IF(A1723&lt;&gt;"","https://direcciones507.github.io/direcciones507/panel.html?codigo="&amp;A1723&amp;"&amp;nombre="&amp;ENCODEURL(B1723)&amp;"&amp;telefono="&amp;SUBSTITUTE(C1723,"-","")&amp;"&amp;referencia="&amp;ENCODEURL(E1723)&amp;"&amp;lat="&amp;IZQUIERDA(SUBSTITUTE(F1723," ",""),ENCONTRAR(",",SUBSTITUTE(F1723," ",""))-1)&amp;"&amp;lng="&amp;DERECHA(SUBSTITUTE(F1723," ",""),LARGO(SUBSTITUTE(F1723," ",""))-ENCONTRAR(",",SUBSTITUTE(F1723," ",""))),"")</f>
        <v/>
      </c>
    </row>
    <row r="1724" ht="15.75" customHeight="1" s="10">
      <c r="A1724" s="8">
        <f>CONCAT("AD507-",TEXT(ROW()-2,"0000"))</f>
        <v/>
      </c>
      <c r="C1724" s="8" t="n"/>
      <c r="F1724" s="8" t="n"/>
      <c r="G1724" s="8">
        <f>IF(F1724&lt;&gt;"",HYPERLINK("https://www.google.com/maps/search/?api=1&amp;query="&amp;SUBSTITUTE(F1724," ",""),"🗺 Google Maps"),"")</f>
        <v/>
      </c>
      <c r="H1724" s="8">
        <f>IF(F1724&lt;&gt;"",HYPERLINK("https://waze.com/ul?ll="&amp;SUBSTITUTE(F1724," ","")&amp;"&amp;navigate=yes","🚗 Waze"),"")</f>
        <v/>
      </c>
      <c r="I1724" s="8">
        <f>IF(F1724&lt;&gt;"",HYPERLINK("https://m.uber.com/ul/?action=setPickup&amp;pickup=my_location&amp;dropoff[latitude]="&amp;LEFT(SUBSTITUTE(F1724," ",""),FIND(",",SUBSTITUTE(F1724," ",""))-1)&amp;"&amp;dropoff[longitude]="&amp;MID(SUBSTITUTE(F1724," ",""),FIND(",",SUBSTITUTE(F1724," ",""))+1,99),"🚕 Uber"),"")</f>
        <v/>
      </c>
      <c r="J1724" s="8">
        <f>IF(F1724&lt;&gt;"","https://api.qrserver.com/v1/create-qr-code/?size=200x200&amp;data="&amp;ENCODEURL("https://www.google.com/maps/search/?api=1&amp;query="&amp;SUBSTITUTE(F1724," ","")),"")</f>
        <v/>
      </c>
      <c r="K1724" s="8">
        <f>IF(C1724&lt;&gt;"",HYPERLINK("https://wa.me/507"&amp;REGEXREPLACE(C1724,"[^0-9]","")&amp;"?text="&amp;ENCODEURL("Ya llegue. Codigo: "&amp;A1724&amp;". Ubicacion: "&amp;"https://www.google.com/maps/search/?api=1&amp;query="&amp;SUBSTITUTE(F1724," ","")),"📲 Avisar al cliente"),"")</f>
        <v/>
      </c>
      <c r="L1724" s="8">
        <f>IF(C1724&lt;&gt;"","https://api.qrserver.com/v1/create-qr-code/?size=200x200&amp;data="&amp;ENCODEURL("https://wa.me/507"&amp;REGEXREPLACE(C1724,"[^0-9]","")&amp;"?text="&amp;ENCODEURL("Ya llegue. Codigo: "&amp;A1724&amp;". Ubicacion: "&amp;"https://www.google.com/maps/search/?api=1&amp;query="&amp;SUBSTITUTE(F1724," ",""))),"")</f>
        <v/>
      </c>
      <c r="M1724" s="8">
        <f>IF(B1724&lt;&gt;"",TODAY(),"")</f>
        <v/>
      </c>
      <c r="N1724" s="8">
        <f>IF(F1724&lt;&gt;"",IFERROR(IF(AND(REGEXMATCH(SUBSTITUTE(TRIM(F1724)," ",""),"^-?\d+(\.\d+)?,-?\d+(\.\d+)?$"),VALUE(REGEXEXTRACT(SUBSTITUTE(TRIM(F1724)," ",""),"^-?\d+(\.\d+)?"))&gt;=-90,VALUE(REGEXEXTRACT(SUBSTITUTE(TRIM(F1724)," ",""),"^-?\d+(\.\d+)?"))&lt;=90,VALUE(REGEXEXTRACT(SUBSTITUTE(TRIM(F1724)," ",""),"-?\d+(\.\d+)?$"))&gt;=-180,VALUE(REGEXEXTRACT(SUBSTITUTE(TRIM(F1724)," ",""),"-?\d+(\.\d+)?$"))&lt;=180),"OK","REVISAR"),"REVISAR"),"")</f>
        <v/>
      </c>
      <c r="O1724">
        <f>IF(A1724&lt;&gt;"","https://direcciones507.github.io/direcciones507/panel.html?codigo="&amp;A1724&amp;"&amp;nombre="&amp;ENCODEURL(B1724)&amp;"&amp;telefono="&amp;SUBSTITUTE(C1724,"-","")&amp;"&amp;referencia="&amp;ENCODEURL(E1724)&amp;"&amp;lat="&amp;IZQUIERDA(SUBSTITUTE(F1724," ",""),ENCONTRAR(",",SUBSTITUTE(F1724," ",""))-1)&amp;"&amp;lng="&amp;DERECHA(SUBSTITUTE(F1724," ",""),LARGO(SUBSTITUTE(F1724," ",""))-ENCONTRAR(",",SUBSTITUTE(F1724," ",""))),"")</f>
        <v/>
      </c>
    </row>
    <row r="1725" ht="15.75" customHeight="1" s="10">
      <c r="A1725" s="8">
        <f>CONCAT("AD507-",TEXT(ROW()-2,"0000"))</f>
        <v/>
      </c>
      <c r="C1725" s="8" t="n"/>
      <c r="F1725" s="8" t="n"/>
      <c r="G1725" s="8">
        <f>IF(F1725&lt;&gt;"",HYPERLINK("https://www.google.com/maps/search/?api=1&amp;query="&amp;SUBSTITUTE(F1725," ",""),"🗺 Google Maps"),"")</f>
        <v/>
      </c>
      <c r="H1725" s="8">
        <f>IF(F1725&lt;&gt;"",HYPERLINK("https://waze.com/ul?ll="&amp;SUBSTITUTE(F1725," ","")&amp;"&amp;navigate=yes","🚗 Waze"),"")</f>
        <v/>
      </c>
      <c r="I1725" s="8">
        <f>IF(F1725&lt;&gt;"",HYPERLINK("https://m.uber.com/ul/?action=setPickup&amp;pickup=my_location&amp;dropoff[latitude]="&amp;LEFT(SUBSTITUTE(F1725," ",""),FIND(",",SUBSTITUTE(F1725," ",""))-1)&amp;"&amp;dropoff[longitude]="&amp;MID(SUBSTITUTE(F1725," ",""),FIND(",",SUBSTITUTE(F1725," ",""))+1,99),"🚕 Uber"),"")</f>
        <v/>
      </c>
      <c r="J1725" s="8">
        <f>IF(F1725&lt;&gt;"","https://api.qrserver.com/v1/create-qr-code/?size=200x200&amp;data="&amp;ENCODEURL("https://www.google.com/maps/search/?api=1&amp;query="&amp;SUBSTITUTE(F1725," ","")),"")</f>
        <v/>
      </c>
      <c r="K1725" s="8">
        <f>IF(C1725&lt;&gt;"",HYPERLINK("https://wa.me/507"&amp;REGEXREPLACE(C1725,"[^0-9]","")&amp;"?text="&amp;ENCODEURL("Ya llegue. Codigo: "&amp;A1725&amp;". Ubicacion: "&amp;"https://www.google.com/maps/search/?api=1&amp;query="&amp;SUBSTITUTE(F1725," ","")),"📲 Avisar al cliente"),"")</f>
        <v/>
      </c>
      <c r="L1725" s="8">
        <f>IF(C1725&lt;&gt;"","https://api.qrserver.com/v1/create-qr-code/?size=200x200&amp;data="&amp;ENCODEURL("https://wa.me/507"&amp;REGEXREPLACE(C1725,"[^0-9]","")&amp;"?text="&amp;ENCODEURL("Ya llegue. Codigo: "&amp;A1725&amp;". Ubicacion: "&amp;"https://www.google.com/maps/search/?api=1&amp;query="&amp;SUBSTITUTE(F1725," ",""))),"")</f>
        <v/>
      </c>
      <c r="M1725" s="8">
        <f>IF(B1725&lt;&gt;"",TODAY(),"")</f>
        <v/>
      </c>
      <c r="N1725" s="8">
        <f>IF(F1725&lt;&gt;"",IFERROR(IF(AND(REGEXMATCH(SUBSTITUTE(TRIM(F1725)," ",""),"^-?\d+(\.\d+)?,-?\d+(\.\d+)?$"),VALUE(REGEXEXTRACT(SUBSTITUTE(TRIM(F1725)," ",""),"^-?\d+(\.\d+)?"))&gt;=-90,VALUE(REGEXEXTRACT(SUBSTITUTE(TRIM(F1725)," ",""),"^-?\d+(\.\d+)?"))&lt;=90,VALUE(REGEXEXTRACT(SUBSTITUTE(TRIM(F1725)," ",""),"-?\d+(\.\d+)?$"))&gt;=-180,VALUE(REGEXEXTRACT(SUBSTITUTE(TRIM(F1725)," ",""),"-?\d+(\.\d+)?$"))&lt;=180),"OK","REVISAR"),"REVISAR"),"")</f>
        <v/>
      </c>
      <c r="O1725">
        <f>IF(A1725&lt;&gt;"","https://direcciones507.github.io/direcciones507/panel.html?codigo="&amp;A1725&amp;"&amp;nombre="&amp;ENCODEURL(B1725)&amp;"&amp;telefono="&amp;SUBSTITUTE(C1725,"-","")&amp;"&amp;referencia="&amp;ENCODEURL(E1725)&amp;"&amp;lat="&amp;IZQUIERDA(SUBSTITUTE(F1725," ",""),ENCONTRAR(",",SUBSTITUTE(F1725," ",""))-1)&amp;"&amp;lng="&amp;DERECHA(SUBSTITUTE(F1725," ",""),LARGO(SUBSTITUTE(F1725," ",""))-ENCONTRAR(",",SUBSTITUTE(F1725," ",""))),"")</f>
        <v/>
      </c>
    </row>
    <row r="1726" ht="15.75" customHeight="1" s="10">
      <c r="A1726" s="8">
        <f>CONCAT("AD507-",TEXT(ROW()-2,"0000"))</f>
        <v/>
      </c>
      <c r="C1726" s="8" t="n"/>
      <c r="F1726" s="8" t="n"/>
      <c r="G1726" s="8">
        <f>IF(F1726&lt;&gt;"",HYPERLINK("https://www.google.com/maps/search/?api=1&amp;query="&amp;SUBSTITUTE(F1726," ",""),"🗺 Google Maps"),"")</f>
        <v/>
      </c>
      <c r="H1726" s="8">
        <f>IF(F1726&lt;&gt;"",HYPERLINK("https://waze.com/ul?ll="&amp;SUBSTITUTE(F1726," ","")&amp;"&amp;navigate=yes","🚗 Waze"),"")</f>
        <v/>
      </c>
      <c r="I1726" s="8">
        <f>IF(F1726&lt;&gt;"",HYPERLINK("https://m.uber.com/ul/?action=setPickup&amp;pickup=my_location&amp;dropoff[latitude]="&amp;LEFT(SUBSTITUTE(F1726," ",""),FIND(",",SUBSTITUTE(F1726," ",""))-1)&amp;"&amp;dropoff[longitude]="&amp;MID(SUBSTITUTE(F1726," ",""),FIND(",",SUBSTITUTE(F1726," ",""))+1,99),"🚕 Uber"),"")</f>
        <v/>
      </c>
      <c r="J1726" s="8">
        <f>IF(F1726&lt;&gt;"","https://api.qrserver.com/v1/create-qr-code/?size=200x200&amp;data="&amp;ENCODEURL("https://www.google.com/maps/search/?api=1&amp;query="&amp;SUBSTITUTE(F1726," ","")),"")</f>
        <v/>
      </c>
      <c r="K1726" s="8">
        <f>IF(C1726&lt;&gt;"",HYPERLINK("https://wa.me/507"&amp;REGEXREPLACE(C1726,"[^0-9]","")&amp;"?text="&amp;ENCODEURL("Ya llegue. Codigo: "&amp;A1726&amp;". Ubicacion: "&amp;"https://www.google.com/maps/search/?api=1&amp;query="&amp;SUBSTITUTE(F1726," ","")),"📲 Avisar al cliente"),"")</f>
        <v/>
      </c>
      <c r="L1726" s="8">
        <f>IF(C1726&lt;&gt;"","https://api.qrserver.com/v1/create-qr-code/?size=200x200&amp;data="&amp;ENCODEURL("https://wa.me/507"&amp;REGEXREPLACE(C1726,"[^0-9]","")&amp;"?text="&amp;ENCODEURL("Ya llegue. Codigo: "&amp;A1726&amp;". Ubicacion: "&amp;"https://www.google.com/maps/search/?api=1&amp;query="&amp;SUBSTITUTE(F1726," ",""))),"")</f>
        <v/>
      </c>
      <c r="M1726" s="8">
        <f>IF(B1726&lt;&gt;"",TODAY(),"")</f>
        <v/>
      </c>
      <c r="N1726" s="8">
        <f>IF(F1726&lt;&gt;"",IFERROR(IF(AND(REGEXMATCH(SUBSTITUTE(TRIM(F1726)," ",""),"^-?\d+(\.\d+)?,-?\d+(\.\d+)?$"),VALUE(REGEXEXTRACT(SUBSTITUTE(TRIM(F1726)," ",""),"^-?\d+(\.\d+)?"))&gt;=-90,VALUE(REGEXEXTRACT(SUBSTITUTE(TRIM(F1726)," ",""),"^-?\d+(\.\d+)?"))&lt;=90,VALUE(REGEXEXTRACT(SUBSTITUTE(TRIM(F1726)," ",""),"-?\d+(\.\d+)?$"))&gt;=-180,VALUE(REGEXEXTRACT(SUBSTITUTE(TRIM(F1726)," ",""),"-?\d+(\.\d+)?$"))&lt;=180),"OK","REVISAR"),"REVISAR"),"")</f>
        <v/>
      </c>
      <c r="O1726">
        <f>IF(A1726&lt;&gt;"","https://direcciones507.github.io/direcciones507/panel.html?codigo="&amp;A1726&amp;"&amp;nombre="&amp;ENCODEURL(B1726)&amp;"&amp;telefono="&amp;SUBSTITUTE(C1726,"-","")&amp;"&amp;referencia="&amp;ENCODEURL(E1726)&amp;"&amp;lat="&amp;IZQUIERDA(SUBSTITUTE(F1726," ",""),ENCONTRAR(",",SUBSTITUTE(F1726," ",""))-1)&amp;"&amp;lng="&amp;DERECHA(SUBSTITUTE(F1726," ",""),LARGO(SUBSTITUTE(F1726," ",""))-ENCONTRAR(",",SUBSTITUTE(F1726," ",""))),"")</f>
        <v/>
      </c>
    </row>
    <row r="1727" ht="15.75" customHeight="1" s="10">
      <c r="A1727" s="8">
        <f>CONCAT("AD507-",TEXT(ROW()-2,"0000"))</f>
        <v/>
      </c>
      <c r="C1727" s="8" t="n"/>
      <c r="F1727" s="8" t="n"/>
      <c r="G1727" s="8">
        <f>IF(F1727&lt;&gt;"",HYPERLINK("https://www.google.com/maps/search/?api=1&amp;query="&amp;SUBSTITUTE(F1727," ",""),"🗺 Google Maps"),"")</f>
        <v/>
      </c>
      <c r="H1727" s="8">
        <f>IF(F1727&lt;&gt;"",HYPERLINK("https://waze.com/ul?ll="&amp;SUBSTITUTE(F1727," ","")&amp;"&amp;navigate=yes","🚗 Waze"),"")</f>
        <v/>
      </c>
      <c r="I1727" s="8">
        <f>IF(F1727&lt;&gt;"",HYPERLINK("https://m.uber.com/ul/?action=setPickup&amp;pickup=my_location&amp;dropoff[latitude]="&amp;LEFT(SUBSTITUTE(F1727," ",""),FIND(",",SUBSTITUTE(F1727," ",""))-1)&amp;"&amp;dropoff[longitude]="&amp;MID(SUBSTITUTE(F1727," ",""),FIND(",",SUBSTITUTE(F1727," ",""))+1,99),"🚕 Uber"),"")</f>
        <v/>
      </c>
      <c r="J1727" s="8">
        <f>IF(F1727&lt;&gt;"","https://api.qrserver.com/v1/create-qr-code/?size=200x200&amp;data="&amp;ENCODEURL("https://www.google.com/maps/search/?api=1&amp;query="&amp;SUBSTITUTE(F1727," ","")),"")</f>
        <v/>
      </c>
      <c r="K1727" s="8">
        <f>IF(C1727&lt;&gt;"",HYPERLINK("https://wa.me/507"&amp;REGEXREPLACE(C1727,"[^0-9]","")&amp;"?text="&amp;ENCODEURL("Ya llegue. Codigo: "&amp;A1727&amp;". Ubicacion: "&amp;"https://www.google.com/maps/search/?api=1&amp;query="&amp;SUBSTITUTE(F1727," ","")),"📲 Avisar al cliente"),"")</f>
        <v/>
      </c>
      <c r="L1727" s="8">
        <f>IF(C1727&lt;&gt;"","https://api.qrserver.com/v1/create-qr-code/?size=200x200&amp;data="&amp;ENCODEURL("https://wa.me/507"&amp;REGEXREPLACE(C1727,"[^0-9]","")&amp;"?text="&amp;ENCODEURL("Ya llegue. Codigo: "&amp;A1727&amp;". Ubicacion: "&amp;"https://www.google.com/maps/search/?api=1&amp;query="&amp;SUBSTITUTE(F1727," ",""))),"")</f>
        <v/>
      </c>
      <c r="M1727" s="8">
        <f>IF(B1727&lt;&gt;"",TODAY(),"")</f>
        <v/>
      </c>
      <c r="N1727" s="8">
        <f>IF(F1727&lt;&gt;"",IFERROR(IF(AND(REGEXMATCH(SUBSTITUTE(TRIM(F1727)," ",""),"^-?\d+(\.\d+)?,-?\d+(\.\d+)?$"),VALUE(REGEXEXTRACT(SUBSTITUTE(TRIM(F1727)," ",""),"^-?\d+(\.\d+)?"))&gt;=-90,VALUE(REGEXEXTRACT(SUBSTITUTE(TRIM(F1727)," ",""),"^-?\d+(\.\d+)?"))&lt;=90,VALUE(REGEXEXTRACT(SUBSTITUTE(TRIM(F1727)," ",""),"-?\d+(\.\d+)?$"))&gt;=-180,VALUE(REGEXEXTRACT(SUBSTITUTE(TRIM(F1727)," ",""),"-?\d+(\.\d+)?$"))&lt;=180),"OK","REVISAR"),"REVISAR"),"")</f>
        <v/>
      </c>
      <c r="O1727">
        <f>IF(A1727&lt;&gt;"","https://direcciones507.github.io/direcciones507/panel.html?codigo="&amp;A1727&amp;"&amp;nombre="&amp;ENCODEURL(B1727)&amp;"&amp;telefono="&amp;SUBSTITUTE(C1727,"-","")&amp;"&amp;referencia="&amp;ENCODEURL(E1727)&amp;"&amp;lat="&amp;IZQUIERDA(SUBSTITUTE(F1727," ",""),ENCONTRAR(",",SUBSTITUTE(F1727," ",""))-1)&amp;"&amp;lng="&amp;DERECHA(SUBSTITUTE(F1727," ",""),LARGO(SUBSTITUTE(F1727," ",""))-ENCONTRAR(",",SUBSTITUTE(F1727," ",""))),"")</f>
        <v/>
      </c>
    </row>
    <row r="1728" ht="15.75" customHeight="1" s="10">
      <c r="A1728" s="8">
        <f>CONCAT("AD507-",TEXT(ROW()-2,"0000"))</f>
        <v/>
      </c>
      <c r="C1728" s="8" t="n"/>
      <c r="F1728" s="8" t="n"/>
      <c r="G1728" s="8">
        <f>IF(F1728&lt;&gt;"",HYPERLINK("https://www.google.com/maps/search/?api=1&amp;query="&amp;SUBSTITUTE(F1728," ",""),"🗺 Google Maps"),"")</f>
        <v/>
      </c>
      <c r="H1728" s="8">
        <f>IF(F1728&lt;&gt;"",HYPERLINK("https://waze.com/ul?ll="&amp;SUBSTITUTE(F1728," ","")&amp;"&amp;navigate=yes","🚗 Waze"),"")</f>
        <v/>
      </c>
      <c r="I1728" s="8">
        <f>IF(F1728&lt;&gt;"",HYPERLINK("https://m.uber.com/ul/?action=setPickup&amp;pickup=my_location&amp;dropoff[latitude]="&amp;LEFT(SUBSTITUTE(F1728," ",""),FIND(",",SUBSTITUTE(F1728," ",""))-1)&amp;"&amp;dropoff[longitude]="&amp;MID(SUBSTITUTE(F1728," ",""),FIND(",",SUBSTITUTE(F1728," ",""))+1,99),"🚕 Uber"),"")</f>
        <v/>
      </c>
      <c r="J1728" s="8">
        <f>IF(F1728&lt;&gt;"","https://api.qrserver.com/v1/create-qr-code/?size=200x200&amp;data="&amp;ENCODEURL("https://www.google.com/maps/search/?api=1&amp;query="&amp;SUBSTITUTE(F1728," ","")),"")</f>
        <v/>
      </c>
      <c r="K1728" s="8">
        <f>IF(C1728&lt;&gt;"",HYPERLINK("https://wa.me/507"&amp;REGEXREPLACE(C1728,"[^0-9]","")&amp;"?text="&amp;ENCODEURL("Ya llegue. Codigo: "&amp;A1728&amp;". Ubicacion: "&amp;"https://www.google.com/maps/search/?api=1&amp;query="&amp;SUBSTITUTE(F1728," ","")),"📲 Avisar al cliente"),"")</f>
        <v/>
      </c>
      <c r="L1728" s="8">
        <f>IF(C1728&lt;&gt;"","https://api.qrserver.com/v1/create-qr-code/?size=200x200&amp;data="&amp;ENCODEURL("https://wa.me/507"&amp;REGEXREPLACE(C1728,"[^0-9]","")&amp;"?text="&amp;ENCODEURL("Ya llegue. Codigo: "&amp;A1728&amp;". Ubicacion: "&amp;"https://www.google.com/maps/search/?api=1&amp;query="&amp;SUBSTITUTE(F1728," ",""))),"")</f>
        <v/>
      </c>
      <c r="M1728" s="8">
        <f>IF(B1728&lt;&gt;"",TODAY(),"")</f>
        <v/>
      </c>
      <c r="N1728" s="8">
        <f>IF(F1728&lt;&gt;"",IFERROR(IF(AND(REGEXMATCH(SUBSTITUTE(TRIM(F1728)," ",""),"^-?\d+(\.\d+)?,-?\d+(\.\d+)?$"),VALUE(REGEXEXTRACT(SUBSTITUTE(TRIM(F1728)," ",""),"^-?\d+(\.\d+)?"))&gt;=-90,VALUE(REGEXEXTRACT(SUBSTITUTE(TRIM(F1728)," ",""),"^-?\d+(\.\d+)?"))&lt;=90,VALUE(REGEXEXTRACT(SUBSTITUTE(TRIM(F1728)," ",""),"-?\d+(\.\d+)?$"))&gt;=-180,VALUE(REGEXEXTRACT(SUBSTITUTE(TRIM(F1728)," ",""),"-?\d+(\.\d+)?$"))&lt;=180),"OK","REVISAR"),"REVISAR"),"")</f>
        <v/>
      </c>
      <c r="O1728">
        <f>IF(A1728&lt;&gt;"","https://direcciones507.github.io/direcciones507/panel.html?codigo="&amp;A1728&amp;"&amp;nombre="&amp;ENCODEURL(B1728)&amp;"&amp;telefono="&amp;SUBSTITUTE(C1728,"-","")&amp;"&amp;referencia="&amp;ENCODEURL(E1728)&amp;"&amp;lat="&amp;IZQUIERDA(SUBSTITUTE(F1728," ",""),ENCONTRAR(",",SUBSTITUTE(F1728," ",""))-1)&amp;"&amp;lng="&amp;DERECHA(SUBSTITUTE(F1728," ",""),LARGO(SUBSTITUTE(F1728," ",""))-ENCONTRAR(",",SUBSTITUTE(F1728," ",""))),"")</f>
        <v/>
      </c>
    </row>
    <row r="1729" ht="15.75" customHeight="1" s="10">
      <c r="A1729" s="8">
        <f>CONCAT("AD507-",TEXT(ROW()-2,"0000"))</f>
        <v/>
      </c>
      <c r="C1729" s="8" t="n"/>
      <c r="F1729" s="8" t="n"/>
      <c r="G1729" s="8">
        <f>IF(F1729&lt;&gt;"",HYPERLINK("https://www.google.com/maps/search/?api=1&amp;query="&amp;SUBSTITUTE(F1729," ",""),"🗺 Google Maps"),"")</f>
        <v/>
      </c>
      <c r="H1729" s="8">
        <f>IF(F1729&lt;&gt;"",HYPERLINK("https://waze.com/ul?ll="&amp;SUBSTITUTE(F1729," ","")&amp;"&amp;navigate=yes","🚗 Waze"),"")</f>
        <v/>
      </c>
      <c r="I1729" s="8">
        <f>IF(F1729&lt;&gt;"",HYPERLINK("https://m.uber.com/ul/?action=setPickup&amp;pickup=my_location&amp;dropoff[latitude]="&amp;LEFT(SUBSTITUTE(F1729," ",""),FIND(",",SUBSTITUTE(F1729," ",""))-1)&amp;"&amp;dropoff[longitude]="&amp;MID(SUBSTITUTE(F1729," ",""),FIND(",",SUBSTITUTE(F1729," ",""))+1,99),"🚕 Uber"),"")</f>
        <v/>
      </c>
      <c r="J1729" s="8">
        <f>IF(F1729&lt;&gt;"","https://api.qrserver.com/v1/create-qr-code/?size=200x200&amp;data="&amp;ENCODEURL("https://www.google.com/maps/search/?api=1&amp;query="&amp;SUBSTITUTE(F1729," ","")),"")</f>
        <v/>
      </c>
      <c r="K1729" s="8">
        <f>IF(C1729&lt;&gt;"",HYPERLINK("https://wa.me/507"&amp;REGEXREPLACE(C1729,"[^0-9]","")&amp;"?text="&amp;ENCODEURL("Ya llegue. Codigo: "&amp;A1729&amp;". Ubicacion: "&amp;"https://www.google.com/maps/search/?api=1&amp;query="&amp;SUBSTITUTE(F1729," ","")),"📲 Avisar al cliente"),"")</f>
        <v/>
      </c>
      <c r="L1729" s="8">
        <f>IF(C1729&lt;&gt;"","https://api.qrserver.com/v1/create-qr-code/?size=200x200&amp;data="&amp;ENCODEURL("https://wa.me/507"&amp;REGEXREPLACE(C1729,"[^0-9]","")&amp;"?text="&amp;ENCODEURL("Ya llegue. Codigo: "&amp;A1729&amp;". Ubicacion: "&amp;"https://www.google.com/maps/search/?api=1&amp;query="&amp;SUBSTITUTE(F1729," ",""))),"")</f>
        <v/>
      </c>
      <c r="M1729" s="8">
        <f>IF(B1729&lt;&gt;"",TODAY(),"")</f>
        <v/>
      </c>
      <c r="N1729" s="8">
        <f>IF(F1729&lt;&gt;"",IFERROR(IF(AND(REGEXMATCH(SUBSTITUTE(TRIM(F1729)," ",""),"^-?\d+(\.\d+)?,-?\d+(\.\d+)?$"),VALUE(REGEXEXTRACT(SUBSTITUTE(TRIM(F1729)," ",""),"^-?\d+(\.\d+)?"))&gt;=-90,VALUE(REGEXEXTRACT(SUBSTITUTE(TRIM(F1729)," ",""),"^-?\d+(\.\d+)?"))&lt;=90,VALUE(REGEXEXTRACT(SUBSTITUTE(TRIM(F1729)," ",""),"-?\d+(\.\d+)?$"))&gt;=-180,VALUE(REGEXEXTRACT(SUBSTITUTE(TRIM(F1729)," ",""),"-?\d+(\.\d+)?$"))&lt;=180),"OK","REVISAR"),"REVISAR"),"")</f>
        <v/>
      </c>
      <c r="O1729">
        <f>IF(A1729&lt;&gt;"","https://direcciones507.github.io/direcciones507/panel.html?codigo="&amp;A1729&amp;"&amp;nombre="&amp;ENCODEURL(B1729)&amp;"&amp;telefono="&amp;SUBSTITUTE(C1729,"-","")&amp;"&amp;referencia="&amp;ENCODEURL(E1729)&amp;"&amp;lat="&amp;IZQUIERDA(SUBSTITUTE(F1729," ",""),ENCONTRAR(",",SUBSTITUTE(F1729," ",""))-1)&amp;"&amp;lng="&amp;DERECHA(SUBSTITUTE(F1729," ",""),LARGO(SUBSTITUTE(F1729," ",""))-ENCONTRAR(",",SUBSTITUTE(F1729," ",""))),"")</f>
        <v/>
      </c>
    </row>
    <row r="1730" ht="15.75" customHeight="1" s="10">
      <c r="A1730" s="8">
        <f>CONCAT("AD507-",TEXT(ROW()-2,"0000"))</f>
        <v/>
      </c>
      <c r="C1730" s="8" t="n"/>
      <c r="F1730" s="8" t="n"/>
      <c r="G1730" s="8">
        <f>IF(F1730&lt;&gt;"",HYPERLINK("https://www.google.com/maps/search/?api=1&amp;query="&amp;SUBSTITUTE(F1730," ",""),"🗺 Google Maps"),"")</f>
        <v/>
      </c>
      <c r="H1730" s="8">
        <f>IF(F1730&lt;&gt;"",HYPERLINK("https://waze.com/ul?ll="&amp;SUBSTITUTE(F1730," ","")&amp;"&amp;navigate=yes","🚗 Waze"),"")</f>
        <v/>
      </c>
      <c r="I1730" s="8">
        <f>IF(F1730&lt;&gt;"",HYPERLINK("https://m.uber.com/ul/?action=setPickup&amp;pickup=my_location&amp;dropoff[latitude]="&amp;LEFT(SUBSTITUTE(F1730," ",""),FIND(",",SUBSTITUTE(F1730," ",""))-1)&amp;"&amp;dropoff[longitude]="&amp;MID(SUBSTITUTE(F1730," ",""),FIND(",",SUBSTITUTE(F1730," ",""))+1,99),"🚕 Uber"),"")</f>
        <v/>
      </c>
      <c r="J1730" s="8">
        <f>IF(F1730&lt;&gt;"","https://api.qrserver.com/v1/create-qr-code/?size=200x200&amp;data="&amp;ENCODEURL("https://www.google.com/maps/search/?api=1&amp;query="&amp;SUBSTITUTE(F1730," ","")),"")</f>
        <v/>
      </c>
      <c r="K1730" s="8">
        <f>IF(C1730&lt;&gt;"",HYPERLINK("https://wa.me/507"&amp;REGEXREPLACE(C1730,"[^0-9]","")&amp;"?text="&amp;ENCODEURL("Ya llegue. Codigo: "&amp;A1730&amp;". Ubicacion: "&amp;"https://www.google.com/maps/search/?api=1&amp;query="&amp;SUBSTITUTE(F1730," ","")),"📲 Avisar al cliente"),"")</f>
        <v/>
      </c>
      <c r="L1730" s="8">
        <f>IF(C1730&lt;&gt;"","https://api.qrserver.com/v1/create-qr-code/?size=200x200&amp;data="&amp;ENCODEURL("https://wa.me/507"&amp;REGEXREPLACE(C1730,"[^0-9]","")&amp;"?text="&amp;ENCODEURL("Ya llegue. Codigo: "&amp;A1730&amp;". Ubicacion: "&amp;"https://www.google.com/maps/search/?api=1&amp;query="&amp;SUBSTITUTE(F1730," ",""))),"")</f>
        <v/>
      </c>
      <c r="M1730" s="8">
        <f>IF(B1730&lt;&gt;"",TODAY(),"")</f>
        <v/>
      </c>
      <c r="N1730" s="8">
        <f>IF(F1730&lt;&gt;"",IFERROR(IF(AND(REGEXMATCH(SUBSTITUTE(TRIM(F1730)," ",""),"^-?\d+(\.\d+)?,-?\d+(\.\d+)?$"),VALUE(REGEXEXTRACT(SUBSTITUTE(TRIM(F1730)," ",""),"^-?\d+(\.\d+)?"))&gt;=-90,VALUE(REGEXEXTRACT(SUBSTITUTE(TRIM(F1730)," ",""),"^-?\d+(\.\d+)?"))&lt;=90,VALUE(REGEXEXTRACT(SUBSTITUTE(TRIM(F1730)," ",""),"-?\d+(\.\d+)?$"))&gt;=-180,VALUE(REGEXEXTRACT(SUBSTITUTE(TRIM(F1730)," ",""),"-?\d+(\.\d+)?$"))&lt;=180),"OK","REVISAR"),"REVISAR"),"")</f>
        <v/>
      </c>
      <c r="O1730">
        <f>IF(A1730&lt;&gt;"","https://direcciones507.github.io/direcciones507/panel.html?codigo="&amp;A1730&amp;"&amp;nombre="&amp;ENCODEURL(B1730)&amp;"&amp;telefono="&amp;SUBSTITUTE(C1730,"-","")&amp;"&amp;referencia="&amp;ENCODEURL(E1730)&amp;"&amp;lat="&amp;IZQUIERDA(SUBSTITUTE(F1730," ",""),ENCONTRAR(",",SUBSTITUTE(F1730," ",""))-1)&amp;"&amp;lng="&amp;DERECHA(SUBSTITUTE(F1730," ",""),LARGO(SUBSTITUTE(F1730," ",""))-ENCONTRAR(",",SUBSTITUTE(F1730," ",""))),"")</f>
        <v/>
      </c>
    </row>
    <row r="1731" ht="15.75" customHeight="1" s="10">
      <c r="A1731" s="8">
        <f>CONCAT("AD507-",TEXT(ROW()-2,"0000"))</f>
        <v/>
      </c>
      <c r="C1731" s="8" t="n"/>
      <c r="F1731" s="8" t="n"/>
      <c r="G1731" s="8">
        <f>IF(F1731&lt;&gt;"",HYPERLINK("https://www.google.com/maps/search/?api=1&amp;query="&amp;SUBSTITUTE(F1731," ",""),"🗺 Google Maps"),"")</f>
        <v/>
      </c>
      <c r="H1731" s="8">
        <f>IF(F1731&lt;&gt;"",HYPERLINK("https://waze.com/ul?ll="&amp;SUBSTITUTE(F1731," ","")&amp;"&amp;navigate=yes","🚗 Waze"),"")</f>
        <v/>
      </c>
      <c r="I1731" s="8">
        <f>IF(F1731&lt;&gt;"",HYPERLINK("https://m.uber.com/ul/?action=setPickup&amp;pickup=my_location&amp;dropoff[latitude]="&amp;LEFT(SUBSTITUTE(F1731," ",""),FIND(",",SUBSTITUTE(F1731," ",""))-1)&amp;"&amp;dropoff[longitude]="&amp;MID(SUBSTITUTE(F1731," ",""),FIND(",",SUBSTITUTE(F1731," ",""))+1,99),"🚕 Uber"),"")</f>
        <v/>
      </c>
      <c r="J1731" s="8">
        <f>IF(F1731&lt;&gt;"","https://api.qrserver.com/v1/create-qr-code/?size=200x200&amp;data="&amp;ENCODEURL("https://www.google.com/maps/search/?api=1&amp;query="&amp;SUBSTITUTE(F1731," ","")),"")</f>
        <v/>
      </c>
      <c r="K1731" s="8">
        <f>IF(C1731&lt;&gt;"",HYPERLINK("https://wa.me/507"&amp;REGEXREPLACE(C1731,"[^0-9]","")&amp;"?text="&amp;ENCODEURL("Ya llegue. Codigo: "&amp;A1731&amp;". Ubicacion: "&amp;"https://www.google.com/maps/search/?api=1&amp;query="&amp;SUBSTITUTE(F1731," ","")),"📲 Avisar al cliente"),"")</f>
        <v/>
      </c>
      <c r="L1731" s="8">
        <f>IF(C1731&lt;&gt;"","https://api.qrserver.com/v1/create-qr-code/?size=200x200&amp;data="&amp;ENCODEURL("https://wa.me/507"&amp;REGEXREPLACE(C1731,"[^0-9]","")&amp;"?text="&amp;ENCODEURL("Ya llegue. Codigo: "&amp;A1731&amp;". Ubicacion: "&amp;"https://www.google.com/maps/search/?api=1&amp;query="&amp;SUBSTITUTE(F1731," ",""))),"")</f>
        <v/>
      </c>
      <c r="M1731" s="8">
        <f>IF(B1731&lt;&gt;"",TODAY(),"")</f>
        <v/>
      </c>
      <c r="N1731" s="8">
        <f>IF(F1731&lt;&gt;"",IFERROR(IF(AND(REGEXMATCH(SUBSTITUTE(TRIM(F1731)," ",""),"^-?\d+(\.\d+)?,-?\d+(\.\d+)?$"),VALUE(REGEXEXTRACT(SUBSTITUTE(TRIM(F1731)," ",""),"^-?\d+(\.\d+)?"))&gt;=-90,VALUE(REGEXEXTRACT(SUBSTITUTE(TRIM(F1731)," ",""),"^-?\d+(\.\d+)?"))&lt;=90,VALUE(REGEXEXTRACT(SUBSTITUTE(TRIM(F1731)," ",""),"-?\d+(\.\d+)?$"))&gt;=-180,VALUE(REGEXEXTRACT(SUBSTITUTE(TRIM(F1731)," ",""),"-?\d+(\.\d+)?$"))&lt;=180),"OK","REVISAR"),"REVISAR"),"")</f>
        <v/>
      </c>
      <c r="O1731">
        <f>IF(A1731&lt;&gt;"","https://direcciones507.github.io/direcciones507/panel.html?codigo="&amp;A1731&amp;"&amp;nombre="&amp;ENCODEURL(B1731)&amp;"&amp;telefono="&amp;SUBSTITUTE(C1731,"-","")&amp;"&amp;referencia="&amp;ENCODEURL(E1731)&amp;"&amp;lat="&amp;IZQUIERDA(SUBSTITUTE(F1731," ",""),ENCONTRAR(",",SUBSTITUTE(F1731," ",""))-1)&amp;"&amp;lng="&amp;DERECHA(SUBSTITUTE(F1731," ",""),LARGO(SUBSTITUTE(F1731," ",""))-ENCONTRAR(",",SUBSTITUTE(F1731," ",""))),"")</f>
        <v/>
      </c>
    </row>
    <row r="1732" ht="15.75" customHeight="1" s="10">
      <c r="A1732" s="8">
        <f>CONCAT("AD507-",TEXT(ROW()-2,"0000"))</f>
        <v/>
      </c>
      <c r="C1732" s="8" t="n"/>
      <c r="F1732" s="8" t="n"/>
      <c r="G1732" s="8">
        <f>IF(F1732&lt;&gt;"",HYPERLINK("https://www.google.com/maps/search/?api=1&amp;query="&amp;SUBSTITUTE(F1732," ",""),"🗺 Google Maps"),"")</f>
        <v/>
      </c>
      <c r="H1732" s="8">
        <f>IF(F1732&lt;&gt;"",HYPERLINK("https://waze.com/ul?ll="&amp;SUBSTITUTE(F1732," ","")&amp;"&amp;navigate=yes","🚗 Waze"),"")</f>
        <v/>
      </c>
      <c r="I1732" s="8">
        <f>IF(F1732&lt;&gt;"",HYPERLINK("https://m.uber.com/ul/?action=setPickup&amp;pickup=my_location&amp;dropoff[latitude]="&amp;LEFT(SUBSTITUTE(F1732," ",""),FIND(",",SUBSTITUTE(F1732," ",""))-1)&amp;"&amp;dropoff[longitude]="&amp;MID(SUBSTITUTE(F1732," ",""),FIND(",",SUBSTITUTE(F1732," ",""))+1,99),"🚕 Uber"),"")</f>
        <v/>
      </c>
      <c r="J1732" s="8">
        <f>IF(F1732&lt;&gt;"","https://api.qrserver.com/v1/create-qr-code/?size=200x200&amp;data="&amp;ENCODEURL("https://www.google.com/maps/search/?api=1&amp;query="&amp;SUBSTITUTE(F1732," ","")),"")</f>
        <v/>
      </c>
      <c r="K1732" s="8">
        <f>IF(C1732&lt;&gt;"",HYPERLINK("https://wa.me/507"&amp;REGEXREPLACE(C1732,"[^0-9]","")&amp;"?text="&amp;ENCODEURL("Ya llegue. Codigo: "&amp;A1732&amp;". Ubicacion: "&amp;"https://www.google.com/maps/search/?api=1&amp;query="&amp;SUBSTITUTE(F1732," ","")),"📲 Avisar al cliente"),"")</f>
        <v/>
      </c>
      <c r="L1732" s="8">
        <f>IF(C1732&lt;&gt;"","https://api.qrserver.com/v1/create-qr-code/?size=200x200&amp;data="&amp;ENCODEURL("https://wa.me/507"&amp;REGEXREPLACE(C1732,"[^0-9]","")&amp;"?text="&amp;ENCODEURL("Ya llegue. Codigo: "&amp;A1732&amp;". Ubicacion: "&amp;"https://www.google.com/maps/search/?api=1&amp;query="&amp;SUBSTITUTE(F1732," ",""))),"")</f>
        <v/>
      </c>
      <c r="M1732" s="8">
        <f>IF(B1732&lt;&gt;"",TODAY(),"")</f>
        <v/>
      </c>
      <c r="N1732" s="8">
        <f>IF(F1732&lt;&gt;"",IFERROR(IF(AND(REGEXMATCH(SUBSTITUTE(TRIM(F1732)," ",""),"^-?\d+(\.\d+)?,-?\d+(\.\d+)?$"),VALUE(REGEXEXTRACT(SUBSTITUTE(TRIM(F1732)," ",""),"^-?\d+(\.\d+)?"))&gt;=-90,VALUE(REGEXEXTRACT(SUBSTITUTE(TRIM(F1732)," ",""),"^-?\d+(\.\d+)?"))&lt;=90,VALUE(REGEXEXTRACT(SUBSTITUTE(TRIM(F1732)," ",""),"-?\d+(\.\d+)?$"))&gt;=-180,VALUE(REGEXEXTRACT(SUBSTITUTE(TRIM(F1732)," ",""),"-?\d+(\.\d+)?$"))&lt;=180),"OK","REVISAR"),"REVISAR"),"")</f>
        <v/>
      </c>
      <c r="O1732">
        <f>IF(A1732&lt;&gt;"","https://direcciones507.github.io/direcciones507/panel.html?codigo="&amp;A1732&amp;"&amp;nombre="&amp;ENCODEURL(B1732)&amp;"&amp;telefono="&amp;SUBSTITUTE(C1732,"-","")&amp;"&amp;referencia="&amp;ENCODEURL(E1732)&amp;"&amp;lat="&amp;IZQUIERDA(SUBSTITUTE(F1732," ",""),ENCONTRAR(",",SUBSTITUTE(F1732," ",""))-1)&amp;"&amp;lng="&amp;DERECHA(SUBSTITUTE(F1732," ",""),LARGO(SUBSTITUTE(F1732," ",""))-ENCONTRAR(",",SUBSTITUTE(F1732," ",""))),"")</f>
        <v/>
      </c>
    </row>
    <row r="1733" ht="15.75" customHeight="1" s="10">
      <c r="A1733" s="8">
        <f>CONCAT("AD507-",TEXT(ROW()-2,"0000"))</f>
        <v/>
      </c>
      <c r="C1733" s="8" t="n"/>
      <c r="F1733" s="8" t="n"/>
      <c r="G1733" s="8">
        <f>IF(F1733&lt;&gt;"",HYPERLINK("https://www.google.com/maps/search/?api=1&amp;query="&amp;SUBSTITUTE(F1733," ",""),"🗺 Google Maps"),"")</f>
        <v/>
      </c>
      <c r="H1733" s="8">
        <f>IF(F1733&lt;&gt;"",HYPERLINK("https://waze.com/ul?ll="&amp;SUBSTITUTE(F1733," ","")&amp;"&amp;navigate=yes","🚗 Waze"),"")</f>
        <v/>
      </c>
      <c r="I1733" s="8">
        <f>IF(F1733&lt;&gt;"",HYPERLINK("https://m.uber.com/ul/?action=setPickup&amp;pickup=my_location&amp;dropoff[latitude]="&amp;LEFT(SUBSTITUTE(F1733," ",""),FIND(",",SUBSTITUTE(F1733," ",""))-1)&amp;"&amp;dropoff[longitude]="&amp;MID(SUBSTITUTE(F1733," ",""),FIND(",",SUBSTITUTE(F1733," ",""))+1,99),"🚕 Uber"),"")</f>
        <v/>
      </c>
      <c r="J1733" s="8">
        <f>IF(F1733&lt;&gt;"","https://api.qrserver.com/v1/create-qr-code/?size=200x200&amp;data="&amp;ENCODEURL("https://www.google.com/maps/search/?api=1&amp;query="&amp;SUBSTITUTE(F1733," ","")),"")</f>
        <v/>
      </c>
      <c r="K1733" s="8">
        <f>IF(C1733&lt;&gt;"",HYPERLINK("https://wa.me/507"&amp;REGEXREPLACE(C1733,"[^0-9]","")&amp;"?text="&amp;ENCODEURL("Ya llegue. Codigo: "&amp;A1733&amp;". Ubicacion: "&amp;"https://www.google.com/maps/search/?api=1&amp;query="&amp;SUBSTITUTE(F1733," ","")),"📲 Avisar al cliente"),"")</f>
        <v/>
      </c>
      <c r="L1733" s="8">
        <f>IF(C1733&lt;&gt;"","https://api.qrserver.com/v1/create-qr-code/?size=200x200&amp;data="&amp;ENCODEURL("https://wa.me/507"&amp;REGEXREPLACE(C1733,"[^0-9]","")&amp;"?text="&amp;ENCODEURL("Ya llegue. Codigo: "&amp;A1733&amp;". Ubicacion: "&amp;"https://www.google.com/maps/search/?api=1&amp;query="&amp;SUBSTITUTE(F1733," ",""))),"")</f>
        <v/>
      </c>
      <c r="M1733" s="8">
        <f>IF(B1733&lt;&gt;"",TODAY(),"")</f>
        <v/>
      </c>
      <c r="N1733" s="8">
        <f>IF(F1733&lt;&gt;"",IFERROR(IF(AND(REGEXMATCH(SUBSTITUTE(TRIM(F1733)," ",""),"^-?\d+(\.\d+)?,-?\d+(\.\d+)?$"),VALUE(REGEXEXTRACT(SUBSTITUTE(TRIM(F1733)," ",""),"^-?\d+(\.\d+)?"))&gt;=-90,VALUE(REGEXEXTRACT(SUBSTITUTE(TRIM(F1733)," ",""),"^-?\d+(\.\d+)?"))&lt;=90,VALUE(REGEXEXTRACT(SUBSTITUTE(TRIM(F1733)," ",""),"-?\d+(\.\d+)?$"))&gt;=-180,VALUE(REGEXEXTRACT(SUBSTITUTE(TRIM(F1733)," ",""),"-?\d+(\.\d+)?$"))&lt;=180),"OK","REVISAR"),"REVISAR"),"")</f>
        <v/>
      </c>
      <c r="O1733">
        <f>IF(A1733&lt;&gt;"","https://direcciones507.github.io/direcciones507/panel.html?codigo="&amp;A1733&amp;"&amp;nombre="&amp;ENCODEURL(B1733)&amp;"&amp;telefono="&amp;SUBSTITUTE(C1733,"-","")&amp;"&amp;referencia="&amp;ENCODEURL(E1733)&amp;"&amp;lat="&amp;IZQUIERDA(SUBSTITUTE(F1733," ",""),ENCONTRAR(",",SUBSTITUTE(F1733," ",""))-1)&amp;"&amp;lng="&amp;DERECHA(SUBSTITUTE(F1733," ",""),LARGO(SUBSTITUTE(F1733," ",""))-ENCONTRAR(",",SUBSTITUTE(F1733," ",""))),"")</f>
        <v/>
      </c>
    </row>
    <row r="1734" ht="15.75" customHeight="1" s="10">
      <c r="A1734" s="8">
        <f>CONCAT("AD507-",TEXT(ROW()-2,"0000"))</f>
        <v/>
      </c>
      <c r="C1734" s="8" t="n"/>
      <c r="F1734" s="8" t="n"/>
      <c r="G1734" s="8">
        <f>IF(F1734&lt;&gt;"",HYPERLINK("https://www.google.com/maps/search/?api=1&amp;query="&amp;SUBSTITUTE(F1734," ",""),"🗺 Google Maps"),"")</f>
        <v/>
      </c>
      <c r="H1734" s="8">
        <f>IF(F1734&lt;&gt;"",HYPERLINK("https://waze.com/ul?ll="&amp;SUBSTITUTE(F1734," ","")&amp;"&amp;navigate=yes","🚗 Waze"),"")</f>
        <v/>
      </c>
      <c r="I1734" s="8">
        <f>IF(F1734&lt;&gt;"",HYPERLINK("https://m.uber.com/ul/?action=setPickup&amp;pickup=my_location&amp;dropoff[latitude]="&amp;LEFT(SUBSTITUTE(F1734," ",""),FIND(",",SUBSTITUTE(F1734," ",""))-1)&amp;"&amp;dropoff[longitude]="&amp;MID(SUBSTITUTE(F1734," ",""),FIND(",",SUBSTITUTE(F1734," ",""))+1,99),"🚕 Uber"),"")</f>
        <v/>
      </c>
      <c r="J1734" s="8">
        <f>IF(F1734&lt;&gt;"","https://api.qrserver.com/v1/create-qr-code/?size=200x200&amp;data="&amp;ENCODEURL("https://www.google.com/maps/search/?api=1&amp;query="&amp;SUBSTITUTE(F1734," ","")),"")</f>
        <v/>
      </c>
      <c r="K1734" s="8">
        <f>IF(C1734&lt;&gt;"",HYPERLINK("https://wa.me/507"&amp;REGEXREPLACE(C1734,"[^0-9]","")&amp;"?text="&amp;ENCODEURL("Ya llegue. Codigo: "&amp;A1734&amp;". Ubicacion: "&amp;"https://www.google.com/maps/search/?api=1&amp;query="&amp;SUBSTITUTE(F1734," ","")),"📲 Avisar al cliente"),"")</f>
        <v/>
      </c>
      <c r="L1734" s="8">
        <f>IF(C1734&lt;&gt;"","https://api.qrserver.com/v1/create-qr-code/?size=200x200&amp;data="&amp;ENCODEURL("https://wa.me/507"&amp;REGEXREPLACE(C1734,"[^0-9]","")&amp;"?text="&amp;ENCODEURL("Ya llegue. Codigo: "&amp;A1734&amp;". Ubicacion: "&amp;"https://www.google.com/maps/search/?api=1&amp;query="&amp;SUBSTITUTE(F1734," ",""))),"")</f>
        <v/>
      </c>
      <c r="M1734" s="8">
        <f>IF(B1734&lt;&gt;"",TODAY(),"")</f>
        <v/>
      </c>
      <c r="N1734" s="8">
        <f>IF(F1734&lt;&gt;"",IFERROR(IF(AND(REGEXMATCH(SUBSTITUTE(TRIM(F1734)," ",""),"^-?\d+(\.\d+)?,-?\d+(\.\d+)?$"),VALUE(REGEXEXTRACT(SUBSTITUTE(TRIM(F1734)," ",""),"^-?\d+(\.\d+)?"))&gt;=-90,VALUE(REGEXEXTRACT(SUBSTITUTE(TRIM(F1734)," ",""),"^-?\d+(\.\d+)?"))&lt;=90,VALUE(REGEXEXTRACT(SUBSTITUTE(TRIM(F1734)," ",""),"-?\d+(\.\d+)?$"))&gt;=-180,VALUE(REGEXEXTRACT(SUBSTITUTE(TRIM(F1734)," ",""),"-?\d+(\.\d+)?$"))&lt;=180),"OK","REVISAR"),"REVISAR"),"")</f>
        <v/>
      </c>
      <c r="O1734">
        <f>IF(A1734&lt;&gt;"","https://direcciones507.github.io/direcciones507/panel.html?codigo="&amp;A1734&amp;"&amp;nombre="&amp;ENCODEURL(B1734)&amp;"&amp;telefono="&amp;SUBSTITUTE(C1734,"-","")&amp;"&amp;referencia="&amp;ENCODEURL(E1734)&amp;"&amp;lat="&amp;IZQUIERDA(SUBSTITUTE(F1734," ",""),ENCONTRAR(",",SUBSTITUTE(F1734," ",""))-1)&amp;"&amp;lng="&amp;DERECHA(SUBSTITUTE(F1734," ",""),LARGO(SUBSTITUTE(F1734," ",""))-ENCONTRAR(",",SUBSTITUTE(F1734," ",""))),"")</f>
        <v/>
      </c>
    </row>
    <row r="1735" ht="15.75" customHeight="1" s="10">
      <c r="A1735" s="8">
        <f>CONCAT("AD507-",TEXT(ROW()-2,"0000"))</f>
        <v/>
      </c>
      <c r="C1735" s="8" t="n"/>
      <c r="F1735" s="8" t="n"/>
      <c r="G1735" s="8">
        <f>IF(F1735&lt;&gt;"",HYPERLINK("https://www.google.com/maps/search/?api=1&amp;query="&amp;SUBSTITUTE(F1735," ",""),"🗺 Google Maps"),"")</f>
        <v/>
      </c>
      <c r="H1735" s="8">
        <f>IF(F1735&lt;&gt;"",HYPERLINK("https://waze.com/ul?ll="&amp;SUBSTITUTE(F1735," ","")&amp;"&amp;navigate=yes","🚗 Waze"),"")</f>
        <v/>
      </c>
      <c r="I1735" s="8">
        <f>IF(F1735&lt;&gt;"",HYPERLINK("https://m.uber.com/ul/?action=setPickup&amp;pickup=my_location&amp;dropoff[latitude]="&amp;LEFT(SUBSTITUTE(F1735," ",""),FIND(",",SUBSTITUTE(F1735," ",""))-1)&amp;"&amp;dropoff[longitude]="&amp;MID(SUBSTITUTE(F1735," ",""),FIND(",",SUBSTITUTE(F1735," ",""))+1,99),"🚕 Uber"),"")</f>
        <v/>
      </c>
      <c r="J1735" s="8">
        <f>IF(F1735&lt;&gt;"","https://api.qrserver.com/v1/create-qr-code/?size=200x200&amp;data="&amp;ENCODEURL("https://www.google.com/maps/search/?api=1&amp;query="&amp;SUBSTITUTE(F1735," ","")),"")</f>
        <v/>
      </c>
      <c r="K1735" s="8">
        <f>IF(C1735&lt;&gt;"",HYPERLINK("https://wa.me/507"&amp;REGEXREPLACE(C1735,"[^0-9]","")&amp;"?text="&amp;ENCODEURL("Ya llegue. Codigo: "&amp;A1735&amp;". Ubicacion: "&amp;"https://www.google.com/maps/search/?api=1&amp;query="&amp;SUBSTITUTE(F1735," ","")),"📲 Avisar al cliente"),"")</f>
        <v/>
      </c>
      <c r="L1735" s="8">
        <f>IF(C1735&lt;&gt;"","https://api.qrserver.com/v1/create-qr-code/?size=200x200&amp;data="&amp;ENCODEURL("https://wa.me/507"&amp;REGEXREPLACE(C1735,"[^0-9]","")&amp;"?text="&amp;ENCODEURL("Ya llegue. Codigo: "&amp;A1735&amp;". Ubicacion: "&amp;"https://www.google.com/maps/search/?api=1&amp;query="&amp;SUBSTITUTE(F1735," ",""))),"")</f>
        <v/>
      </c>
      <c r="M1735" s="8">
        <f>IF(B1735&lt;&gt;"",TODAY(),"")</f>
        <v/>
      </c>
      <c r="N1735" s="8">
        <f>IF(F1735&lt;&gt;"",IFERROR(IF(AND(REGEXMATCH(SUBSTITUTE(TRIM(F1735)," ",""),"^-?\d+(\.\d+)?,-?\d+(\.\d+)?$"),VALUE(REGEXEXTRACT(SUBSTITUTE(TRIM(F1735)," ",""),"^-?\d+(\.\d+)?"))&gt;=-90,VALUE(REGEXEXTRACT(SUBSTITUTE(TRIM(F1735)," ",""),"^-?\d+(\.\d+)?"))&lt;=90,VALUE(REGEXEXTRACT(SUBSTITUTE(TRIM(F1735)," ",""),"-?\d+(\.\d+)?$"))&gt;=-180,VALUE(REGEXEXTRACT(SUBSTITUTE(TRIM(F1735)," ",""),"-?\d+(\.\d+)?$"))&lt;=180),"OK","REVISAR"),"REVISAR"),"")</f>
        <v/>
      </c>
      <c r="O1735">
        <f>IF(A1735&lt;&gt;"","https://direcciones507.github.io/direcciones507/panel.html?codigo="&amp;A1735&amp;"&amp;nombre="&amp;ENCODEURL(B1735)&amp;"&amp;telefono="&amp;SUBSTITUTE(C1735,"-","")&amp;"&amp;referencia="&amp;ENCODEURL(E1735)&amp;"&amp;lat="&amp;IZQUIERDA(SUBSTITUTE(F1735," ",""),ENCONTRAR(",",SUBSTITUTE(F1735," ",""))-1)&amp;"&amp;lng="&amp;DERECHA(SUBSTITUTE(F1735," ",""),LARGO(SUBSTITUTE(F1735," ",""))-ENCONTRAR(",",SUBSTITUTE(F1735," ",""))),"")</f>
        <v/>
      </c>
    </row>
    <row r="1736" ht="15.75" customHeight="1" s="10">
      <c r="A1736" s="8">
        <f>CONCAT("AD507-",TEXT(ROW()-2,"0000"))</f>
        <v/>
      </c>
      <c r="C1736" s="8" t="n"/>
      <c r="F1736" s="8" t="n"/>
      <c r="G1736" s="8">
        <f>IF(F1736&lt;&gt;"",HYPERLINK("https://www.google.com/maps/search/?api=1&amp;query="&amp;SUBSTITUTE(F1736," ",""),"🗺 Google Maps"),"")</f>
        <v/>
      </c>
      <c r="H1736" s="8">
        <f>IF(F1736&lt;&gt;"",HYPERLINK("https://waze.com/ul?ll="&amp;SUBSTITUTE(F1736," ","")&amp;"&amp;navigate=yes","🚗 Waze"),"")</f>
        <v/>
      </c>
      <c r="I1736" s="8">
        <f>IF(F1736&lt;&gt;"",HYPERLINK("https://m.uber.com/ul/?action=setPickup&amp;pickup=my_location&amp;dropoff[latitude]="&amp;LEFT(SUBSTITUTE(F1736," ",""),FIND(",",SUBSTITUTE(F1736," ",""))-1)&amp;"&amp;dropoff[longitude]="&amp;MID(SUBSTITUTE(F1736," ",""),FIND(",",SUBSTITUTE(F1736," ",""))+1,99),"🚕 Uber"),"")</f>
        <v/>
      </c>
      <c r="J1736" s="8">
        <f>IF(F1736&lt;&gt;"","https://api.qrserver.com/v1/create-qr-code/?size=200x200&amp;data="&amp;ENCODEURL("https://www.google.com/maps/search/?api=1&amp;query="&amp;SUBSTITUTE(F1736," ","")),"")</f>
        <v/>
      </c>
      <c r="K1736" s="8">
        <f>IF(C1736&lt;&gt;"",HYPERLINK("https://wa.me/507"&amp;REGEXREPLACE(C1736,"[^0-9]","")&amp;"?text="&amp;ENCODEURL("Ya llegue. Codigo: "&amp;A1736&amp;". Ubicacion: "&amp;"https://www.google.com/maps/search/?api=1&amp;query="&amp;SUBSTITUTE(F1736," ","")),"📲 Avisar al cliente"),"")</f>
        <v/>
      </c>
      <c r="L1736" s="8">
        <f>IF(C1736&lt;&gt;"","https://api.qrserver.com/v1/create-qr-code/?size=200x200&amp;data="&amp;ENCODEURL("https://wa.me/507"&amp;REGEXREPLACE(C1736,"[^0-9]","")&amp;"?text="&amp;ENCODEURL("Ya llegue. Codigo: "&amp;A1736&amp;". Ubicacion: "&amp;"https://www.google.com/maps/search/?api=1&amp;query="&amp;SUBSTITUTE(F1736," ",""))),"")</f>
        <v/>
      </c>
      <c r="M1736" s="8">
        <f>IF(B1736&lt;&gt;"",TODAY(),"")</f>
        <v/>
      </c>
      <c r="N1736" s="8">
        <f>IF(F1736&lt;&gt;"",IFERROR(IF(AND(REGEXMATCH(SUBSTITUTE(TRIM(F1736)," ",""),"^-?\d+(\.\d+)?,-?\d+(\.\d+)?$"),VALUE(REGEXEXTRACT(SUBSTITUTE(TRIM(F1736)," ",""),"^-?\d+(\.\d+)?"))&gt;=-90,VALUE(REGEXEXTRACT(SUBSTITUTE(TRIM(F1736)," ",""),"^-?\d+(\.\d+)?"))&lt;=90,VALUE(REGEXEXTRACT(SUBSTITUTE(TRIM(F1736)," ",""),"-?\d+(\.\d+)?$"))&gt;=-180,VALUE(REGEXEXTRACT(SUBSTITUTE(TRIM(F1736)," ",""),"-?\d+(\.\d+)?$"))&lt;=180),"OK","REVISAR"),"REVISAR"),"")</f>
        <v/>
      </c>
      <c r="O1736">
        <f>IF(A1736&lt;&gt;"","https://direcciones507.github.io/direcciones507/panel.html?codigo="&amp;A1736&amp;"&amp;nombre="&amp;ENCODEURL(B1736)&amp;"&amp;telefono="&amp;SUBSTITUTE(C1736,"-","")&amp;"&amp;referencia="&amp;ENCODEURL(E1736)&amp;"&amp;lat="&amp;IZQUIERDA(SUBSTITUTE(F1736," ",""),ENCONTRAR(",",SUBSTITUTE(F1736," ",""))-1)&amp;"&amp;lng="&amp;DERECHA(SUBSTITUTE(F1736," ",""),LARGO(SUBSTITUTE(F1736," ",""))-ENCONTRAR(",",SUBSTITUTE(F1736," ",""))),"")</f>
        <v/>
      </c>
    </row>
    <row r="1737" ht="15.75" customHeight="1" s="10">
      <c r="A1737" s="8">
        <f>CONCAT("AD507-",TEXT(ROW()-2,"0000"))</f>
        <v/>
      </c>
      <c r="C1737" s="8" t="n"/>
      <c r="F1737" s="8" t="n"/>
      <c r="G1737" s="8">
        <f>IF(F1737&lt;&gt;"",HYPERLINK("https://www.google.com/maps/search/?api=1&amp;query="&amp;SUBSTITUTE(F1737," ",""),"🗺 Google Maps"),"")</f>
        <v/>
      </c>
      <c r="H1737" s="8">
        <f>IF(F1737&lt;&gt;"",HYPERLINK("https://waze.com/ul?ll="&amp;SUBSTITUTE(F1737," ","")&amp;"&amp;navigate=yes","🚗 Waze"),"")</f>
        <v/>
      </c>
      <c r="I1737" s="8">
        <f>IF(F1737&lt;&gt;"",HYPERLINK("https://m.uber.com/ul/?action=setPickup&amp;pickup=my_location&amp;dropoff[latitude]="&amp;LEFT(SUBSTITUTE(F1737," ",""),FIND(",",SUBSTITUTE(F1737," ",""))-1)&amp;"&amp;dropoff[longitude]="&amp;MID(SUBSTITUTE(F1737," ",""),FIND(",",SUBSTITUTE(F1737," ",""))+1,99),"🚕 Uber"),"")</f>
        <v/>
      </c>
      <c r="J1737" s="8">
        <f>IF(F1737&lt;&gt;"","https://api.qrserver.com/v1/create-qr-code/?size=200x200&amp;data="&amp;ENCODEURL("https://www.google.com/maps/search/?api=1&amp;query="&amp;SUBSTITUTE(F1737," ","")),"")</f>
        <v/>
      </c>
      <c r="K1737" s="8">
        <f>IF(C1737&lt;&gt;"",HYPERLINK("https://wa.me/507"&amp;REGEXREPLACE(C1737,"[^0-9]","")&amp;"?text="&amp;ENCODEURL("Ya llegue. Codigo: "&amp;A1737&amp;". Ubicacion: "&amp;"https://www.google.com/maps/search/?api=1&amp;query="&amp;SUBSTITUTE(F1737," ","")),"📲 Avisar al cliente"),"")</f>
        <v/>
      </c>
      <c r="L1737" s="8">
        <f>IF(C1737&lt;&gt;"","https://api.qrserver.com/v1/create-qr-code/?size=200x200&amp;data="&amp;ENCODEURL("https://wa.me/507"&amp;REGEXREPLACE(C1737,"[^0-9]","")&amp;"?text="&amp;ENCODEURL("Ya llegue. Codigo: "&amp;A1737&amp;". Ubicacion: "&amp;"https://www.google.com/maps/search/?api=1&amp;query="&amp;SUBSTITUTE(F1737," ",""))),"")</f>
        <v/>
      </c>
      <c r="M1737" s="8">
        <f>IF(B1737&lt;&gt;"",TODAY(),"")</f>
        <v/>
      </c>
      <c r="N1737" s="8">
        <f>IF(F1737&lt;&gt;"",IFERROR(IF(AND(REGEXMATCH(SUBSTITUTE(TRIM(F1737)," ",""),"^-?\d+(\.\d+)?,-?\d+(\.\d+)?$"),VALUE(REGEXEXTRACT(SUBSTITUTE(TRIM(F1737)," ",""),"^-?\d+(\.\d+)?"))&gt;=-90,VALUE(REGEXEXTRACT(SUBSTITUTE(TRIM(F1737)," ",""),"^-?\d+(\.\d+)?"))&lt;=90,VALUE(REGEXEXTRACT(SUBSTITUTE(TRIM(F1737)," ",""),"-?\d+(\.\d+)?$"))&gt;=-180,VALUE(REGEXEXTRACT(SUBSTITUTE(TRIM(F1737)," ",""),"-?\d+(\.\d+)?$"))&lt;=180),"OK","REVISAR"),"REVISAR"),"")</f>
        <v/>
      </c>
      <c r="O1737">
        <f>IF(A1737&lt;&gt;"","https://direcciones507.github.io/direcciones507/panel.html?codigo="&amp;A1737&amp;"&amp;nombre="&amp;ENCODEURL(B1737)&amp;"&amp;telefono="&amp;SUBSTITUTE(C1737,"-","")&amp;"&amp;referencia="&amp;ENCODEURL(E1737)&amp;"&amp;lat="&amp;IZQUIERDA(SUBSTITUTE(F1737," ",""),ENCONTRAR(",",SUBSTITUTE(F1737," ",""))-1)&amp;"&amp;lng="&amp;DERECHA(SUBSTITUTE(F1737," ",""),LARGO(SUBSTITUTE(F1737," ",""))-ENCONTRAR(",",SUBSTITUTE(F1737," ",""))),"")</f>
        <v/>
      </c>
    </row>
    <row r="1738" ht="15.75" customHeight="1" s="10">
      <c r="A1738" s="8">
        <f>CONCAT("AD507-",TEXT(ROW()-2,"0000"))</f>
        <v/>
      </c>
      <c r="C1738" s="8" t="n"/>
      <c r="F1738" s="8" t="n"/>
      <c r="G1738" s="8">
        <f>IF(F1738&lt;&gt;"",HYPERLINK("https://www.google.com/maps/search/?api=1&amp;query="&amp;SUBSTITUTE(F1738," ",""),"🗺 Google Maps"),"")</f>
        <v/>
      </c>
      <c r="H1738" s="8">
        <f>IF(F1738&lt;&gt;"",HYPERLINK("https://waze.com/ul?ll="&amp;SUBSTITUTE(F1738," ","")&amp;"&amp;navigate=yes","🚗 Waze"),"")</f>
        <v/>
      </c>
      <c r="I1738" s="8">
        <f>IF(F1738&lt;&gt;"",HYPERLINK("https://m.uber.com/ul/?action=setPickup&amp;pickup=my_location&amp;dropoff[latitude]="&amp;LEFT(SUBSTITUTE(F1738," ",""),FIND(",",SUBSTITUTE(F1738," ",""))-1)&amp;"&amp;dropoff[longitude]="&amp;MID(SUBSTITUTE(F1738," ",""),FIND(",",SUBSTITUTE(F1738," ",""))+1,99),"🚕 Uber"),"")</f>
        <v/>
      </c>
      <c r="J1738" s="8">
        <f>IF(F1738&lt;&gt;"","https://api.qrserver.com/v1/create-qr-code/?size=200x200&amp;data="&amp;ENCODEURL("https://www.google.com/maps/search/?api=1&amp;query="&amp;SUBSTITUTE(F1738," ","")),"")</f>
        <v/>
      </c>
      <c r="K1738" s="8">
        <f>IF(C1738&lt;&gt;"",HYPERLINK("https://wa.me/507"&amp;REGEXREPLACE(C1738,"[^0-9]","")&amp;"?text="&amp;ENCODEURL("Ya llegue. Codigo: "&amp;A1738&amp;". Ubicacion: "&amp;"https://www.google.com/maps/search/?api=1&amp;query="&amp;SUBSTITUTE(F1738," ","")),"📲 Avisar al cliente"),"")</f>
        <v/>
      </c>
      <c r="L1738" s="8">
        <f>IF(C1738&lt;&gt;"","https://api.qrserver.com/v1/create-qr-code/?size=200x200&amp;data="&amp;ENCODEURL("https://wa.me/507"&amp;REGEXREPLACE(C1738,"[^0-9]","")&amp;"?text="&amp;ENCODEURL("Ya llegue. Codigo: "&amp;A1738&amp;". Ubicacion: "&amp;"https://www.google.com/maps/search/?api=1&amp;query="&amp;SUBSTITUTE(F1738," ",""))),"")</f>
        <v/>
      </c>
      <c r="M1738" s="8">
        <f>IF(B1738&lt;&gt;"",TODAY(),"")</f>
        <v/>
      </c>
      <c r="N1738" s="8">
        <f>IF(F1738&lt;&gt;"",IFERROR(IF(AND(REGEXMATCH(SUBSTITUTE(TRIM(F1738)," ",""),"^-?\d+(\.\d+)?,-?\d+(\.\d+)?$"),VALUE(REGEXEXTRACT(SUBSTITUTE(TRIM(F1738)," ",""),"^-?\d+(\.\d+)?"))&gt;=-90,VALUE(REGEXEXTRACT(SUBSTITUTE(TRIM(F1738)," ",""),"^-?\d+(\.\d+)?"))&lt;=90,VALUE(REGEXEXTRACT(SUBSTITUTE(TRIM(F1738)," ",""),"-?\d+(\.\d+)?$"))&gt;=-180,VALUE(REGEXEXTRACT(SUBSTITUTE(TRIM(F1738)," ",""),"-?\d+(\.\d+)?$"))&lt;=180),"OK","REVISAR"),"REVISAR"),"")</f>
        <v/>
      </c>
      <c r="O1738">
        <f>IF(A1738&lt;&gt;"","https://direcciones507.github.io/direcciones507/panel.html?codigo="&amp;A1738&amp;"&amp;nombre="&amp;ENCODEURL(B1738)&amp;"&amp;telefono="&amp;SUBSTITUTE(C1738,"-","")&amp;"&amp;referencia="&amp;ENCODEURL(E1738)&amp;"&amp;lat="&amp;IZQUIERDA(SUBSTITUTE(F1738," ",""),ENCONTRAR(",",SUBSTITUTE(F1738," ",""))-1)&amp;"&amp;lng="&amp;DERECHA(SUBSTITUTE(F1738," ",""),LARGO(SUBSTITUTE(F1738," ",""))-ENCONTRAR(",",SUBSTITUTE(F1738," ",""))),"")</f>
        <v/>
      </c>
    </row>
    <row r="1739" ht="15.75" customHeight="1" s="10">
      <c r="A1739" s="8">
        <f>CONCAT("AD507-",TEXT(ROW()-2,"0000"))</f>
        <v/>
      </c>
      <c r="C1739" s="8" t="n"/>
      <c r="F1739" s="8" t="n"/>
      <c r="G1739" s="8">
        <f>IF(F1739&lt;&gt;"",HYPERLINK("https://www.google.com/maps/search/?api=1&amp;query="&amp;SUBSTITUTE(F1739," ",""),"🗺 Google Maps"),"")</f>
        <v/>
      </c>
      <c r="H1739" s="8">
        <f>IF(F1739&lt;&gt;"",HYPERLINK("https://waze.com/ul?ll="&amp;SUBSTITUTE(F1739," ","")&amp;"&amp;navigate=yes","🚗 Waze"),"")</f>
        <v/>
      </c>
      <c r="I1739" s="8">
        <f>IF(F1739&lt;&gt;"",HYPERLINK("https://m.uber.com/ul/?action=setPickup&amp;pickup=my_location&amp;dropoff[latitude]="&amp;LEFT(SUBSTITUTE(F1739," ",""),FIND(",",SUBSTITUTE(F1739," ",""))-1)&amp;"&amp;dropoff[longitude]="&amp;MID(SUBSTITUTE(F1739," ",""),FIND(",",SUBSTITUTE(F1739," ",""))+1,99),"🚕 Uber"),"")</f>
        <v/>
      </c>
      <c r="J1739" s="8">
        <f>IF(F1739&lt;&gt;"","https://api.qrserver.com/v1/create-qr-code/?size=200x200&amp;data="&amp;ENCODEURL("https://www.google.com/maps/search/?api=1&amp;query="&amp;SUBSTITUTE(F1739," ","")),"")</f>
        <v/>
      </c>
      <c r="K1739" s="8">
        <f>IF(C1739&lt;&gt;"",HYPERLINK("https://wa.me/507"&amp;REGEXREPLACE(C1739,"[^0-9]","")&amp;"?text="&amp;ENCODEURL("Ya llegue. Codigo: "&amp;A1739&amp;". Ubicacion: "&amp;"https://www.google.com/maps/search/?api=1&amp;query="&amp;SUBSTITUTE(F1739," ","")),"📲 Avisar al cliente"),"")</f>
        <v/>
      </c>
      <c r="L1739" s="8">
        <f>IF(C1739&lt;&gt;"","https://api.qrserver.com/v1/create-qr-code/?size=200x200&amp;data="&amp;ENCODEURL("https://wa.me/507"&amp;REGEXREPLACE(C1739,"[^0-9]","")&amp;"?text="&amp;ENCODEURL("Ya llegue. Codigo: "&amp;A1739&amp;". Ubicacion: "&amp;"https://www.google.com/maps/search/?api=1&amp;query="&amp;SUBSTITUTE(F1739," ",""))),"")</f>
        <v/>
      </c>
      <c r="M1739" s="8">
        <f>IF(B1739&lt;&gt;"",TODAY(),"")</f>
        <v/>
      </c>
      <c r="N1739" s="8">
        <f>IF(F1739&lt;&gt;"",IFERROR(IF(AND(REGEXMATCH(SUBSTITUTE(TRIM(F1739)," ",""),"^-?\d+(\.\d+)?,-?\d+(\.\d+)?$"),VALUE(REGEXEXTRACT(SUBSTITUTE(TRIM(F1739)," ",""),"^-?\d+(\.\d+)?"))&gt;=-90,VALUE(REGEXEXTRACT(SUBSTITUTE(TRIM(F1739)," ",""),"^-?\d+(\.\d+)?"))&lt;=90,VALUE(REGEXEXTRACT(SUBSTITUTE(TRIM(F1739)," ",""),"-?\d+(\.\d+)?$"))&gt;=-180,VALUE(REGEXEXTRACT(SUBSTITUTE(TRIM(F1739)," ",""),"-?\d+(\.\d+)?$"))&lt;=180),"OK","REVISAR"),"REVISAR"),"")</f>
        <v/>
      </c>
      <c r="O1739">
        <f>IF(A1739&lt;&gt;"","https://direcciones507.github.io/direcciones507/panel.html?codigo="&amp;A1739&amp;"&amp;nombre="&amp;ENCODEURL(B1739)&amp;"&amp;telefono="&amp;SUBSTITUTE(C1739,"-","")&amp;"&amp;referencia="&amp;ENCODEURL(E1739)&amp;"&amp;lat="&amp;IZQUIERDA(SUBSTITUTE(F1739," ",""),ENCONTRAR(",",SUBSTITUTE(F1739," ",""))-1)&amp;"&amp;lng="&amp;DERECHA(SUBSTITUTE(F1739," ",""),LARGO(SUBSTITUTE(F1739," ",""))-ENCONTRAR(",",SUBSTITUTE(F1739," ",""))),"")</f>
        <v/>
      </c>
    </row>
    <row r="1740" ht="15.75" customHeight="1" s="10">
      <c r="A1740" s="8">
        <f>CONCAT("AD507-",TEXT(ROW()-2,"0000"))</f>
        <v/>
      </c>
      <c r="C1740" s="8" t="n"/>
      <c r="F1740" s="8" t="n"/>
      <c r="G1740" s="8">
        <f>IF(F1740&lt;&gt;"",HYPERLINK("https://www.google.com/maps/search/?api=1&amp;query="&amp;SUBSTITUTE(F1740," ",""),"🗺 Google Maps"),"")</f>
        <v/>
      </c>
      <c r="H1740" s="8">
        <f>IF(F1740&lt;&gt;"",HYPERLINK("https://waze.com/ul?ll="&amp;SUBSTITUTE(F1740," ","")&amp;"&amp;navigate=yes","🚗 Waze"),"")</f>
        <v/>
      </c>
      <c r="I1740" s="8">
        <f>IF(F1740&lt;&gt;"",HYPERLINK("https://m.uber.com/ul/?action=setPickup&amp;pickup=my_location&amp;dropoff[latitude]="&amp;LEFT(SUBSTITUTE(F1740," ",""),FIND(",",SUBSTITUTE(F1740," ",""))-1)&amp;"&amp;dropoff[longitude]="&amp;MID(SUBSTITUTE(F1740," ",""),FIND(",",SUBSTITUTE(F1740," ",""))+1,99),"🚕 Uber"),"")</f>
        <v/>
      </c>
      <c r="J1740" s="8">
        <f>IF(F1740&lt;&gt;"","https://api.qrserver.com/v1/create-qr-code/?size=200x200&amp;data="&amp;ENCODEURL("https://www.google.com/maps/search/?api=1&amp;query="&amp;SUBSTITUTE(F1740," ","")),"")</f>
        <v/>
      </c>
      <c r="K1740" s="8">
        <f>IF(C1740&lt;&gt;"",HYPERLINK("https://wa.me/507"&amp;REGEXREPLACE(C1740,"[^0-9]","")&amp;"?text="&amp;ENCODEURL("Ya llegue. Codigo: "&amp;A1740&amp;". Ubicacion: "&amp;"https://www.google.com/maps/search/?api=1&amp;query="&amp;SUBSTITUTE(F1740," ","")),"📲 Avisar al cliente"),"")</f>
        <v/>
      </c>
      <c r="L1740" s="8">
        <f>IF(C1740&lt;&gt;"","https://api.qrserver.com/v1/create-qr-code/?size=200x200&amp;data="&amp;ENCODEURL("https://wa.me/507"&amp;REGEXREPLACE(C1740,"[^0-9]","")&amp;"?text="&amp;ENCODEURL("Ya llegue. Codigo: "&amp;A1740&amp;". Ubicacion: "&amp;"https://www.google.com/maps/search/?api=1&amp;query="&amp;SUBSTITUTE(F1740," ",""))),"")</f>
        <v/>
      </c>
      <c r="M1740" s="8">
        <f>IF(B1740&lt;&gt;"",TODAY(),"")</f>
        <v/>
      </c>
      <c r="N1740" s="8">
        <f>IF(F1740&lt;&gt;"",IFERROR(IF(AND(REGEXMATCH(SUBSTITUTE(TRIM(F1740)," ",""),"^-?\d+(\.\d+)?,-?\d+(\.\d+)?$"),VALUE(REGEXEXTRACT(SUBSTITUTE(TRIM(F1740)," ",""),"^-?\d+(\.\d+)?"))&gt;=-90,VALUE(REGEXEXTRACT(SUBSTITUTE(TRIM(F1740)," ",""),"^-?\d+(\.\d+)?"))&lt;=90,VALUE(REGEXEXTRACT(SUBSTITUTE(TRIM(F1740)," ",""),"-?\d+(\.\d+)?$"))&gt;=-180,VALUE(REGEXEXTRACT(SUBSTITUTE(TRIM(F1740)," ",""),"-?\d+(\.\d+)?$"))&lt;=180),"OK","REVISAR"),"REVISAR"),"")</f>
        <v/>
      </c>
      <c r="O1740">
        <f>IF(A1740&lt;&gt;"","https://direcciones507.github.io/direcciones507/panel.html?codigo="&amp;A1740&amp;"&amp;nombre="&amp;ENCODEURL(B1740)&amp;"&amp;telefono="&amp;SUBSTITUTE(C1740,"-","")&amp;"&amp;referencia="&amp;ENCODEURL(E1740)&amp;"&amp;lat="&amp;IZQUIERDA(SUBSTITUTE(F1740," ",""),ENCONTRAR(",",SUBSTITUTE(F1740," ",""))-1)&amp;"&amp;lng="&amp;DERECHA(SUBSTITUTE(F1740," ",""),LARGO(SUBSTITUTE(F1740," ",""))-ENCONTRAR(",",SUBSTITUTE(F1740," ",""))),"")</f>
        <v/>
      </c>
    </row>
    <row r="1741" ht="15.75" customHeight="1" s="10">
      <c r="A1741" s="8">
        <f>CONCAT("AD507-",TEXT(ROW()-2,"0000"))</f>
        <v/>
      </c>
      <c r="C1741" s="8" t="n"/>
      <c r="F1741" s="8" t="n"/>
      <c r="G1741" s="8">
        <f>IF(F1741&lt;&gt;"",HYPERLINK("https://www.google.com/maps/search/?api=1&amp;query="&amp;SUBSTITUTE(F1741," ",""),"🗺 Google Maps"),"")</f>
        <v/>
      </c>
      <c r="H1741" s="8">
        <f>IF(F1741&lt;&gt;"",HYPERLINK("https://waze.com/ul?ll="&amp;SUBSTITUTE(F1741," ","")&amp;"&amp;navigate=yes","🚗 Waze"),"")</f>
        <v/>
      </c>
      <c r="I1741" s="8">
        <f>IF(F1741&lt;&gt;"",HYPERLINK("https://m.uber.com/ul/?action=setPickup&amp;pickup=my_location&amp;dropoff[latitude]="&amp;LEFT(SUBSTITUTE(F1741," ",""),FIND(",",SUBSTITUTE(F1741," ",""))-1)&amp;"&amp;dropoff[longitude]="&amp;MID(SUBSTITUTE(F1741," ",""),FIND(",",SUBSTITUTE(F1741," ",""))+1,99),"🚕 Uber"),"")</f>
        <v/>
      </c>
      <c r="J1741" s="8">
        <f>IF(F1741&lt;&gt;"","https://api.qrserver.com/v1/create-qr-code/?size=200x200&amp;data="&amp;ENCODEURL("https://www.google.com/maps/search/?api=1&amp;query="&amp;SUBSTITUTE(F1741," ","")),"")</f>
        <v/>
      </c>
      <c r="K1741" s="8">
        <f>IF(C1741&lt;&gt;"",HYPERLINK("https://wa.me/507"&amp;REGEXREPLACE(C1741,"[^0-9]","")&amp;"?text="&amp;ENCODEURL("Ya llegue. Codigo: "&amp;A1741&amp;". Ubicacion: "&amp;"https://www.google.com/maps/search/?api=1&amp;query="&amp;SUBSTITUTE(F1741," ","")),"📲 Avisar al cliente"),"")</f>
        <v/>
      </c>
      <c r="L1741" s="8">
        <f>IF(C1741&lt;&gt;"","https://api.qrserver.com/v1/create-qr-code/?size=200x200&amp;data="&amp;ENCODEURL("https://wa.me/507"&amp;REGEXREPLACE(C1741,"[^0-9]","")&amp;"?text="&amp;ENCODEURL("Ya llegue. Codigo: "&amp;A1741&amp;". Ubicacion: "&amp;"https://www.google.com/maps/search/?api=1&amp;query="&amp;SUBSTITUTE(F1741," ",""))),"")</f>
        <v/>
      </c>
      <c r="M1741" s="8">
        <f>IF(B1741&lt;&gt;"",TODAY(),"")</f>
        <v/>
      </c>
      <c r="N1741" s="8">
        <f>IF(F1741&lt;&gt;"",IFERROR(IF(AND(REGEXMATCH(SUBSTITUTE(TRIM(F1741)," ",""),"^-?\d+(\.\d+)?,-?\d+(\.\d+)?$"),VALUE(REGEXEXTRACT(SUBSTITUTE(TRIM(F1741)," ",""),"^-?\d+(\.\d+)?"))&gt;=-90,VALUE(REGEXEXTRACT(SUBSTITUTE(TRIM(F1741)," ",""),"^-?\d+(\.\d+)?"))&lt;=90,VALUE(REGEXEXTRACT(SUBSTITUTE(TRIM(F1741)," ",""),"-?\d+(\.\d+)?$"))&gt;=-180,VALUE(REGEXEXTRACT(SUBSTITUTE(TRIM(F1741)," ",""),"-?\d+(\.\d+)?$"))&lt;=180),"OK","REVISAR"),"REVISAR"),"")</f>
        <v/>
      </c>
      <c r="O1741">
        <f>IF(A1741&lt;&gt;"","https://direcciones507.github.io/direcciones507/panel.html?codigo="&amp;A1741&amp;"&amp;nombre="&amp;ENCODEURL(B1741)&amp;"&amp;telefono="&amp;SUBSTITUTE(C1741,"-","")&amp;"&amp;referencia="&amp;ENCODEURL(E1741)&amp;"&amp;lat="&amp;IZQUIERDA(SUBSTITUTE(F1741," ",""),ENCONTRAR(",",SUBSTITUTE(F1741," ",""))-1)&amp;"&amp;lng="&amp;DERECHA(SUBSTITUTE(F1741," ",""),LARGO(SUBSTITUTE(F1741," ",""))-ENCONTRAR(",",SUBSTITUTE(F1741," ",""))),"")</f>
        <v/>
      </c>
    </row>
    <row r="1742" ht="15.75" customHeight="1" s="10">
      <c r="A1742" s="8">
        <f>CONCAT("AD507-",TEXT(ROW()-2,"0000"))</f>
        <v/>
      </c>
      <c r="C1742" s="8" t="n"/>
      <c r="F1742" s="8" t="n"/>
      <c r="G1742" s="8">
        <f>IF(F1742&lt;&gt;"",HYPERLINK("https://www.google.com/maps/search/?api=1&amp;query="&amp;SUBSTITUTE(F1742," ",""),"🗺 Google Maps"),"")</f>
        <v/>
      </c>
      <c r="H1742" s="8">
        <f>IF(F1742&lt;&gt;"",HYPERLINK("https://waze.com/ul?ll="&amp;SUBSTITUTE(F1742," ","")&amp;"&amp;navigate=yes","🚗 Waze"),"")</f>
        <v/>
      </c>
      <c r="I1742" s="8">
        <f>IF(F1742&lt;&gt;"",HYPERLINK("https://m.uber.com/ul/?action=setPickup&amp;pickup=my_location&amp;dropoff[latitude]="&amp;LEFT(SUBSTITUTE(F1742," ",""),FIND(",",SUBSTITUTE(F1742," ",""))-1)&amp;"&amp;dropoff[longitude]="&amp;MID(SUBSTITUTE(F1742," ",""),FIND(",",SUBSTITUTE(F1742," ",""))+1,99),"🚕 Uber"),"")</f>
        <v/>
      </c>
      <c r="J1742" s="8">
        <f>IF(F1742&lt;&gt;"","https://api.qrserver.com/v1/create-qr-code/?size=200x200&amp;data="&amp;ENCODEURL("https://www.google.com/maps/search/?api=1&amp;query="&amp;SUBSTITUTE(F1742," ","")),"")</f>
        <v/>
      </c>
      <c r="K1742" s="8">
        <f>IF(C1742&lt;&gt;"",HYPERLINK("https://wa.me/507"&amp;REGEXREPLACE(C1742,"[^0-9]","")&amp;"?text="&amp;ENCODEURL("Ya llegue. Codigo: "&amp;A1742&amp;". Ubicacion: "&amp;"https://www.google.com/maps/search/?api=1&amp;query="&amp;SUBSTITUTE(F1742," ","")),"📲 Avisar al cliente"),"")</f>
        <v/>
      </c>
      <c r="L1742" s="8">
        <f>IF(C1742&lt;&gt;"","https://api.qrserver.com/v1/create-qr-code/?size=200x200&amp;data="&amp;ENCODEURL("https://wa.me/507"&amp;REGEXREPLACE(C1742,"[^0-9]","")&amp;"?text="&amp;ENCODEURL("Ya llegue. Codigo: "&amp;A1742&amp;". Ubicacion: "&amp;"https://www.google.com/maps/search/?api=1&amp;query="&amp;SUBSTITUTE(F1742," ",""))),"")</f>
        <v/>
      </c>
      <c r="M1742" s="8">
        <f>IF(B1742&lt;&gt;"",TODAY(),"")</f>
        <v/>
      </c>
      <c r="N1742" s="8">
        <f>IF(F1742&lt;&gt;"",IFERROR(IF(AND(REGEXMATCH(SUBSTITUTE(TRIM(F1742)," ",""),"^-?\d+(\.\d+)?,-?\d+(\.\d+)?$"),VALUE(REGEXEXTRACT(SUBSTITUTE(TRIM(F1742)," ",""),"^-?\d+(\.\d+)?"))&gt;=-90,VALUE(REGEXEXTRACT(SUBSTITUTE(TRIM(F1742)," ",""),"^-?\d+(\.\d+)?"))&lt;=90,VALUE(REGEXEXTRACT(SUBSTITUTE(TRIM(F1742)," ",""),"-?\d+(\.\d+)?$"))&gt;=-180,VALUE(REGEXEXTRACT(SUBSTITUTE(TRIM(F1742)," ",""),"-?\d+(\.\d+)?$"))&lt;=180),"OK","REVISAR"),"REVISAR"),"")</f>
        <v/>
      </c>
      <c r="O1742">
        <f>IF(A1742&lt;&gt;"","https://direcciones507.github.io/direcciones507/panel.html?codigo="&amp;A1742&amp;"&amp;nombre="&amp;ENCODEURL(B1742)&amp;"&amp;telefono="&amp;SUBSTITUTE(C1742,"-","")&amp;"&amp;referencia="&amp;ENCODEURL(E1742)&amp;"&amp;lat="&amp;IZQUIERDA(SUBSTITUTE(F1742," ",""),ENCONTRAR(",",SUBSTITUTE(F1742," ",""))-1)&amp;"&amp;lng="&amp;DERECHA(SUBSTITUTE(F1742," ",""),LARGO(SUBSTITUTE(F1742," ",""))-ENCONTRAR(",",SUBSTITUTE(F1742," ",""))),"")</f>
        <v/>
      </c>
    </row>
    <row r="1743" ht="15.75" customHeight="1" s="10">
      <c r="A1743" s="8">
        <f>CONCAT("AD507-",TEXT(ROW()-2,"0000"))</f>
        <v/>
      </c>
      <c r="C1743" s="8" t="n"/>
      <c r="F1743" s="8" t="n"/>
      <c r="G1743" s="8">
        <f>IF(F1743&lt;&gt;"",HYPERLINK("https://www.google.com/maps/search/?api=1&amp;query="&amp;SUBSTITUTE(F1743," ",""),"🗺 Google Maps"),"")</f>
        <v/>
      </c>
      <c r="H1743" s="8">
        <f>IF(F1743&lt;&gt;"",HYPERLINK("https://waze.com/ul?ll="&amp;SUBSTITUTE(F1743," ","")&amp;"&amp;navigate=yes","🚗 Waze"),"")</f>
        <v/>
      </c>
      <c r="I1743" s="8">
        <f>IF(F1743&lt;&gt;"",HYPERLINK("https://m.uber.com/ul/?action=setPickup&amp;pickup=my_location&amp;dropoff[latitude]="&amp;LEFT(SUBSTITUTE(F1743," ",""),FIND(",",SUBSTITUTE(F1743," ",""))-1)&amp;"&amp;dropoff[longitude]="&amp;MID(SUBSTITUTE(F1743," ",""),FIND(",",SUBSTITUTE(F1743," ",""))+1,99),"🚕 Uber"),"")</f>
        <v/>
      </c>
      <c r="J1743" s="8">
        <f>IF(F1743&lt;&gt;"","https://api.qrserver.com/v1/create-qr-code/?size=200x200&amp;data="&amp;ENCODEURL("https://www.google.com/maps/search/?api=1&amp;query="&amp;SUBSTITUTE(F1743," ","")),"")</f>
        <v/>
      </c>
      <c r="K1743" s="8">
        <f>IF(C1743&lt;&gt;"",HYPERLINK("https://wa.me/507"&amp;REGEXREPLACE(C1743,"[^0-9]","")&amp;"?text="&amp;ENCODEURL("Ya llegue. Codigo: "&amp;A1743&amp;". Ubicacion: "&amp;"https://www.google.com/maps/search/?api=1&amp;query="&amp;SUBSTITUTE(F1743," ","")),"📲 Avisar al cliente"),"")</f>
        <v/>
      </c>
      <c r="L1743" s="8">
        <f>IF(C1743&lt;&gt;"","https://api.qrserver.com/v1/create-qr-code/?size=200x200&amp;data="&amp;ENCODEURL("https://wa.me/507"&amp;REGEXREPLACE(C1743,"[^0-9]","")&amp;"?text="&amp;ENCODEURL("Ya llegue. Codigo: "&amp;A1743&amp;". Ubicacion: "&amp;"https://www.google.com/maps/search/?api=1&amp;query="&amp;SUBSTITUTE(F1743," ",""))),"")</f>
        <v/>
      </c>
      <c r="M1743" s="8">
        <f>IF(B1743&lt;&gt;"",TODAY(),"")</f>
        <v/>
      </c>
      <c r="N1743" s="8">
        <f>IF(F1743&lt;&gt;"",IFERROR(IF(AND(REGEXMATCH(SUBSTITUTE(TRIM(F1743)," ",""),"^-?\d+(\.\d+)?,-?\d+(\.\d+)?$"),VALUE(REGEXEXTRACT(SUBSTITUTE(TRIM(F1743)," ",""),"^-?\d+(\.\d+)?"))&gt;=-90,VALUE(REGEXEXTRACT(SUBSTITUTE(TRIM(F1743)," ",""),"^-?\d+(\.\d+)?"))&lt;=90,VALUE(REGEXEXTRACT(SUBSTITUTE(TRIM(F1743)," ",""),"-?\d+(\.\d+)?$"))&gt;=-180,VALUE(REGEXEXTRACT(SUBSTITUTE(TRIM(F1743)," ",""),"-?\d+(\.\d+)?$"))&lt;=180),"OK","REVISAR"),"REVISAR"),"")</f>
        <v/>
      </c>
      <c r="O1743">
        <f>IF(A1743&lt;&gt;"","https://direcciones507.github.io/direcciones507/panel.html?codigo="&amp;A1743&amp;"&amp;nombre="&amp;ENCODEURL(B1743)&amp;"&amp;telefono="&amp;SUBSTITUTE(C1743,"-","")&amp;"&amp;referencia="&amp;ENCODEURL(E1743)&amp;"&amp;lat="&amp;IZQUIERDA(SUBSTITUTE(F1743," ",""),ENCONTRAR(",",SUBSTITUTE(F1743," ",""))-1)&amp;"&amp;lng="&amp;DERECHA(SUBSTITUTE(F1743," ",""),LARGO(SUBSTITUTE(F1743," ",""))-ENCONTRAR(",",SUBSTITUTE(F1743," ",""))),"")</f>
        <v/>
      </c>
    </row>
    <row r="1744" ht="15.75" customHeight="1" s="10">
      <c r="A1744" s="8">
        <f>CONCAT("AD507-",TEXT(ROW()-2,"0000"))</f>
        <v/>
      </c>
      <c r="C1744" s="8" t="n"/>
      <c r="F1744" s="8" t="n"/>
      <c r="G1744" s="8">
        <f>IF(F1744&lt;&gt;"",HYPERLINK("https://www.google.com/maps/search/?api=1&amp;query="&amp;SUBSTITUTE(F1744," ",""),"🗺 Google Maps"),"")</f>
        <v/>
      </c>
      <c r="H1744" s="8">
        <f>IF(F1744&lt;&gt;"",HYPERLINK("https://waze.com/ul?ll="&amp;SUBSTITUTE(F1744," ","")&amp;"&amp;navigate=yes","🚗 Waze"),"")</f>
        <v/>
      </c>
      <c r="I1744" s="8">
        <f>IF(F1744&lt;&gt;"",HYPERLINK("https://m.uber.com/ul/?action=setPickup&amp;pickup=my_location&amp;dropoff[latitude]="&amp;LEFT(SUBSTITUTE(F1744," ",""),FIND(",",SUBSTITUTE(F1744," ",""))-1)&amp;"&amp;dropoff[longitude]="&amp;MID(SUBSTITUTE(F1744," ",""),FIND(",",SUBSTITUTE(F1744," ",""))+1,99),"🚕 Uber"),"")</f>
        <v/>
      </c>
      <c r="J1744" s="8">
        <f>IF(F1744&lt;&gt;"","https://api.qrserver.com/v1/create-qr-code/?size=200x200&amp;data="&amp;ENCODEURL("https://www.google.com/maps/search/?api=1&amp;query="&amp;SUBSTITUTE(F1744," ","")),"")</f>
        <v/>
      </c>
      <c r="K1744" s="8">
        <f>IF(C1744&lt;&gt;"",HYPERLINK("https://wa.me/507"&amp;REGEXREPLACE(C1744,"[^0-9]","")&amp;"?text="&amp;ENCODEURL("Ya llegue. Codigo: "&amp;A1744&amp;". Ubicacion: "&amp;"https://www.google.com/maps/search/?api=1&amp;query="&amp;SUBSTITUTE(F1744," ","")),"📲 Avisar al cliente"),"")</f>
        <v/>
      </c>
      <c r="L1744" s="8">
        <f>IF(C1744&lt;&gt;"","https://api.qrserver.com/v1/create-qr-code/?size=200x200&amp;data="&amp;ENCODEURL("https://wa.me/507"&amp;REGEXREPLACE(C1744,"[^0-9]","")&amp;"?text="&amp;ENCODEURL("Ya llegue. Codigo: "&amp;A1744&amp;". Ubicacion: "&amp;"https://www.google.com/maps/search/?api=1&amp;query="&amp;SUBSTITUTE(F1744," ",""))),"")</f>
        <v/>
      </c>
      <c r="M1744" s="8">
        <f>IF(B1744&lt;&gt;"",TODAY(),"")</f>
        <v/>
      </c>
      <c r="N1744" s="8">
        <f>IF(F1744&lt;&gt;"",IFERROR(IF(AND(REGEXMATCH(SUBSTITUTE(TRIM(F1744)," ",""),"^-?\d+(\.\d+)?,-?\d+(\.\d+)?$"),VALUE(REGEXEXTRACT(SUBSTITUTE(TRIM(F1744)," ",""),"^-?\d+(\.\d+)?"))&gt;=-90,VALUE(REGEXEXTRACT(SUBSTITUTE(TRIM(F1744)," ",""),"^-?\d+(\.\d+)?"))&lt;=90,VALUE(REGEXEXTRACT(SUBSTITUTE(TRIM(F1744)," ",""),"-?\d+(\.\d+)?$"))&gt;=-180,VALUE(REGEXEXTRACT(SUBSTITUTE(TRIM(F1744)," ",""),"-?\d+(\.\d+)?$"))&lt;=180),"OK","REVISAR"),"REVISAR"),"")</f>
        <v/>
      </c>
      <c r="O1744">
        <f>IF(A1744&lt;&gt;"","https://direcciones507.github.io/direcciones507/panel.html?codigo="&amp;A1744&amp;"&amp;nombre="&amp;ENCODEURL(B1744)&amp;"&amp;telefono="&amp;SUBSTITUTE(C1744,"-","")&amp;"&amp;referencia="&amp;ENCODEURL(E1744)&amp;"&amp;lat="&amp;IZQUIERDA(SUBSTITUTE(F1744," ",""),ENCONTRAR(",",SUBSTITUTE(F1744," ",""))-1)&amp;"&amp;lng="&amp;DERECHA(SUBSTITUTE(F1744," ",""),LARGO(SUBSTITUTE(F1744," ",""))-ENCONTRAR(",",SUBSTITUTE(F1744," ",""))),"")</f>
        <v/>
      </c>
    </row>
    <row r="1745" ht="15.75" customHeight="1" s="10">
      <c r="A1745" s="8">
        <f>CONCAT("AD507-",TEXT(ROW()-2,"0000"))</f>
        <v/>
      </c>
      <c r="C1745" s="8" t="n"/>
      <c r="F1745" s="8" t="n"/>
      <c r="G1745" s="8">
        <f>IF(F1745&lt;&gt;"",HYPERLINK("https://www.google.com/maps/search/?api=1&amp;query="&amp;SUBSTITUTE(F1745," ",""),"🗺 Google Maps"),"")</f>
        <v/>
      </c>
      <c r="H1745" s="8">
        <f>IF(F1745&lt;&gt;"",HYPERLINK("https://waze.com/ul?ll="&amp;SUBSTITUTE(F1745," ","")&amp;"&amp;navigate=yes","🚗 Waze"),"")</f>
        <v/>
      </c>
      <c r="I1745" s="8">
        <f>IF(F1745&lt;&gt;"",HYPERLINK("https://m.uber.com/ul/?action=setPickup&amp;pickup=my_location&amp;dropoff[latitude]="&amp;LEFT(SUBSTITUTE(F1745," ",""),FIND(",",SUBSTITUTE(F1745," ",""))-1)&amp;"&amp;dropoff[longitude]="&amp;MID(SUBSTITUTE(F1745," ",""),FIND(",",SUBSTITUTE(F1745," ",""))+1,99),"🚕 Uber"),"")</f>
        <v/>
      </c>
      <c r="J1745" s="8">
        <f>IF(F1745&lt;&gt;"","https://api.qrserver.com/v1/create-qr-code/?size=200x200&amp;data="&amp;ENCODEURL("https://www.google.com/maps/search/?api=1&amp;query="&amp;SUBSTITUTE(F1745," ","")),"")</f>
        <v/>
      </c>
      <c r="K1745" s="8">
        <f>IF(C1745&lt;&gt;"",HYPERLINK("https://wa.me/507"&amp;REGEXREPLACE(C1745,"[^0-9]","")&amp;"?text="&amp;ENCODEURL("Ya llegue. Codigo: "&amp;A1745&amp;". Ubicacion: "&amp;"https://www.google.com/maps/search/?api=1&amp;query="&amp;SUBSTITUTE(F1745," ","")),"📲 Avisar al cliente"),"")</f>
        <v/>
      </c>
      <c r="L1745" s="8">
        <f>IF(C1745&lt;&gt;"","https://api.qrserver.com/v1/create-qr-code/?size=200x200&amp;data="&amp;ENCODEURL("https://wa.me/507"&amp;REGEXREPLACE(C1745,"[^0-9]","")&amp;"?text="&amp;ENCODEURL("Ya llegue. Codigo: "&amp;A1745&amp;". Ubicacion: "&amp;"https://www.google.com/maps/search/?api=1&amp;query="&amp;SUBSTITUTE(F1745," ",""))),"")</f>
        <v/>
      </c>
      <c r="M1745" s="8">
        <f>IF(B1745&lt;&gt;"",TODAY(),"")</f>
        <v/>
      </c>
      <c r="N1745" s="8">
        <f>IF(F1745&lt;&gt;"",IFERROR(IF(AND(REGEXMATCH(SUBSTITUTE(TRIM(F1745)," ",""),"^-?\d+(\.\d+)?,-?\d+(\.\d+)?$"),VALUE(REGEXEXTRACT(SUBSTITUTE(TRIM(F1745)," ",""),"^-?\d+(\.\d+)?"))&gt;=-90,VALUE(REGEXEXTRACT(SUBSTITUTE(TRIM(F1745)," ",""),"^-?\d+(\.\d+)?"))&lt;=90,VALUE(REGEXEXTRACT(SUBSTITUTE(TRIM(F1745)," ",""),"-?\d+(\.\d+)?$"))&gt;=-180,VALUE(REGEXEXTRACT(SUBSTITUTE(TRIM(F1745)," ",""),"-?\d+(\.\d+)?$"))&lt;=180),"OK","REVISAR"),"REVISAR"),"")</f>
        <v/>
      </c>
      <c r="O1745">
        <f>IF(A1745&lt;&gt;"","https://direcciones507.github.io/direcciones507/panel.html?codigo="&amp;A1745&amp;"&amp;nombre="&amp;ENCODEURL(B1745)&amp;"&amp;telefono="&amp;SUBSTITUTE(C1745,"-","")&amp;"&amp;referencia="&amp;ENCODEURL(E1745)&amp;"&amp;lat="&amp;IZQUIERDA(SUBSTITUTE(F1745," ",""),ENCONTRAR(",",SUBSTITUTE(F1745," ",""))-1)&amp;"&amp;lng="&amp;DERECHA(SUBSTITUTE(F1745," ",""),LARGO(SUBSTITUTE(F1745," ",""))-ENCONTRAR(",",SUBSTITUTE(F1745," ",""))),"")</f>
        <v/>
      </c>
    </row>
    <row r="1746" ht="15.75" customHeight="1" s="10">
      <c r="A1746" s="8">
        <f>CONCAT("AD507-",TEXT(ROW()-2,"0000"))</f>
        <v/>
      </c>
      <c r="C1746" s="8" t="n"/>
      <c r="F1746" s="8" t="n"/>
      <c r="G1746" s="8">
        <f>IF(F1746&lt;&gt;"",HYPERLINK("https://www.google.com/maps/search/?api=1&amp;query="&amp;SUBSTITUTE(F1746," ",""),"🗺 Google Maps"),"")</f>
        <v/>
      </c>
      <c r="H1746" s="8">
        <f>IF(F1746&lt;&gt;"",HYPERLINK("https://waze.com/ul?ll="&amp;SUBSTITUTE(F1746," ","")&amp;"&amp;navigate=yes","🚗 Waze"),"")</f>
        <v/>
      </c>
      <c r="I1746" s="8">
        <f>IF(F1746&lt;&gt;"",HYPERLINK("https://m.uber.com/ul/?action=setPickup&amp;pickup=my_location&amp;dropoff[latitude]="&amp;LEFT(SUBSTITUTE(F1746," ",""),FIND(",",SUBSTITUTE(F1746," ",""))-1)&amp;"&amp;dropoff[longitude]="&amp;MID(SUBSTITUTE(F1746," ",""),FIND(",",SUBSTITUTE(F1746," ",""))+1,99),"🚕 Uber"),"")</f>
        <v/>
      </c>
      <c r="J1746" s="8">
        <f>IF(F1746&lt;&gt;"","https://api.qrserver.com/v1/create-qr-code/?size=200x200&amp;data="&amp;ENCODEURL("https://www.google.com/maps/search/?api=1&amp;query="&amp;SUBSTITUTE(F1746," ","")),"")</f>
        <v/>
      </c>
      <c r="K1746" s="8">
        <f>IF(C1746&lt;&gt;"",HYPERLINK("https://wa.me/507"&amp;REGEXREPLACE(C1746,"[^0-9]","")&amp;"?text="&amp;ENCODEURL("Ya llegue. Codigo: "&amp;A1746&amp;". Ubicacion: "&amp;"https://www.google.com/maps/search/?api=1&amp;query="&amp;SUBSTITUTE(F1746," ","")),"📲 Avisar al cliente"),"")</f>
        <v/>
      </c>
      <c r="L1746" s="8">
        <f>IF(C1746&lt;&gt;"","https://api.qrserver.com/v1/create-qr-code/?size=200x200&amp;data="&amp;ENCODEURL("https://wa.me/507"&amp;REGEXREPLACE(C1746,"[^0-9]","")&amp;"?text="&amp;ENCODEURL("Ya llegue. Codigo: "&amp;A1746&amp;". Ubicacion: "&amp;"https://www.google.com/maps/search/?api=1&amp;query="&amp;SUBSTITUTE(F1746," ",""))),"")</f>
        <v/>
      </c>
      <c r="M1746" s="8">
        <f>IF(B1746&lt;&gt;"",TODAY(),"")</f>
        <v/>
      </c>
      <c r="N1746" s="8">
        <f>IF(F1746&lt;&gt;"",IFERROR(IF(AND(REGEXMATCH(SUBSTITUTE(TRIM(F1746)," ",""),"^-?\d+(\.\d+)?,-?\d+(\.\d+)?$"),VALUE(REGEXEXTRACT(SUBSTITUTE(TRIM(F1746)," ",""),"^-?\d+(\.\d+)?"))&gt;=-90,VALUE(REGEXEXTRACT(SUBSTITUTE(TRIM(F1746)," ",""),"^-?\d+(\.\d+)?"))&lt;=90,VALUE(REGEXEXTRACT(SUBSTITUTE(TRIM(F1746)," ",""),"-?\d+(\.\d+)?$"))&gt;=-180,VALUE(REGEXEXTRACT(SUBSTITUTE(TRIM(F1746)," ",""),"-?\d+(\.\d+)?$"))&lt;=180),"OK","REVISAR"),"REVISAR"),"")</f>
        <v/>
      </c>
      <c r="O1746">
        <f>IF(A1746&lt;&gt;"","https://direcciones507.github.io/direcciones507/panel.html?codigo="&amp;A1746&amp;"&amp;nombre="&amp;ENCODEURL(B1746)&amp;"&amp;telefono="&amp;SUBSTITUTE(C1746,"-","")&amp;"&amp;referencia="&amp;ENCODEURL(E1746)&amp;"&amp;lat="&amp;IZQUIERDA(SUBSTITUTE(F1746," ",""),ENCONTRAR(",",SUBSTITUTE(F1746," ",""))-1)&amp;"&amp;lng="&amp;DERECHA(SUBSTITUTE(F1746," ",""),LARGO(SUBSTITUTE(F1746," ",""))-ENCONTRAR(",",SUBSTITUTE(F1746," ",""))),"")</f>
        <v/>
      </c>
    </row>
    <row r="1747" ht="15.75" customHeight="1" s="10">
      <c r="A1747" s="8">
        <f>CONCAT("AD507-",TEXT(ROW()-2,"0000"))</f>
        <v/>
      </c>
      <c r="C1747" s="8" t="n"/>
      <c r="F1747" s="8" t="n"/>
      <c r="G1747" s="8">
        <f>IF(F1747&lt;&gt;"",HYPERLINK("https://www.google.com/maps/search/?api=1&amp;query="&amp;SUBSTITUTE(F1747," ",""),"🗺 Google Maps"),"")</f>
        <v/>
      </c>
      <c r="H1747" s="8">
        <f>IF(F1747&lt;&gt;"",HYPERLINK("https://waze.com/ul?ll="&amp;SUBSTITUTE(F1747," ","")&amp;"&amp;navigate=yes","🚗 Waze"),"")</f>
        <v/>
      </c>
      <c r="I1747" s="8">
        <f>IF(F1747&lt;&gt;"",HYPERLINK("https://m.uber.com/ul/?action=setPickup&amp;pickup=my_location&amp;dropoff[latitude]="&amp;LEFT(SUBSTITUTE(F1747," ",""),FIND(",",SUBSTITUTE(F1747," ",""))-1)&amp;"&amp;dropoff[longitude]="&amp;MID(SUBSTITUTE(F1747," ",""),FIND(",",SUBSTITUTE(F1747," ",""))+1,99),"🚕 Uber"),"")</f>
        <v/>
      </c>
      <c r="J1747" s="8">
        <f>IF(F1747&lt;&gt;"","https://api.qrserver.com/v1/create-qr-code/?size=200x200&amp;data="&amp;ENCODEURL("https://www.google.com/maps/search/?api=1&amp;query="&amp;SUBSTITUTE(F1747," ","")),"")</f>
        <v/>
      </c>
      <c r="K1747" s="8">
        <f>IF(C1747&lt;&gt;"",HYPERLINK("https://wa.me/507"&amp;REGEXREPLACE(C1747,"[^0-9]","")&amp;"?text="&amp;ENCODEURL("Ya llegue. Codigo: "&amp;A1747&amp;". Ubicacion: "&amp;"https://www.google.com/maps/search/?api=1&amp;query="&amp;SUBSTITUTE(F1747," ","")),"📲 Avisar al cliente"),"")</f>
        <v/>
      </c>
      <c r="L1747" s="8">
        <f>IF(C1747&lt;&gt;"","https://api.qrserver.com/v1/create-qr-code/?size=200x200&amp;data="&amp;ENCODEURL("https://wa.me/507"&amp;REGEXREPLACE(C1747,"[^0-9]","")&amp;"?text="&amp;ENCODEURL("Ya llegue. Codigo: "&amp;A1747&amp;". Ubicacion: "&amp;"https://www.google.com/maps/search/?api=1&amp;query="&amp;SUBSTITUTE(F1747," ",""))),"")</f>
        <v/>
      </c>
      <c r="M1747" s="8">
        <f>IF(B1747&lt;&gt;"",TODAY(),"")</f>
        <v/>
      </c>
      <c r="N1747" s="8">
        <f>IF(F1747&lt;&gt;"",IFERROR(IF(AND(REGEXMATCH(SUBSTITUTE(TRIM(F1747)," ",""),"^-?\d+(\.\d+)?,-?\d+(\.\d+)?$"),VALUE(REGEXEXTRACT(SUBSTITUTE(TRIM(F1747)," ",""),"^-?\d+(\.\d+)?"))&gt;=-90,VALUE(REGEXEXTRACT(SUBSTITUTE(TRIM(F1747)," ",""),"^-?\d+(\.\d+)?"))&lt;=90,VALUE(REGEXEXTRACT(SUBSTITUTE(TRIM(F1747)," ",""),"-?\d+(\.\d+)?$"))&gt;=-180,VALUE(REGEXEXTRACT(SUBSTITUTE(TRIM(F1747)," ",""),"-?\d+(\.\d+)?$"))&lt;=180),"OK","REVISAR"),"REVISAR"),"")</f>
        <v/>
      </c>
      <c r="O1747">
        <f>IF(A1747&lt;&gt;"","https://direcciones507.github.io/direcciones507/panel.html?codigo="&amp;A1747&amp;"&amp;nombre="&amp;ENCODEURL(B1747)&amp;"&amp;telefono="&amp;SUBSTITUTE(C1747,"-","")&amp;"&amp;referencia="&amp;ENCODEURL(E1747)&amp;"&amp;lat="&amp;IZQUIERDA(SUBSTITUTE(F1747," ",""),ENCONTRAR(",",SUBSTITUTE(F1747," ",""))-1)&amp;"&amp;lng="&amp;DERECHA(SUBSTITUTE(F1747," ",""),LARGO(SUBSTITUTE(F1747," ",""))-ENCONTRAR(",",SUBSTITUTE(F1747," ",""))),"")</f>
        <v/>
      </c>
    </row>
    <row r="1748" ht="15.75" customHeight="1" s="10">
      <c r="A1748" s="8">
        <f>CONCAT("AD507-",TEXT(ROW()-2,"0000"))</f>
        <v/>
      </c>
      <c r="C1748" s="8" t="n"/>
      <c r="F1748" s="8" t="n"/>
      <c r="G1748" s="8">
        <f>IF(F1748&lt;&gt;"",HYPERLINK("https://www.google.com/maps/search/?api=1&amp;query="&amp;SUBSTITUTE(F1748," ",""),"🗺 Google Maps"),"")</f>
        <v/>
      </c>
      <c r="H1748" s="8">
        <f>IF(F1748&lt;&gt;"",HYPERLINK("https://waze.com/ul?ll="&amp;SUBSTITUTE(F1748," ","")&amp;"&amp;navigate=yes","🚗 Waze"),"")</f>
        <v/>
      </c>
      <c r="I1748" s="8">
        <f>IF(F1748&lt;&gt;"",HYPERLINK("https://m.uber.com/ul/?action=setPickup&amp;pickup=my_location&amp;dropoff[latitude]="&amp;LEFT(SUBSTITUTE(F1748," ",""),FIND(",",SUBSTITUTE(F1748," ",""))-1)&amp;"&amp;dropoff[longitude]="&amp;MID(SUBSTITUTE(F1748," ",""),FIND(",",SUBSTITUTE(F1748," ",""))+1,99),"🚕 Uber"),"")</f>
        <v/>
      </c>
      <c r="J1748" s="8">
        <f>IF(F1748&lt;&gt;"","https://api.qrserver.com/v1/create-qr-code/?size=200x200&amp;data="&amp;ENCODEURL("https://www.google.com/maps/search/?api=1&amp;query="&amp;SUBSTITUTE(F1748," ","")),"")</f>
        <v/>
      </c>
      <c r="K1748" s="8">
        <f>IF(C1748&lt;&gt;"",HYPERLINK("https://wa.me/507"&amp;REGEXREPLACE(C1748,"[^0-9]","")&amp;"?text="&amp;ENCODEURL("Ya llegue. Codigo: "&amp;A1748&amp;". Ubicacion: "&amp;"https://www.google.com/maps/search/?api=1&amp;query="&amp;SUBSTITUTE(F1748," ","")),"📲 Avisar al cliente"),"")</f>
        <v/>
      </c>
      <c r="L1748" s="8">
        <f>IF(C1748&lt;&gt;"","https://api.qrserver.com/v1/create-qr-code/?size=200x200&amp;data="&amp;ENCODEURL("https://wa.me/507"&amp;REGEXREPLACE(C1748,"[^0-9]","")&amp;"?text="&amp;ENCODEURL("Ya llegue. Codigo: "&amp;A1748&amp;". Ubicacion: "&amp;"https://www.google.com/maps/search/?api=1&amp;query="&amp;SUBSTITUTE(F1748," ",""))),"")</f>
        <v/>
      </c>
      <c r="M1748" s="8">
        <f>IF(B1748&lt;&gt;"",TODAY(),"")</f>
        <v/>
      </c>
      <c r="N1748" s="8">
        <f>IF(F1748&lt;&gt;"",IFERROR(IF(AND(REGEXMATCH(SUBSTITUTE(TRIM(F1748)," ",""),"^-?\d+(\.\d+)?,-?\d+(\.\d+)?$"),VALUE(REGEXEXTRACT(SUBSTITUTE(TRIM(F1748)," ",""),"^-?\d+(\.\d+)?"))&gt;=-90,VALUE(REGEXEXTRACT(SUBSTITUTE(TRIM(F1748)," ",""),"^-?\d+(\.\d+)?"))&lt;=90,VALUE(REGEXEXTRACT(SUBSTITUTE(TRIM(F1748)," ",""),"-?\d+(\.\d+)?$"))&gt;=-180,VALUE(REGEXEXTRACT(SUBSTITUTE(TRIM(F1748)," ",""),"-?\d+(\.\d+)?$"))&lt;=180),"OK","REVISAR"),"REVISAR"),"")</f>
        <v/>
      </c>
      <c r="O1748">
        <f>IF(A1748&lt;&gt;"","https://direcciones507.github.io/direcciones507/panel.html?codigo="&amp;A1748&amp;"&amp;nombre="&amp;ENCODEURL(B1748)&amp;"&amp;telefono="&amp;SUBSTITUTE(C1748,"-","")&amp;"&amp;referencia="&amp;ENCODEURL(E1748)&amp;"&amp;lat="&amp;IZQUIERDA(SUBSTITUTE(F1748," ",""),ENCONTRAR(",",SUBSTITUTE(F1748," ",""))-1)&amp;"&amp;lng="&amp;DERECHA(SUBSTITUTE(F1748," ",""),LARGO(SUBSTITUTE(F1748," ",""))-ENCONTRAR(",",SUBSTITUTE(F1748," ",""))),"")</f>
        <v/>
      </c>
    </row>
    <row r="1749" ht="15.75" customHeight="1" s="10">
      <c r="A1749" s="8">
        <f>CONCAT("AD507-",TEXT(ROW()-2,"0000"))</f>
        <v/>
      </c>
      <c r="C1749" s="8" t="n"/>
      <c r="F1749" s="8" t="n"/>
      <c r="G1749" s="8">
        <f>IF(F1749&lt;&gt;"",HYPERLINK("https://www.google.com/maps/search/?api=1&amp;query="&amp;SUBSTITUTE(F1749," ",""),"🗺 Google Maps"),"")</f>
        <v/>
      </c>
      <c r="H1749" s="8">
        <f>IF(F1749&lt;&gt;"",HYPERLINK("https://waze.com/ul?ll="&amp;SUBSTITUTE(F1749," ","")&amp;"&amp;navigate=yes","🚗 Waze"),"")</f>
        <v/>
      </c>
      <c r="I1749" s="8">
        <f>IF(F1749&lt;&gt;"",HYPERLINK("https://m.uber.com/ul/?action=setPickup&amp;pickup=my_location&amp;dropoff[latitude]="&amp;LEFT(SUBSTITUTE(F1749," ",""),FIND(",",SUBSTITUTE(F1749," ",""))-1)&amp;"&amp;dropoff[longitude]="&amp;MID(SUBSTITUTE(F1749," ",""),FIND(",",SUBSTITUTE(F1749," ",""))+1,99),"🚕 Uber"),"")</f>
        <v/>
      </c>
      <c r="J1749" s="8">
        <f>IF(F1749&lt;&gt;"","https://api.qrserver.com/v1/create-qr-code/?size=200x200&amp;data="&amp;ENCODEURL("https://www.google.com/maps/search/?api=1&amp;query="&amp;SUBSTITUTE(F1749," ","")),"")</f>
        <v/>
      </c>
      <c r="K1749" s="8">
        <f>IF(C1749&lt;&gt;"",HYPERLINK("https://wa.me/507"&amp;REGEXREPLACE(C1749,"[^0-9]","")&amp;"?text="&amp;ENCODEURL("Ya llegue. Codigo: "&amp;A1749&amp;". Ubicacion: "&amp;"https://www.google.com/maps/search/?api=1&amp;query="&amp;SUBSTITUTE(F1749," ","")),"📲 Avisar al cliente"),"")</f>
        <v/>
      </c>
      <c r="L1749" s="8">
        <f>IF(C1749&lt;&gt;"","https://api.qrserver.com/v1/create-qr-code/?size=200x200&amp;data="&amp;ENCODEURL("https://wa.me/507"&amp;REGEXREPLACE(C1749,"[^0-9]","")&amp;"?text="&amp;ENCODEURL("Ya llegue. Codigo: "&amp;A1749&amp;". Ubicacion: "&amp;"https://www.google.com/maps/search/?api=1&amp;query="&amp;SUBSTITUTE(F1749," ",""))),"")</f>
        <v/>
      </c>
      <c r="M1749" s="8">
        <f>IF(B1749&lt;&gt;"",TODAY(),"")</f>
        <v/>
      </c>
      <c r="N1749" s="8">
        <f>IF(F1749&lt;&gt;"",IFERROR(IF(AND(REGEXMATCH(SUBSTITUTE(TRIM(F1749)," ",""),"^-?\d+(\.\d+)?,-?\d+(\.\d+)?$"),VALUE(REGEXEXTRACT(SUBSTITUTE(TRIM(F1749)," ",""),"^-?\d+(\.\d+)?"))&gt;=-90,VALUE(REGEXEXTRACT(SUBSTITUTE(TRIM(F1749)," ",""),"^-?\d+(\.\d+)?"))&lt;=90,VALUE(REGEXEXTRACT(SUBSTITUTE(TRIM(F1749)," ",""),"-?\d+(\.\d+)?$"))&gt;=-180,VALUE(REGEXEXTRACT(SUBSTITUTE(TRIM(F1749)," ",""),"-?\d+(\.\d+)?$"))&lt;=180),"OK","REVISAR"),"REVISAR"),"")</f>
        <v/>
      </c>
      <c r="O1749">
        <f>IF(A1749&lt;&gt;"","https://direcciones507.github.io/direcciones507/panel.html?codigo="&amp;A1749&amp;"&amp;nombre="&amp;ENCODEURL(B1749)&amp;"&amp;telefono="&amp;SUBSTITUTE(C1749,"-","")&amp;"&amp;referencia="&amp;ENCODEURL(E1749)&amp;"&amp;lat="&amp;IZQUIERDA(SUBSTITUTE(F1749," ",""),ENCONTRAR(",",SUBSTITUTE(F1749," ",""))-1)&amp;"&amp;lng="&amp;DERECHA(SUBSTITUTE(F1749," ",""),LARGO(SUBSTITUTE(F1749," ",""))-ENCONTRAR(",",SUBSTITUTE(F1749," ",""))),"")</f>
        <v/>
      </c>
    </row>
    <row r="1750" ht="15.75" customHeight="1" s="10">
      <c r="A1750" s="8">
        <f>CONCAT("AD507-",TEXT(ROW()-2,"0000"))</f>
        <v/>
      </c>
      <c r="C1750" s="8" t="n"/>
      <c r="F1750" s="8" t="n"/>
      <c r="G1750" s="8">
        <f>IF(F1750&lt;&gt;"",HYPERLINK("https://www.google.com/maps/search/?api=1&amp;query="&amp;SUBSTITUTE(F1750," ",""),"🗺 Google Maps"),"")</f>
        <v/>
      </c>
      <c r="H1750" s="8">
        <f>IF(F1750&lt;&gt;"",HYPERLINK("https://waze.com/ul?ll="&amp;SUBSTITUTE(F1750," ","")&amp;"&amp;navigate=yes","🚗 Waze"),"")</f>
        <v/>
      </c>
      <c r="I1750" s="8">
        <f>IF(F1750&lt;&gt;"",HYPERLINK("https://m.uber.com/ul/?action=setPickup&amp;pickup=my_location&amp;dropoff[latitude]="&amp;LEFT(SUBSTITUTE(F1750," ",""),FIND(",",SUBSTITUTE(F1750," ",""))-1)&amp;"&amp;dropoff[longitude]="&amp;MID(SUBSTITUTE(F1750," ",""),FIND(",",SUBSTITUTE(F1750," ",""))+1,99),"🚕 Uber"),"")</f>
        <v/>
      </c>
      <c r="J1750" s="8">
        <f>IF(F1750&lt;&gt;"","https://api.qrserver.com/v1/create-qr-code/?size=200x200&amp;data="&amp;ENCODEURL("https://www.google.com/maps/search/?api=1&amp;query="&amp;SUBSTITUTE(F1750," ","")),"")</f>
        <v/>
      </c>
      <c r="K1750" s="8">
        <f>IF(C1750&lt;&gt;"",HYPERLINK("https://wa.me/507"&amp;REGEXREPLACE(C1750,"[^0-9]","")&amp;"?text="&amp;ENCODEURL("Ya llegue. Codigo: "&amp;A1750&amp;". Ubicacion: "&amp;"https://www.google.com/maps/search/?api=1&amp;query="&amp;SUBSTITUTE(F1750," ","")),"📲 Avisar al cliente"),"")</f>
        <v/>
      </c>
      <c r="L1750" s="8">
        <f>IF(C1750&lt;&gt;"","https://api.qrserver.com/v1/create-qr-code/?size=200x200&amp;data="&amp;ENCODEURL("https://wa.me/507"&amp;REGEXREPLACE(C1750,"[^0-9]","")&amp;"?text="&amp;ENCODEURL("Ya llegue. Codigo: "&amp;A1750&amp;". Ubicacion: "&amp;"https://www.google.com/maps/search/?api=1&amp;query="&amp;SUBSTITUTE(F1750," ",""))),"")</f>
        <v/>
      </c>
      <c r="M1750" s="8">
        <f>IF(B1750&lt;&gt;"",TODAY(),"")</f>
        <v/>
      </c>
      <c r="N1750" s="8">
        <f>IF(F1750&lt;&gt;"",IFERROR(IF(AND(REGEXMATCH(SUBSTITUTE(TRIM(F1750)," ",""),"^-?\d+(\.\d+)?,-?\d+(\.\d+)?$"),VALUE(REGEXEXTRACT(SUBSTITUTE(TRIM(F1750)," ",""),"^-?\d+(\.\d+)?"))&gt;=-90,VALUE(REGEXEXTRACT(SUBSTITUTE(TRIM(F1750)," ",""),"^-?\d+(\.\d+)?"))&lt;=90,VALUE(REGEXEXTRACT(SUBSTITUTE(TRIM(F1750)," ",""),"-?\d+(\.\d+)?$"))&gt;=-180,VALUE(REGEXEXTRACT(SUBSTITUTE(TRIM(F1750)," ",""),"-?\d+(\.\d+)?$"))&lt;=180),"OK","REVISAR"),"REVISAR"),"")</f>
        <v/>
      </c>
      <c r="O1750">
        <f>IF(A1750&lt;&gt;"","https://direcciones507.github.io/direcciones507/panel.html?codigo="&amp;A1750&amp;"&amp;nombre="&amp;ENCODEURL(B1750)&amp;"&amp;telefono="&amp;SUBSTITUTE(C1750,"-","")&amp;"&amp;referencia="&amp;ENCODEURL(E1750)&amp;"&amp;lat="&amp;IZQUIERDA(SUBSTITUTE(F1750," ",""),ENCONTRAR(",",SUBSTITUTE(F1750," ",""))-1)&amp;"&amp;lng="&amp;DERECHA(SUBSTITUTE(F1750," ",""),LARGO(SUBSTITUTE(F1750," ",""))-ENCONTRAR(",",SUBSTITUTE(F1750," ",""))),"")</f>
        <v/>
      </c>
    </row>
    <row r="1751" ht="15.75" customHeight="1" s="10">
      <c r="A1751" s="8">
        <f>CONCAT("AD507-",TEXT(ROW()-2,"0000"))</f>
        <v/>
      </c>
      <c r="C1751" s="8" t="n"/>
      <c r="F1751" s="8" t="n"/>
      <c r="G1751" s="8">
        <f>IF(F1751&lt;&gt;"",HYPERLINK("https://www.google.com/maps/search/?api=1&amp;query="&amp;SUBSTITUTE(F1751," ",""),"🗺 Google Maps"),"")</f>
        <v/>
      </c>
      <c r="H1751" s="8">
        <f>IF(F1751&lt;&gt;"",HYPERLINK("https://waze.com/ul?ll="&amp;SUBSTITUTE(F1751," ","")&amp;"&amp;navigate=yes","🚗 Waze"),"")</f>
        <v/>
      </c>
      <c r="I1751" s="8">
        <f>IF(F1751&lt;&gt;"",HYPERLINK("https://m.uber.com/ul/?action=setPickup&amp;pickup=my_location&amp;dropoff[latitude]="&amp;LEFT(SUBSTITUTE(F1751," ",""),FIND(",",SUBSTITUTE(F1751," ",""))-1)&amp;"&amp;dropoff[longitude]="&amp;MID(SUBSTITUTE(F1751," ",""),FIND(",",SUBSTITUTE(F1751," ",""))+1,99),"🚕 Uber"),"")</f>
        <v/>
      </c>
      <c r="J1751" s="8">
        <f>IF(F1751&lt;&gt;"","https://api.qrserver.com/v1/create-qr-code/?size=200x200&amp;data="&amp;ENCODEURL("https://www.google.com/maps/search/?api=1&amp;query="&amp;SUBSTITUTE(F1751," ","")),"")</f>
        <v/>
      </c>
      <c r="K1751" s="8">
        <f>IF(C1751&lt;&gt;"",HYPERLINK("https://wa.me/507"&amp;REGEXREPLACE(C1751,"[^0-9]","")&amp;"?text="&amp;ENCODEURL("Ya llegue. Codigo: "&amp;A1751&amp;". Ubicacion: "&amp;"https://www.google.com/maps/search/?api=1&amp;query="&amp;SUBSTITUTE(F1751," ","")),"📲 Avisar al cliente"),"")</f>
        <v/>
      </c>
      <c r="L1751" s="8">
        <f>IF(C1751&lt;&gt;"","https://api.qrserver.com/v1/create-qr-code/?size=200x200&amp;data="&amp;ENCODEURL("https://wa.me/507"&amp;REGEXREPLACE(C1751,"[^0-9]","")&amp;"?text="&amp;ENCODEURL("Ya llegue. Codigo: "&amp;A1751&amp;". Ubicacion: "&amp;"https://www.google.com/maps/search/?api=1&amp;query="&amp;SUBSTITUTE(F1751," ",""))),"")</f>
        <v/>
      </c>
      <c r="M1751" s="8">
        <f>IF(B1751&lt;&gt;"",TODAY(),"")</f>
        <v/>
      </c>
      <c r="N1751" s="8">
        <f>IF(F1751&lt;&gt;"",IFERROR(IF(AND(REGEXMATCH(SUBSTITUTE(TRIM(F1751)," ",""),"^-?\d+(\.\d+)?,-?\d+(\.\d+)?$"),VALUE(REGEXEXTRACT(SUBSTITUTE(TRIM(F1751)," ",""),"^-?\d+(\.\d+)?"))&gt;=-90,VALUE(REGEXEXTRACT(SUBSTITUTE(TRIM(F1751)," ",""),"^-?\d+(\.\d+)?"))&lt;=90,VALUE(REGEXEXTRACT(SUBSTITUTE(TRIM(F1751)," ",""),"-?\d+(\.\d+)?$"))&gt;=-180,VALUE(REGEXEXTRACT(SUBSTITUTE(TRIM(F1751)," ",""),"-?\d+(\.\d+)?$"))&lt;=180),"OK","REVISAR"),"REVISAR"),"")</f>
        <v/>
      </c>
      <c r="O1751">
        <f>IF(A1751&lt;&gt;"","https://direcciones507.github.io/direcciones507/panel.html?codigo="&amp;A1751&amp;"&amp;nombre="&amp;ENCODEURL(B1751)&amp;"&amp;telefono="&amp;SUBSTITUTE(C1751,"-","")&amp;"&amp;referencia="&amp;ENCODEURL(E1751)&amp;"&amp;lat="&amp;IZQUIERDA(SUBSTITUTE(F1751," ",""),ENCONTRAR(",",SUBSTITUTE(F1751," ",""))-1)&amp;"&amp;lng="&amp;DERECHA(SUBSTITUTE(F1751," ",""),LARGO(SUBSTITUTE(F1751," ",""))-ENCONTRAR(",",SUBSTITUTE(F1751," ",""))),"")</f>
        <v/>
      </c>
    </row>
    <row r="1752" ht="15.75" customHeight="1" s="10">
      <c r="A1752" s="8">
        <f>CONCAT("AD507-",TEXT(ROW()-2,"0000"))</f>
        <v/>
      </c>
      <c r="C1752" s="8" t="n"/>
      <c r="F1752" s="8" t="n"/>
      <c r="G1752" s="8">
        <f>IF(F1752&lt;&gt;"",HYPERLINK("https://www.google.com/maps/search/?api=1&amp;query="&amp;SUBSTITUTE(F1752," ",""),"🗺 Google Maps"),"")</f>
        <v/>
      </c>
      <c r="H1752" s="8">
        <f>IF(F1752&lt;&gt;"",HYPERLINK("https://waze.com/ul?ll="&amp;SUBSTITUTE(F1752," ","")&amp;"&amp;navigate=yes","🚗 Waze"),"")</f>
        <v/>
      </c>
      <c r="I1752" s="8">
        <f>IF(F1752&lt;&gt;"",HYPERLINK("https://m.uber.com/ul/?action=setPickup&amp;pickup=my_location&amp;dropoff[latitude]="&amp;LEFT(SUBSTITUTE(F1752," ",""),FIND(",",SUBSTITUTE(F1752," ",""))-1)&amp;"&amp;dropoff[longitude]="&amp;MID(SUBSTITUTE(F1752," ",""),FIND(",",SUBSTITUTE(F1752," ",""))+1,99),"🚕 Uber"),"")</f>
        <v/>
      </c>
      <c r="J1752" s="8">
        <f>IF(F1752&lt;&gt;"","https://api.qrserver.com/v1/create-qr-code/?size=200x200&amp;data="&amp;ENCODEURL("https://www.google.com/maps/search/?api=1&amp;query="&amp;SUBSTITUTE(F1752," ","")),"")</f>
        <v/>
      </c>
      <c r="K1752" s="8">
        <f>IF(C1752&lt;&gt;"",HYPERLINK("https://wa.me/507"&amp;REGEXREPLACE(C1752,"[^0-9]","")&amp;"?text="&amp;ENCODEURL("Ya llegue. Codigo: "&amp;A1752&amp;". Ubicacion: "&amp;"https://www.google.com/maps/search/?api=1&amp;query="&amp;SUBSTITUTE(F1752," ","")),"📲 Avisar al cliente"),"")</f>
        <v/>
      </c>
      <c r="L1752" s="8">
        <f>IF(C1752&lt;&gt;"","https://api.qrserver.com/v1/create-qr-code/?size=200x200&amp;data="&amp;ENCODEURL("https://wa.me/507"&amp;REGEXREPLACE(C1752,"[^0-9]","")&amp;"?text="&amp;ENCODEURL("Ya llegue. Codigo: "&amp;A1752&amp;". Ubicacion: "&amp;"https://www.google.com/maps/search/?api=1&amp;query="&amp;SUBSTITUTE(F1752," ",""))),"")</f>
        <v/>
      </c>
      <c r="M1752" s="8">
        <f>IF(B1752&lt;&gt;"",TODAY(),"")</f>
        <v/>
      </c>
      <c r="N1752" s="8">
        <f>IF(F1752&lt;&gt;"",IFERROR(IF(AND(REGEXMATCH(SUBSTITUTE(TRIM(F1752)," ",""),"^-?\d+(\.\d+)?,-?\d+(\.\d+)?$"),VALUE(REGEXEXTRACT(SUBSTITUTE(TRIM(F1752)," ",""),"^-?\d+(\.\d+)?"))&gt;=-90,VALUE(REGEXEXTRACT(SUBSTITUTE(TRIM(F1752)," ",""),"^-?\d+(\.\d+)?"))&lt;=90,VALUE(REGEXEXTRACT(SUBSTITUTE(TRIM(F1752)," ",""),"-?\d+(\.\d+)?$"))&gt;=-180,VALUE(REGEXEXTRACT(SUBSTITUTE(TRIM(F1752)," ",""),"-?\d+(\.\d+)?$"))&lt;=180),"OK","REVISAR"),"REVISAR"),"")</f>
        <v/>
      </c>
      <c r="O1752">
        <f>IF(A1752&lt;&gt;"","https://direcciones507.github.io/direcciones507/panel.html?codigo="&amp;A1752&amp;"&amp;nombre="&amp;ENCODEURL(B1752)&amp;"&amp;telefono="&amp;SUBSTITUTE(C1752,"-","")&amp;"&amp;referencia="&amp;ENCODEURL(E1752)&amp;"&amp;lat="&amp;IZQUIERDA(SUBSTITUTE(F1752," ",""),ENCONTRAR(",",SUBSTITUTE(F1752," ",""))-1)&amp;"&amp;lng="&amp;DERECHA(SUBSTITUTE(F1752," ",""),LARGO(SUBSTITUTE(F1752," ",""))-ENCONTRAR(",",SUBSTITUTE(F1752," ",""))),"")</f>
        <v/>
      </c>
    </row>
    <row r="1753" ht="15.75" customHeight="1" s="10">
      <c r="A1753" s="8">
        <f>CONCAT("AD507-",TEXT(ROW()-2,"0000"))</f>
        <v/>
      </c>
      <c r="C1753" s="8" t="n"/>
      <c r="F1753" s="8" t="n"/>
      <c r="G1753" s="8">
        <f>IF(F1753&lt;&gt;"",HYPERLINK("https://www.google.com/maps/search/?api=1&amp;query="&amp;SUBSTITUTE(F1753," ",""),"🗺 Google Maps"),"")</f>
        <v/>
      </c>
      <c r="H1753" s="8">
        <f>IF(F1753&lt;&gt;"",HYPERLINK("https://waze.com/ul?ll="&amp;SUBSTITUTE(F1753," ","")&amp;"&amp;navigate=yes","🚗 Waze"),"")</f>
        <v/>
      </c>
      <c r="I1753" s="8">
        <f>IF(F1753&lt;&gt;"",HYPERLINK("https://m.uber.com/ul/?action=setPickup&amp;pickup=my_location&amp;dropoff[latitude]="&amp;LEFT(SUBSTITUTE(F1753," ",""),FIND(",",SUBSTITUTE(F1753," ",""))-1)&amp;"&amp;dropoff[longitude]="&amp;MID(SUBSTITUTE(F1753," ",""),FIND(",",SUBSTITUTE(F1753," ",""))+1,99),"🚕 Uber"),"")</f>
        <v/>
      </c>
      <c r="J1753" s="8">
        <f>IF(F1753&lt;&gt;"","https://api.qrserver.com/v1/create-qr-code/?size=200x200&amp;data="&amp;ENCODEURL("https://www.google.com/maps/search/?api=1&amp;query="&amp;SUBSTITUTE(F1753," ","")),"")</f>
        <v/>
      </c>
      <c r="K1753" s="8">
        <f>IF(C1753&lt;&gt;"",HYPERLINK("https://wa.me/507"&amp;REGEXREPLACE(C1753,"[^0-9]","")&amp;"?text="&amp;ENCODEURL("Ya llegue. Codigo: "&amp;A1753&amp;". Ubicacion: "&amp;"https://www.google.com/maps/search/?api=1&amp;query="&amp;SUBSTITUTE(F1753," ","")),"📲 Avisar al cliente"),"")</f>
        <v/>
      </c>
      <c r="L1753" s="8">
        <f>IF(C1753&lt;&gt;"","https://api.qrserver.com/v1/create-qr-code/?size=200x200&amp;data="&amp;ENCODEURL("https://wa.me/507"&amp;REGEXREPLACE(C1753,"[^0-9]","")&amp;"?text="&amp;ENCODEURL("Ya llegue. Codigo: "&amp;A1753&amp;". Ubicacion: "&amp;"https://www.google.com/maps/search/?api=1&amp;query="&amp;SUBSTITUTE(F1753," ",""))),"")</f>
        <v/>
      </c>
      <c r="M1753" s="8">
        <f>IF(B1753&lt;&gt;"",TODAY(),"")</f>
        <v/>
      </c>
      <c r="N1753" s="8">
        <f>IF(F1753&lt;&gt;"",IFERROR(IF(AND(REGEXMATCH(SUBSTITUTE(TRIM(F1753)," ",""),"^-?\d+(\.\d+)?,-?\d+(\.\d+)?$"),VALUE(REGEXEXTRACT(SUBSTITUTE(TRIM(F1753)," ",""),"^-?\d+(\.\d+)?"))&gt;=-90,VALUE(REGEXEXTRACT(SUBSTITUTE(TRIM(F1753)," ",""),"^-?\d+(\.\d+)?"))&lt;=90,VALUE(REGEXEXTRACT(SUBSTITUTE(TRIM(F1753)," ",""),"-?\d+(\.\d+)?$"))&gt;=-180,VALUE(REGEXEXTRACT(SUBSTITUTE(TRIM(F1753)," ",""),"-?\d+(\.\d+)?$"))&lt;=180),"OK","REVISAR"),"REVISAR"),"")</f>
        <v/>
      </c>
      <c r="O1753">
        <f>IF(A1753&lt;&gt;"","https://direcciones507.github.io/direcciones507/panel.html?codigo="&amp;A1753&amp;"&amp;nombre="&amp;ENCODEURL(B1753)&amp;"&amp;telefono="&amp;SUBSTITUTE(C1753,"-","")&amp;"&amp;referencia="&amp;ENCODEURL(E1753)&amp;"&amp;lat="&amp;IZQUIERDA(SUBSTITUTE(F1753," ",""),ENCONTRAR(",",SUBSTITUTE(F1753," ",""))-1)&amp;"&amp;lng="&amp;DERECHA(SUBSTITUTE(F1753," ",""),LARGO(SUBSTITUTE(F1753," ",""))-ENCONTRAR(",",SUBSTITUTE(F1753," ",""))),"")</f>
        <v/>
      </c>
    </row>
    <row r="1754" ht="15.75" customHeight="1" s="10">
      <c r="A1754" s="8">
        <f>CONCAT("AD507-",TEXT(ROW()-2,"0000"))</f>
        <v/>
      </c>
      <c r="C1754" s="8" t="n"/>
      <c r="F1754" s="8" t="n"/>
      <c r="G1754" s="8">
        <f>IF(F1754&lt;&gt;"",HYPERLINK("https://www.google.com/maps/search/?api=1&amp;query="&amp;SUBSTITUTE(F1754," ",""),"🗺 Google Maps"),"")</f>
        <v/>
      </c>
      <c r="H1754" s="8">
        <f>IF(F1754&lt;&gt;"",HYPERLINK("https://waze.com/ul?ll="&amp;SUBSTITUTE(F1754," ","")&amp;"&amp;navigate=yes","🚗 Waze"),"")</f>
        <v/>
      </c>
      <c r="I1754" s="8">
        <f>IF(F1754&lt;&gt;"",HYPERLINK("https://m.uber.com/ul/?action=setPickup&amp;pickup=my_location&amp;dropoff[latitude]="&amp;LEFT(SUBSTITUTE(F1754," ",""),FIND(",",SUBSTITUTE(F1754," ",""))-1)&amp;"&amp;dropoff[longitude]="&amp;MID(SUBSTITUTE(F1754," ",""),FIND(",",SUBSTITUTE(F1754," ",""))+1,99),"🚕 Uber"),"")</f>
        <v/>
      </c>
      <c r="J1754" s="8">
        <f>IF(F1754&lt;&gt;"","https://api.qrserver.com/v1/create-qr-code/?size=200x200&amp;data="&amp;ENCODEURL("https://www.google.com/maps/search/?api=1&amp;query="&amp;SUBSTITUTE(F1754," ","")),"")</f>
        <v/>
      </c>
      <c r="K1754" s="8">
        <f>IF(C1754&lt;&gt;"",HYPERLINK("https://wa.me/507"&amp;REGEXREPLACE(C1754,"[^0-9]","")&amp;"?text="&amp;ENCODEURL("Ya llegue. Codigo: "&amp;A1754&amp;". Ubicacion: "&amp;"https://www.google.com/maps/search/?api=1&amp;query="&amp;SUBSTITUTE(F1754," ","")),"📲 Avisar al cliente"),"")</f>
        <v/>
      </c>
      <c r="L1754" s="8">
        <f>IF(C1754&lt;&gt;"","https://api.qrserver.com/v1/create-qr-code/?size=200x200&amp;data="&amp;ENCODEURL("https://wa.me/507"&amp;REGEXREPLACE(C1754,"[^0-9]","")&amp;"?text="&amp;ENCODEURL("Ya llegue. Codigo: "&amp;A1754&amp;". Ubicacion: "&amp;"https://www.google.com/maps/search/?api=1&amp;query="&amp;SUBSTITUTE(F1754," ",""))),"")</f>
        <v/>
      </c>
      <c r="M1754" s="8">
        <f>IF(B1754&lt;&gt;"",TODAY(),"")</f>
        <v/>
      </c>
      <c r="N1754" s="8">
        <f>IF(F1754&lt;&gt;"",IFERROR(IF(AND(REGEXMATCH(SUBSTITUTE(TRIM(F1754)," ",""),"^-?\d+(\.\d+)?,-?\d+(\.\d+)?$"),VALUE(REGEXEXTRACT(SUBSTITUTE(TRIM(F1754)," ",""),"^-?\d+(\.\d+)?"))&gt;=-90,VALUE(REGEXEXTRACT(SUBSTITUTE(TRIM(F1754)," ",""),"^-?\d+(\.\d+)?"))&lt;=90,VALUE(REGEXEXTRACT(SUBSTITUTE(TRIM(F1754)," ",""),"-?\d+(\.\d+)?$"))&gt;=-180,VALUE(REGEXEXTRACT(SUBSTITUTE(TRIM(F1754)," ",""),"-?\d+(\.\d+)?$"))&lt;=180),"OK","REVISAR"),"REVISAR"),"")</f>
        <v/>
      </c>
      <c r="O1754">
        <f>IF(A1754&lt;&gt;"","https://direcciones507.github.io/direcciones507/panel.html?codigo="&amp;A1754&amp;"&amp;nombre="&amp;ENCODEURL(B1754)&amp;"&amp;telefono="&amp;SUBSTITUTE(C1754,"-","")&amp;"&amp;referencia="&amp;ENCODEURL(E1754)&amp;"&amp;lat="&amp;IZQUIERDA(SUBSTITUTE(F1754," ",""),ENCONTRAR(",",SUBSTITUTE(F1754," ",""))-1)&amp;"&amp;lng="&amp;DERECHA(SUBSTITUTE(F1754," ",""),LARGO(SUBSTITUTE(F1754," ",""))-ENCONTRAR(",",SUBSTITUTE(F1754," ",""))),"")</f>
        <v/>
      </c>
    </row>
    <row r="1755" ht="15.75" customHeight="1" s="10">
      <c r="A1755" s="8">
        <f>CONCAT("AD507-",TEXT(ROW()-2,"0000"))</f>
        <v/>
      </c>
      <c r="C1755" s="8" t="n"/>
      <c r="F1755" s="8" t="n"/>
      <c r="G1755" s="8">
        <f>IF(F1755&lt;&gt;"",HYPERLINK("https://www.google.com/maps/search/?api=1&amp;query="&amp;SUBSTITUTE(F1755," ",""),"🗺 Google Maps"),"")</f>
        <v/>
      </c>
      <c r="H1755" s="8">
        <f>IF(F1755&lt;&gt;"",HYPERLINK("https://waze.com/ul?ll="&amp;SUBSTITUTE(F1755," ","")&amp;"&amp;navigate=yes","🚗 Waze"),"")</f>
        <v/>
      </c>
      <c r="I1755" s="8">
        <f>IF(F1755&lt;&gt;"",HYPERLINK("https://m.uber.com/ul/?action=setPickup&amp;pickup=my_location&amp;dropoff[latitude]="&amp;LEFT(SUBSTITUTE(F1755," ",""),FIND(",",SUBSTITUTE(F1755," ",""))-1)&amp;"&amp;dropoff[longitude]="&amp;MID(SUBSTITUTE(F1755," ",""),FIND(",",SUBSTITUTE(F1755," ",""))+1,99),"🚕 Uber"),"")</f>
        <v/>
      </c>
      <c r="J1755" s="8">
        <f>IF(F1755&lt;&gt;"","https://api.qrserver.com/v1/create-qr-code/?size=200x200&amp;data="&amp;ENCODEURL("https://www.google.com/maps/search/?api=1&amp;query="&amp;SUBSTITUTE(F1755," ","")),"")</f>
        <v/>
      </c>
      <c r="K1755" s="8">
        <f>IF(C1755&lt;&gt;"",HYPERLINK("https://wa.me/507"&amp;REGEXREPLACE(C1755,"[^0-9]","")&amp;"?text="&amp;ENCODEURL("Ya llegue. Codigo: "&amp;A1755&amp;". Ubicacion: "&amp;"https://www.google.com/maps/search/?api=1&amp;query="&amp;SUBSTITUTE(F1755," ","")),"📲 Avisar al cliente"),"")</f>
        <v/>
      </c>
      <c r="L1755" s="8">
        <f>IF(C1755&lt;&gt;"","https://api.qrserver.com/v1/create-qr-code/?size=200x200&amp;data="&amp;ENCODEURL("https://wa.me/507"&amp;REGEXREPLACE(C1755,"[^0-9]","")&amp;"?text="&amp;ENCODEURL("Ya llegue. Codigo: "&amp;A1755&amp;". Ubicacion: "&amp;"https://www.google.com/maps/search/?api=1&amp;query="&amp;SUBSTITUTE(F1755," ",""))),"")</f>
        <v/>
      </c>
      <c r="M1755" s="8">
        <f>IF(B1755&lt;&gt;"",TODAY(),"")</f>
        <v/>
      </c>
      <c r="N1755" s="8">
        <f>IF(F1755&lt;&gt;"",IFERROR(IF(AND(REGEXMATCH(SUBSTITUTE(TRIM(F1755)," ",""),"^-?\d+(\.\d+)?,-?\d+(\.\d+)?$"),VALUE(REGEXEXTRACT(SUBSTITUTE(TRIM(F1755)," ",""),"^-?\d+(\.\d+)?"))&gt;=-90,VALUE(REGEXEXTRACT(SUBSTITUTE(TRIM(F1755)," ",""),"^-?\d+(\.\d+)?"))&lt;=90,VALUE(REGEXEXTRACT(SUBSTITUTE(TRIM(F1755)," ",""),"-?\d+(\.\d+)?$"))&gt;=-180,VALUE(REGEXEXTRACT(SUBSTITUTE(TRIM(F1755)," ",""),"-?\d+(\.\d+)?$"))&lt;=180),"OK","REVISAR"),"REVISAR"),"")</f>
        <v/>
      </c>
      <c r="O1755">
        <f>IF(A1755&lt;&gt;"","https://direcciones507.github.io/direcciones507/panel.html?codigo="&amp;A1755&amp;"&amp;nombre="&amp;ENCODEURL(B1755)&amp;"&amp;telefono="&amp;SUBSTITUTE(C1755,"-","")&amp;"&amp;referencia="&amp;ENCODEURL(E1755)&amp;"&amp;lat="&amp;IZQUIERDA(SUBSTITUTE(F1755," ",""),ENCONTRAR(",",SUBSTITUTE(F1755," ",""))-1)&amp;"&amp;lng="&amp;DERECHA(SUBSTITUTE(F1755," ",""),LARGO(SUBSTITUTE(F1755," ",""))-ENCONTRAR(",",SUBSTITUTE(F1755," ",""))),"")</f>
        <v/>
      </c>
    </row>
    <row r="1756" ht="15.75" customHeight="1" s="10">
      <c r="A1756" s="8">
        <f>CONCAT("AD507-",TEXT(ROW()-2,"0000"))</f>
        <v/>
      </c>
      <c r="C1756" s="8" t="n"/>
      <c r="F1756" s="8" t="n"/>
      <c r="G1756" s="8">
        <f>IF(F1756&lt;&gt;"",HYPERLINK("https://www.google.com/maps/search/?api=1&amp;query="&amp;SUBSTITUTE(F1756," ",""),"🗺 Google Maps"),"")</f>
        <v/>
      </c>
      <c r="H1756" s="8">
        <f>IF(F1756&lt;&gt;"",HYPERLINK("https://waze.com/ul?ll="&amp;SUBSTITUTE(F1756," ","")&amp;"&amp;navigate=yes","🚗 Waze"),"")</f>
        <v/>
      </c>
      <c r="I1756" s="8">
        <f>IF(F1756&lt;&gt;"",HYPERLINK("https://m.uber.com/ul/?action=setPickup&amp;pickup=my_location&amp;dropoff[latitude]="&amp;LEFT(SUBSTITUTE(F1756," ",""),FIND(",",SUBSTITUTE(F1756," ",""))-1)&amp;"&amp;dropoff[longitude]="&amp;MID(SUBSTITUTE(F1756," ",""),FIND(",",SUBSTITUTE(F1756," ",""))+1,99),"🚕 Uber"),"")</f>
        <v/>
      </c>
      <c r="J1756" s="8">
        <f>IF(F1756&lt;&gt;"","https://api.qrserver.com/v1/create-qr-code/?size=200x200&amp;data="&amp;ENCODEURL("https://www.google.com/maps/search/?api=1&amp;query="&amp;SUBSTITUTE(F1756," ","")),"")</f>
        <v/>
      </c>
      <c r="K1756" s="8">
        <f>IF(C1756&lt;&gt;"",HYPERLINK("https://wa.me/507"&amp;REGEXREPLACE(C1756,"[^0-9]","")&amp;"?text="&amp;ENCODEURL("Ya llegue. Codigo: "&amp;A1756&amp;". Ubicacion: "&amp;"https://www.google.com/maps/search/?api=1&amp;query="&amp;SUBSTITUTE(F1756," ","")),"📲 Avisar al cliente"),"")</f>
        <v/>
      </c>
      <c r="L1756" s="8">
        <f>IF(C1756&lt;&gt;"","https://api.qrserver.com/v1/create-qr-code/?size=200x200&amp;data="&amp;ENCODEURL("https://wa.me/507"&amp;REGEXREPLACE(C1756,"[^0-9]","")&amp;"?text="&amp;ENCODEURL("Ya llegue. Codigo: "&amp;A1756&amp;". Ubicacion: "&amp;"https://www.google.com/maps/search/?api=1&amp;query="&amp;SUBSTITUTE(F1756," ",""))),"")</f>
        <v/>
      </c>
      <c r="M1756" s="8">
        <f>IF(B1756&lt;&gt;"",TODAY(),"")</f>
        <v/>
      </c>
      <c r="N1756" s="8">
        <f>IF(F1756&lt;&gt;"",IFERROR(IF(AND(REGEXMATCH(SUBSTITUTE(TRIM(F1756)," ",""),"^-?\d+(\.\d+)?,-?\d+(\.\d+)?$"),VALUE(REGEXEXTRACT(SUBSTITUTE(TRIM(F1756)," ",""),"^-?\d+(\.\d+)?"))&gt;=-90,VALUE(REGEXEXTRACT(SUBSTITUTE(TRIM(F1756)," ",""),"^-?\d+(\.\d+)?"))&lt;=90,VALUE(REGEXEXTRACT(SUBSTITUTE(TRIM(F1756)," ",""),"-?\d+(\.\d+)?$"))&gt;=-180,VALUE(REGEXEXTRACT(SUBSTITUTE(TRIM(F1756)," ",""),"-?\d+(\.\d+)?$"))&lt;=180),"OK","REVISAR"),"REVISAR"),"")</f>
        <v/>
      </c>
      <c r="O1756">
        <f>IF(A1756&lt;&gt;"","https://direcciones507.github.io/direcciones507/panel.html?codigo="&amp;A1756&amp;"&amp;nombre="&amp;ENCODEURL(B1756)&amp;"&amp;telefono="&amp;SUBSTITUTE(C1756,"-","")&amp;"&amp;referencia="&amp;ENCODEURL(E1756)&amp;"&amp;lat="&amp;IZQUIERDA(SUBSTITUTE(F1756," ",""),ENCONTRAR(",",SUBSTITUTE(F1756," ",""))-1)&amp;"&amp;lng="&amp;DERECHA(SUBSTITUTE(F1756," ",""),LARGO(SUBSTITUTE(F1756," ",""))-ENCONTRAR(",",SUBSTITUTE(F1756," ",""))),"")</f>
        <v/>
      </c>
    </row>
    <row r="1757" ht="15.75" customHeight="1" s="10">
      <c r="A1757" s="8">
        <f>CONCAT("AD507-",TEXT(ROW()-2,"0000"))</f>
        <v/>
      </c>
      <c r="C1757" s="8" t="n"/>
      <c r="F1757" s="8" t="n"/>
      <c r="G1757" s="8">
        <f>IF(F1757&lt;&gt;"",HYPERLINK("https://www.google.com/maps/search/?api=1&amp;query="&amp;SUBSTITUTE(F1757," ",""),"🗺 Google Maps"),"")</f>
        <v/>
      </c>
      <c r="H1757" s="8">
        <f>IF(F1757&lt;&gt;"",HYPERLINK("https://waze.com/ul?ll="&amp;SUBSTITUTE(F1757," ","")&amp;"&amp;navigate=yes","🚗 Waze"),"")</f>
        <v/>
      </c>
      <c r="I1757" s="8">
        <f>IF(F1757&lt;&gt;"",HYPERLINK("https://m.uber.com/ul/?action=setPickup&amp;pickup=my_location&amp;dropoff[latitude]="&amp;LEFT(SUBSTITUTE(F1757," ",""),FIND(",",SUBSTITUTE(F1757," ",""))-1)&amp;"&amp;dropoff[longitude]="&amp;MID(SUBSTITUTE(F1757," ",""),FIND(",",SUBSTITUTE(F1757," ",""))+1,99),"🚕 Uber"),"")</f>
        <v/>
      </c>
      <c r="J1757" s="8">
        <f>IF(F1757&lt;&gt;"","https://api.qrserver.com/v1/create-qr-code/?size=200x200&amp;data="&amp;ENCODEURL("https://www.google.com/maps/search/?api=1&amp;query="&amp;SUBSTITUTE(F1757," ","")),"")</f>
        <v/>
      </c>
      <c r="K1757" s="8">
        <f>IF(C1757&lt;&gt;"",HYPERLINK("https://wa.me/507"&amp;REGEXREPLACE(C1757,"[^0-9]","")&amp;"?text="&amp;ENCODEURL("Ya llegue. Codigo: "&amp;A1757&amp;". Ubicacion: "&amp;"https://www.google.com/maps/search/?api=1&amp;query="&amp;SUBSTITUTE(F1757," ","")),"📲 Avisar al cliente"),"")</f>
        <v/>
      </c>
      <c r="L1757" s="8">
        <f>IF(C1757&lt;&gt;"","https://api.qrserver.com/v1/create-qr-code/?size=200x200&amp;data="&amp;ENCODEURL("https://wa.me/507"&amp;REGEXREPLACE(C1757,"[^0-9]","")&amp;"?text="&amp;ENCODEURL("Ya llegue. Codigo: "&amp;A1757&amp;". Ubicacion: "&amp;"https://www.google.com/maps/search/?api=1&amp;query="&amp;SUBSTITUTE(F1757," ",""))),"")</f>
        <v/>
      </c>
      <c r="M1757" s="8">
        <f>IF(B1757&lt;&gt;"",TODAY(),"")</f>
        <v/>
      </c>
      <c r="N1757" s="8">
        <f>IF(F1757&lt;&gt;"",IFERROR(IF(AND(REGEXMATCH(SUBSTITUTE(TRIM(F1757)," ",""),"^-?\d+(\.\d+)?,-?\d+(\.\d+)?$"),VALUE(REGEXEXTRACT(SUBSTITUTE(TRIM(F1757)," ",""),"^-?\d+(\.\d+)?"))&gt;=-90,VALUE(REGEXEXTRACT(SUBSTITUTE(TRIM(F1757)," ",""),"^-?\d+(\.\d+)?"))&lt;=90,VALUE(REGEXEXTRACT(SUBSTITUTE(TRIM(F1757)," ",""),"-?\d+(\.\d+)?$"))&gt;=-180,VALUE(REGEXEXTRACT(SUBSTITUTE(TRIM(F1757)," ",""),"-?\d+(\.\d+)?$"))&lt;=180),"OK","REVISAR"),"REVISAR"),"")</f>
        <v/>
      </c>
      <c r="O1757">
        <f>IF(A1757&lt;&gt;"","https://direcciones507.github.io/direcciones507/panel.html?codigo="&amp;A1757&amp;"&amp;nombre="&amp;ENCODEURL(B1757)&amp;"&amp;telefono="&amp;SUBSTITUTE(C1757,"-","")&amp;"&amp;referencia="&amp;ENCODEURL(E1757)&amp;"&amp;lat="&amp;IZQUIERDA(SUBSTITUTE(F1757," ",""),ENCONTRAR(",",SUBSTITUTE(F1757," ",""))-1)&amp;"&amp;lng="&amp;DERECHA(SUBSTITUTE(F1757," ",""),LARGO(SUBSTITUTE(F1757," ",""))-ENCONTRAR(",",SUBSTITUTE(F1757," ",""))),"")</f>
        <v/>
      </c>
    </row>
    <row r="1758" ht="15.75" customHeight="1" s="10">
      <c r="A1758" s="8">
        <f>CONCAT("AD507-",TEXT(ROW()-2,"0000"))</f>
        <v/>
      </c>
      <c r="C1758" s="8" t="n"/>
      <c r="F1758" s="8" t="n"/>
      <c r="G1758" s="8">
        <f>IF(F1758&lt;&gt;"",HYPERLINK("https://www.google.com/maps/search/?api=1&amp;query="&amp;SUBSTITUTE(F1758," ",""),"🗺 Google Maps"),"")</f>
        <v/>
      </c>
      <c r="H1758" s="8">
        <f>IF(F1758&lt;&gt;"",HYPERLINK("https://waze.com/ul?ll="&amp;SUBSTITUTE(F1758," ","")&amp;"&amp;navigate=yes","🚗 Waze"),"")</f>
        <v/>
      </c>
      <c r="I1758" s="8">
        <f>IF(F1758&lt;&gt;"",HYPERLINK("https://m.uber.com/ul/?action=setPickup&amp;pickup=my_location&amp;dropoff[latitude]="&amp;LEFT(SUBSTITUTE(F1758," ",""),FIND(",",SUBSTITUTE(F1758," ",""))-1)&amp;"&amp;dropoff[longitude]="&amp;MID(SUBSTITUTE(F1758," ",""),FIND(",",SUBSTITUTE(F1758," ",""))+1,99),"🚕 Uber"),"")</f>
        <v/>
      </c>
      <c r="J1758" s="8">
        <f>IF(F1758&lt;&gt;"","https://api.qrserver.com/v1/create-qr-code/?size=200x200&amp;data="&amp;ENCODEURL("https://www.google.com/maps/search/?api=1&amp;query="&amp;SUBSTITUTE(F1758," ","")),"")</f>
        <v/>
      </c>
      <c r="K1758" s="8">
        <f>IF(C1758&lt;&gt;"",HYPERLINK("https://wa.me/507"&amp;REGEXREPLACE(C1758,"[^0-9]","")&amp;"?text="&amp;ENCODEURL("Ya llegue. Codigo: "&amp;A1758&amp;". Ubicacion: "&amp;"https://www.google.com/maps/search/?api=1&amp;query="&amp;SUBSTITUTE(F1758," ","")),"📲 Avisar al cliente"),"")</f>
        <v/>
      </c>
      <c r="L1758" s="8">
        <f>IF(C1758&lt;&gt;"","https://api.qrserver.com/v1/create-qr-code/?size=200x200&amp;data="&amp;ENCODEURL("https://wa.me/507"&amp;REGEXREPLACE(C1758,"[^0-9]","")&amp;"?text="&amp;ENCODEURL("Ya llegue. Codigo: "&amp;A1758&amp;". Ubicacion: "&amp;"https://www.google.com/maps/search/?api=1&amp;query="&amp;SUBSTITUTE(F1758," ",""))),"")</f>
        <v/>
      </c>
      <c r="M1758" s="8">
        <f>IF(B1758&lt;&gt;"",TODAY(),"")</f>
        <v/>
      </c>
      <c r="N1758" s="8">
        <f>IF(F1758&lt;&gt;"",IFERROR(IF(AND(REGEXMATCH(SUBSTITUTE(TRIM(F1758)," ",""),"^-?\d+(\.\d+)?,-?\d+(\.\d+)?$"),VALUE(REGEXEXTRACT(SUBSTITUTE(TRIM(F1758)," ",""),"^-?\d+(\.\d+)?"))&gt;=-90,VALUE(REGEXEXTRACT(SUBSTITUTE(TRIM(F1758)," ",""),"^-?\d+(\.\d+)?"))&lt;=90,VALUE(REGEXEXTRACT(SUBSTITUTE(TRIM(F1758)," ",""),"-?\d+(\.\d+)?$"))&gt;=-180,VALUE(REGEXEXTRACT(SUBSTITUTE(TRIM(F1758)," ",""),"-?\d+(\.\d+)?$"))&lt;=180),"OK","REVISAR"),"REVISAR"),"")</f>
        <v/>
      </c>
      <c r="O1758">
        <f>IF(A1758&lt;&gt;"","https://direcciones507.github.io/direcciones507/panel.html?codigo="&amp;A1758&amp;"&amp;nombre="&amp;ENCODEURL(B1758)&amp;"&amp;telefono="&amp;SUBSTITUTE(C1758,"-","")&amp;"&amp;referencia="&amp;ENCODEURL(E1758)&amp;"&amp;lat="&amp;IZQUIERDA(SUBSTITUTE(F1758," ",""),ENCONTRAR(",",SUBSTITUTE(F1758," ",""))-1)&amp;"&amp;lng="&amp;DERECHA(SUBSTITUTE(F1758," ",""),LARGO(SUBSTITUTE(F1758," ",""))-ENCONTRAR(",",SUBSTITUTE(F1758," ",""))),"")</f>
        <v/>
      </c>
    </row>
    <row r="1759" ht="15.75" customHeight="1" s="10">
      <c r="A1759" s="8">
        <f>CONCAT("AD507-",TEXT(ROW()-2,"0000"))</f>
        <v/>
      </c>
      <c r="C1759" s="8" t="n"/>
      <c r="F1759" s="8" t="n"/>
      <c r="G1759" s="8">
        <f>IF(F1759&lt;&gt;"",HYPERLINK("https://www.google.com/maps/search/?api=1&amp;query="&amp;SUBSTITUTE(F1759," ",""),"🗺 Google Maps"),"")</f>
        <v/>
      </c>
      <c r="H1759" s="8">
        <f>IF(F1759&lt;&gt;"",HYPERLINK("https://waze.com/ul?ll="&amp;SUBSTITUTE(F1759," ","")&amp;"&amp;navigate=yes","🚗 Waze"),"")</f>
        <v/>
      </c>
      <c r="I1759" s="8">
        <f>IF(F1759&lt;&gt;"",HYPERLINK("https://m.uber.com/ul/?action=setPickup&amp;pickup=my_location&amp;dropoff[latitude]="&amp;LEFT(SUBSTITUTE(F1759," ",""),FIND(",",SUBSTITUTE(F1759," ",""))-1)&amp;"&amp;dropoff[longitude]="&amp;MID(SUBSTITUTE(F1759," ",""),FIND(",",SUBSTITUTE(F1759," ",""))+1,99),"🚕 Uber"),"")</f>
        <v/>
      </c>
      <c r="J1759" s="8">
        <f>IF(F1759&lt;&gt;"","https://api.qrserver.com/v1/create-qr-code/?size=200x200&amp;data="&amp;ENCODEURL("https://www.google.com/maps/search/?api=1&amp;query="&amp;SUBSTITUTE(F1759," ","")),"")</f>
        <v/>
      </c>
      <c r="K1759" s="8">
        <f>IF(C1759&lt;&gt;"",HYPERLINK("https://wa.me/507"&amp;REGEXREPLACE(C1759,"[^0-9]","")&amp;"?text="&amp;ENCODEURL("Ya llegue. Codigo: "&amp;A1759&amp;". Ubicacion: "&amp;"https://www.google.com/maps/search/?api=1&amp;query="&amp;SUBSTITUTE(F1759," ","")),"📲 Avisar al cliente"),"")</f>
        <v/>
      </c>
      <c r="L1759" s="8">
        <f>IF(C1759&lt;&gt;"","https://api.qrserver.com/v1/create-qr-code/?size=200x200&amp;data="&amp;ENCODEURL("https://wa.me/507"&amp;REGEXREPLACE(C1759,"[^0-9]","")&amp;"?text="&amp;ENCODEURL("Ya llegue. Codigo: "&amp;A1759&amp;". Ubicacion: "&amp;"https://www.google.com/maps/search/?api=1&amp;query="&amp;SUBSTITUTE(F1759," ",""))),"")</f>
        <v/>
      </c>
      <c r="M1759" s="8">
        <f>IF(B1759&lt;&gt;"",TODAY(),"")</f>
        <v/>
      </c>
      <c r="N1759" s="8">
        <f>IF(F1759&lt;&gt;"",IFERROR(IF(AND(REGEXMATCH(SUBSTITUTE(TRIM(F1759)," ",""),"^-?\d+(\.\d+)?,-?\d+(\.\d+)?$"),VALUE(REGEXEXTRACT(SUBSTITUTE(TRIM(F1759)," ",""),"^-?\d+(\.\d+)?"))&gt;=-90,VALUE(REGEXEXTRACT(SUBSTITUTE(TRIM(F1759)," ",""),"^-?\d+(\.\d+)?"))&lt;=90,VALUE(REGEXEXTRACT(SUBSTITUTE(TRIM(F1759)," ",""),"-?\d+(\.\d+)?$"))&gt;=-180,VALUE(REGEXEXTRACT(SUBSTITUTE(TRIM(F1759)," ",""),"-?\d+(\.\d+)?$"))&lt;=180),"OK","REVISAR"),"REVISAR"),"")</f>
        <v/>
      </c>
      <c r="O1759">
        <f>IF(A1759&lt;&gt;"","https://direcciones507.github.io/direcciones507/panel.html?codigo="&amp;A1759&amp;"&amp;nombre="&amp;ENCODEURL(B1759)&amp;"&amp;telefono="&amp;SUBSTITUTE(C1759,"-","")&amp;"&amp;referencia="&amp;ENCODEURL(E1759)&amp;"&amp;lat="&amp;IZQUIERDA(SUBSTITUTE(F1759," ",""),ENCONTRAR(",",SUBSTITUTE(F1759," ",""))-1)&amp;"&amp;lng="&amp;DERECHA(SUBSTITUTE(F1759," ",""),LARGO(SUBSTITUTE(F1759," ",""))-ENCONTRAR(",",SUBSTITUTE(F1759," ",""))),"")</f>
        <v/>
      </c>
    </row>
    <row r="1760" ht="15.75" customHeight="1" s="10">
      <c r="A1760" s="8">
        <f>CONCAT("AD507-",TEXT(ROW()-2,"0000"))</f>
        <v/>
      </c>
      <c r="C1760" s="8" t="n"/>
      <c r="F1760" s="8" t="n"/>
      <c r="G1760" s="8">
        <f>IF(F1760&lt;&gt;"",HYPERLINK("https://www.google.com/maps/search/?api=1&amp;query="&amp;SUBSTITUTE(F1760," ",""),"🗺 Google Maps"),"")</f>
        <v/>
      </c>
      <c r="H1760" s="8">
        <f>IF(F1760&lt;&gt;"",HYPERLINK("https://waze.com/ul?ll="&amp;SUBSTITUTE(F1760," ","")&amp;"&amp;navigate=yes","🚗 Waze"),"")</f>
        <v/>
      </c>
      <c r="I1760" s="8">
        <f>IF(F1760&lt;&gt;"",HYPERLINK("https://m.uber.com/ul/?action=setPickup&amp;pickup=my_location&amp;dropoff[latitude]="&amp;LEFT(SUBSTITUTE(F1760," ",""),FIND(",",SUBSTITUTE(F1760," ",""))-1)&amp;"&amp;dropoff[longitude]="&amp;MID(SUBSTITUTE(F1760," ",""),FIND(",",SUBSTITUTE(F1760," ",""))+1,99),"🚕 Uber"),"")</f>
        <v/>
      </c>
      <c r="J1760" s="8">
        <f>IF(F1760&lt;&gt;"","https://api.qrserver.com/v1/create-qr-code/?size=200x200&amp;data="&amp;ENCODEURL("https://www.google.com/maps/search/?api=1&amp;query="&amp;SUBSTITUTE(F1760," ","")),"")</f>
        <v/>
      </c>
      <c r="K1760" s="8">
        <f>IF(C1760&lt;&gt;"",HYPERLINK("https://wa.me/507"&amp;REGEXREPLACE(C1760,"[^0-9]","")&amp;"?text="&amp;ENCODEURL("Ya llegue. Codigo: "&amp;A1760&amp;". Ubicacion: "&amp;"https://www.google.com/maps/search/?api=1&amp;query="&amp;SUBSTITUTE(F1760," ","")),"📲 Avisar al cliente"),"")</f>
        <v/>
      </c>
      <c r="L1760" s="8">
        <f>IF(C1760&lt;&gt;"","https://api.qrserver.com/v1/create-qr-code/?size=200x200&amp;data="&amp;ENCODEURL("https://wa.me/507"&amp;REGEXREPLACE(C1760,"[^0-9]","")&amp;"?text="&amp;ENCODEURL("Ya llegue. Codigo: "&amp;A1760&amp;". Ubicacion: "&amp;"https://www.google.com/maps/search/?api=1&amp;query="&amp;SUBSTITUTE(F1760," ",""))),"")</f>
        <v/>
      </c>
      <c r="M1760" s="8">
        <f>IF(B1760&lt;&gt;"",TODAY(),"")</f>
        <v/>
      </c>
      <c r="N1760" s="8">
        <f>IF(F1760&lt;&gt;"",IFERROR(IF(AND(REGEXMATCH(SUBSTITUTE(TRIM(F1760)," ",""),"^-?\d+(\.\d+)?,-?\d+(\.\d+)?$"),VALUE(REGEXEXTRACT(SUBSTITUTE(TRIM(F1760)," ",""),"^-?\d+(\.\d+)?"))&gt;=-90,VALUE(REGEXEXTRACT(SUBSTITUTE(TRIM(F1760)," ",""),"^-?\d+(\.\d+)?"))&lt;=90,VALUE(REGEXEXTRACT(SUBSTITUTE(TRIM(F1760)," ",""),"-?\d+(\.\d+)?$"))&gt;=-180,VALUE(REGEXEXTRACT(SUBSTITUTE(TRIM(F1760)," ",""),"-?\d+(\.\d+)?$"))&lt;=180),"OK","REVISAR"),"REVISAR"),"")</f>
        <v/>
      </c>
      <c r="O1760">
        <f>IF(A1760&lt;&gt;"","https://direcciones507.github.io/direcciones507/panel.html?codigo="&amp;A1760&amp;"&amp;nombre="&amp;ENCODEURL(B1760)&amp;"&amp;telefono="&amp;SUBSTITUTE(C1760,"-","")&amp;"&amp;referencia="&amp;ENCODEURL(E1760)&amp;"&amp;lat="&amp;IZQUIERDA(SUBSTITUTE(F1760," ",""),ENCONTRAR(",",SUBSTITUTE(F1760," ",""))-1)&amp;"&amp;lng="&amp;DERECHA(SUBSTITUTE(F1760," ",""),LARGO(SUBSTITUTE(F1760," ",""))-ENCONTRAR(",",SUBSTITUTE(F1760," ",""))),"")</f>
        <v/>
      </c>
    </row>
    <row r="1761" ht="15.75" customHeight="1" s="10">
      <c r="A1761" s="8">
        <f>CONCAT("AD507-",TEXT(ROW()-2,"0000"))</f>
        <v/>
      </c>
      <c r="C1761" s="8" t="n"/>
      <c r="F1761" s="8" t="n"/>
      <c r="G1761" s="8">
        <f>IF(F1761&lt;&gt;"",HYPERLINK("https://www.google.com/maps/search/?api=1&amp;query="&amp;SUBSTITUTE(F1761," ",""),"🗺 Google Maps"),"")</f>
        <v/>
      </c>
      <c r="H1761" s="8">
        <f>IF(F1761&lt;&gt;"",HYPERLINK("https://waze.com/ul?ll="&amp;SUBSTITUTE(F1761," ","")&amp;"&amp;navigate=yes","🚗 Waze"),"")</f>
        <v/>
      </c>
      <c r="I1761" s="8">
        <f>IF(F1761&lt;&gt;"",HYPERLINK("https://m.uber.com/ul/?action=setPickup&amp;pickup=my_location&amp;dropoff[latitude]="&amp;LEFT(SUBSTITUTE(F1761," ",""),FIND(",",SUBSTITUTE(F1761," ",""))-1)&amp;"&amp;dropoff[longitude]="&amp;MID(SUBSTITUTE(F1761," ",""),FIND(",",SUBSTITUTE(F1761," ",""))+1,99),"🚕 Uber"),"")</f>
        <v/>
      </c>
      <c r="J1761" s="8">
        <f>IF(F1761&lt;&gt;"","https://api.qrserver.com/v1/create-qr-code/?size=200x200&amp;data="&amp;ENCODEURL("https://www.google.com/maps/search/?api=1&amp;query="&amp;SUBSTITUTE(F1761," ","")),"")</f>
        <v/>
      </c>
      <c r="K1761" s="8">
        <f>IF(C1761&lt;&gt;"",HYPERLINK("https://wa.me/507"&amp;REGEXREPLACE(C1761,"[^0-9]","")&amp;"?text="&amp;ENCODEURL("Ya llegue. Codigo: "&amp;A1761&amp;". Ubicacion: "&amp;"https://www.google.com/maps/search/?api=1&amp;query="&amp;SUBSTITUTE(F1761," ","")),"📲 Avisar al cliente"),"")</f>
        <v/>
      </c>
      <c r="L1761" s="8">
        <f>IF(C1761&lt;&gt;"","https://api.qrserver.com/v1/create-qr-code/?size=200x200&amp;data="&amp;ENCODEURL("https://wa.me/507"&amp;REGEXREPLACE(C1761,"[^0-9]","")&amp;"?text="&amp;ENCODEURL("Ya llegue. Codigo: "&amp;A1761&amp;". Ubicacion: "&amp;"https://www.google.com/maps/search/?api=1&amp;query="&amp;SUBSTITUTE(F1761," ",""))),"")</f>
        <v/>
      </c>
      <c r="M1761" s="8">
        <f>IF(B1761&lt;&gt;"",TODAY(),"")</f>
        <v/>
      </c>
      <c r="N1761" s="8">
        <f>IF(F1761&lt;&gt;"",IFERROR(IF(AND(REGEXMATCH(SUBSTITUTE(TRIM(F1761)," ",""),"^-?\d+(\.\d+)?,-?\d+(\.\d+)?$"),VALUE(REGEXEXTRACT(SUBSTITUTE(TRIM(F1761)," ",""),"^-?\d+(\.\d+)?"))&gt;=-90,VALUE(REGEXEXTRACT(SUBSTITUTE(TRIM(F1761)," ",""),"^-?\d+(\.\d+)?"))&lt;=90,VALUE(REGEXEXTRACT(SUBSTITUTE(TRIM(F1761)," ",""),"-?\d+(\.\d+)?$"))&gt;=-180,VALUE(REGEXEXTRACT(SUBSTITUTE(TRIM(F1761)," ",""),"-?\d+(\.\d+)?$"))&lt;=180),"OK","REVISAR"),"REVISAR"),"")</f>
        <v/>
      </c>
      <c r="O1761">
        <f>IF(A1761&lt;&gt;"","https://direcciones507.github.io/direcciones507/panel.html?codigo="&amp;A1761&amp;"&amp;nombre="&amp;ENCODEURL(B1761)&amp;"&amp;telefono="&amp;SUBSTITUTE(C1761,"-","")&amp;"&amp;referencia="&amp;ENCODEURL(E1761)&amp;"&amp;lat="&amp;IZQUIERDA(SUBSTITUTE(F1761," ",""),ENCONTRAR(",",SUBSTITUTE(F1761," ",""))-1)&amp;"&amp;lng="&amp;DERECHA(SUBSTITUTE(F1761," ",""),LARGO(SUBSTITUTE(F1761," ",""))-ENCONTRAR(",",SUBSTITUTE(F1761," ",""))),"")</f>
        <v/>
      </c>
    </row>
    <row r="1762" ht="15.75" customHeight="1" s="10">
      <c r="A1762" s="8">
        <f>CONCAT("AD507-",TEXT(ROW()-2,"0000"))</f>
        <v/>
      </c>
      <c r="C1762" s="8" t="n"/>
      <c r="F1762" s="8" t="n"/>
      <c r="G1762" s="8">
        <f>IF(F1762&lt;&gt;"",HYPERLINK("https://www.google.com/maps/search/?api=1&amp;query="&amp;SUBSTITUTE(F1762," ",""),"🗺 Google Maps"),"")</f>
        <v/>
      </c>
      <c r="H1762" s="8">
        <f>IF(F1762&lt;&gt;"",HYPERLINK("https://waze.com/ul?ll="&amp;SUBSTITUTE(F1762," ","")&amp;"&amp;navigate=yes","🚗 Waze"),"")</f>
        <v/>
      </c>
      <c r="I1762" s="8">
        <f>IF(F1762&lt;&gt;"",HYPERLINK("https://m.uber.com/ul/?action=setPickup&amp;pickup=my_location&amp;dropoff[latitude]="&amp;LEFT(SUBSTITUTE(F1762," ",""),FIND(",",SUBSTITUTE(F1762," ",""))-1)&amp;"&amp;dropoff[longitude]="&amp;MID(SUBSTITUTE(F1762," ",""),FIND(",",SUBSTITUTE(F1762," ",""))+1,99),"🚕 Uber"),"")</f>
        <v/>
      </c>
      <c r="J1762" s="8">
        <f>IF(F1762&lt;&gt;"","https://api.qrserver.com/v1/create-qr-code/?size=200x200&amp;data="&amp;ENCODEURL("https://www.google.com/maps/search/?api=1&amp;query="&amp;SUBSTITUTE(F1762," ","")),"")</f>
        <v/>
      </c>
      <c r="K1762" s="8">
        <f>IF(C1762&lt;&gt;"",HYPERLINK("https://wa.me/507"&amp;REGEXREPLACE(C1762,"[^0-9]","")&amp;"?text="&amp;ENCODEURL("Ya llegue. Codigo: "&amp;A1762&amp;". Ubicacion: "&amp;"https://www.google.com/maps/search/?api=1&amp;query="&amp;SUBSTITUTE(F1762," ","")),"📲 Avisar al cliente"),"")</f>
        <v/>
      </c>
      <c r="L1762" s="8">
        <f>IF(C1762&lt;&gt;"","https://api.qrserver.com/v1/create-qr-code/?size=200x200&amp;data="&amp;ENCODEURL("https://wa.me/507"&amp;REGEXREPLACE(C1762,"[^0-9]","")&amp;"?text="&amp;ENCODEURL("Ya llegue. Codigo: "&amp;A1762&amp;". Ubicacion: "&amp;"https://www.google.com/maps/search/?api=1&amp;query="&amp;SUBSTITUTE(F1762," ",""))),"")</f>
        <v/>
      </c>
      <c r="M1762" s="8">
        <f>IF(B1762&lt;&gt;"",TODAY(),"")</f>
        <v/>
      </c>
      <c r="N1762" s="8">
        <f>IF(F1762&lt;&gt;"",IFERROR(IF(AND(REGEXMATCH(SUBSTITUTE(TRIM(F1762)," ",""),"^-?\d+(\.\d+)?,-?\d+(\.\d+)?$"),VALUE(REGEXEXTRACT(SUBSTITUTE(TRIM(F1762)," ",""),"^-?\d+(\.\d+)?"))&gt;=-90,VALUE(REGEXEXTRACT(SUBSTITUTE(TRIM(F1762)," ",""),"^-?\d+(\.\d+)?"))&lt;=90,VALUE(REGEXEXTRACT(SUBSTITUTE(TRIM(F1762)," ",""),"-?\d+(\.\d+)?$"))&gt;=-180,VALUE(REGEXEXTRACT(SUBSTITUTE(TRIM(F1762)," ",""),"-?\d+(\.\d+)?$"))&lt;=180),"OK","REVISAR"),"REVISAR"),"")</f>
        <v/>
      </c>
      <c r="O1762">
        <f>IF(A1762&lt;&gt;"","https://direcciones507.github.io/direcciones507/panel.html?codigo="&amp;A1762&amp;"&amp;nombre="&amp;ENCODEURL(B1762)&amp;"&amp;telefono="&amp;SUBSTITUTE(C1762,"-","")&amp;"&amp;referencia="&amp;ENCODEURL(E1762)&amp;"&amp;lat="&amp;IZQUIERDA(SUBSTITUTE(F1762," ",""),ENCONTRAR(",",SUBSTITUTE(F1762," ",""))-1)&amp;"&amp;lng="&amp;DERECHA(SUBSTITUTE(F1762," ",""),LARGO(SUBSTITUTE(F1762," ",""))-ENCONTRAR(",",SUBSTITUTE(F1762," ",""))),"")</f>
        <v/>
      </c>
    </row>
    <row r="1763" ht="15.75" customHeight="1" s="10">
      <c r="A1763" s="8">
        <f>CONCAT("AD507-",TEXT(ROW()-2,"0000"))</f>
        <v/>
      </c>
      <c r="C1763" s="8" t="n"/>
      <c r="F1763" s="8" t="n"/>
      <c r="G1763" s="8">
        <f>IF(F1763&lt;&gt;"",HYPERLINK("https://www.google.com/maps/search/?api=1&amp;query="&amp;SUBSTITUTE(F1763," ",""),"🗺 Google Maps"),"")</f>
        <v/>
      </c>
      <c r="H1763" s="8">
        <f>IF(F1763&lt;&gt;"",HYPERLINK("https://waze.com/ul?ll="&amp;SUBSTITUTE(F1763," ","")&amp;"&amp;navigate=yes","🚗 Waze"),"")</f>
        <v/>
      </c>
      <c r="I1763" s="8">
        <f>IF(F1763&lt;&gt;"",HYPERLINK("https://m.uber.com/ul/?action=setPickup&amp;pickup=my_location&amp;dropoff[latitude]="&amp;LEFT(SUBSTITUTE(F1763," ",""),FIND(",",SUBSTITUTE(F1763," ",""))-1)&amp;"&amp;dropoff[longitude]="&amp;MID(SUBSTITUTE(F1763," ",""),FIND(",",SUBSTITUTE(F1763," ",""))+1,99),"🚕 Uber"),"")</f>
        <v/>
      </c>
      <c r="J1763" s="8">
        <f>IF(F1763&lt;&gt;"","https://api.qrserver.com/v1/create-qr-code/?size=200x200&amp;data="&amp;ENCODEURL("https://www.google.com/maps/search/?api=1&amp;query="&amp;SUBSTITUTE(F1763," ","")),"")</f>
        <v/>
      </c>
      <c r="K1763" s="8">
        <f>IF(C1763&lt;&gt;"",HYPERLINK("https://wa.me/507"&amp;REGEXREPLACE(C1763,"[^0-9]","")&amp;"?text="&amp;ENCODEURL("Ya llegue. Codigo: "&amp;A1763&amp;". Ubicacion: "&amp;"https://www.google.com/maps/search/?api=1&amp;query="&amp;SUBSTITUTE(F1763," ","")),"📲 Avisar al cliente"),"")</f>
        <v/>
      </c>
      <c r="L1763" s="8">
        <f>IF(C1763&lt;&gt;"","https://api.qrserver.com/v1/create-qr-code/?size=200x200&amp;data="&amp;ENCODEURL("https://wa.me/507"&amp;REGEXREPLACE(C1763,"[^0-9]","")&amp;"?text="&amp;ENCODEURL("Ya llegue. Codigo: "&amp;A1763&amp;". Ubicacion: "&amp;"https://www.google.com/maps/search/?api=1&amp;query="&amp;SUBSTITUTE(F1763," ",""))),"")</f>
        <v/>
      </c>
      <c r="M1763" s="8">
        <f>IF(B1763&lt;&gt;"",TODAY(),"")</f>
        <v/>
      </c>
      <c r="N1763" s="8">
        <f>IF(F1763&lt;&gt;"",IFERROR(IF(AND(REGEXMATCH(SUBSTITUTE(TRIM(F1763)," ",""),"^-?\d+(\.\d+)?,-?\d+(\.\d+)?$"),VALUE(REGEXEXTRACT(SUBSTITUTE(TRIM(F1763)," ",""),"^-?\d+(\.\d+)?"))&gt;=-90,VALUE(REGEXEXTRACT(SUBSTITUTE(TRIM(F1763)," ",""),"^-?\d+(\.\d+)?"))&lt;=90,VALUE(REGEXEXTRACT(SUBSTITUTE(TRIM(F1763)," ",""),"-?\d+(\.\d+)?$"))&gt;=-180,VALUE(REGEXEXTRACT(SUBSTITUTE(TRIM(F1763)," ",""),"-?\d+(\.\d+)?$"))&lt;=180),"OK","REVISAR"),"REVISAR"),"")</f>
        <v/>
      </c>
      <c r="O1763">
        <f>IF(A1763&lt;&gt;"","https://direcciones507.github.io/direcciones507/panel.html?codigo="&amp;A1763&amp;"&amp;nombre="&amp;ENCODEURL(B1763)&amp;"&amp;telefono="&amp;SUBSTITUTE(C1763,"-","")&amp;"&amp;referencia="&amp;ENCODEURL(E1763)&amp;"&amp;lat="&amp;IZQUIERDA(SUBSTITUTE(F1763," ",""),ENCONTRAR(",",SUBSTITUTE(F1763," ",""))-1)&amp;"&amp;lng="&amp;DERECHA(SUBSTITUTE(F1763," ",""),LARGO(SUBSTITUTE(F1763," ",""))-ENCONTRAR(",",SUBSTITUTE(F1763," ",""))),"")</f>
        <v/>
      </c>
    </row>
    <row r="1764" ht="15.75" customHeight="1" s="10">
      <c r="A1764" s="8">
        <f>CONCAT("AD507-",TEXT(ROW()-2,"0000"))</f>
        <v/>
      </c>
      <c r="C1764" s="8" t="n"/>
      <c r="F1764" s="8" t="n"/>
      <c r="G1764" s="8">
        <f>IF(F1764&lt;&gt;"",HYPERLINK("https://www.google.com/maps/search/?api=1&amp;query="&amp;SUBSTITUTE(F1764," ",""),"🗺 Google Maps"),"")</f>
        <v/>
      </c>
      <c r="H1764" s="8">
        <f>IF(F1764&lt;&gt;"",HYPERLINK("https://waze.com/ul?ll="&amp;SUBSTITUTE(F1764," ","")&amp;"&amp;navigate=yes","🚗 Waze"),"")</f>
        <v/>
      </c>
      <c r="I1764" s="8">
        <f>IF(F1764&lt;&gt;"",HYPERLINK("https://m.uber.com/ul/?action=setPickup&amp;pickup=my_location&amp;dropoff[latitude]="&amp;LEFT(SUBSTITUTE(F1764," ",""),FIND(",",SUBSTITUTE(F1764," ",""))-1)&amp;"&amp;dropoff[longitude]="&amp;MID(SUBSTITUTE(F1764," ",""),FIND(",",SUBSTITUTE(F1764," ",""))+1,99),"🚕 Uber"),"")</f>
        <v/>
      </c>
      <c r="J1764" s="8">
        <f>IF(F1764&lt;&gt;"","https://api.qrserver.com/v1/create-qr-code/?size=200x200&amp;data="&amp;ENCODEURL("https://www.google.com/maps/search/?api=1&amp;query="&amp;SUBSTITUTE(F1764," ","")),"")</f>
        <v/>
      </c>
      <c r="K1764" s="8">
        <f>IF(C1764&lt;&gt;"",HYPERLINK("https://wa.me/507"&amp;REGEXREPLACE(C1764,"[^0-9]","")&amp;"?text="&amp;ENCODEURL("Ya llegue. Codigo: "&amp;A1764&amp;". Ubicacion: "&amp;"https://www.google.com/maps/search/?api=1&amp;query="&amp;SUBSTITUTE(F1764," ","")),"📲 Avisar al cliente"),"")</f>
        <v/>
      </c>
      <c r="L1764" s="8">
        <f>IF(C1764&lt;&gt;"","https://api.qrserver.com/v1/create-qr-code/?size=200x200&amp;data="&amp;ENCODEURL("https://wa.me/507"&amp;REGEXREPLACE(C1764,"[^0-9]","")&amp;"?text="&amp;ENCODEURL("Ya llegue. Codigo: "&amp;A1764&amp;". Ubicacion: "&amp;"https://www.google.com/maps/search/?api=1&amp;query="&amp;SUBSTITUTE(F1764," ",""))),"")</f>
        <v/>
      </c>
      <c r="M1764" s="8">
        <f>IF(B1764&lt;&gt;"",TODAY(),"")</f>
        <v/>
      </c>
      <c r="N1764" s="8">
        <f>IF(F1764&lt;&gt;"",IFERROR(IF(AND(REGEXMATCH(SUBSTITUTE(TRIM(F1764)," ",""),"^-?\d+(\.\d+)?,-?\d+(\.\d+)?$"),VALUE(REGEXEXTRACT(SUBSTITUTE(TRIM(F1764)," ",""),"^-?\d+(\.\d+)?"))&gt;=-90,VALUE(REGEXEXTRACT(SUBSTITUTE(TRIM(F1764)," ",""),"^-?\d+(\.\d+)?"))&lt;=90,VALUE(REGEXEXTRACT(SUBSTITUTE(TRIM(F1764)," ",""),"-?\d+(\.\d+)?$"))&gt;=-180,VALUE(REGEXEXTRACT(SUBSTITUTE(TRIM(F1764)," ",""),"-?\d+(\.\d+)?$"))&lt;=180),"OK","REVISAR"),"REVISAR"),"")</f>
        <v/>
      </c>
      <c r="O1764">
        <f>IF(A1764&lt;&gt;"","https://direcciones507.github.io/direcciones507/panel.html?codigo="&amp;A1764&amp;"&amp;nombre="&amp;ENCODEURL(B1764)&amp;"&amp;telefono="&amp;SUBSTITUTE(C1764,"-","")&amp;"&amp;referencia="&amp;ENCODEURL(E1764)&amp;"&amp;lat="&amp;IZQUIERDA(SUBSTITUTE(F1764," ",""),ENCONTRAR(",",SUBSTITUTE(F1764," ",""))-1)&amp;"&amp;lng="&amp;DERECHA(SUBSTITUTE(F1764," ",""),LARGO(SUBSTITUTE(F1764," ",""))-ENCONTRAR(",",SUBSTITUTE(F1764," ",""))),"")</f>
        <v/>
      </c>
    </row>
    <row r="1765" ht="15.75" customHeight="1" s="10">
      <c r="A1765" s="8">
        <f>CONCAT("AD507-",TEXT(ROW()-2,"0000"))</f>
        <v/>
      </c>
      <c r="C1765" s="8" t="n"/>
      <c r="F1765" s="8" t="n"/>
      <c r="G1765" s="8">
        <f>IF(F1765&lt;&gt;"",HYPERLINK("https://www.google.com/maps/search/?api=1&amp;query="&amp;SUBSTITUTE(F1765," ",""),"🗺 Google Maps"),"")</f>
        <v/>
      </c>
      <c r="H1765" s="8">
        <f>IF(F1765&lt;&gt;"",HYPERLINK("https://waze.com/ul?ll="&amp;SUBSTITUTE(F1765," ","")&amp;"&amp;navigate=yes","🚗 Waze"),"")</f>
        <v/>
      </c>
      <c r="I1765" s="8">
        <f>IF(F1765&lt;&gt;"",HYPERLINK("https://m.uber.com/ul/?action=setPickup&amp;pickup=my_location&amp;dropoff[latitude]="&amp;LEFT(SUBSTITUTE(F1765," ",""),FIND(",",SUBSTITUTE(F1765," ",""))-1)&amp;"&amp;dropoff[longitude]="&amp;MID(SUBSTITUTE(F1765," ",""),FIND(",",SUBSTITUTE(F1765," ",""))+1,99),"🚕 Uber"),"")</f>
        <v/>
      </c>
      <c r="J1765" s="8">
        <f>IF(F1765&lt;&gt;"","https://api.qrserver.com/v1/create-qr-code/?size=200x200&amp;data="&amp;ENCODEURL("https://www.google.com/maps/search/?api=1&amp;query="&amp;SUBSTITUTE(F1765," ","")),"")</f>
        <v/>
      </c>
      <c r="K1765" s="8">
        <f>IF(C1765&lt;&gt;"",HYPERLINK("https://wa.me/507"&amp;REGEXREPLACE(C1765,"[^0-9]","")&amp;"?text="&amp;ENCODEURL("Ya llegue. Codigo: "&amp;A1765&amp;". Ubicacion: "&amp;"https://www.google.com/maps/search/?api=1&amp;query="&amp;SUBSTITUTE(F1765," ","")),"📲 Avisar al cliente"),"")</f>
        <v/>
      </c>
      <c r="L1765" s="8">
        <f>IF(C1765&lt;&gt;"","https://api.qrserver.com/v1/create-qr-code/?size=200x200&amp;data="&amp;ENCODEURL("https://wa.me/507"&amp;REGEXREPLACE(C1765,"[^0-9]","")&amp;"?text="&amp;ENCODEURL("Ya llegue. Codigo: "&amp;A1765&amp;". Ubicacion: "&amp;"https://www.google.com/maps/search/?api=1&amp;query="&amp;SUBSTITUTE(F1765," ",""))),"")</f>
        <v/>
      </c>
      <c r="M1765" s="8">
        <f>IF(B1765&lt;&gt;"",TODAY(),"")</f>
        <v/>
      </c>
      <c r="N1765" s="8">
        <f>IF(F1765&lt;&gt;"",IFERROR(IF(AND(REGEXMATCH(SUBSTITUTE(TRIM(F1765)," ",""),"^-?\d+(\.\d+)?,-?\d+(\.\d+)?$"),VALUE(REGEXEXTRACT(SUBSTITUTE(TRIM(F1765)," ",""),"^-?\d+(\.\d+)?"))&gt;=-90,VALUE(REGEXEXTRACT(SUBSTITUTE(TRIM(F1765)," ",""),"^-?\d+(\.\d+)?"))&lt;=90,VALUE(REGEXEXTRACT(SUBSTITUTE(TRIM(F1765)," ",""),"-?\d+(\.\d+)?$"))&gt;=-180,VALUE(REGEXEXTRACT(SUBSTITUTE(TRIM(F1765)," ",""),"-?\d+(\.\d+)?$"))&lt;=180),"OK","REVISAR"),"REVISAR"),"")</f>
        <v/>
      </c>
      <c r="O1765">
        <f>IF(A1765&lt;&gt;"","https://direcciones507.github.io/direcciones507/panel.html?codigo="&amp;A1765&amp;"&amp;nombre="&amp;ENCODEURL(B1765)&amp;"&amp;telefono="&amp;SUBSTITUTE(C1765,"-","")&amp;"&amp;referencia="&amp;ENCODEURL(E1765)&amp;"&amp;lat="&amp;IZQUIERDA(SUBSTITUTE(F1765," ",""),ENCONTRAR(",",SUBSTITUTE(F1765," ",""))-1)&amp;"&amp;lng="&amp;DERECHA(SUBSTITUTE(F1765," ",""),LARGO(SUBSTITUTE(F1765," ",""))-ENCONTRAR(",",SUBSTITUTE(F1765," ",""))),"")</f>
        <v/>
      </c>
    </row>
    <row r="1766" ht="15.75" customHeight="1" s="10">
      <c r="A1766" s="8">
        <f>CONCAT("AD507-",TEXT(ROW()-2,"0000"))</f>
        <v/>
      </c>
      <c r="C1766" s="8" t="n"/>
      <c r="F1766" s="8" t="n"/>
      <c r="G1766" s="8">
        <f>IF(F1766&lt;&gt;"",HYPERLINK("https://www.google.com/maps/search/?api=1&amp;query="&amp;SUBSTITUTE(F1766," ",""),"🗺 Google Maps"),"")</f>
        <v/>
      </c>
      <c r="H1766" s="8">
        <f>IF(F1766&lt;&gt;"",HYPERLINK("https://waze.com/ul?ll="&amp;SUBSTITUTE(F1766," ","")&amp;"&amp;navigate=yes","🚗 Waze"),"")</f>
        <v/>
      </c>
      <c r="I1766" s="8">
        <f>IF(F1766&lt;&gt;"",HYPERLINK("https://m.uber.com/ul/?action=setPickup&amp;pickup=my_location&amp;dropoff[latitude]="&amp;LEFT(SUBSTITUTE(F1766," ",""),FIND(",",SUBSTITUTE(F1766," ",""))-1)&amp;"&amp;dropoff[longitude]="&amp;MID(SUBSTITUTE(F1766," ",""),FIND(",",SUBSTITUTE(F1766," ",""))+1,99),"🚕 Uber"),"")</f>
        <v/>
      </c>
      <c r="J1766" s="8">
        <f>IF(F1766&lt;&gt;"","https://api.qrserver.com/v1/create-qr-code/?size=200x200&amp;data="&amp;ENCODEURL("https://www.google.com/maps/search/?api=1&amp;query="&amp;SUBSTITUTE(F1766," ","")),"")</f>
        <v/>
      </c>
      <c r="K1766" s="8">
        <f>IF(C1766&lt;&gt;"",HYPERLINK("https://wa.me/507"&amp;REGEXREPLACE(C1766,"[^0-9]","")&amp;"?text="&amp;ENCODEURL("Ya llegue. Codigo: "&amp;A1766&amp;". Ubicacion: "&amp;"https://www.google.com/maps/search/?api=1&amp;query="&amp;SUBSTITUTE(F1766," ","")),"📲 Avisar al cliente"),"")</f>
        <v/>
      </c>
      <c r="L1766" s="8">
        <f>IF(C1766&lt;&gt;"","https://api.qrserver.com/v1/create-qr-code/?size=200x200&amp;data="&amp;ENCODEURL("https://wa.me/507"&amp;REGEXREPLACE(C1766,"[^0-9]","")&amp;"?text="&amp;ENCODEURL("Ya llegue. Codigo: "&amp;A1766&amp;". Ubicacion: "&amp;"https://www.google.com/maps/search/?api=1&amp;query="&amp;SUBSTITUTE(F1766," ",""))),"")</f>
        <v/>
      </c>
      <c r="M1766" s="8">
        <f>IF(B1766&lt;&gt;"",TODAY(),"")</f>
        <v/>
      </c>
      <c r="N1766" s="8">
        <f>IF(F1766&lt;&gt;"",IFERROR(IF(AND(REGEXMATCH(SUBSTITUTE(TRIM(F1766)," ",""),"^-?\d+(\.\d+)?,-?\d+(\.\d+)?$"),VALUE(REGEXEXTRACT(SUBSTITUTE(TRIM(F1766)," ",""),"^-?\d+(\.\d+)?"))&gt;=-90,VALUE(REGEXEXTRACT(SUBSTITUTE(TRIM(F1766)," ",""),"^-?\d+(\.\d+)?"))&lt;=90,VALUE(REGEXEXTRACT(SUBSTITUTE(TRIM(F1766)," ",""),"-?\d+(\.\d+)?$"))&gt;=-180,VALUE(REGEXEXTRACT(SUBSTITUTE(TRIM(F1766)," ",""),"-?\d+(\.\d+)?$"))&lt;=180),"OK","REVISAR"),"REVISAR"),"")</f>
        <v/>
      </c>
      <c r="O1766">
        <f>IF(A1766&lt;&gt;"","https://direcciones507.github.io/direcciones507/panel.html?codigo="&amp;A1766&amp;"&amp;nombre="&amp;ENCODEURL(B1766)&amp;"&amp;telefono="&amp;SUBSTITUTE(C1766,"-","")&amp;"&amp;referencia="&amp;ENCODEURL(E1766)&amp;"&amp;lat="&amp;IZQUIERDA(SUBSTITUTE(F1766," ",""),ENCONTRAR(",",SUBSTITUTE(F1766," ",""))-1)&amp;"&amp;lng="&amp;DERECHA(SUBSTITUTE(F1766," ",""),LARGO(SUBSTITUTE(F1766," ",""))-ENCONTRAR(",",SUBSTITUTE(F1766," ",""))),"")</f>
        <v/>
      </c>
    </row>
    <row r="1767" ht="15.75" customHeight="1" s="10">
      <c r="A1767" s="8">
        <f>CONCAT("AD507-",TEXT(ROW()-2,"0000"))</f>
        <v/>
      </c>
      <c r="C1767" s="8" t="n"/>
      <c r="F1767" s="8" t="n"/>
      <c r="G1767" s="8">
        <f>IF(F1767&lt;&gt;"",HYPERLINK("https://www.google.com/maps/search/?api=1&amp;query="&amp;SUBSTITUTE(F1767," ",""),"🗺 Google Maps"),"")</f>
        <v/>
      </c>
      <c r="H1767" s="8">
        <f>IF(F1767&lt;&gt;"",HYPERLINK("https://waze.com/ul?ll="&amp;SUBSTITUTE(F1767," ","")&amp;"&amp;navigate=yes","🚗 Waze"),"")</f>
        <v/>
      </c>
      <c r="I1767" s="8">
        <f>IF(F1767&lt;&gt;"",HYPERLINK("https://m.uber.com/ul/?action=setPickup&amp;pickup=my_location&amp;dropoff[latitude]="&amp;LEFT(SUBSTITUTE(F1767," ",""),FIND(",",SUBSTITUTE(F1767," ",""))-1)&amp;"&amp;dropoff[longitude]="&amp;MID(SUBSTITUTE(F1767," ",""),FIND(",",SUBSTITUTE(F1767," ",""))+1,99),"🚕 Uber"),"")</f>
        <v/>
      </c>
      <c r="J1767" s="8">
        <f>IF(F1767&lt;&gt;"","https://api.qrserver.com/v1/create-qr-code/?size=200x200&amp;data="&amp;ENCODEURL("https://www.google.com/maps/search/?api=1&amp;query="&amp;SUBSTITUTE(F1767," ","")),"")</f>
        <v/>
      </c>
      <c r="K1767" s="8">
        <f>IF(C1767&lt;&gt;"",HYPERLINK("https://wa.me/507"&amp;REGEXREPLACE(C1767,"[^0-9]","")&amp;"?text="&amp;ENCODEURL("Ya llegue. Codigo: "&amp;A1767&amp;". Ubicacion: "&amp;"https://www.google.com/maps/search/?api=1&amp;query="&amp;SUBSTITUTE(F1767," ","")),"📲 Avisar al cliente"),"")</f>
        <v/>
      </c>
      <c r="L1767" s="8">
        <f>IF(C1767&lt;&gt;"","https://api.qrserver.com/v1/create-qr-code/?size=200x200&amp;data="&amp;ENCODEURL("https://wa.me/507"&amp;REGEXREPLACE(C1767,"[^0-9]","")&amp;"?text="&amp;ENCODEURL("Ya llegue. Codigo: "&amp;A1767&amp;". Ubicacion: "&amp;"https://www.google.com/maps/search/?api=1&amp;query="&amp;SUBSTITUTE(F1767," ",""))),"")</f>
        <v/>
      </c>
      <c r="M1767" s="8">
        <f>IF(B1767&lt;&gt;"",TODAY(),"")</f>
        <v/>
      </c>
      <c r="N1767" s="8">
        <f>IF(F1767&lt;&gt;"",IFERROR(IF(AND(REGEXMATCH(SUBSTITUTE(TRIM(F1767)," ",""),"^-?\d+(\.\d+)?,-?\d+(\.\d+)?$"),VALUE(REGEXEXTRACT(SUBSTITUTE(TRIM(F1767)," ",""),"^-?\d+(\.\d+)?"))&gt;=-90,VALUE(REGEXEXTRACT(SUBSTITUTE(TRIM(F1767)," ",""),"^-?\d+(\.\d+)?"))&lt;=90,VALUE(REGEXEXTRACT(SUBSTITUTE(TRIM(F1767)," ",""),"-?\d+(\.\d+)?$"))&gt;=-180,VALUE(REGEXEXTRACT(SUBSTITUTE(TRIM(F1767)," ",""),"-?\d+(\.\d+)?$"))&lt;=180),"OK","REVISAR"),"REVISAR"),"")</f>
        <v/>
      </c>
      <c r="O1767">
        <f>IF(A1767&lt;&gt;"","https://direcciones507.github.io/direcciones507/panel.html?codigo="&amp;A1767&amp;"&amp;nombre="&amp;ENCODEURL(B1767)&amp;"&amp;telefono="&amp;SUBSTITUTE(C1767,"-","")&amp;"&amp;referencia="&amp;ENCODEURL(E1767)&amp;"&amp;lat="&amp;IZQUIERDA(SUBSTITUTE(F1767," ",""),ENCONTRAR(",",SUBSTITUTE(F1767," ",""))-1)&amp;"&amp;lng="&amp;DERECHA(SUBSTITUTE(F1767," ",""),LARGO(SUBSTITUTE(F1767," ",""))-ENCONTRAR(",",SUBSTITUTE(F1767," ",""))),"")</f>
        <v/>
      </c>
    </row>
    <row r="1768" ht="15.75" customHeight="1" s="10">
      <c r="A1768" s="8">
        <f>CONCAT("AD507-",TEXT(ROW()-2,"0000"))</f>
        <v/>
      </c>
      <c r="C1768" s="8" t="n"/>
      <c r="F1768" s="8" t="n"/>
      <c r="G1768" s="8">
        <f>IF(F1768&lt;&gt;"",HYPERLINK("https://www.google.com/maps/search/?api=1&amp;query="&amp;SUBSTITUTE(F1768," ",""),"🗺 Google Maps"),"")</f>
        <v/>
      </c>
      <c r="H1768" s="8">
        <f>IF(F1768&lt;&gt;"",HYPERLINK("https://waze.com/ul?ll="&amp;SUBSTITUTE(F1768," ","")&amp;"&amp;navigate=yes","🚗 Waze"),"")</f>
        <v/>
      </c>
      <c r="I1768" s="8">
        <f>IF(F1768&lt;&gt;"",HYPERLINK("https://m.uber.com/ul/?action=setPickup&amp;pickup=my_location&amp;dropoff[latitude]="&amp;LEFT(SUBSTITUTE(F1768," ",""),FIND(",",SUBSTITUTE(F1768," ",""))-1)&amp;"&amp;dropoff[longitude]="&amp;MID(SUBSTITUTE(F1768," ",""),FIND(",",SUBSTITUTE(F1768," ",""))+1,99),"🚕 Uber"),"")</f>
        <v/>
      </c>
      <c r="J1768" s="8">
        <f>IF(F1768&lt;&gt;"","https://api.qrserver.com/v1/create-qr-code/?size=200x200&amp;data="&amp;ENCODEURL("https://www.google.com/maps/search/?api=1&amp;query="&amp;SUBSTITUTE(F1768," ","")),"")</f>
        <v/>
      </c>
      <c r="K1768" s="8">
        <f>IF(C1768&lt;&gt;"",HYPERLINK("https://wa.me/507"&amp;REGEXREPLACE(C1768,"[^0-9]","")&amp;"?text="&amp;ENCODEURL("Ya llegue. Codigo: "&amp;A1768&amp;". Ubicacion: "&amp;"https://www.google.com/maps/search/?api=1&amp;query="&amp;SUBSTITUTE(F1768," ","")),"📲 Avisar al cliente"),"")</f>
        <v/>
      </c>
      <c r="L1768" s="8">
        <f>IF(C1768&lt;&gt;"","https://api.qrserver.com/v1/create-qr-code/?size=200x200&amp;data="&amp;ENCODEURL("https://wa.me/507"&amp;REGEXREPLACE(C1768,"[^0-9]","")&amp;"?text="&amp;ENCODEURL("Ya llegue. Codigo: "&amp;A1768&amp;". Ubicacion: "&amp;"https://www.google.com/maps/search/?api=1&amp;query="&amp;SUBSTITUTE(F1768," ",""))),"")</f>
        <v/>
      </c>
      <c r="M1768" s="8">
        <f>IF(B1768&lt;&gt;"",TODAY(),"")</f>
        <v/>
      </c>
      <c r="N1768" s="8">
        <f>IF(F1768&lt;&gt;"",IFERROR(IF(AND(REGEXMATCH(SUBSTITUTE(TRIM(F1768)," ",""),"^-?\d+(\.\d+)?,-?\d+(\.\d+)?$"),VALUE(REGEXEXTRACT(SUBSTITUTE(TRIM(F1768)," ",""),"^-?\d+(\.\d+)?"))&gt;=-90,VALUE(REGEXEXTRACT(SUBSTITUTE(TRIM(F1768)," ",""),"^-?\d+(\.\d+)?"))&lt;=90,VALUE(REGEXEXTRACT(SUBSTITUTE(TRIM(F1768)," ",""),"-?\d+(\.\d+)?$"))&gt;=-180,VALUE(REGEXEXTRACT(SUBSTITUTE(TRIM(F1768)," ",""),"-?\d+(\.\d+)?$"))&lt;=180),"OK","REVISAR"),"REVISAR"),"")</f>
        <v/>
      </c>
      <c r="O1768">
        <f>IF(A1768&lt;&gt;"","https://direcciones507.github.io/direcciones507/panel.html?codigo="&amp;A1768&amp;"&amp;nombre="&amp;ENCODEURL(B1768)&amp;"&amp;telefono="&amp;SUBSTITUTE(C1768,"-","")&amp;"&amp;referencia="&amp;ENCODEURL(E1768)&amp;"&amp;lat="&amp;IZQUIERDA(SUBSTITUTE(F1768," ",""),ENCONTRAR(",",SUBSTITUTE(F1768," ",""))-1)&amp;"&amp;lng="&amp;DERECHA(SUBSTITUTE(F1768," ",""),LARGO(SUBSTITUTE(F1768," ",""))-ENCONTRAR(",",SUBSTITUTE(F1768," ",""))),"")</f>
        <v/>
      </c>
    </row>
    <row r="1769" ht="15.75" customHeight="1" s="10">
      <c r="A1769" s="8">
        <f>CONCAT("AD507-",TEXT(ROW()-2,"0000"))</f>
        <v/>
      </c>
      <c r="C1769" s="8" t="n"/>
      <c r="F1769" s="8" t="n"/>
      <c r="G1769" s="8">
        <f>IF(F1769&lt;&gt;"",HYPERLINK("https://www.google.com/maps/search/?api=1&amp;query="&amp;SUBSTITUTE(F1769," ",""),"🗺 Google Maps"),"")</f>
        <v/>
      </c>
      <c r="H1769" s="8">
        <f>IF(F1769&lt;&gt;"",HYPERLINK("https://waze.com/ul?ll="&amp;SUBSTITUTE(F1769," ","")&amp;"&amp;navigate=yes","🚗 Waze"),"")</f>
        <v/>
      </c>
      <c r="I1769" s="8">
        <f>IF(F1769&lt;&gt;"",HYPERLINK("https://m.uber.com/ul/?action=setPickup&amp;pickup=my_location&amp;dropoff[latitude]="&amp;LEFT(SUBSTITUTE(F1769," ",""),FIND(",",SUBSTITUTE(F1769," ",""))-1)&amp;"&amp;dropoff[longitude]="&amp;MID(SUBSTITUTE(F1769," ",""),FIND(",",SUBSTITUTE(F1769," ",""))+1,99),"🚕 Uber"),"")</f>
        <v/>
      </c>
      <c r="J1769" s="8">
        <f>IF(F1769&lt;&gt;"","https://api.qrserver.com/v1/create-qr-code/?size=200x200&amp;data="&amp;ENCODEURL("https://www.google.com/maps/search/?api=1&amp;query="&amp;SUBSTITUTE(F1769," ","")),"")</f>
        <v/>
      </c>
      <c r="K1769" s="8">
        <f>IF(C1769&lt;&gt;"",HYPERLINK("https://wa.me/507"&amp;REGEXREPLACE(C1769,"[^0-9]","")&amp;"?text="&amp;ENCODEURL("Ya llegue. Codigo: "&amp;A1769&amp;". Ubicacion: "&amp;"https://www.google.com/maps/search/?api=1&amp;query="&amp;SUBSTITUTE(F1769," ","")),"📲 Avisar al cliente"),"")</f>
        <v/>
      </c>
      <c r="L1769" s="8">
        <f>IF(C1769&lt;&gt;"","https://api.qrserver.com/v1/create-qr-code/?size=200x200&amp;data="&amp;ENCODEURL("https://wa.me/507"&amp;REGEXREPLACE(C1769,"[^0-9]","")&amp;"?text="&amp;ENCODEURL("Ya llegue. Codigo: "&amp;A1769&amp;". Ubicacion: "&amp;"https://www.google.com/maps/search/?api=1&amp;query="&amp;SUBSTITUTE(F1769," ",""))),"")</f>
        <v/>
      </c>
      <c r="M1769" s="8">
        <f>IF(B1769&lt;&gt;"",TODAY(),"")</f>
        <v/>
      </c>
      <c r="N1769" s="8">
        <f>IF(F1769&lt;&gt;"",IFERROR(IF(AND(REGEXMATCH(SUBSTITUTE(TRIM(F1769)," ",""),"^-?\d+(\.\d+)?,-?\d+(\.\d+)?$"),VALUE(REGEXEXTRACT(SUBSTITUTE(TRIM(F1769)," ",""),"^-?\d+(\.\d+)?"))&gt;=-90,VALUE(REGEXEXTRACT(SUBSTITUTE(TRIM(F1769)," ",""),"^-?\d+(\.\d+)?"))&lt;=90,VALUE(REGEXEXTRACT(SUBSTITUTE(TRIM(F1769)," ",""),"-?\d+(\.\d+)?$"))&gt;=-180,VALUE(REGEXEXTRACT(SUBSTITUTE(TRIM(F1769)," ",""),"-?\d+(\.\d+)?$"))&lt;=180),"OK","REVISAR"),"REVISAR"),"")</f>
        <v/>
      </c>
      <c r="O1769">
        <f>IF(A1769&lt;&gt;"","https://direcciones507.github.io/direcciones507/panel.html?codigo="&amp;A1769&amp;"&amp;nombre="&amp;ENCODEURL(B1769)&amp;"&amp;telefono="&amp;SUBSTITUTE(C1769,"-","")&amp;"&amp;referencia="&amp;ENCODEURL(E1769)&amp;"&amp;lat="&amp;IZQUIERDA(SUBSTITUTE(F1769," ",""),ENCONTRAR(",",SUBSTITUTE(F1769," ",""))-1)&amp;"&amp;lng="&amp;DERECHA(SUBSTITUTE(F1769," ",""),LARGO(SUBSTITUTE(F1769," ",""))-ENCONTRAR(",",SUBSTITUTE(F1769," ",""))),"")</f>
        <v/>
      </c>
    </row>
    <row r="1770" ht="15.75" customHeight="1" s="10">
      <c r="A1770" s="8">
        <f>CONCAT("AD507-",TEXT(ROW()-2,"0000"))</f>
        <v/>
      </c>
      <c r="C1770" s="8" t="n"/>
      <c r="F1770" s="8" t="n"/>
      <c r="G1770" s="8">
        <f>IF(F1770&lt;&gt;"",HYPERLINK("https://www.google.com/maps/search/?api=1&amp;query="&amp;SUBSTITUTE(F1770," ",""),"🗺 Google Maps"),"")</f>
        <v/>
      </c>
      <c r="H1770" s="8">
        <f>IF(F1770&lt;&gt;"",HYPERLINK("https://waze.com/ul?ll="&amp;SUBSTITUTE(F1770," ","")&amp;"&amp;navigate=yes","🚗 Waze"),"")</f>
        <v/>
      </c>
      <c r="I1770" s="8">
        <f>IF(F1770&lt;&gt;"",HYPERLINK("https://m.uber.com/ul/?action=setPickup&amp;pickup=my_location&amp;dropoff[latitude]="&amp;LEFT(SUBSTITUTE(F1770," ",""),FIND(",",SUBSTITUTE(F1770," ",""))-1)&amp;"&amp;dropoff[longitude]="&amp;MID(SUBSTITUTE(F1770," ",""),FIND(",",SUBSTITUTE(F1770," ",""))+1,99),"🚕 Uber"),"")</f>
        <v/>
      </c>
      <c r="J1770" s="8">
        <f>IF(F1770&lt;&gt;"","https://api.qrserver.com/v1/create-qr-code/?size=200x200&amp;data="&amp;ENCODEURL("https://www.google.com/maps/search/?api=1&amp;query="&amp;SUBSTITUTE(F1770," ","")),"")</f>
        <v/>
      </c>
      <c r="K1770" s="8">
        <f>IF(C1770&lt;&gt;"",HYPERLINK("https://wa.me/507"&amp;REGEXREPLACE(C1770,"[^0-9]","")&amp;"?text="&amp;ENCODEURL("Ya llegue. Codigo: "&amp;A1770&amp;". Ubicacion: "&amp;"https://www.google.com/maps/search/?api=1&amp;query="&amp;SUBSTITUTE(F1770," ","")),"📲 Avisar al cliente"),"")</f>
        <v/>
      </c>
      <c r="L1770" s="8">
        <f>IF(C1770&lt;&gt;"","https://api.qrserver.com/v1/create-qr-code/?size=200x200&amp;data="&amp;ENCODEURL("https://wa.me/507"&amp;REGEXREPLACE(C1770,"[^0-9]","")&amp;"?text="&amp;ENCODEURL("Ya llegue. Codigo: "&amp;A1770&amp;". Ubicacion: "&amp;"https://www.google.com/maps/search/?api=1&amp;query="&amp;SUBSTITUTE(F1770," ",""))),"")</f>
        <v/>
      </c>
      <c r="M1770" s="8">
        <f>IF(B1770&lt;&gt;"",TODAY(),"")</f>
        <v/>
      </c>
      <c r="N1770" s="8">
        <f>IF(F1770&lt;&gt;"",IFERROR(IF(AND(REGEXMATCH(SUBSTITUTE(TRIM(F1770)," ",""),"^-?\d+(\.\d+)?,-?\d+(\.\d+)?$"),VALUE(REGEXEXTRACT(SUBSTITUTE(TRIM(F1770)," ",""),"^-?\d+(\.\d+)?"))&gt;=-90,VALUE(REGEXEXTRACT(SUBSTITUTE(TRIM(F1770)," ",""),"^-?\d+(\.\d+)?"))&lt;=90,VALUE(REGEXEXTRACT(SUBSTITUTE(TRIM(F1770)," ",""),"-?\d+(\.\d+)?$"))&gt;=-180,VALUE(REGEXEXTRACT(SUBSTITUTE(TRIM(F1770)," ",""),"-?\d+(\.\d+)?$"))&lt;=180),"OK","REVISAR"),"REVISAR"),"")</f>
        <v/>
      </c>
      <c r="O1770">
        <f>IF(A1770&lt;&gt;"","https://direcciones507.github.io/direcciones507/panel.html?codigo="&amp;A1770&amp;"&amp;nombre="&amp;ENCODEURL(B1770)&amp;"&amp;telefono="&amp;SUBSTITUTE(C1770,"-","")&amp;"&amp;referencia="&amp;ENCODEURL(E1770)&amp;"&amp;lat="&amp;IZQUIERDA(SUBSTITUTE(F1770," ",""),ENCONTRAR(",",SUBSTITUTE(F1770," ",""))-1)&amp;"&amp;lng="&amp;DERECHA(SUBSTITUTE(F1770," ",""),LARGO(SUBSTITUTE(F1770," ",""))-ENCONTRAR(",",SUBSTITUTE(F1770," ",""))),"")</f>
        <v/>
      </c>
    </row>
    <row r="1771" ht="15.75" customHeight="1" s="10">
      <c r="A1771" s="8">
        <f>CONCAT("AD507-",TEXT(ROW()-2,"0000"))</f>
        <v/>
      </c>
      <c r="C1771" s="8" t="n"/>
      <c r="F1771" s="8" t="n"/>
      <c r="G1771" s="8">
        <f>IF(F1771&lt;&gt;"",HYPERLINK("https://www.google.com/maps/search/?api=1&amp;query="&amp;SUBSTITUTE(F1771," ",""),"🗺 Google Maps"),"")</f>
        <v/>
      </c>
      <c r="H1771" s="8">
        <f>IF(F1771&lt;&gt;"",HYPERLINK("https://waze.com/ul?ll="&amp;SUBSTITUTE(F1771," ","")&amp;"&amp;navigate=yes","🚗 Waze"),"")</f>
        <v/>
      </c>
      <c r="I1771" s="8">
        <f>IF(F1771&lt;&gt;"",HYPERLINK("https://m.uber.com/ul/?action=setPickup&amp;pickup=my_location&amp;dropoff[latitude]="&amp;LEFT(SUBSTITUTE(F1771," ",""),FIND(",",SUBSTITUTE(F1771," ",""))-1)&amp;"&amp;dropoff[longitude]="&amp;MID(SUBSTITUTE(F1771," ",""),FIND(",",SUBSTITUTE(F1771," ",""))+1,99),"🚕 Uber"),"")</f>
        <v/>
      </c>
      <c r="J1771" s="8">
        <f>IF(F1771&lt;&gt;"","https://api.qrserver.com/v1/create-qr-code/?size=200x200&amp;data="&amp;ENCODEURL("https://www.google.com/maps/search/?api=1&amp;query="&amp;SUBSTITUTE(F1771," ","")),"")</f>
        <v/>
      </c>
      <c r="K1771" s="8">
        <f>IF(C1771&lt;&gt;"",HYPERLINK("https://wa.me/507"&amp;REGEXREPLACE(C1771,"[^0-9]","")&amp;"?text="&amp;ENCODEURL("Ya llegue. Codigo: "&amp;A1771&amp;". Ubicacion: "&amp;"https://www.google.com/maps/search/?api=1&amp;query="&amp;SUBSTITUTE(F1771," ","")),"📲 Avisar al cliente"),"")</f>
        <v/>
      </c>
      <c r="L1771" s="8">
        <f>IF(C1771&lt;&gt;"","https://api.qrserver.com/v1/create-qr-code/?size=200x200&amp;data="&amp;ENCODEURL("https://wa.me/507"&amp;REGEXREPLACE(C1771,"[^0-9]","")&amp;"?text="&amp;ENCODEURL("Ya llegue. Codigo: "&amp;A1771&amp;". Ubicacion: "&amp;"https://www.google.com/maps/search/?api=1&amp;query="&amp;SUBSTITUTE(F1771," ",""))),"")</f>
        <v/>
      </c>
      <c r="M1771" s="8">
        <f>IF(B1771&lt;&gt;"",TODAY(),"")</f>
        <v/>
      </c>
      <c r="N1771" s="8">
        <f>IF(F1771&lt;&gt;"",IFERROR(IF(AND(REGEXMATCH(SUBSTITUTE(TRIM(F1771)," ",""),"^-?\d+(\.\d+)?,-?\d+(\.\d+)?$"),VALUE(REGEXEXTRACT(SUBSTITUTE(TRIM(F1771)," ",""),"^-?\d+(\.\d+)?"))&gt;=-90,VALUE(REGEXEXTRACT(SUBSTITUTE(TRIM(F1771)," ",""),"^-?\d+(\.\d+)?"))&lt;=90,VALUE(REGEXEXTRACT(SUBSTITUTE(TRIM(F1771)," ",""),"-?\d+(\.\d+)?$"))&gt;=-180,VALUE(REGEXEXTRACT(SUBSTITUTE(TRIM(F1771)," ",""),"-?\d+(\.\d+)?$"))&lt;=180),"OK","REVISAR"),"REVISAR"),"")</f>
        <v/>
      </c>
      <c r="O1771">
        <f>IF(A1771&lt;&gt;"","https://direcciones507.github.io/direcciones507/panel.html?codigo="&amp;A1771&amp;"&amp;nombre="&amp;ENCODEURL(B1771)&amp;"&amp;telefono="&amp;SUBSTITUTE(C1771,"-","")&amp;"&amp;referencia="&amp;ENCODEURL(E1771)&amp;"&amp;lat="&amp;IZQUIERDA(SUBSTITUTE(F1771," ",""),ENCONTRAR(",",SUBSTITUTE(F1771," ",""))-1)&amp;"&amp;lng="&amp;DERECHA(SUBSTITUTE(F1771," ",""),LARGO(SUBSTITUTE(F1771," ",""))-ENCONTRAR(",",SUBSTITUTE(F1771," ",""))),"")</f>
        <v/>
      </c>
    </row>
    <row r="1772" ht="15.75" customHeight="1" s="10">
      <c r="A1772" s="8">
        <f>CONCAT("AD507-",TEXT(ROW()-2,"0000"))</f>
        <v/>
      </c>
      <c r="C1772" s="8" t="n"/>
      <c r="F1772" s="8" t="n"/>
      <c r="G1772" s="8">
        <f>IF(F1772&lt;&gt;"",HYPERLINK("https://www.google.com/maps/search/?api=1&amp;query="&amp;SUBSTITUTE(F1772," ",""),"🗺 Google Maps"),"")</f>
        <v/>
      </c>
      <c r="H1772" s="8">
        <f>IF(F1772&lt;&gt;"",HYPERLINK("https://waze.com/ul?ll="&amp;SUBSTITUTE(F1772," ","")&amp;"&amp;navigate=yes","🚗 Waze"),"")</f>
        <v/>
      </c>
      <c r="I1772" s="8">
        <f>IF(F1772&lt;&gt;"",HYPERLINK("https://m.uber.com/ul/?action=setPickup&amp;pickup=my_location&amp;dropoff[latitude]="&amp;LEFT(SUBSTITUTE(F1772," ",""),FIND(",",SUBSTITUTE(F1772," ",""))-1)&amp;"&amp;dropoff[longitude]="&amp;MID(SUBSTITUTE(F1772," ",""),FIND(",",SUBSTITUTE(F1772," ",""))+1,99),"🚕 Uber"),"")</f>
        <v/>
      </c>
      <c r="J1772" s="8">
        <f>IF(F1772&lt;&gt;"","https://api.qrserver.com/v1/create-qr-code/?size=200x200&amp;data="&amp;ENCODEURL("https://www.google.com/maps/search/?api=1&amp;query="&amp;SUBSTITUTE(F1772," ","")),"")</f>
        <v/>
      </c>
      <c r="K1772" s="8">
        <f>IF(C1772&lt;&gt;"",HYPERLINK("https://wa.me/507"&amp;REGEXREPLACE(C1772,"[^0-9]","")&amp;"?text="&amp;ENCODEURL("Ya llegue. Codigo: "&amp;A1772&amp;". Ubicacion: "&amp;"https://www.google.com/maps/search/?api=1&amp;query="&amp;SUBSTITUTE(F1772," ","")),"📲 Avisar al cliente"),"")</f>
        <v/>
      </c>
      <c r="L1772" s="8">
        <f>IF(C1772&lt;&gt;"","https://api.qrserver.com/v1/create-qr-code/?size=200x200&amp;data="&amp;ENCODEURL("https://wa.me/507"&amp;REGEXREPLACE(C1772,"[^0-9]","")&amp;"?text="&amp;ENCODEURL("Ya llegue. Codigo: "&amp;A1772&amp;". Ubicacion: "&amp;"https://www.google.com/maps/search/?api=1&amp;query="&amp;SUBSTITUTE(F1772," ",""))),"")</f>
        <v/>
      </c>
      <c r="M1772" s="8">
        <f>IF(B1772&lt;&gt;"",TODAY(),"")</f>
        <v/>
      </c>
      <c r="N1772" s="8">
        <f>IF(F1772&lt;&gt;"",IFERROR(IF(AND(REGEXMATCH(SUBSTITUTE(TRIM(F1772)," ",""),"^-?\d+(\.\d+)?,-?\d+(\.\d+)?$"),VALUE(REGEXEXTRACT(SUBSTITUTE(TRIM(F1772)," ",""),"^-?\d+(\.\d+)?"))&gt;=-90,VALUE(REGEXEXTRACT(SUBSTITUTE(TRIM(F1772)," ",""),"^-?\d+(\.\d+)?"))&lt;=90,VALUE(REGEXEXTRACT(SUBSTITUTE(TRIM(F1772)," ",""),"-?\d+(\.\d+)?$"))&gt;=-180,VALUE(REGEXEXTRACT(SUBSTITUTE(TRIM(F1772)," ",""),"-?\d+(\.\d+)?$"))&lt;=180),"OK","REVISAR"),"REVISAR"),"")</f>
        <v/>
      </c>
      <c r="O1772">
        <f>IF(A1772&lt;&gt;"","https://direcciones507.github.io/direcciones507/panel.html?codigo="&amp;A1772&amp;"&amp;nombre="&amp;ENCODEURL(B1772)&amp;"&amp;telefono="&amp;SUBSTITUTE(C1772,"-","")&amp;"&amp;referencia="&amp;ENCODEURL(E1772)&amp;"&amp;lat="&amp;IZQUIERDA(SUBSTITUTE(F1772," ",""),ENCONTRAR(",",SUBSTITUTE(F1772," ",""))-1)&amp;"&amp;lng="&amp;DERECHA(SUBSTITUTE(F1772," ",""),LARGO(SUBSTITUTE(F1772," ",""))-ENCONTRAR(",",SUBSTITUTE(F1772," ",""))),"")</f>
        <v/>
      </c>
    </row>
    <row r="1773" ht="15.75" customHeight="1" s="10">
      <c r="A1773" s="8">
        <f>CONCAT("AD507-",TEXT(ROW()-2,"0000"))</f>
        <v/>
      </c>
      <c r="C1773" s="8" t="n"/>
      <c r="F1773" s="8" t="n"/>
      <c r="G1773" s="8">
        <f>IF(F1773&lt;&gt;"",HYPERLINK("https://www.google.com/maps/search/?api=1&amp;query="&amp;SUBSTITUTE(F1773," ",""),"🗺 Google Maps"),"")</f>
        <v/>
      </c>
      <c r="H1773" s="8">
        <f>IF(F1773&lt;&gt;"",HYPERLINK("https://waze.com/ul?ll="&amp;SUBSTITUTE(F1773," ","")&amp;"&amp;navigate=yes","🚗 Waze"),"")</f>
        <v/>
      </c>
      <c r="I1773" s="8">
        <f>IF(F1773&lt;&gt;"",HYPERLINK("https://m.uber.com/ul/?action=setPickup&amp;pickup=my_location&amp;dropoff[latitude]="&amp;LEFT(SUBSTITUTE(F1773," ",""),FIND(",",SUBSTITUTE(F1773," ",""))-1)&amp;"&amp;dropoff[longitude]="&amp;MID(SUBSTITUTE(F1773," ",""),FIND(",",SUBSTITUTE(F1773," ",""))+1,99),"🚕 Uber"),"")</f>
        <v/>
      </c>
      <c r="J1773" s="8">
        <f>IF(F1773&lt;&gt;"","https://api.qrserver.com/v1/create-qr-code/?size=200x200&amp;data="&amp;ENCODEURL("https://www.google.com/maps/search/?api=1&amp;query="&amp;SUBSTITUTE(F1773," ","")),"")</f>
        <v/>
      </c>
      <c r="K1773" s="8">
        <f>IF(C1773&lt;&gt;"",HYPERLINK("https://wa.me/507"&amp;REGEXREPLACE(C1773,"[^0-9]","")&amp;"?text="&amp;ENCODEURL("Ya llegue. Codigo: "&amp;A1773&amp;". Ubicacion: "&amp;"https://www.google.com/maps/search/?api=1&amp;query="&amp;SUBSTITUTE(F1773," ","")),"📲 Avisar al cliente"),"")</f>
        <v/>
      </c>
      <c r="L1773" s="8">
        <f>IF(C1773&lt;&gt;"","https://api.qrserver.com/v1/create-qr-code/?size=200x200&amp;data="&amp;ENCODEURL("https://wa.me/507"&amp;REGEXREPLACE(C1773,"[^0-9]","")&amp;"?text="&amp;ENCODEURL("Ya llegue. Codigo: "&amp;A1773&amp;". Ubicacion: "&amp;"https://www.google.com/maps/search/?api=1&amp;query="&amp;SUBSTITUTE(F1773," ",""))),"")</f>
        <v/>
      </c>
      <c r="M1773" s="8">
        <f>IF(B1773&lt;&gt;"",TODAY(),"")</f>
        <v/>
      </c>
      <c r="N1773" s="8">
        <f>IF(F1773&lt;&gt;"",IFERROR(IF(AND(REGEXMATCH(SUBSTITUTE(TRIM(F1773)," ",""),"^-?\d+(\.\d+)?,-?\d+(\.\d+)?$"),VALUE(REGEXEXTRACT(SUBSTITUTE(TRIM(F1773)," ",""),"^-?\d+(\.\d+)?"))&gt;=-90,VALUE(REGEXEXTRACT(SUBSTITUTE(TRIM(F1773)," ",""),"^-?\d+(\.\d+)?"))&lt;=90,VALUE(REGEXEXTRACT(SUBSTITUTE(TRIM(F1773)," ",""),"-?\d+(\.\d+)?$"))&gt;=-180,VALUE(REGEXEXTRACT(SUBSTITUTE(TRIM(F1773)," ",""),"-?\d+(\.\d+)?$"))&lt;=180),"OK","REVISAR"),"REVISAR"),"")</f>
        <v/>
      </c>
      <c r="O1773">
        <f>IF(A1773&lt;&gt;"","https://direcciones507.github.io/direcciones507/panel.html?codigo="&amp;A1773&amp;"&amp;nombre="&amp;ENCODEURL(B1773)&amp;"&amp;telefono="&amp;SUBSTITUTE(C1773,"-","")&amp;"&amp;referencia="&amp;ENCODEURL(E1773)&amp;"&amp;lat="&amp;IZQUIERDA(SUBSTITUTE(F1773," ",""),ENCONTRAR(",",SUBSTITUTE(F1773," ",""))-1)&amp;"&amp;lng="&amp;DERECHA(SUBSTITUTE(F1773," ",""),LARGO(SUBSTITUTE(F1773," ",""))-ENCONTRAR(",",SUBSTITUTE(F1773," ",""))),"")</f>
        <v/>
      </c>
    </row>
    <row r="1774" ht="15.75" customHeight="1" s="10">
      <c r="A1774" s="8">
        <f>CONCAT("AD507-",TEXT(ROW()-2,"0000"))</f>
        <v/>
      </c>
      <c r="C1774" s="8" t="n"/>
      <c r="F1774" s="8" t="n"/>
      <c r="G1774" s="8">
        <f>IF(F1774&lt;&gt;"",HYPERLINK("https://www.google.com/maps/search/?api=1&amp;query="&amp;SUBSTITUTE(F1774," ",""),"🗺 Google Maps"),"")</f>
        <v/>
      </c>
      <c r="H1774" s="8">
        <f>IF(F1774&lt;&gt;"",HYPERLINK("https://waze.com/ul?ll="&amp;SUBSTITUTE(F1774," ","")&amp;"&amp;navigate=yes","🚗 Waze"),"")</f>
        <v/>
      </c>
      <c r="I1774" s="8">
        <f>IF(F1774&lt;&gt;"",HYPERLINK("https://m.uber.com/ul/?action=setPickup&amp;pickup=my_location&amp;dropoff[latitude]="&amp;LEFT(SUBSTITUTE(F1774," ",""),FIND(",",SUBSTITUTE(F1774," ",""))-1)&amp;"&amp;dropoff[longitude]="&amp;MID(SUBSTITUTE(F1774," ",""),FIND(",",SUBSTITUTE(F1774," ",""))+1,99),"🚕 Uber"),"")</f>
        <v/>
      </c>
      <c r="J1774" s="8">
        <f>IF(F1774&lt;&gt;"","https://api.qrserver.com/v1/create-qr-code/?size=200x200&amp;data="&amp;ENCODEURL("https://www.google.com/maps/search/?api=1&amp;query="&amp;SUBSTITUTE(F1774," ","")),"")</f>
        <v/>
      </c>
      <c r="K1774" s="8">
        <f>IF(C1774&lt;&gt;"",HYPERLINK("https://wa.me/507"&amp;REGEXREPLACE(C1774,"[^0-9]","")&amp;"?text="&amp;ENCODEURL("Ya llegue. Codigo: "&amp;A1774&amp;". Ubicacion: "&amp;"https://www.google.com/maps/search/?api=1&amp;query="&amp;SUBSTITUTE(F1774," ","")),"📲 Avisar al cliente"),"")</f>
        <v/>
      </c>
      <c r="L1774" s="8">
        <f>IF(C1774&lt;&gt;"","https://api.qrserver.com/v1/create-qr-code/?size=200x200&amp;data="&amp;ENCODEURL("https://wa.me/507"&amp;REGEXREPLACE(C1774,"[^0-9]","")&amp;"?text="&amp;ENCODEURL("Ya llegue. Codigo: "&amp;A1774&amp;". Ubicacion: "&amp;"https://www.google.com/maps/search/?api=1&amp;query="&amp;SUBSTITUTE(F1774," ",""))),"")</f>
        <v/>
      </c>
      <c r="M1774" s="8">
        <f>IF(B1774&lt;&gt;"",TODAY(),"")</f>
        <v/>
      </c>
      <c r="N1774" s="8">
        <f>IF(F1774&lt;&gt;"",IFERROR(IF(AND(REGEXMATCH(SUBSTITUTE(TRIM(F1774)," ",""),"^-?\d+(\.\d+)?,-?\d+(\.\d+)?$"),VALUE(REGEXEXTRACT(SUBSTITUTE(TRIM(F1774)," ",""),"^-?\d+(\.\d+)?"))&gt;=-90,VALUE(REGEXEXTRACT(SUBSTITUTE(TRIM(F1774)," ",""),"^-?\d+(\.\d+)?"))&lt;=90,VALUE(REGEXEXTRACT(SUBSTITUTE(TRIM(F1774)," ",""),"-?\d+(\.\d+)?$"))&gt;=-180,VALUE(REGEXEXTRACT(SUBSTITUTE(TRIM(F1774)," ",""),"-?\d+(\.\d+)?$"))&lt;=180),"OK","REVISAR"),"REVISAR"),"")</f>
        <v/>
      </c>
      <c r="O1774">
        <f>IF(A1774&lt;&gt;"","https://direcciones507.github.io/direcciones507/panel.html?codigo="&amp;A1774&amp;"&amp;nombre="&amp;ENCODEURL(B1774)&amp;"&amp;telefono="&amp;SUBSTITUTE(C1774,"-","")&amp;"&amp;referencia="&amp;ENCODEURL(E1774)&amp;"&amp;lat="&amp;IZQUIERDA(SUBSTITUTE(F1774," ",""),ENCONTRAR(",",SUBSTITUTE(F1774," ",""))-1)&amp;"&amp;lng="&amp;DERECHA(SUBSTITUTE(F1774," ",""),LARGO(SUBSTITUTE(F1774," ",""))-ENCONTRAR(",",SUBSTITUTE(F1774," ",""))),"")</f>
        <v/>
      </c>
    </row>
    <row r="1775" ht="15.75" customHeight="1" s="10">
      <c r="A1775" s="8">
        <f>CONCAT("AD507-",TEXT(ROW()-2,"0000"))</f>
        <v/>
      </c>
      <c r="C1775" s="8" t="n"/>
      <c r="F1775" s="8" t="n"/>
      <c r="G1775" s="8">
        <f>IF(F1775&lt;&gt;"",HYPERLINK("https://www.google.com/maps/search/?api=1&amp;query="&amp;SUBSTITUTE(F1775," ",""),"🗺 Google Maps"),"")</f>
        <v/>
      </c>
      <c r="H1775" s="8">
        <f>IF(F1775&lt;&gt;"",HYPERLINK("https://waze.com/ul?ll="&amp;SUBSTITUTE(F1775," ","")&amp;"&amp;navigate=yes","🚗 Waze"),"")</f>
        <v/>
      </c>
      <c r="I1775" s="8">
        <f>IF(F1775&lt;&gt;"",HYPERLINK("https://m.uber.com/ul/?action=setPickup&amp;pickup=my_location&amp;dropoff[latitude]="&amp;LEFT(SUBSTITUTE(F1775," ",""),FIND(",",SUBSTITUTE(F1775," ",""))-1)&amp;"&amp;dropoff[longitude]="&amp;MID(SUBSTITUTE(F1775," ",""),FIND(",",SUBSTITUTE(F1775," ",""))+1,99),"🚕 Uber"),"")</f>
        <v/>
      </c>
      <c r="J1775" s="8">
        <f>IF(F1775&lt;&gt;"","https://api.qrserver.com/v1/create-qr-code/?size=200x200&amp;data="&amp;ENCODEURL("https://www.google.com/maps/search/?api=1&amp;query="&amp;SUBSTITUTE(F1775," ","")),"")</f>
        <v/>
      </c>
      <c r="K1775" s="8">
        <f>IF(C1775&lt;&gt;"",HYPERLINK("https://wa.me/507"&amp;REGEXREPLACE(C1775,"[^0-9]","")&amp;"?text="&amp;ENCODEURL("Ya llegue. Codigo: "&amp;A1775&amp;". Ubicacion: "&amp;"https://www.google.com/maps/search/?api=1&amp;query="&amp;SUBSTITUTE(F1775," ","")),"📲 Avisar al cliente"),"")</f>
        <v/>
      </c>
      <c r="L1775" s="8">
        <f>IF(C1775&lt;&gt;"","https://api.qrserver.com/v1/create-qr-code/?size=200x200&amp;data="&amp;ENCODEURL("https://wa.me/507"&amp;REGEXREPLACE(C1775,"[^0-9]","")&amp;"?text="&amp;ENCODEURL("Ya llegue. Codigo: "&amp;A1775&amp;". Ubicacion: "&amp;"https://www.google.com/maps/search/?api=1&amp;query="&amp;SUBSTITUTE(F1775," ",""))),"")</f>
        <v/>
      </c>
      <c r="M1775" s="8">
        <f>IF(B1775&lt;&gt;"",TODAY(),"")</f>
        <v/>
      </c>
      <c r="N1775" s="8">
        <f>IF(F1775&lt;&gt;"",IFERROR(IF(AND(REGEXMATCH(SUBSTITUTE(TRIM(F1775)," ",""),"^-?\d+(\.\d+)?,-?\d+(\.\d+)?$"),VALUE(REGEXEXTRACT(SUBSTITUTE(TRIM(F1775)," ",""),"^-?\d+(\.\d+)?"))&gt;=-90,VALUE(REGEXEXTRACT(SUBSTITUTE(TRIM(F1775)," ",""),"^-?\d+(\.\d+)?"))&lt;=90,VALUE(REGEXEXTRACT(SUBSTITUTE(TRIM(F1775)," ",""),"-?\d+(\.\d+)?$"))&gt;=-180,VALUE(REGEXEXTRACT(SUBSTITUTE(TRIM(F1775)," ",""),"-?\d+(\.\d+)?$"))&lt;=180),"OK","REVISAR"),"REVISAR"),"")</f>
        <v/>
      </c>
      <c r="O1775">
        <f>IF(A1775&lt;&gt;"","https://direcciones507.github.io/direcciones507/panel.html?codigo="&amp;A1775&amp;"&amp;nombre="&amp;ENCODEURL(B1775)&amp;"&amp;telefono="&amp;SUBSTITUTE(C1775,"-","")&amp;"&amp;referencia="&amp;ENCODEURL(E1775)&amp;"&amp;lat="&amp;IZQUIERDA(SUBSTITUTE(F1775," ",""),ENCONTRAR(",",SUBSTITUTE(F1775," ",""))-1)&amp;"&amp;lng="&amp;DERECHA(SUBSTITUTE(F1775," ",""),LARGO(SUBSTITUTE(F1775," ",""))-ENCONTRAR(",",SUBSTITUTE(F1775," ",""))),"")</f>
        <v/>
      </c>
    </row>
    <row r="1776" ht="15.75" customHeight="1" s="10">
      <c r="A1776" s="8">
        <f>CONCAT("AD507-",TEXT(ROW()-2,"0000"))</f>
        <v/>
      </c>
      <c r="C1776" s="8" t="n"/>
      <c r="F1776" s="8" t="n"/>
      <c r="G1776" s="8">
        <f>IF(F1776&lt;&gt;"",HYPERLINK("https://www.google.com/maps/search/?api=1&amp;query="&amp;SUBSTITUTE(F1776," ",""),"🗺 Google Maps"),"")</f>
        <v/>
      </c>
      <c r="H1776" s="8">
        <f>IF(F1776&lt;&gt;"",HYPERLINK("https://waze.com/ul?ll="&amp;SUBSTITUTE(F1776," ","")&amp;"&amp;navigate=yes","🚗 Waze"),"")</f>
        <v/>
      </c>
      <c r="I1776" s="8">
        <f>IF(F1776&lt;&gt;"",HYPERLINK("https://m.uber.com/ul/?action=setPickup&amp;pickup=my_location&amp;dropoff[latitude]="&amp;LEFT(SUBSTITUTE(F1776," ",""),FIND(",",SUBSTITUTE(F1776," ",""))-1)&amp;"&amp;dropoff[longitude]="&amp;MID(SUBSTITUTE(F1776," ",""),FIND(",",SUBSTITUTE(F1776," ",""))+1,99),"🚕 Uber"),"")</f>
        <v/>
      </c>
      <c r="J1776" s="8">
        <f>IF(F1776&lt;&gt;"","https://api.qrserver.com/v1/create-qr-code/?size=200x200&amp;data="&amp;ENCODEURL("https://www.google.com/maps/search/?api=1&amp;query="&amp;SUBSTITUTE(F1776," ","")),"")</f>
        <v/>
      </c>
      <c r="K1776" s="8">
        <f>IF(C1776&lt;&gt;"",HYPERLINK("https://wa.me/507"&amp;REGEXREPLACE(C1776,"[^0-9]","")&amp;"?text="&amp;ENCODEURL("Ya llegue. Codigo: "&amp;A1776&amp;". Ubicacion: "&amp;"https://www.google.com/maps/search/?api=1&amp;query="&amp;SUBSTITUTE(F1776," ","")),"📲 Avisar al cliente"),"")</f>
        <v/>
      </c>
      <c r="L1776" s="8">
        <f>IF(C1776&lt;&gt;"","https://api.qrserver.com/v1/create-qr-code/?size=200x200&amp;data="&amp;ENCODEURL("https://wa.me/507"&amp;REGEXREPLACE(C1776,"[^0-9]","")&amp;"?text="&amp;ENCODEURL("Ya llegue. Codigo: "&amp;A1776&amp;". Ubicacion: "&amp;"https://www.google.com/maps/search/?api=1&amp;query="&amp;SUBSTITUTE(F1776," ",""))),"")</f>
        <v/>
      </c>
      <c r="M1776" s="8">
        <f>IF(B1776&lt;&gt;"",TODAY(),"")</f>
        <v/>
      </c>
      <c r="N1776" s="8">
        <f>IF(F1776&lt;&gt;"",IFERROR(IF(AND(REGEXMATCH(SUBSTITUTE(TRIM(F1776)," ",""),"^-?\d+(\.\d+)?,-?\d+(\.\d+)?$"),VALUE(REGEXEXTRACT(SUBSTITUTE(TRIM(F1776)," ",""),"^-?\d+(\.\d+)?"))&gt;=-90,VALUE(REGEXEXTRACT(SUBSTITUTE(TRIM(F1776)," ",""),"^-?\d+(\.\d+)?"))&lt;=90,VALUE(REGEXEXTRACT(SUBSTITUTE(TRIM(F1776)," ",""),"-?\d+(\.\d+)?$"))&gt;=-180,VALUE(REGEXEXTRACT(SUBSTITUTE(TRIM(F1776)," ",""),"-?\d+(\.\d+)?$"))&lt;=180),"OK","REVISAR"),"REVISAR"),"")</f>
        <v/>
      </c>
      <c r="O1776">
        <f>IF(A1776&lt;&gt;"","https://direcciones507.github.io/direcciones507/panel.html?codigo="&amp;A1776&amp;"&amp;nombre="&amp;ENCODEURL(B1776)&amp;"&amp;telefono="&amp;SUBSTITUTE(C1776,"-","")&amp;"&amp;referencia="&amp;ENCODEURL(E1776)&amp;"&amp;lat="&amp;IZQUIERDA(SUBSTITUTE(F1776," ",""),ENCONTRAR(",",SUBSTITUTE(F1776," ",""))-1)&amp;"&amp;lng="&amp;DERECHA(SUBSTITUTE(F1776," ",""),LARGO(SUBSTITUTE(F1776," ",""))-ENCONTRAR(",",SUBSTITUTE(F1776," ",""))),"")</f>
        <v/>
      </c>
    </row>
    <row r="1777" ht="15.75" customHeight="1" s="10">
      <c r="A1777" s="8">
        <f>CONCAT("AD507-",TEXT(ROW()-2,"0000"))</f>
        <v/>
      </c>
      <c r="C1777" s="8" t="n"/>
      <c r="F1777" s="8" t="n"/>
      <c r="G1777" s="8">
        <f>IF(F1777&lt;&gt;"",HYPERLINK("https://www.google.com/maps/search/?api=1&amp;query="&amp;SUBSTITUTE(F1777," ",""),"🗺 Google Maps"),"")</f>
        <v/>
      </c>
      <c r="H1777" s="8">
        <f>IF(F1777&lt;&gt;"",HYPERLINK("https://waze.com/ul?ll="&amp;SUBSTITUTE(F1777," ","")&amp;"&amp;navigate=yes","🚗 Waze"),"")</f>
        <v/>
      </c>
      <c r="I1777" s="8">
        <f>IF(F1777&lt;&gt;"",HYPERLINK("https://m.uber.com/ul/?action=setPickup&amp;pickup=my_location&amp;dropoff[latitude]="&amp;LEFT(SUBSTITUTE(F1777," ",""),FIND(",",SUBSTITUTE(F1777," ",""))-1)&amp;"&amp;dropoff[longitude]="&amp;MID(SUBSTITUTE(F1777," ",""),FIND(",",SUBSTITUTE(F1777," ",""))+1,99),"🚕 Uber"),"")</f>
        <v/>
      </c>
      <c r="J1777" s="8">
        <f>IF(F1777&lt;&gt;"","https://api.qrserver.com/v1/create-qr-code/?size=200x200&amp;data="&amp;ENCODEURL("https://www.google.com/maps/search/?api=1&amp;query="&amp;SUBSTITUTE(F1777," ","")),"")</f>
        <v/>
      </c>
      <c r="K1777" s="8">
        <f>IF(C1777&lt;&gt;"",HYPERLINK("https://wa.me/507"&amp;REGEXREPLACE(C1777,"[^0-9]","")&amp;"?text="&amp;ENCODEURL("Ya llegue. Codigo: "&amp;A1777&amp;". Ubicacion: "&amp;"https://www.google.com/maps/search/?api=1&amp;query="&amp;SUBSTITUTE(F1777," ","")),"📲 Avisar al cliente"),"")</f>
        <v/>
      </c>
      <c r="L1777" s="8">
        <f>IF(C1777&lt;&gt;"","https://api.qrserver.com/v1/create-qr-code/?size=200x200&amp;data="&amp;ENCODEURL("https://wa.me/507"&amp;REGEXREPLACE(C1777,"[^0-9]","")&amp;"?text="&amp;ENCODEURL("Ya llegue. Codigo: "&amp;A1777&amp;". Ubicacion: "&amp;"https://www.google.com/maps/search/?api=1&amp;query="&amp;SUBSTITUTE(F1777," ",""))),"")</f>
        <v/>
      </c>
      <c r="M1777" s="8">
        <f>IF(B1777&lt;&gt;"",TODAY(),"")</f>
        <v/>
      </c>
      <c r="N1777" s="8">
        <f>IF(F1777&lt;&gt;"",IFERROR(IF(AND(REGEXMATCH(SUBSTITUTE(TRIM(F1777)," ",""),"^-?\d+(\.\d+)?,-?\d+(\.\d+)?$"),VALUE(REGEXEXTRACT(SUBSTITUTE(TRIM(F1777)," ",""),"^-?\d+(\.\d+)?"))&gt;=-90,VALUE(REGEXEXTRACT(SUBSTITUTE(TRIM(F1777)," ",""),"^-?\d+(\.\d+)?"))&lt;=90,VALUE(REGEXEXTRACT(SUBSTITUTE(TRIM(F1777)," ",""),"-?\d+(\.\d+)?$"))&gt;=-180,VALUE(REGEXEXTRACT(SUBSTITUTE(TRIM(F1777)," ",""),"-?\d+(\.\d+)?$"))&lt;=180),"OK","REVISAR"),"REVISAR"),"")</f>
        <v/>
      </c>
      <c r="O1777">
        <f>IF(A1777&lt;&gt;"","https://direcciones507.github.io/direcciones507/panel.html?codigo="&amp;A1777&amp;"&amp;nombre="&amp;ENCODEURL(B1777)&amp;"&amp;telefono="&amp;SUBSTITUTE(C1777,"-","")&amp;"&amp;referencia="&amp;ENCODEURL(E1777)&amp;"&amp;lat="&amp;IZQUIERDA(SUBSTITUTE(F1777," ",""),ENCONTRAR(",",SUBSTITUTE(F1777," ",""))-1)&amp;"&amp;lng="&amp;DERECHA(SUBSTITUTE(F1777," ",""),LARGO(SUBSTITUTE(F1777," ",""))-ENCONTRAR(",",SUBSTITUTE(F1777," ",""))),"")</f>
        <v/>
      </c>
    </row>
    <row r="1778" ht="15.75" customHeight="1" s="10">
      <c r="A1778" s="8">
        <f>CONCAT("AD507-",TEXT(ROW()-2,"0000"))</f>
        <v/>
      </c>
      <c r="C1778" s="8" t="n"/>
      <c r="F1778" s="8" t="n"/>
      <c r="G1778" s="8">
        <f>IF(F1778&lt;&gt;"",HYPERLINK("https://www.google.com/maps/search/?api=1&amp;query="&amp;SUBSTITUTE(F1778," ",""),"🗺 Google Maps"),"")</f>
        <v/>
      </c>
      <c r="H1778" s="8">
        <f>IF(F1778&lt;&gt;"",HYPERLINK("https://waze.com/ul?ll="&amp;SUBSTITUTE(F1778," ","")&amp;"&amp;navigate=yes","🚗 Waze"),"")</f>
        <v/>
      </c>
      <c r="I1778" s="8">
        <f>IF(F1778&lt;&gt;"",HYPERLINK("https://m.uber.com/ul/?action=setPickup&amp;pickup=my_location&amp;dropoff[latitude]="&amp;LEFT(SUBSTITUTE(F1778," ",""),FIND(",",SUBSTITUTE(F1778," ",""))-1)&amp;"&amp;dropoff[longitude]="&amp;MID(SUBSTITUTE(F1778," ",""),FIND(",",SUBSTITUTE(F1778," ",""))+1,99),"🚕 Uber"),"")</f>
        <v/>
      </c>
      <c r="J1778" s="8">
        <f>IF(F1778&lt;&gt;"","https://api.qrserver.com/v1/create-qr-code/?size=200x200&amp;data="&amp;ENCODEURL("https://www.google.com/maps/search/?api=1&amp;query="&amp;SUBSTITUTE(F1778," ","")),"")</f>
        <v/>
      </c>
      <c r="K1778" s="8">
        <f>IF(C1778&lt;&gt;"",HYPERLINK("https://wa.me/507"&amp;REGEXREPLACE(C1778,"[^0-9]","")&amp;"?text="&amp;ENCODEURL("Ya llegue. Codigo: "&amp;A1778&amp;". Ubicacion: "&amp;"https://www.google.com/maps/search/?api=1&amp;query="&amp;SUBSTITUTE(F1778," ","")),"📲 Avisar al cliente"),"")</f>
        <v/>
      </c>
      <c r="L1778" s="8">
        <f>IF(C1778&lt;&gt;"","https://api.qrserver.com/v1/create-qr-code/?size=200x200&amp;data="&amp;ENCODEURL("https://wa.me/507"&amp;REGEXREPLACE(C1778,"[^0-9]","")&amp;"?text="&amp;ENCODEURL("Ya llegue. Codigo: "&amp;A1778&amp;". Ubicacion: "&amp;"https://www.google.com/maps/search/?api=1&amp;query="&amp;SUBSTITUTE(F1778," ",""))),"")</f>
        <v/>
      </c>
      <c r="M1778" s="8">
        <f>IF(B1778&lt;&gt;"",TODAY(),"")</f>
        <v/>
      </c>
      <c r="N1778" s="8">
        <f>IF(F1778&lt;&gt;"",IFERROR(IF(AND(REGEXMATCH(SUBSTITUTE(TRIM(F1778)," ",""),"^-?\d+(\.\d+)?,-?\d+(\.\d+)?$"),VALUE(REGEXEXTRACT(SUBSTITUTE(TRIM(F1778)," ",""),"^-?\d+(\.\d+)?"))&gt;=-90,VALUE(REGEXEXTRACT(SUBSTITUTE(TRIM(F1778)," ",""),"^-?\d+(\.\d+)?"))&lt;=90,VALUE(REGEXEXTRACT(SUBSTITUTE(TRIM(F1778)," ",""),"-?\d+(\.\d+)?$"))&gt;=-180,VALUE(REGEXEXTRACT(SUBSTITUTE(TRIM(F1778)," ",""),"-?\d+(\.\d+)?$"))&lt;=180),"OK","REVISAR"),"REVISAR"),"")</f>
        <v/>
      </c>
      <c r="O1778">
        <f>IF(A1778&lt;&gt;"","https://direcciones507.github.io/direcciones507/panel.html?codigo="&amp;A1778&amp;"&amp;nombre="&amp;ENCODEURL(B1778)&amp;"&amp;telefono="&amp;SUBSTITUTE(C1778,"-","")&amp;"&amp;referencia="&amp;ENCODEURL(E1778)&amp;"&amp;lat="&amp;IZQUIERDA(SUBSTITUTE(F1778," ",""),ENCONTRAR(",",SUBSTITUTE(F1778," ",""))-1)&amp;"&amp;lng="&amp;DERECHA(SUBSTITUTE(F1778," ",""),LARGO(SUBSTITUTE(F1778," ",""))-ENCONTRAR(",",SUBSTITUTE(F1778," ",""))),"")</f>
        <v/>
      </c>
    </row>
    <row r="1779" ht="15.75" customHeight="1" s="10">
      <c r="A1779" s="8">
        <f>CONCAT("AD507-",TEXT(ROW()-2,"0000"))</f>
        <v/>
      </c>
      <c r="C1779" s="8" t="n"/>
      <c r="F1779" s="8" t="n"/>
      <c r="G1779" s="8">
        <f>IF(F1779&lt;&gt;"",HYPERLINK("https://www.google.com/maps/search/?api=1&amp;query="&amp;SUBSTITUTE(F1779," ",""),"🗺 Google Maps"),"")</f>
        <v/>
      </c>
      <c r="H1779" s="8">
        <f>IF(F1779&lt;&gt;"",HYPERLINK("https://waze.com/ul?ll="&amp;SUBSTITUTE(F1779," ","")&amp;"&amp;navigate=yes","🚗 Waze"),"")</f>
        <v/>
      </c>
      <c r="I1779" s="8">
        <f>IF(F1779&lt;&gt;"",HYPERLINK("https://m.uber.com/ul/?action=setPickup&amp;pickup=my_location&amp;dropoff[latitude]="&amp;LEFT(SUBSTITUTE(F1779," ",""),FIND(",",SUBSTITUTE(F1779," ",""))-1)&amp;"&amp;dropoff[longitude]="&amp;MID(SUBSTITUTE(F1779," ",""),FIND(",",SUBSTITUTE(F1779," ",""))+1,99),"🚕 Uber"),"")</f>
        <v/>
      </c>
      <c r="J1779" s="8">
        <f>IF(F1779&lt;&gt;"","https://api.qrserver.com/v1/create-qr-code/?size=200x200&amp;data="&amp;ENCODEURL("https://www.google.com/maps/search/?api=1&amp;query="&amp;SUBSTITUTE(F1779," ","")),"")</f>
        <v/>
      </c>
      <c r="K1779" s="8">
        <f>IF(C1779&lt;&gt;"",HYPERLINK("https://wa.me/507"&amp;REGEXREPLACE(C1779,"[^0-9]","")&amp;"?text="&amp;ENCODEURL("Ya llegue. Codigo: "&amp;A1779&amp;". Ubicacion: "&amp;"https://www.google.com/maps/search/?api=1&amp;query="&amp;SUBSTITUTE(F1779," ","")),"📲 Avisar al cliente"),"")</f>
        <v/>
      </c>
      <c r="L1779" s="8">
        <f>IF(C1779&lt;&gt;"","https://api.qrserver.com/v1/create-qr-code/?size=200x200&amp;data="&amp;ENCODEURL("https://wa.me/507"&amp;REGEXREPLACE(C1779,"[^0-9]","")&amp;"?text="&amp;ENCODEURL("Ya llegue. Codigo: "&amp;A1779&amp;". Ubicacion: "&amp;"https://www.google.com/maps/search/?api=1&amp;query="&amp;SUBSTITUTE(F1779," ",""))),"")</f>
        <v/>
      </c>
      <c r="M1779" s="8">
        <f>IF(B1779&lt;&gt;"",TODAY(),"")</f>
        <v/>
      </c>
      <c r="N1779" s="8">
        <f>IF(F1779&lt;&gt;"",IFERROR(IF(AND(REGEXMATCH(SUBSTITUTE(TRIM(F1779)," ",""),"^-?\d+(\.\d+)?,-?\d+(\.\d+)?$"),VALUE(REGEXEXTRACT(SUBSTITUTE(TRIM(F1779)," ",""),"^-?\d+(\.\d+)?"))&gt;=-90,VALUE(REGEXEXTRACT(SUBSTITUTE(TRIM(F1779)," ",""),"^-?\d+(\.\d+)?"))&lt;=90,VALUE(REGEXEXTRACT(SUBSTITUTE(TRIM(F1779)," ",""),"-?\d+(\.\d+)?$"))&gt;=-180,VALUE(REGEXEXTRACT(SUBSTITUTE(TRIM(F1779)," ",""),"-?\d+(\.\d+)?$"))&lt;=180),"OK","REVISAR"),"REVISAR"),"")</f>
        <v/>
      </c>
      <c r="O1779">
        <f>IF(A1779&lt;&gt;"","https://direcciones507.github.io/direcciones507/panel.html?codigo="&amp;A1779&amp;"&amp;nombre="&amp;ENCODEURL(B1779)&amp;"&amp;telefono="&amp;SUBSTITUTE(C1779,"-","")&amp;"&amp;referencia="&amp;ENCODEURL(E1779)&amp;"&amp;lat="&amp;IZQUIERDA(SUBSTITUTE(F1779," ",""),ENCONTRAR(",",SUBSTITUTE(F1779," ",""))-1)&amp;"&amp;lng="&amp;DERECHA(SUBSTITUTE(F1779," ",""),LARGO(SUBSTITUTE(F1779," ",""))-ENCONTRAR(",",SUBSTITUTE(F1779," ",""))),"")</f>
        <v/>
      </c>
    </row>
    <row r="1780" ht="15.75" customHeight="1" s="10">
      <c r="A1780" s="8">
        <f>CONCAT("AD507-",TEXT(ROW()-2,"0000"))</f>
        <v/>
      </c>
      <c r="C1780" s="8" t="n"/>
      <c r="F1780" s="8" t="n"/>
      <c r="G1780" s="8">
        <f>IF(F1780&lt;&gt;"",HYPERLINK("https://www.google.com/maps/search/?api=1&amp;query="&amp;SUBSTITUTE(F1780," ",""),"🗺 Google Maps"),"")</f>
        <v/>
      </c>
      <c r="H1780" s="8">
        <f>IF(F1780&lt;&gt;"",HYPERLINK("https://waze.com/ul?ll="&amp;SUBSTITUTE(F1780," ","")&amp;"&amp;navigate=yes","🚗 Waze"),"")</f>
        <v/>
      </c>
      <c r="I1780" s="8">
        <f>IF(F1780&lt;&gt;"",HYPERLINK("https://m.uber.com/ul/?action=setPickup&amp;pickup=my_location&amp;dropoff[latitude]="&amp;LEFT(SUBSTITUTE(F1780," ",""),FIND(",",SUBSTITUTE(F1780," ",""))-1)&amp;"&amp;dropoff[longitude]="&amp;MID(SUBSTITUTE(F1780," ",""),FIND(",",SUBSTITUTE(F1780," ",""))+1,99),"🚕 Uber"),"")</f>
        <v/>
      </c>
      <c r="J1780" s="8">
        <f>IF(F1780&lt;&gt;"","https://api.qrserver.com/v1/create-qr-code/?size=200x200&amp;data="&amp;ENCODEURL("https://www.google.com/maps/search/?api=1&amp;query="&amp;SUBSTITUTE(F1780," ","")),"")</f>
        <v/>
      </c>
      <c r="K1780" s="8">
        <f>IF(C1780&lt;&gt;"",HYPERLINK("https://wa.me/507"&amp;REGEXREPLACE(C1780,"[^0-9]","")&amp;"?text="&amp;ENCODEURL("Ya llegue. Codigo: "&amp;A1780&amp;". Ubicacion: "&amp;"https://www.google.com/maps/search/?api=1&amp;query="&amp;SUBSTITUTE(F1780," ","")),"📲 Avisar al cliente"),"")</f>
        <v/>
      </c>
      <c r="L1780" s="8">
        <f>IF(C1780&lt;&gt;"","https://api.qrserver.com/v1/create-qr-code/?size=200x200&amp;data="&amp;ENCODEURL("https://wa.me/507"&amp;REGEXREPLACE(C1780,"[^0-9]","")&amp;"?text="&amp;ENCODEURL("Ya llegue. Codigo: "&amp;A1780&amp;". Ubicacion: "&amp;"https://www.google.com/maps/search/?api=1&amp;query="&amp;SUBSTITUTE(F1780," ",""))),"")</f>
        <v/>
      </c>
      <c r="M1780" s="8">
        <f>IF(B1780&lt;&gt;"",TODAY(),"")</f>
        <v/>
      </c>
      <c r="N1780" s="8">
        <f>IF(F1780&lt;&gt;"",IFERROR(IF(AND(REGEXMATCH(SUBSTITUTE(TRIM(F1780)," ",""),"^-?\d+(\.\d+)?,-?\d+(\.\d+)?$"),VALUE(REGEXEXTRACT(SUBSTITUTE(TRIM(F1780)," ",""),"^-?\d+(\.\d+)?"))&gt;=-90,VALUE(REGEXEXTRACT(SUBSTITUTE(TRIM(F1780)," ",""),"^-?\d+(\.\d+)?"))&lt;=90,VALUE(REGEXEXTRACT(SUBSTITUTE(TRIM(F1780)," ",""),"-?\d+(\.\d+)?$"))&gt;=-180,VALUE(REGEXEXTRACT(SUBSTITUTE(TRIM(F1780)," ",""),"-?\d+(\.\d+)?$"))&lt;=180),"OK","REVISAR"),"REVISAR"),"")</f>
        <v/>
      </c>
      <c r="O1780">
        <f>IF(A1780&lt;&gt;"","https://direcciones507.github.io/direcciones507/panel.html?codigo="&amp;A1780&amp;"&amp;nombre="&amp;ENCODEURL(B1780)&amp;"&amp;telefono="&amp;SUBSTITUTE(C1780,"-","")&amp;"&amp;referencia="&amp;ENCODEURL(E1780)&amp;"&amp;lat="&amp;IZQUIERDA(SUBSTITUTE(F1780," ",""),ENCONTRAR(",",SUBSTITUTE(F1780," ",""))-1)&amp;"&amp;lng="&amp;DERECHA(SUBSTITUTE(F1780," ",""),LARGO(SUBSTITUTE(F1780," ",""))-ENCONTRAR(",",SUBSTITUTE(F1780," ",""))),"")</f>
        <v/>
      </c>
    </row>
    <row r="1781" ht="15.75" customHeight="1" s="10">
      <c r="A1781" s="8">
        <f>CONCAT("AD507-",TEXT(ROW()-2,"0000"))</f>
        <v/>
      </c>
      <c r="C1781" s="8" t="n"/>
      <c r="F1781" s="8" t="n"/>
      <c r="G1781" s="8">
        <f>IF(F1781&lt;&gt;"",HYPERLINK("https://www.google.com/maps/search/?api=1&amp;query="&amp;SUBSTITUTE(F1781," ",""),"🗺 Google Maps"),"")</f>
        <v/>
      </c>
      <c r="H1781" s="8">
        <f>IF(F1781&lt;&gt;"",HYPERLINK("https://waze.com/ul?ll="&amp;SUBSTITUTE(F1781," ","")&amp;"&amp;navigate=yes","🚗 Waze"),"")</f>
        <v/>
      </c>
      <c r="I1781" s="8">
        <f>IF(F1781&lt;&gt;"",HYPERLINK("https://m.uber.com/ul/?action=setPickup&amp;pickup=my_location&amp;dropoff[latitude]="&amp;LEFT(SUBSTITUTE(F1781," ",""),FIND(",",SUBSTITUTE(F1781," ",""))-1)&amp;"&amp;dropoff[longitude]="&amp;MID(SUBSTITUTE(F1781," ",""),FIND(",",SUBSTITUTE(F1781," ",""))+1,99),"🚕 Uber"),"")</f>
        <v/>
      </c>
      <c r="J1781" s="8">
        <f>IF(F1781&lt;&gt;"","https://api.qrserver.com/v1/create-qr-code/?size=200x200&amp;data="&amp;ENCODEURL("https://www.google.com/maps/search/?api=1&amp;query="&amp;SUBSTITUTE(F1781," ","")),"")</f>
        <v/>
      </c>
      <c r="K1781" s="8">
        <f>IF(C1781&lt;&gt;"",HYPERLINK("https://wa.me/507"&amp;REGEXREPLACE(C1781,"[^0-9]","")&amp;"?text="&amp;ENCODEURL("Ya llegue. Codigo: "&amp;A1781&amp;". Ubicacion: "&amp;"https://www.google.com/maps/search/?api=1&amp;query="&amp;SUBSTITUTE(F1781," ","")),"📲 Avisar al cliente"),"")</f>
        <v/>
      </c>
      <c r="L1781" s="8">
        <f>IF(C1781&lt;&gt;"","https://api.qrserver.com/v1/create-qr-code/?size=200x200&amp;data="&amp;ENCODEURL("https://wa.me/507"&amp;REGEXREPLACE(C1781,"[^0-9]","")&amp;"?text="&amp;ENCODEURL("Ya llegue. Codigo: "&amp;A1781&amp;". Ubicacion: "&amp;"https://www.google.com/maps/search/?api=1&amp;query="&amp;SUBSTITUTE(F1781," ",""))),"")</f>
        <v/>
      </c>
      <c r="M1781" s="8">
        <f>IF(B1781&lt;&gt;"",TODAY(),"")</f>
        <v/>
      </c>
      <c r="N1781" s="8">
        <f>IF(F1781&lt;&gt;"",IFERROR(IF(AND(REGEXMATCH(SUBSTITUTE(TRIM(F1781)," ",""),"^-?\d+(\.\d+)?,-?\d+(\.\d+)?$"),VALUE(REGEXEXTRACT(SUBSTITUTE(TRIM(F1781)," ",""),"^-?\d+(\.\d+)?"))&gt;=-90,VALUE(REGEXEXTRACT(SUBSTITUTE(TRIM(F1781)," ",""),"^-?\d+(\.\d+)?"))&lt;=90,VALUE(REGEXEXTRACT(SUBSTITUTE(TRIM(F1781)," ",""),"-?\d+(\.\d+)?$"))&gt;=-180,VALUE(REGEXEXTRACT(SUBSTITUTE(TRIM(F1781)," ",""),"-?\d+(\.\d+)?$"))&lt;=180),"OK","REVISAR"),"REVISAR"),"")</f>
        <v/>
      </c>
      <c r="O1781">
        <f>IF(A1781&lt;&gt;"","https://direcciones507.github.io/direcciones507/panel.html?codigo="&amp;A1781&amp;"&amp;nombre="&amp;ENCODEURL(B1781)&amp;"&amp;telefono="&amp;SUBSTITUTE(C1781,"-","")&amp;"&amp;referencia="&amp;ENCODEURL(E1781)&amp;"&amp;lat="&amp;IZQUIERDA(SUBSTITUTE(F1781," ",""),ENCONTRAR(",",SUBSTITUTE(F1781," ",""))-1)&amp;"&amp;lng="&amp;DERECHA(SUBSTITUTE(F1781," ",""),LARGO(SUBSTITUTE(F1781," ",""))-ENCONTRAR(",",SUBSTITUTE(F1781," ",""))),"")</f>
        <v/>
      </c>
    </row>
    <row r="1782" ht="15.75" customHeight="1" s="10">
      <c r="A1782" s="8">
        <f>CONCAT("AD507-",TEXT(ROW()-2,"0000"))</f>
        <v/>
      </c>
      <c r="C1782" s="8" t="n"/>
      <c r="F1782" s="8" t="n"/>
      <c r="G1782" s="8">
        <f>IF(F1782&lt;&gt;"",HYPERLINK("https://www.google.com/maps/search/?api=1&amp;query="&amp;SUBSTITUTE(F1782," ",""),"🗺 Google Maps"),"")</f>
        <v/>
      </c>
      <c r="H1782" s="8">
        <f>IF(F1782&lt;&gt;"",HYPERLINK("https://waze.com/ul?ll="&amp;SUBSTITUTE(F1782," ","")&amp;"&amp;navigate=yes","🚗 Waze"),"")</f>
        <v/>
      </c>
      <c r="I1782" s="8">
        <f>IF(F1782&lt;&gt;"",HYPERLINK("https://m.uber.com/ul/?action=setPickup&amp;pickup=my_location&amp;dropoff[latitude]="&amp;LEFT(SUBSTITUTE(F1782," ",""),FIND(",",SUBSTITUTE(F1782," ",""))-1)&amp;"&amp;dropoff[longitude]="&amp;MID(SUBSTITUTE(F1782," ",""),FIND(",",SUBSTITUTE(F1782," ",""))+1,99),"🚕 Uber"),"")</f>
        <v/>
      </c>
      <c r="J1782" s="8">
        <f>IF(F1782&lt;&gt;"","https://api.qrserver.com/v1/create-qr-code/?size=200x200&amp;data="&amp;ENCODEURL("https://www.google.com/maps/search/?api=1&amp;query="&amp;SUBSTITUTE(F1782," ","")),"")</f>
        <v/>
      </c>
      <c r="K1782" s="8">
        <f>IF(C1782&lt;&gt;"",HYPERLINK("https://wa.me/507"&amp;REGEXREPLACE(C1782,"[^0-9]","")&amp;"?text="&amp;ENCODEURL("Ya llegue. Codigo: "&amp;A1782&amp;". Ubicacion: "&amp;"https://www.google.com/maps/search/?api=1&amp;query="&amp;SUBSTITUTE(F1782," ","")),"📲 Avisar al cliente"),"")</f>
        <v/>
      </c>
      <c r="L1782" s="8">
        <f>IF(C1782&lt;&gt;"","https://api.qrserver.com/v1/create-qr-code/?size=200x200&amp;data="&amp;ENCODEURL("https://wa.me/507"&amp;REGEXREPLACE(C1782,"[^0-9]","")&amp;"?text="&amp;ENCODEURL("Ya llegue. Codigo: "&amp;A1782&amp;". Ubicacion: "&amp;"https://www.google.com/maps/search/?api=1&amp;query="&amp;SUBSTITUTE(F1782," ",""))),"")</f>
        <v/>
      </c>
      <c r="M1782" s="8">
        <f>IF(B1782&lt;&gt;"",TODAY(),"")</f>
        <v/>
      </c>
      <c r="N1782" s="8">
        <f>IF(F1782&lt;&gt;"",IFERROR(IF(AND(REGEXMATCH(SUBSTITUTE(TRIM(F1782)," ",""),"^-?\d+(\.\d+)?,-?\d+(\.\d+)?$"),VALUE(REGEXEXTRACT(SUBSTITUTE(TRIM(F1782)," ",""),"^-?\d+(\.\d+)?"))&gt;=-90,VALUE(REGEXEXTRACT(SUBSTITUTE(TRIM(F1782)," ",""),"^-?\d+(\.\d+)?"))&lt;=90,VALUE(REGEXEXTRACT(SUBSTITUTE(TRIM(F1782)," ",""),"-?\d+(\.\d+)?$"))&gt;=-180,VALUE(REGEXEXTRACT(SUBSTITUTE(TRIM(F1782)," ",""),"-?\d+(\.\d+)?$"))&lt;=180),"OK","REVISAR"),"REVISAR"),"")</f>
        <v/>
      </c>
      <c r="O1782">
        <f>IF(A1782&lt;&gt;"","https://direcciones507.github.io/direcciones507/panel.html?codigo="&amp;A1782&amp;"&amp;nombre="&amp;ENCODEURL(B1782)&amp;"&amp;telefono="&amp;SUBSTITUTE(C1782,"-","")&amp;"&amp;referencia="&amp;ENCODEURL(E1782)&amp;"&amp;lat="&amp;IZQUIERDA(SUBSTITUTE(F1782," ",""),ENCONTRAR(",",SUBSTITUTE(F1782," ",""))-1)&amp;"&amp;lng="&amp;DERECHA(SUBSTITUTE(F1782," ",""),LARGO(SUBSTITUTE(F1782," ",""))-ENCONTRAR(",",SUBSTITUTE(F1782," ",""))),"")</f>
        <v/>
      </c>
    </row>
    <row r="1783" ht="15.75" customHeight="1" s="10">
      <c r="A1783" s="8">
        <f>CONCAT("AD507-",TEXT(ROW()-2,"0000"))</f>
        <v/>
      </c>
      <c r="C1783" s="8" t="n"/>
      <c r="F1783" s="8" t="n"/>
      <c r="G1783" s="8">
        <f>IF(F1783&lt;&gt;"",HYPERLINK("https://www.google.com/maps/search/?api=1&amp;query="&amp;SUBSTITUTE(F1783," ",""),"🗺 Google Maps"),"")</f>
        <v/>
      </c>
      <c r="H1783" s="8">
        <f>IF(F1783&lt;&gt;"",HYPERLINK("https://waze.com/ul?ll="&amp;SUBSTITUTE(F1783," ","")&amp;"&amp;navigate=yes","🚗 Waze"),"")</f>
        <v/>
      </c>
      <c r="I1783" s="8">
        <f>IF(F1783&lt;&gt;"",HYPERLINK("https://m.uber.com/ul/?action=setPickup&amp;pickup=my_location&amp;dropoff[latitude]="&amp;LEFT(SUBSTITUTE(F1783," ",""),FIND(",",SUBSTITUTE(F1783," ",""))-1)&amp;"&amp;dropoff[longitude]="&amp;MID(SUBSTITUTE(F1783," ",""),FIND(",",SUBSTITUTE(F1783," ",""))+1,99),"🚕 Uber"),"")</f>
        <v/>
      </c>
      <c r="J1783" s="8">
        <f>IF(F1783&lt;&gt;"","https://api.qrserver.com/v1/create-qr-code/?size=200x200&amp;data="&amp;ENCODEURL("https://www.google.com/maps/search/?api=1&amp;query="&amp;SUBSTITUTE(F1783," ","")),"")</f>
        <v/>
      </c>
      <c r="K1783" s="8">
        <f>IF(C1783&lt;&gt;"",HYPERLINK("https://wa.me/507"&amp;REGEXREPLACE(C1783,"[^0-9]","")&amp;"?text="&amp;ENCODEURL("Ya llegue. Codigo: "&amp;A1783&amp;". Ubicacion: "&amp;"https://www.google.com/maps/search/?api=1&amp;query="&amp;SUBSTITUTE(F1783," ","")),"📲 Avisar al cliente"),"")</f>
        <v/>
      </c>
      <c r="L1783" s="8">
        <f>IF(C1783&lt;&gt;"","https://api.qrserver.com/v1/create-qr-code/?size=200x200&amp;data="&amp;ENCODEURL("https://wa.me/507"&amp;REGEXREPLACE(C1783,"[^0-9]","")&amp;"?text="&amp;ENCODEURL("Ya llegue. Codigo: "&amp;A1783&amp;". Ubicacion: "&amp;"https://www.google.com/maps/search/?api=1&amp;query="&amp;SUBSTITUTE(F1783," ",""))),"")</f>
        <v/>
      </c>
      <c r="M1783" s="8">
        <f>IF(B1783&lt;&gt;"",TODAY(),"")</f>
        <v/>
      </c>
      <c r="N1783" s="8">
        <f>IF(F1783&lt;&gt;"",IFERROR(IF(AND(REGEXMATCH(SUBSTITUTE(TRIM(F1783)," ",""),"^-?\d+(\.\d+)?,-?\d+(\.\d+)?$"),VALUE(REGEXEXTRACT(SUBSTITUTE(TRIM(F1783)," ",""),"^-?\d+(\.\d+)?"))&gt;=-90,VALUE(REGEXEXTRACT(SUBSTITUTE(TRIM(F1783)," ",""),"^-?\d+(\.\d+)?"))&lt;=90,VALUE(REGEXEXTRACT(SUBSTITUTE(TRIM(F1783)," ",""),"-?\d+(\.\d+)?$"))&gt;=-180,VALUE(REGEXEXTRACT(SUBSTITUTE(TRIM(F1783)," ",""),"-?\d+(\.\d+)?$"))&lt;=180),"OK","REVISAR"),"REVISAR"),"")</f>
        <v/>
      </c>
      <c r="O1783">
        <f>IF(A1783&lt;&gt;"","https://direcciones507.github.io/direcciones507/panel.html?codigo="&amp;A1783&amp;"&amp;nombre="&amp;ENCODEURL(B1783)&amp;"&amp;telefono="&amp;SUBSTITUTE(C1783,"-","")&amp;"&amp;referencia="&amp;ENCODEURL(E1783)&amp;"&amp;lat="&amp;IZQUIERDA(SUBSTITUTE(F1783," ",""),ENCONTRAR(",",SUBSTITUTE(F1783," ",""))-1)&amp;"&amp;lng="&amp;DERECHA(SUBSTITUTE(F1783," ",""),LARGO(SUBSTITUTE(F1783," ",""))-ENCONTRAR(",",SUBSTITUTE(F1783," ",""))),"")</f>
        <v/>
      </c>
    </row>
    <row r="1784" ht="15.75" customHeight="1" s="10">
      <c r="A1784" s="8">
        <f>CONCAT("AD507-",TEXT(ROW()-2,"0000"))</f>
        <v/>
      </c>
      <c r="C1784" s="8" t="n"/>
      <c r="F1784" s="8" t="n"/>
      <c r="G1784" s="8">
        <f>IF(F1784&lt;&gt;"",HYPERLINK("https://www.google.com/maps/search/?api=1&amp;query="&amp;SUBSTITUTE(F1784," ",""),"🗺 Google Maps"),"")</f>
        <v/>
      </c>
      <c r="H1784" s="8">
        <f>IF(F1784&lt;&gt;"",HYPERLINK("https://waze.com/ul?ll="&amp;SUBSTITUTE(F1784," ","")&amp;"&amp;navigate=yes","🚗 Waze"),"")</f>
        <v/>
      </c>
      <c r="I1784" s="8">
        <f>IF(F1784&lt;&gt;"",HYPERLINK("https://m.uber.com/ul/?action=setPickup&amp;pickup=my_location&amp;dropoff[latitude]="&amp;LEFT(SUBSTITUTE(F1784," ",""),FIND(",",SUBSTITUTE(F1784," ",""))-1)&amp;"&amp;dropoff[longitude]="&amp;MID(SUBSTITUTE(F1784," ",""),FIND(",",SUBSTITUTE(F1784," ",""))+1,99),"🚕 Uber"),"")</f>
        <v/>
      </c>
      <c r="J1784" s="8">
        <f>IF(F1784&lt;&gt;"","https://api.qrserver.com/v1/create-qr-code/?size=200x200&amp;data="&amp;ENCODEURL("https://www.google.com/maps/search/?api=1&amp;query="&amp;SUBSTITUTE(F1784," ","")),"")</f>
        <v/>
      </c>
      <c r="K1784" s="8">
        <f>IF(C1784&lt;&gt;"",HYPERLINK("https://wa.me/507"&amp;REGEXREPLACE(C1784,"[^0-9]","")&amp;"?text="&amp;ENCODEURL("Ya llegue. Codigo: "&amp;A1784&amp;". Ubicacion: "&amp;"https://www.google.com/maps/search/?api=1&amp;query="&amp;SUBSTITUTE(F1784," ","")),"📲 Avisar al cliente"),"")</f>
        <v/>
      </c>
      <c r="L1784" s="8">
        <f>IF(C1784&lt;&gt;"","https://api.qrserver.com/v1/create-qr-code/?size=200x200&amp;data="&amp;ENCODEURL("https://wa.me/507"&amp;REGEXREPLACE(C1784,"[^0-9]","")&amp;"?text="&amp;ENCODEURL("Ya llegue. Codigo: "&amp;A1784&amp;". Ubicacion: "&amp;"https://www.google.com/maps/search/?api=1&amp;query="&amp;SUBSTITUTE(F1784," ",""))),"")</f>
        <v/>
      </c>
      <c r="M1784" s="8">
        <f>IF(B1784&lt;&gt;"",TODAY(),"")</f>
        <v/>
      </c>
      <c r="N1784" s="8">
        <f>IF(F1784&lt;&gt;"",IFERROR(IF(AND(REGEXMATCH(SUBSTITUTE(TRIM(F1784)," ",""),"^-?\d+(\.\d+)?,-?\d+(\.\d+)?$"),VALUE(REGEXEXTRACT(SUBSTITUTE(TRIM(F1784)," ",""),"^-?\d+(\.\d+)?"))&gt;=-90,VALUE(REGEXEXTRACT(SUBSTITUTE(TRIM(F1784)," ",""),"^-?\d+(\.\d+)?"))&lt;=90,VALUE(REGEXEXTRACT(SUBSTITUTE(TRIM(F1784)," ",""),"-?\d+(\.\d+)?$"))&gt;=-180,VALUE(REGEXEXTRACT(SUBSTITUTE(TRIM(F1784)," ",""),"-?\d+(\.\d+)?$"))&lt;=180),"OK","REVISAR"),"REVISAR"),"")</f>
        <v/>
      </c>
      <c r="O1784">
        <f>IF(A1784&lt;&gt;"","https://direcciones507.github.io/direcciones507/panel.html?codigo="&amp;A1784&amp;"&amp;nombre="&amp;ENCODEURL(B1784)&amp;"&amp;telefono="&amp;SUBSTITUTE(C1784,"-","")&amp;"&amp;referencia="&amp;ENCODEURL(E1784)&amp;"&amp;lat="&amp;IZQUIERDA(SUBSTITUTE(F1784," ",""),ENCONTRAR(",",SUBSTITUTE(F1784," ",""))-1)&amp;"&amp;lng="&amp;DERECHA(SUBSTITUTE(F1784," ",""),LARGO(SUBSTITUTE(F1784," ",""))-ENCONTRAR(",",SUBSTITUTE(F1784," ",""))),"")</f>
        <v/>
      </c>
    </row>
    <row r="1785" ht="15.75" customHeight="1" s="10">
      <c r="A1785" s="8">
        <f>CONCAT("AD507-",TEXT(ROW()-2,"0000"))</f>
        <v/>
      </c>
      <c r="C1785" s="8" t="n"/>
      <c r="F1785" s="8" t="n"/>
      <c r="G1785" s="8">
        <f>IF(F1785&lt;&gt;"",HYPERLINK("https://www.google.com/maps/search/?api=1&amp;query="&amp;SUBSTITUTE(F1785," ",""),"🗺 Google Maps"),"")</f>
        <v/>
      </c>
      <c r="H1785" s="8">
        <f>IF(F1785&lt;&gt;"",HYPERLINK("https://waze.com/ul?ll="&amp;SUBSTITUTE(F1785," ","")&amp;"&amp;navigate=yes","🚗 Waze"),"")</f>
        <v/>
      </c>
      <c r="I1785" s="8">
        <f>IF(F1785&lt;&gt;"",HYPERLINK("https://m.uber.com/ul/?action=setPickup&amp;pickup=my_location&amp;dropoff[latitude]="&amp;LEFT(SUBSTITUTE(F1785," ",""),FIND(",",SUBSTITUTE(F1785," ",""))-1)&amp;"&amp;dropoff[longitude]="&amp;MID(SUBSTITUTE(F1785," ",""),FIND(",",SUBSTITUTE(F1785," ",""))+1,99),"🚕 Uber"),"")</f>
        <v/>
      </c>
      <c r="J1785" s="8">
        <f>IF(F1785&lt;&gt;"","https://api.qrserver.com/v1/create-qr-code/?size=200x200&amp;data="&amp;ENCODEURL("https://www.google.com/maps/search/?api=1&amp;query="&amp;SUBSTITUTE(F1785," ","")),"")</f>
        <v/>
      </c>
      <c r="K1785" s="8">
        <f>IF(C1785&lt;&gt;"",HYPERLINK("https://wa.me/507"&amp;REGEXREPLACE(C1785,"[^0-9]","")&amp;"?text="&amp;ENCODEURL("Ya llegue. Codigo: "&amp;A1785&amp;". Ubicacion: "&amp;"https://www.google.com/maps/search/?api=1&amp;query="&amp;SUBSTITUTE(F1785," ","")),"📲 Avisar al cliente"),"")</f>
        <v/>
      </c>
      <c r="L1785" s="8">
        <f>IF(C1785&lt;&gt;"","https://api.qrserver.com/v1/create-qr-code/?size=200x200&amp;data="&amp;ENCODEURL("https://wa.me/507"&amp;REGEXREPLACE(C1785,"[^0-9]","")&amp;"?text="&amp;ENCODEURL("Ya llegue. Codigo: "&amp;A1785&amp;". Ubicacion: "&amp;"https://www.google.com/maps/search/?api=1&amp;query="&amp;SUBSTITUTE(F1785," ",""))),"")</f>
        <v/>
      </c>
      <c r="M1785" s="8">
        <f>IF(B1785&lt;&gt;"",TODAY(),"")</f>
        <v/>
      </c>
      <c r="N1785" s="8">
        <f>IF(F1785&lt;&gt;"",IFERROR(IF(AND(REGEXMATCH(SUBSTITUTE(TRIM(F1785)," ",""),"^-?\d+(\.\d+)?,-?\d+(\.\d+)?$"),VALUE(REGEXEXTRACT(SUBSTITUTE(TRIM(F1785)," ",""),"^-?\d+(\.\d+)?"))&gt;=-90,VALUE(REGEXEXTRACT(SUBSTITUTE(TRIM(F1785)," ",""),"^-?\d+(\.\d+)?"))&lt;=90,VALUE(REGEXEXTRACT(SUBSTITUTE(TRIM(F1785)," ",""),"-?\d+(\.\d+)?$"))&gt;=-180,VALUE(REGEXEXTRACT(SUBSTITUTE(TRIM(F1785)," ",""),"-?\d+(\.\d+)?$"))&lt;=180),"OK","REVISAR"),"REVISAR"),"")</f>
        <v/>
      </c>
      <c r="O1785">
        <f>IF(A1785&lt;&gt;"","https://direcciones507.github.io/direcciones507/panel.html?codigo="&amp;A1785&amp;"&amp;nombre="&amp;ENCODEURL(B1785)&amp;"&amp;telefono="&amp;SUBSTITUTE(C1785,"-","")&amp;"&amp;referencia="&amp;ENCODEURL(E1785)&amp;"&amp;lat="&amp;IZQUIERDA(SUBSTITUTE(F1785," ",""),ENCONTRAR(",",SUBSTITUTE(F1785," ",""))-1)&amp;"&amp;lng="&amp;DERECHA(SUBSTITUTE(F1785," ",""),LARGO(SUBSTITUTE(F1785," ",""))-ENCONTRAR(",",SUBSTITUTE(F1785," ",""))),"")</f>
        <v/>
      </c>
    </row>
    <row r="1786" ht="15.75" customHeight="1" s="10">
      <c r="A1786" s="8">
        <f>CONCAT("AD507-",TEXT(ROW()-2,"0000"))</f>
        <v/>
      </c>
      <c r="C1786" s="8" t="n"/>
      <c r="F1786" s="8" t="n"/>
      <c r="G1786" s="8">
        <f>IF(F1786&lt;&gt;"",HYPERLINK("https://www.google.com/maps/search/?api=1&amp;query="&amp;SUBSTITUTE(F1786," ",""),"🗺 Google Maps"),"")</f>
        <v/>
      </c>
      <c r="H1786" s="8">
        <f>IF(F1786&lt;&gt;"",HYPERLINK("https://waze.com/ul?ll="&amp;SUBSTITUTE(F1786," ","")&amp;"&amp;navigate=yes","🚗 Waze"),"")</f>
        <v/>
      </c>
      <c r="I1786" s="8">
        <f>IF(F1786&lt;&gt;"",HYPERLINK("https://m.uber.com/ul/?action=setPickup&amp;pickup=my_location&amp;dropoff[latitude]="&amp;LEFT(SUBSTITUTE(F1786," ",""),FIND(",",SUBSTITUTE(F1786," ",""))-1)&amp;"&amp;dropoff[longitude]="&amp;MID(SUBSTITUTE(F1786," ",""),FIND(",",SUBSTITUTE(F1786," ",""))+1,99),"🚕 Uber"),"")</f>
        <v/>
      </c>
      <c r="J1786" s="8">
        <f>IF(F1786&lt;&gt;"","https://api.qrserver.com/v1/create-qr-code/?size=200x200&amp;data="&amp;ENCODEURL("https://www.google.com/maps/search/?api=1&amp;query="&amp;SUBSTITUTE(F1786," ","")),"")</f>
        <v/>
      </c>
      <c r="K1786" s="8">
        <f>IF(C1786&lt;&gt;"",HYPERLINK("https://wa.me/507"&amp;REGEXREPLACE(C1786,"[^0-9]","")&amp;"?text="&amp;ENCODEURL("Ya llegue. Codigo: "&amp;A1786&amp;". Ubicacion: "&amp;"https://www.google.com/maps/search/?api=1&amp;query="&amp;SUBSTITUTE(F1786," ","")),"📲 Avisar al cliente"),"")</f>
        <v/>
      </c>
      <c r="L1786" s="8">
        <f>IF(C1786&lt;&gt;"","https://api.qrserver.com/v1/create-qr-code/?size=200x200&amp;data="&amp;ENCODEURL("https://wa.me/507"&amp;REGEXREPLACE(C1786,"[^0-9]","")&amp;"?text="&amp;ENCODEURL("Ya llegue. Codigo: "&amp;A1786&amp;". Ubicacion: "&amp;"https://www.google.com/maps/search/?api=1&amp;query="&amp;SUBSTITUTE(F1786," ",""))),"")</f>
        <v/>
      </c>
      <c r="M1786" s="8">
        <f>IF(B1786&lt;&gt;"",TODAY(),"")</f>
        <v/>
      </c>
      <c r="N1786" s="8">
        <f>IF(F1786&lt;&gt;"",IFERROR(IF(AND(REGEXMATCH(SUBSTITUTE(TRIM(F1786)," ",""),"^-?\d+(\.\d+)?,-?\d+(\.\d+)?$"),VALUE(REGEXEXTRACT(SUBSTITUTE(TRIM(F1786)," ",""),"^-?\d+(\.\d+)?"))&gt;=-90,VALUE(REGEXEXTRACT(SUBSTITUTE(TRIM(F1786)," ",""),"^-?\d+(\.\d+)?"))&lt;=90,VALUE(REGEXEXTRACT(SUBSTITUTE(TRIM(F1786)," ",""),"-?\d+(\.\d+)?$"))&gt;=-180,VALUE(REGEXEXTRACT(SUBSTITUTE(TRIM(F1786)," ",""),"-?\d+(\.\d+)?$"))&lt;=180),"OK","REVISAR"),"REVISAR"),"")</f>
        <v/>
      </c>
      <c r="O1786">
        <f>IF(A1786&lt;&gt;"","https://direcciones507.github.io/direcciones507/panel.html?codigo="&amp;A1786&amp;"&amp;nombre="&amp;ENCODEURL(B1786)&amp;"&amp;telefono="&amp;SUBSTITUTE(C1786,"-","")&amp;"&amp;referencia="&amp;ENCODEURL(E1786)&amp;"&amp;lat="&amp;IZQUIERDA(SUBSTITUTE(F1786," ",""),ENCONTRAR(",",SUBSTITUTE(F1786," ",""))-1)&amp;"&amp;lng="&amp;DERECHA(SUBSTITUTE(F1786," ",""),LARGO(SUBSTITUTE(F1786," ",""))-ENCONTRAR(",",SUBSTITUTE(F1786," ",""))),"")</f>
        <v/>
      </c>
    </row>
    <row r="1787" ht="15.75" customHeight="1" s="10">
      <c r="A1787" s="8">
        <f>CONCAT("AD507-",TEXT(ROW()-2,"0000"))</f>
        <v/>
      </c>
      <c r="C1787" s="8" t="n"/>
      <c r="F1787" s="8" t="n"/>
      <c r="G1787" s="8">
        <f>IF(F1787&lt;&gt;"",HYPERLINK("https://www.google.com/maps/search/?api=1&amp;query="&amp;SUBSTITUTE(F1787," ",""),"🗺 Google Maps"),"")</f>
        <v/>
      </c>
      <c r="H1787" s="8">
        <f>IF(F1787&lt;&gt;"",HYPERLINK("https://waze.com/ul?ll="&amp;SUBSTITUTE(F1787," ","")&amp;"&amp;navigate=yes","🚗 Waze"),"")</f>
        <v/>
      </c>
      <c r="I1787" s="8">
        <f>IF(F1787&lt;&gt;"",HYPERLINK("https://m.uber.com/ul/?action=setPickup&amp;pickup=my_location&amp;dropoff[latitude]="&amp;LEFT(SUBSTITUTE(F1787," ",""),FIND(",",SUBSTITUTE(F1787," ",""))-1)&amp;"&amp;dropoff[longitude]="&amp;MID(SUBSTITUTE(F1787," ",""),FIND(",",SUBSTITUTE(F1787," ",""))+1,99),"🚕 Uber"),"")</f>
        <v/>
      </c>
      <c r="J1787" s="8">
        <f>IF(F1787&lt;&gt;"","https://api.qrserver.com/v1/create-qr-code/?size=200x200&amp;data="&amp;ENCODEURL("https://www.google.com/maps/search/?api=1&amp;query="&amp;SUBSTITUTE(F1787," ","")),"")</f>
        <v/>
      </c>
      <c r="K1787" s="8">
        <f>IF(C1787&lt;&gt;"",HYPERLINK("https://wa.me/507"&amp;REGEXREPLACE(C1787,"[^0-9]","")&amp;"?text="&amp;ENCODEURL("Ya llegue. Codigo: "&amp;A1787&amp;". Ubicacion: "&amp;"https://www.google.com/maps/search/?api=1&amp;query="&amp;SUBSTITUTE(F1787," ","")),"📲 Avisar al cliente"),"")</f>
        <v/>
      </c>
      <c r="L1787" s="8">
        <f>IF(C1787&lt;&gt;"","https://api.qrserver.com/v1/create-qr-code/?size=200x200&amp;data="&amp;ENCODEURL("https://wa.me/507"&amp;REGEXREPLACE(C1787,"[^0-9]","")&amp;"?text="&amp;ENCODEURL("Ya llegue. Codigo: "&amp;A1787&amp;". Ubicacion: "&amp;"https://www.google.com/maps/search/?api=1&amp;query="&amp;SUBSTITUTE(F1787," ",""))),"")</f>
        <v/>
      </c>
      <c r="M1787" s="8">
        <f>IF(B1787&lt;&gt;"",TODAY(),"")</f>
        <v/>
      </c>
      <c r="N1787" s="8">
        <f>IF(F1787&lt;&gt;"",IFERROR(IF(AND(REGEXMATCH(SUBSTITUTE(TRIM(F1787)," ",""),"^-?\d+(\.\d+)?,-?\d+(\.\d+)?$"),VALUE(REGEXEXTRACT(SUBSTITUTE(TRIM(F1787)," ",""),"^-?\d+(\.\d+)?"))&gt;=-90,VALUE(REGEXEXTRACT(SUBSTITUTE(TRIM(F1787)," ",""),"^-?\d+(\.\d+)?"))&lt;=90,VALUE(REGEXEXTRACT(SUBSTITUTE(TRIM(F1787)," ",""),"-?\d+(\.\d+)?$"))&gt;=-180,VALUE(REGEXEXTRACT(SUBSTITUTE(TRIM(F1787)," ",""),"-?\d+(\.\d+)?$"))&lt;=180),"OK","REVISAR"),"REVISAR"),"")</f>
        <v/>
      </c>
      <c r="O1787">
        <f>IF(A1787&lt;&gt;"","https://direcciones507.github.io/direcciones507/panel.html?codigo="&amp;A1787&amp;"&amp;nombre="&amp;ENCODEURL(B1787)&amp;"&amp;telefono="&amp;SUBSTITUTE(C1787,"-","")&amp;"&amp;referencia="&amp;ENCODEURL(E1787)&amp;"&amp;lat="&amp;IZQUIERDA(SUBSTITUTE(F1787," ",""),ENCONTRAR(",",SUBSTITUTE(F1787," ",""))-1)&amp;"&amp;lng="&amp;DERECHA(SUBSTITUTE(F1787," ",""),LARGO(SUBSTITUTE(F1787," ",""))-ENCONTRAR(",",SUBSTITUTE(F1787," ",""))),"")</f>
        <v/>
      </c>
    </row>
    <row r="1788" ht="15.75" customHeight="1" s="10">
      <c r="A1788" s="8">
        <f>CONCAT("AD507-",TEXT(ROW()-2,"0000"))</f>
        <v/>
      </c>
      <c r="C1788" s="8" t="n"/>
      <c r="F1788" s="8" t="n"/>
      <c r="G1788" s="8">
        <f>IF(F1788&lt;&gt;"",HYPERLINK("https://www.google.com/maps/search/?api=1&amp;query="&amp;SUBSTITUTE(F1788," ",""),"🗺 Google Maps"),"")</f>
        <v/>
      </c>
      <c r="H1788" s="8">
        <f>IF(F1788&lt;&gt;"",HYPERLINK("https://waze.com/ul?ll="&amp;SUBSTITUTE(F1788," ","")&amp;"&amp;navigate=yes","🚗 Waze"),"")</f>
        <v/>
      </c>
      <c r="I1788" s="8">
        <f>IF(F1788&lt;&gt;"",HYPERLINK("https://m.uber.com/ul/?action=setPickup&amp;pickup=my_location&amp;dropoff[latitude]="&amp;LEFT(SUBSTITUTE(F1788," ",""),FIND(",",SUBSTITUTE(F1788," ",""))-1)&amp;"&amp;dropoff[longitude]="&amp;MID(SUBSTITUTE(F1788," ",""),FIND(",",SUBSTITUTE(F1788," ",""))+1,99),"🚕 Uber"),"")</f>
        <v/>
      </c>
      <c r="J1788" s="8">
        <f>IF(F1788&lt;&gt;"","https://api.qrserver.com/v1/create-qr-code/?size=200x200&amp;data="&amp;ENCODEURL("https://www.google.com/maps/search/?api=1&amp;query="&amp;SUBSTITUTE(F1788," ","")),"")</f>
        <v/>
      </c>
      <c r="K1788" s="8">
        <f>IF(C1788&lt;&gt;"",HYPERLINK("https://wa.me/507"&amp;REGEXREPLACE(C1788,"[^0-9]","")&amp;"?text="&amp;ENCODEURL("Ya llegue. Codigo: "&amp;A1788&amp;". Ubicacion: "&amp;"https://www.google.com/maps/search/?api=1&amp;query="&amp;SUBSTITUTE(F1788," ","")),"📲 Avisar al cliente"),"")</f>
        <v/>
      </c>
      <c r="L1788" s="8">
        <f>IF(C1788&lt;&gt;"","https://api.qrserver.com/v1/create-qr-code/?size=200x200&amp;data="&amp;ENCODEURL("https://wa.me/507"&amp;REGEXREPLACE(C1788,"[^0-9]","")&amp;"?text="&amp;ENCODEURL("Ya llegue. Codigo: "&amp;A1788&amp;". Ubicacion: "&amp;"https://www.google.com/maps/search/?api=1&amp;query="&amp;SUBSTITUTE(F1788," ",""))),"")</f>
        <v/>
      </c>
      <c r="M1788" s="8">
        <f>IF(B1788&lt;&gt;"",TODAY(),"")</f>
        <v/>
      </c>
      <c r="N1788" s="8">
        <f>IF(F1788&lt;&gt;"",IFERROR(IF(AND(REGEXMATCH(SUBSTITUTE(TRIM(F1788)," ",""),"^-?\d+(\.\d+)?,-?\d+(\.\d+)?$"),VALUE(REGEXEXTRACT(SUBSTITUTE(TRIM(F1788)," ",""),"^-?\d+(\.\d+)?"))&gt;=-90,VALUE(REGEXEXTRACT(SUBSTITUTE(TRIM(F1788)," ",""),"^-?\d+(\.\d+)?"))&lt;=90,VALUE(REGEXEXTRACT(SUBSTITUTE(TRIM(F1788)," ",""),"-?\d+(\.\d+)?$"))&gt;=-180,VALUE(REGEXEXTRACT(SUBSTITUTE(TRIM(F1788)," ",""),"-?\d+(\.\d+)?$"))&lt;=180),"OK","REVISAR"),"REVISAR"),"")</f>
        <v/>
      </c>
      <c r="O1788">
        <f>IF(A1788&lt;&gt;"","https://direcciones507.github.io/direcciones507/panel.html?codigo="&amp;A1788&amp;"&amp;nombre="&amp;ENCODEURL(B1788)&amp;"&amp;telefono="&amp;SUBSTITUTE(C1788,"-","")&amp;"&amp;referencia="&amp;ENCODEURL(E1788)&amp;"&amp;lat="&amp;IZQUIERDA(SUBSTITUTE(F1788," ",""),ENCONTRAR(",",SUBSTITUTE(F1788," ",""))-1)&amp;"&amp;lng="&amp;DERECHA(SUBSTITUTE(F1788," ",""),LARGO(SUBSTITUTE(F1788," ",""))-ENCONTRAR(",",SUBSTITUTE(F1788," ",""))),"")</f>
        <v/>
      </c>
    </row>
    <row r="1789" ht="15.75" customHeight="1" s="10">
      <c r="A1789" s="8">
        <f>CONCAT("AD507-",TEXT(ROW()-2,"0000"))</f>
        <v/>
      </c>
      <c r="C1789" s="8" t="n"/>
      <c r="F1789" s="8" t="n"/>
      <c r="G1789" s="8">
        <f>IF(F1789&lt;&gt;"",HYPERLINK("https://www.google.com/maps/search/?api=1&amp;query="&amp;SUBSTITUTE(F1789," ",""),"🗺 Google Maps"),"")</f>
        <v/>
      </c>
      <c r="H1789" s="8">
        <f>IF(F1789&lt;&gt;"",HYPERLINK("https://waze.com/ul?ll="&amp;SUBSTITUTE(F1789," ","")&amp;"&amp;navigate=yes","🚗 Waze"),"")</f>
        <v/>
      </c>
      <c r="I1789" s="8">
        <f>IF(F1789&lt;&gt;"",HYPERLINK("https://m.uber.com/ul/?action=setPickup&amp;pickup=my_location&amp;dropoff[latitude]="&amp;LEFT(SUBSTITUTE(F1789," ",""),FIND(",",SUBSTITUTE(F1789," ",""))-1)&amp;"&amp;dropoff[longitude]="&amp;MID(SUBSTITUTE(F1789," ",""),FIND(",",SUBSTITUTE(F1789," ",""))+1,99),"🚕 Uber"),"")</f>
        <v/>
      </c>
      <c r="J1789" s="8">
        <f>IF(F1789&lt;&gt;"","https://api.qrserver.com/v1/create-qr-code/?size=200x200&amp;data="&amp;ENCODEURL("https://www.google.com/maps/search/?api=1&amp;query="&amp;SUBSTITUTE(F1789," ","")),"")</f>
        <v/>
      </c>
      <c r="K1789" s="8">
        <f>IF(C1789&lt;&gt;"",HYPERLINK("https://wa.me/507"&amp;REGEXREPLACE(C1789,"[^0-9]","")&amp;"?text="&amp;ENCODEURL("Ya llegue. Codigo: "&amp;A1789&amp;". Ubicacion: "&amp;"https://www.google.com/maps/search/?api=1&amp;query="&amp;SUBSTITUTE(F1789," ","")),"📲 Avisar al cliente"),"")</f>
        <v/>
      </c>
      <c r="L1789" s="8">
        <f>IF(C1789&lt;&gt;"","https://api.qrserver.com/v1/create-qr-code/?size=200x200&amp;data="&amp;ENCODEURL("https://wa.me/507"&amp;REGEXREPLACE(C1789,"[^0-9]","")&amp;"?text="&amp;ENCODEURL("Ya llegue. Codigo: "&amp;A1789&amp;". Ubicacion: "&amp;"https://www.google.com/maps/search/?api=1&amp;query="&amp;SUBSTITUTE(F1789," ",""))),"")</f>
        <v/>
      </c>
      <c r="M1789" s="8">
        <f>IF(B1789&lt;&gt;"",TODAY(),"")</f>
        <v/>
      </c>
      <c r="N1789" s="8">
        <f>IF(F1789&lt;&gt;"",IFERROR(IF(AND(REGEXMATCH(SUBSTITUTE(TRIM(F1789)," ",""),"^-?\d+(\.\d+)?,-?\d+(\.\d+)?$"),VALUE(REGEXEXTRACT(SUBSTITUTE(TRIM(F1789)," ",""),"^-?\d+(\.\d+)?"))&gt;=-90,VALUE(REGEXEXTRACT(SUBSTITUTE(TRIM(F1789)," ",""),"^-?\d+(\.\d+)?"))&lt;=90,VALUE(REGEXEXTRACT(SUBSTITUTE(TRIM(F1789)," ",""),"-?\d+(\.\d+)?$"))&gt;=-180,VALUE(REGEXEXTRACT(SUBSTITUTE(TRIM(F1789)," ",""),"-?\d+(\.\d+)?$"))&lt;=180),"OK","REVISAR"),"REVISAR"),"")</f>
        <v/>
      </c>
      <c r="O1789">
        <f>IF(A1789&lt;&gt;"","https://direcciones507.github.io/direcciones507/panel.html?codigo="&amp;A1789&amp;"&amp;nombre="&amp;ENCODEURL(B1789)&amp;"&amp;telefono="&amp;SUBSTITUTE(C1789,"-","")&amp;"&amp;referencia="&amp;ENCODEURL(E1789)&amp;"&amp;lat="&amp;IZQUIERDA(SUBSTITUTE(F1789," ",""),ENCONTRAR(",",SUBSTITUTE(F1789," ",""))-1)&amp;"&amp;lng="&amp;DERECHA(SUBSTITUTE(F1789," ",""),LARGO(SUBSTITUTE(F1789," ",""))-ENCONTRAR(",",SUBSTITUTE(F1789," ",""))),"")</f>
        <v/>
      </c>
    </row>
    <row r="1790" ht="15.75" customHeight="1" s="10">
      <c r="A1790" s="8">
        <f>CONCAT("AD507-",TEXT(ROW()-2,"0000"))</f>
        <v/>
      </c>
      <c r="C1790" s="8" t="n"/>
      <c r="F1790" s="8" t="n"/>
      <c r="G1790" s="8">
        <f>IF(F1790&lt;&gt;"",HYPERLINK("https://www.google.com/maps/search/?api=1&amp;query="&amp;SUBSTITUTE(F1790," ",""),"🗺 Google Maps"),"")</f>
        <v/>
      </c>
      <c r="H1790" s="8">
        <f>IF(F1790&lt;&gt;"",HYPERLINK("https://waze.com/ul?ll="&amp;SUBSTITUTE(F1790," ","")&amp;"&amp;navigate=yes","🚗 Waze"),"")</f>
        <v/>
      </c>
      <c r="I1790" s="8">
        <f>IF(F1790&lt;&gt;"",HYPERLINK("https://m.uber.com/ul/?action=setPickup&amp;pickup=my_location&amp;dropoff[latitude]="&amp;LEFT(SUBSTITUTE(F1790," ",""),FIND(",",SUBSTITUTE(F1790," ",""))-1)&amp;"&amp;dropoff[longitude]="&amp;MID(SUBSTITUTE(F1790," ",""),FIND(",",SUBSTITUTE(F1790," ",""))+1,99),"🚕 Uber"),"")</f>
        <v/>
      </c>
      <c r="J1790" s="8">
        <f>IF(F1790&lt;&gt;"","https://api.qrserver.com/v1/create-qr-code/?size=200x200&amp;data="&amp;ENCODEURL("https://www.google.com/maps/search/?api=1&amp;query="&amp;SUBSTITUTE(F1790," ","")),"")</f>
        <v/>
      </c>
      <c r="K1790" s="8">
        <f>IF(C1790&lt;&gt;"",HYPERLINK("https://wa.me/507"&amp;REGEXREPLACE(C1790,"[^0-9]","")&amp;"?text="&amp;ENCODEURL("Ya llegue. Codigo: "&amp;A1790&amp;". Ubicacion: "&amp;"https://www.google.com/maps/search/?api=1&amp;query="&amp;SUBSTITUTE(F1790," ","")),"📲 Avisar al cliente"),"")</f>
        <v/>
      </c>
      <c r="L1790" s="8">
        <f>IF(C1790&lt;&gt;"","https://api.qrserver.com/v1/create-qr-code/?size=200x200&amp;data="&amp;ENCODEURL("https://wa.me/507"&amp;REGEXREPLACE(C1790,"[^0-9]","")&amp;"?text="&amp;ENCODEURL("Ya llegue. Codigo: "&amp;A1790&amp;". Ubicacion: "&amp;"https://www.google.com/maps/search/?api=1&amp;query="&amp;SUBSTITUTE(F1790," ",""))),"")</f>
        <v/>
      </c>
      <c r="M1790" s="8">
        <f>IF(B1790&lt;&gt;"",TODAY(),"")</f>
        <v/>
      </c>
      <c r="N1790" s="8">
        <f>IF(F1790&lt;&gt;"",IFERROR(IF(AND(REGEXMATCH(SUBSTITUTE(TRIM(F1790)," ",""),"^-?\d+(\.\d+)?,-?\d+(\.\d+)?$"),VALUE(REGEXEXTRACT(SUBSTITUTE(TRIM(F1790)," ",""),"^-?\d+(\.\d+)?"))&gt;=-90,VALUE(REGEXEXTRACT(SUBSTITUTE(TRIM(F1790)," ",""),"^-?\d+(\.\d+)?"))&lt;=90,VALUE(REGEXEXTRACT(SUBSTITUTE(TRIM(F1790)," ",""),"-?\d+(\.\d+)?$"))&gt;=-180,VALUE(REGEXEXTRACT(SUBSTITUTE(TRIM(F1790)," ",""),"-?\d+(\.\d+)?$"))&lt;=180),"OK","REVISAR"),"REVISAR"),"")</f>
        <v/>
      </c>
      <c r="O1790">
        <f>IF(A1790&lt;&gt;"","https://direcciones507.github.io/direcciones507/panel.html?codigo="&amp;A1790&amp;"&amp;nombre="&amp;ENCODEURL(B1790)&amp;"&amp;telefono="&amp;SUBSTITUTE(C1790,"-","")&amp;"&amp;referencia="&amp;ENCODEURL(E1790)&amp;"&amp;lat="&amp;IZQUIERDA(SUBSTITUTE(F1790," ",""),ENCONTRAR(",",SUBSTITUTE(F1790," ",""))-1)&amp;"&amp;lng="&amp;DERECHA(SUBSTITUTE(F1790," ",""),LARGO(SUBSTITUTE(F1790," ",""))-ENCONTRAR(",",SUBSTITUTE(F1790," ",""))),"")</f>
        <v/>
      </c>
    </row>
    <row r="1791" ht="15.75" customHeight="1" s="10">
      <c r="A1791" s="8">
        <f>CONCAT("AD507-",TEXT(ROW()-2,"0000"))</f>
        <v/>
      </c>
      <c r="C1791" s="8" t="n"/>
      <c r="F1791" s="8" t="n"/>
      <c r="G1791" s="8">
        <f>IF(F1791&lt;&gt;"",HYPERLINK("https://www.google.com/maps/search/?api=1&amp;query="&amp;SUBSTITUTE(F1791," ",""),"🗺 Google Maps"),"")</f>
        <v/>
      </c>
      <c r="H1791" s="8">
        <f>IF(F1791&lt;&gt;"",HYPERLINK("https://waze.com/ul?ll="&amp;SUBSTITUTE(F1791," ","")&amp;"&amp;navigate=yes","🚗 Waze"),"")</f>
        <v/>
      </c>
      <c r="I1791" s="8">
        <f>IF(F1791&lt;&gt;"",HYPERLINK("https://m.uber.com/ul/?action=setPickup&amp;pickup=my_location&amp;dropoff[latitude]="&amp;LEFT(SUBSTITUTE(F1791," ",""),FIND(",",SUBSTITUTE(F1791," ",""))-1)&amp;"&amp;dropoff[longitude]="&amp;MID(SUBSTITUTE(F1791," ",""),FIND(",",SUBSTITUTE(F1791," ",""))+1,99),"🚕 Uber"),"")</f>
        <v/>
      </c>
      <c r="J1791" s="8">
        <f>IF(F1791&lt;&gt;"","https://api.qrserver.com/v1/create-qr-code/?size=200x200&amp;data="&amp;ENCODEURL("https://www.google.com/maps/search/?api=1&amp;query="&amp;SUBSTITUTE(F1791," ","")),"")</f>
        <v/>
      </c>
      <c r="K1791" s="8">
        <f>IF(C1791&lt;&gt;"",HYPERLINK("https://wa.me/507"&amp;REGEXREPLACE(C1791,"[^0-9]","")&amp;"?text="&amp;ENCODEURL("Ya llegue. Codigo: "&amp;A1791&amp;". Ubicacion: "&amp;"https://www.google.com/maps/search/?api=1&amp;query="&amp;SUBSTITUTE(F1791," ","")),"📲 Avisar al cliente"),"")</f>
        <v/>
      </c>
      <c r="L1791" s="8">
        <f>IF(C1791&lt;&gt;"","https://api.qrserver.com/v1/create-qr-code/?size=200x200&amp;data="&amp;ENCODEURL("https://wa.me/507"&amp;REGEXREPLACE(C1791,"[^0-9]","")&amp;"?text="&amp;ENCODEURL("Ya llegue. Codigo: "&amp;A1791&amp;". Ubicacion: "&amp;"https://www.google.com/maps/search/?api=1&amp;query="&amp;SUBSTITUTE(F1791," ",""))),"")</f>
        <v/>
      </c>
      <c r="M1791" s="8">
        <f>IF(B1791&lt;&gt;"",TODAY(),"")</f>
        <v/>
      </c>
      <c r="N1791" s="8">
        <f>IF(F1791&lt;&gt;"",IFERROR(IF(AND(REGEXMATCH(SUBSTITUTE(TRIM(F1791)," ",""),"^-?\d+(\.\d+)?,-?\d+(\.\d+)?$"),VALUE(REGEXEXTRACT(SUBSTITUTE(TRIM(F1791)," ",""),"^-?\d+(\.\d+)?"))&gt;=-90,VALUE(REGEXEXTRACT(SUBSTITUTE(TRIM(F1791)," ",""),"^-?\d+(\.\d+)?"))&lt;=90,VALUE(REGEXEXTRACT(SUBSTITUTE(TRIM(F1791)," ",""),"-?\d+(\.\d+)?$"))&gt;=-180,VALUE(REGEXEXTRACT(SUBSTITUTE(TRIM(F1791)," ",""),"-?\d+(\.\d+)?$"))&lt;=180),"OK","REVISAR"),"REVISAR"),"")</f>
        <v/>
      </c>
      <c r="O1791">
        <f>IF(A1791&lt;&gt;"","https://direcciones507.github.io/direcciones507/panel.html?codigo="&amp;A1791&amp;"&amp;nombre="&amp;ENCODEURL(B1791)&amp;"&amp;telefono="&amp;SUBSTITUTE(C1791,"-","")&amp;"&amp;referencia="&amp;ENCODEURL(E1791)&amp;"&amp;lat="&amp;IZQUIERDA(SUBSTITUTE(F1791," ",""),ENCONTRAR(",",SUBSTITUTE(F1791," ",""))-1)&amp;"&amp;lng="&amp;DERECHA(SUBSTITUTE(F1791," ",""),LARGO(SUBSTITUTE(F1791," ",""))-ENCONTRAR(",",SUBSTITUTE(F1791," ",""))),"")</f>
        <v/>
      </c>
    </row>
    <row r="1792" ht="15.75" customHeight="1" s="10">
      <c r="A1792" s="8">
        <f>CONCAT("AD507-",TEXT(ROW()-2,"0000"))</f>
        <v/>
      </c>
      <c r="C1792" s="8" t="n"/>
      <c r="F1792" s="8" t="n"/>
      <c r="G1792" s="8">
        <f>IF(F1792&lt;&gt;"",HYPERLINK("https://www.google.com/maps/search/?api=1&amp;query="&amp;SUBSTITUTE(F1792," ",""),"🗺 Google Maps"),"")</f>
        <v/>
      </c>
      <c r="H1792" s="8">
        <f>IF(F1792&lt;&gt;"",HYPERLINK("https://waze.com/ul?ll="&amp;SUBSTITUTE(F1792," ","")&amp;"&amp;navigate=yes","🚗 Waze"),"")</f>
        <v/>
      </c>
      <c r="I1792" s="8">
        <f>IF(F1792&lt;&gt;"",HYPERLINK("https://m.uber.com/ul/?action=setPickup&amp;pickup=my_location&amp;dropoff[latitude]="&amp;LEFT(SUBSTITUTE(F1792," ",""),FIND(",",SUBSTITUTE(F1792," ",""))-1)&amp;"&amp;dropoff[longitude]="&amp;MID(SUBSTITUTE(F1792," ",""),FIND(",",SUBSTITUTE(F1792," ",""))+1,99),"🚕 Uber"),"")</f>
        <v/>
      </c>
      <c r="J1792" s="8">
        <f>IF(F1792&lt;&gt;"","https://api.qrserver.com/v1/create-qr-code/?size=200x200&amp;data="&amp;ENCODEURL("https://www.google.com/maps/search/?api=1&amp;query="&amp;SUBSTITUTE(F1792," ","")),"")</f>
        <v/>
      </c>
      <c r="K1792" s="8">
        <f>IF(C1792&lt;&gt;"",HYPERLINK("https://wa.me/507"&amp;REGEXREPLACE(C1792,"[^0-9]","")&amp;"?text="&amp;ENCODEURL("Ya llegue. Codigo: "&amp;A1792&amp;". Ubicacion: "&amp;"https://www.google.com/maps/search/?api=1&amp;query="&amp;SUBSTITUTE(F1792," ","")),"📲 Avisar al cliente"),"")</f>
        <v/>
      </c>
      <c r="L1792" s="8">
        <f>IF(C1792&lt;&gt;"","https://api.qrserver.com/v1/create-qr-code/?size=200x200&amp;data="&amp;ENCODEURL("https://wa.me/507"&amp;REGEXREPLACE(C1792,"[^0-9]","")&amp;"?text="&amp;ENCODEURL("Ya llegue. Codigo: "&amp;A1792&amp;". Ubicacion: "&amp;"https://www.google.com/maps/search/?api=1&amp;query="&amp;SUBSTITUTE(F1792," ",""))),"")</f>
        <v/>
      </c>
      <c r="M1792" s="8">
        <f>IF(B1792&lt;&gt;"",TODAY(),"")</f>
        <v/>
      </c>
      <c r="N1792" s="8">
        <f>IF(F1792&lt;&gt;"",IFERROR(IF(AND(REGEXMATCH(SUBSTITUTE(TRIM(F1792)," ",""),"^-?\d+(\.\d+)?,-?\d+(\.\d+)?$"),VALUE(REGEXEXTRACT(SUBSTITUTE(TRIM(F1792)," ",""),"^-?\d+(\.\d+)?"))&gt;=-90,VALUE(REGEXEXTRACT(SUBSTITUTE(TRIM(F1792)," ",""),"^-?\d+(\.\d+)?"))&lt;=90,VALUE(REGEXEXTRACT(SUBSTITUTE(TRIM(F1792)," ",""),"-?\d+(\.\d+)?$"))&gt;=-180,VALUE(REGEXEXTRACT(SUBSTITUTE(TRIM(F1792)," ",""),"-?\d+(\.\d+)?$"))&lt;=180),"OK","REVISAR"),"REVISAR"),"")</f>
        <v/>
      </c>
      <c r="O1792">
        <f>IF(A1792&lt;&gt;"","https://direcciones507.github.io/direcciones507/panel.html?codigo="&amp;A1792&amp;"&amp;nombre="&amp;ENCODEURL(B1792)&amp;"&amp;telefono="&amp;SUBSTITUTE(C1792,"-","")&amp;"&amp;referencia="&amp;ENCODEURL(E1792)&amp;"&amp;lat="&amp;IZQUIERDA(SUBSTITUTE(F1792," ",""),ENCONTRAR(",",SUBSTITUTE(F1792," ",""))-1)&amp;"&amp;lng="&amp;DERECHA(SUBSTITUTE(F1792," ",""),LARGO(SUBSTITUTE(F1792," ",""))-ENCONTRAR(",",SUBSTITUTE(F1792," ",""))),"")</f>
        <v/>
      </c>
    </row>
    <row r="1793" ht="15.75" customHeight="1" s="10">
      <c r="A1793" s="8">
        <f>CONCAT("AD507-",TEXT(ROW()-2,"0000"))</f>
        <v/>
      </c>
      <c r="C1793" s="8" t="n"/>
      <c r="F1793" s="8" t="n"/>
      <c r="G1793" s="8">
        <f>IF(F1793&lt;&gt;"",HYPERLINK("https://www.google.com/maps/search/?api=1&amp;query="&amp;SUBSTITUTE(F1793," ",""),"🗺 Google Maps"),"")</f>
        <v/>
      </c>
      <c r="H1793" s="8">
        <f>IF(F1793&lt;&gt;"",HYPERLINK("https://waze.com/ul?ll="&amp;SUBSTITUTE(F1793," ","")&amp;"&amp;navigate=yes","🚗 Waze"),"")</f>
        <v/>
      </c>
      <c r="I1793" s="8">
        <f>IF(F1793&lt;&gt;"",HYPERLINK("https://m.uber.com/ul/?action=setPickup&amp;pickup=my_location&amp;dropoff[latitude]="&amp;LEFT(SUBSTITUTE(F1793," ",""),FIND(",",SUBSTITUTE(F1793," ",""))-1)&amp;"&amp;dropoff[longitude]="&amp;MID(SUBSTITUTE(F1793," ",""),FIND(",",SUBSTITUTE(F1793," ",""))+1,99),"🚕 Uber"),"")</f>
        <v/>
      </c>
      <c r="J1793" s="8">
        <f>IF(F1793&lt;&gt;"","https://api.qrserver.com/v1/create-qr-code/?size=200x200&amp;data="&amp;ENCODEURL("https://www.google.com/maps/search/?api=1&amp;query="&amp;SUBSTITUTE(F1793," ","")),"")</f>
        <v/>
      </c>
      <c r="K1793" s="8">
        <f>IF(C1793&lt;&gt;"",HYPERLINK("https://wa.me/507"&amp;REGEXREPLACE(C1793,"[^0-9]","")&amp;"?text="&amp;ENCODEURL("Ya llegue. Codigo: "&amp;A1793&amp;". Ubicacion: "&amp;"https://www.google.com/maps/search/?api=1&amp;query="&amp;SUBSTITUTE(F1793," ","")),"📲 Avisar al cliente"),"")</f>
        <v/>
      </c>
      <c r="L1793" s="8">
        <f>IF(C1793&lt;&gt;"","https://api.qrserver.com/v1/create-qr-code/?size=200x200&amp;data="&amp;ENCODEURL("https://wa.me/507"&amp;REGEXREPLACE(C1793,"[^0-9]","")&amp;"?text="&amp;ENCODEURL("Ya llegue. Codigo: "&amp;A1793&amp;". Ubicacion: "&amp;"https://www.google.com/maps/search/?api=1&amp;query="&amp;SUBSTITUTE(F1793," ",""))),"")</f>
        <v/>
      </c>
      <c r="M1793" s="8">
        <f>IF(B1793&lt;&gt;"",TODAY(),"")</f>
        <v/>
      </c>
      <c r="N1793" s="8">
        <f>IF(F1793&lt;&gt;"",IFERROR(IF(AND(REGEXMATCH(SUBSTITUTE(TRIM(F1793)," ",""),"^-?\d+(\.\d+)?,-?\d+(\.\d+)?$"),VALUE(REGEXEXTRACT(SUBSTITUTE(TRIM(F1793)," ",""),"^-?\d+(\.\d+)?"))&gt;=-90,VALUE(REGEXEXTRACT(SUBSTITUTE(TRIM(F1793)," ",""),"^-?\d+(\.\d+)?"))&lt;=90,VALUE(REGEXEXTRACT(SUBSTITUTE(TRIM(F1793)," ",""),"-?\d+(\.\d+)?$"))&gt;=-180,VALUE(REGEXEXTRACT(SUBSTITUTE(TRIM(F1793)," ",""),"-?\d+(\.\d+)?$"))&lt;=180),"OK","REVISAR"),"REVISAR"),"")</f>
        <v/>
      </c>
      <c r="O1793">
        <f>IF(A1793&lt;&gt;"","https://direcciones507.github.io/direcciones507/panel.html?codigo="&amp;A1793&amp;"&amp;nombre="&amp;ENCODEURL(B1793)&amp;"&amp;telefono="&amp;SUBSTITUTE(C1793,"-","")&amp;"&amp;referencia="&amp;ENCODEURL(E1793)&amp;"&amp;lat="&amp;IZQUIERDA(SUBSTITUTE(F1793," ",""),ENCONTRAR(",",SUBSTITUTE(F1793," ",""))-1)&amp;"&amp;lng="&amp;DERECHA(SUBSTITUTE(F1793," ",""),LARGO(SUBSTITUTE(F1793," ",""))-ENCONTRAR(",",SUBSTITUTE(F1793," ",""))),"")</f>
        <v/>
      </c>
    </row>
    <row r="1794" ht="15.75" customHeight="1" s="10">
      <c r="A1794" s="8">
        <f>CONCAT("AD507-",TEXT(ROW()-2,"0000"))</f>
        <v/>
      </c>
      <c r="C1794" s="8" t="n"/>
      <c r="F1794" s="8" t="n"/>
      <c r="G1794" s="8">
        <f>IF(F1794&lt;&gt;"",HYPERLINK("https://www.google.com/maps/search/?api=1&amp;query="&amp;SUBSTITUTE(F1794," ",""),"🗺 Google Maps"),"")</f>
        <v/>
      </c>
      <c r="H1794" s="8">
        <f>IF(F1794&lt;&gt;"",HYPERLINK("https://waze.com/ul?ll="&amp;SUBSTITUTE(F1794," ","")&amp;"&amp;navigate=yes","🚗 Waze"),"")</f>
        <v/>
      </c>
      <c r="I1794" s="8">
        <f>IF(F1794&lt;&gt;"",HYPERLINK("https://m.uber.com/ul/?action=setPickup&amp;pickup=my_location&amp;dropoff[latitude]="&amp;LEFT(SUBSTITUTE(F1794," ",""),FIND(",",SUBSTITUTE(F1794," ",""))-1)&amp;"&amp;dropoff[longitude]="&amp;MID(SUBSTITUTE(F1794," ",""),FIND(",",SUBSTITUTE(F1794," ",""))+1,99),"🚕 Uber"),"")</f>
        <v/>
      </c>
      <c r="J1794" s="8">
        <f>IF(F1794&lt;&gt;"","https://api.qrserver.com/v1/create-qr-code/?size=200x200&amp;data="&amp;ENCODEURL("https://www.google.com/maps/search/?api=1&amp;query="&amp;SUBSTITUTE(F1794," ","")),"")</f>
        <v/>
      </c>
      <c r="K1794" s="8">
        <f>IF(C1794&lt;&gt;"",HYPERLINK("https://wa.me/507"&amp;REGEXREPLACE(C1794,"[^0-9]","")&amp;"?text="&amp;ENCODEURL("Ya llegue. Codigo: "&amp;A1794&amp;". Ubicacion: "&amp;"https://www.google.com/maps/search/?api=1&amp;query="&amp;SUBSTITUTE(F1794," ","")),"📲 Avisar al cliente"),"")</f>
        <v/>
      </c>
      <c r="L1794" s="8">
        <f>IF(C1794&lt;&gt;"","https://api.qrserver.com/v1/create-qr-code/?size=200x200&amp;data="&amp;ENCODEURL("https://wa.me/507"&amp;REGEXREPLACE(C1794,"[^0-9]","")&amp;"?text="&amp;ENCODEURL("Ya llegue. Codigo: "&amp;A1794&amp;". Ubicacion: "&amp;"https://www.google.com/maps/search/?api=1&amp;query="&amp;SUBSTITUTE(F1794," ",""))),"")</f>
        <v/>
      </c>
      <c r="M1794" s="8">
        <f>IF(B1794&lt;&gt;"",TODAY(),"")</f>
        <v/>
      </c>
      <c r="N1794" s="8">
        <f>IF(F1794&lt;&gt;"",IFERROR(IF(AND(REGEXMATCH(SUBSTITUTE(TRIM(F1794)," ",""),"^-?\d+(\.\d+)?,-?\d+(\.\d+)?$"),VALUE(REGEXEXTRACT(SUBSTITUTE(TRIM(F1794)," ",""),"^-?\d+(\.\d+)?"))&gt;=-90,VALUE(REGEXEXTRACT(SUBSTITUTE(TRIM(F1794)," ",""),"^-?\d+(\.\d+)?"))&lt;=90,VALUE(REGEXEXTRACT(SUBSTITUTE(TRIM(F1794)," ",""),"-?\d+(\.\d+)?$"))&gt;=-180,VALUE(REGEXEXTRACT(SUBSTITUTE(TRIM(F1794)," ",""),"-?\d+(\.\d+)?$"))&lt;=180),"OK","REVISAR"),"REVISAR"),"")</f>
        <v/>
      </c>
      <c r="O1794">
        <f>IF(A1794&lt;&gt;"","https://direcciones507.github.io/direcciones507/panel.html?codigo="&amp;A1794&amp;"&amp;nombre="&amp;ENCODEURL(B1794)&amp;"&amp;telefono="&amp;SUBSTITUTE(C1794,"-","")&amp;"&amp;referencia="&amp;ENCODEURL(E1794)&amp;"&amp;lat="&amp;IZQUIERDA(SUBSTITUTE(F1794," ",""),ENCONTRAR(",",SUBSTITUTE(F1794," ",""))-1)&amp;"&amp;lng="&amp;DERECHA(SUBSTITUTE(F1794," ",""),LARGO(SUBSTITUTE(F1794," ",""))-ENCONTRAR(",",SUBSTITUTE(F1794," ",""))),"")</f>
        <v/>
      </c>
    </row>
    <row r="1795" ht="15.75" customHeight="1" s="10">
      <c r="A1795" s="8">
        <f>CONCAT("AD507-",TEXT(ROW()-2,"0000"))</f>
        <v/>
      </c>
      <c r="C1795" s="8" t="n"/>
      <c r="F1795" s="8" t="n"/>
      <c r="G1795" s="8">
        <f>IF(F1795&lt;&gt;"",HYPERLINK("https://www.google.com/maps/search/?api=1&amp;query="&amp;SUBSTITUTE(F1795," ",""),"🗺 Google Maps"),"")</f>
        <v/>
      </c>
      <c r="H1795" s="8">
        <f>IF(F1795&lt;&gt;"",HYPERLINK("https://waze.com/ul?ll="&amp;SUBSTITUTE(F1795," ","")&amp;"&amp;navigate=yes","🚗 Waze"),"")</f>
        <v/>
      </c>
      <c r="I1795" s="8">
        <f>IF(F1795&lt;&gt;"",HYPERLINK("https://m.uber.com/ul/?action=setPickup&amp;pickup=my_location&amp;dropoff[latitude]="&amp;LEFT(SUBSTITUTE(F1795," ",""),FIND(",",SUBSTITUTE(F1795," ",""))-1)&amp;"&amp;dropoff[longitude]="&amp;MID(SUBSTITUTE(F1795," ",""),FIND(",",SUBSTITUTE(F1795," ",""))+1,99),"🚕 Uber"),"")</f>
        <v/>
      </c>
      <c r="J1795" s="8">
        <f>IF(F1795&lt;&gt;"","https://api.qrserver.com/v1/create-qr-code/?size=200x200&amp;data="&amp;ENCODEURL("https://www.google.com/maps/search/?api=1&amp;query="&amp;SUBSTITUTE(F1795," ","")),"")</f>
        <v/>
      </c>
      <c r="K1795" s="8">
        <f>IF(C1795&lt;&gt;"",HYPERLINK("https://wa.me/507"&amp;REGEXREPLACE(C1795,"[^0-9]","")&amp;"?text="&amp;ENCODEURL("Ya llegue. Codigo: "&amp;A1795&amp;". Ubicacion: "&amp;"https://www.google.com/maps/search/?api=1&amp;query="&amp;SUBSTITUTE(F1795," ","")),"📲 Avisar al cliente"),"")</f>
        <v/>
      </c>
      <c r="L1795" s="8">
        <f>IF(C1795&lt;&gt;"","https://api.qrserver.com/v1/create-qr-code/?size=200x200&amp;data="&amp;ENCODEURL("https://wa.me/507"&amp;REGEXREPLACE(C1795,"[^0-9]","")&amp;"?text="&amp;ENCODEURL("Ya llegue. Codigo: "&amp;A1795&amp;". Ubicacion: "&amp;"https://www.google.com/maps/search/?api=1&amp;query="&amp;SUBSTITUTE(F1795," ",""))),"")</f>
        <v/>
      </c>
      <c r="M1795" s="8">
        <f>IF(B1795&lt;&gt;"",TODAY(),"")</f>
        <v/>
      </c>
      <c r="N1795" s="8">
        <f>IF(F1795&lt;&gt;"",IFERROR(IF(AND(REGEXMATCH(SUBSTITUTE(TRIM(F1795)," ",""),"^-?\d+(\.\d+)?,-?\d+(\.\d+)?$"),VALUE(REGEXEXTRACT(SUBSTITUTE(TRIM(F1795)," ",""),"^-?\d+(\.\d+)?"))&gt;=-90,VALUE(REGEXEXTRACT(SUBSTITUTE(TRIM(F1795)," ",""),"^-?\d+(\.\d+)?"))&lt;=90,VALUE(REGEXEXTRACT(SUBSTITUTE(TRIM(F1795)," ",""),"-?\d+(\.\d+)?$"))&gt;=-180,VALUE(REGEXEXTRACT(SUBSTITUTE(TRIM(F1795)," ",""),"-?\d+(\.\d+)?$"))&lt;=180),"OK","REVISAR"),"REVISAR"),"")</f>
        <v/>
      </c>
      <c r="O1795">
        <f>IF(A1795&lt;&gt;"","https://direcciones507.github.io/direcciones507/panel.html?codigo="&amp;A1795&amp;"&amp;nombre="&amp;ENCODEURL(B1795)&amp;"&amp;telefono="&amp;SUBSTITUTE(C1795,"-","")&amp;"&amp;referencia="&amp;ENCODEURL(E1795)&amp;"&amp;lat="&amp;IZQUIERDA(SUBSTITUTE(F1795," ",""),ENCONTRAR(",",SUBSTITUTE(F1795," ",""))-1)&amp;"&amp;lng="&amp;DERECHA(SUBSTITUTE(F1795," ",""),LARGO(SUBSTITUTE(F1795," ",""))-ENCONTRAR(",",SUBSTITUTE(F1795," ",""))),"")</f>
        <v/>
      </c>
    </row>
    <row r="1796" ht="15.75" customHeight="1" s="10">
      <c r="A1796" s="8">
        <f>CONCAT("AD507-",TEXT(ROW()-2,"0000"))</f>
        <v/>
      </c>
      <c r="C1796" s="8" t="n"/>
      <c r="F1796" s="8" t="n"/>
      <c r="G1796" s="8">
        <f>IF(F1796&lt;&gt;"",HYPERLINK("https://www.google.com/maps/search/?api=1&amp;query="&amp;SUBSTITUTE(F1796," ",""),"🗺 Google Maps"),"")</f>
        <v/>
      </c>
      <c r="H1796" s="8">
        <f>IF(F1796&lt;&gt;"",HYPERLINK("https://waze.com/ul?ll="&amp;SUBSTITUTE(F1796," ","")&amp;"&amp;navigate=yes","🚗 Waze"),"")</f>
        <v/>
      </c>
      <c r="I1796" s="8">
        <f>IF(F1796&lt;&gt;"",HYPERLINK("https://m.uber.com/ul/?action=setPickup&amp;pickup=my_location&amp;dropoff[latitude]="&amp;LEFT(SUBSTITUTE(F1796," ",""),FIND(",",SUBSTITUTE(F1796," ",""))-1)&amp;"&amp;dropoff[longitude]="&amp;MID(SUBSTITUTE(F1796," ",""),FIND(",",SUBSTITUTE(F1796," ",""))+1,99),"🚕 Uber"),"")</f>
        <v/>
      </c>
      <c r="J1796" s="8">
        <f>IF(F1796&lt;&gt;"","https://api.qrserver.com/v1/create-qr-code/?size=200x200&amp;data="&amp;ENCODEURL("https://www.google.com/maps/search/?api=1&amp;query="&amp;SUBSTITUTE(F1796," ","")),"")</f>
        <v/>
      </c>
      <c r="K1796" s="8">
        <f>IF(C1796&lt;&gt;"",HYPERLINK("https://wa.me/507"&amp;REGEXREPLACE(C1796,"[^0-9]","")&amp;"?text="&amp;ENCODEURL("Ya llegue. Codigo: "&amp;A1796&amp;". Ubicacion: "&amp;"https://www.google.com/maps/search/?api=1&amp;query="&amp;SUBSTITUTE(F1796," ","")),"📲 Avisar al cliente"),"")</f>
        <v/>
      </c>
      <c r="L1796" s="8">
        <f>IF(C1796&lt;&gt;"","https://api.qrserver.com/v1/create-qr-code/?size=200x200&amp;data="&amp;ENCODEURL("https://wa.me/507"&amp;REGEXREPLACE(C1796,"[^0-9]","")&amp;"?text="&amp;ENCODEURL("Ya llegue. Codigo: "&amp;A1796&amp;". Ubicacion: "&amp;"https://www.google.com/maps/search/?api=1&amp;query="&amp;SUBSTITUTE(F1796," ",""))),"")</f>
        <v/>
      </c>
      <c r="M1796" s="8">
        <f>IF(B1796&lt;&gt;"",TODAY(),"")</f>
        <v/>
      </c>
      <c r="N1796" s="8">
        <f>IF(F1796&lt;&gt;"",IFERROR(IF(AND(REGEXMATCH(SUBSTITUTE(TRIM(F1796)," ",""),"^-?\d+(\.\d+)?,-?\d+(\.\d+)?$"),VALUE(REGEXEXTRACT(SUBSTITUTE(TRIM(F1796)," ",""),"^-?\d+(\.\d+)?"))&gt;=-90,VALUE(REGEXEXTRACT(SUBSTITUTE(TRIM(F1796)," ",""),"^-?\d+(\.\d+)?"))&lt;=90,VALUE(REGEXEXTRACT(SUBSTITUTE(TRIM(F1796)," ",""),"-?\d+(\.\d+)?$"))&gt;=-180,VALUE(REGEXEXTRACT(SUBSTITUTE(TRIM(F1796)," ",""),"-?\d+(\.\d+)?$"))&lt;=180),"OK","REVISAR"),"REVISAR"),"")</f>
        <v/>
      </c>
      <c r="O1796">
        <f>IF(A1796&lt;&gt;"","https://direcciones507.github.io/direcciones507/panel.html?codigo="&amp;A1796&amp;"&amp;nombre="&amp;ENCODEURL(B1796)&amp;"&amp;telefono="&amp;SUBSTITUTE(C1796,"-","")&amp;"&amp;referencia="&amp;ENCODEURL(E1796)&amp;"&amp;lat="&amp;IZQUIERDA(SUBSTITUTE(F1796," ",""),ENCONTRAR(",",SUBSTITUTE(F1796," ",""))-1)&amp;"&amp;lng="&amp;DERECHA(SUBSTITUTE(F1796," ",""),LARGO(SUBSTITUTE(F1796," ",""))-ENCONTRAR(",",SUBSTITUTE(F1796," ",""))),"")</f>
        <v/>
      </c>
    </row>
    <row r="1797" ht="15.75" customHeight="1" s="10">
      <c r="A1797" s="8">
        <f>CONCAT("AD507-",TEXT(ROW()-2,"0000"))</f>
        <v/>
      </c>
      <c r="C1797" s="8" t="n"/>
      <c r="F1797" s="8" t="n"/>
      <c r="G1797" s="8">
        <f>IF(F1797&lt;&gt;"",HYPERLINK("https://www.google.com/maps/search/?api=1&amp;query="&amp;SUBSTITUTE(F1797," ",""),"🗺 Google Maps"),"")</f>
        <v/>
      </c>
      <c r="H1797" s="8">
        <f>IF(F1797&lt;&gt;"",HYPERLINK("https://waze.com/ul?ll="&amp;SUBSTITUTE(F1797," ","")&amp;"&amp;navigate=yes","🚗 Waze"),"")</f>
        <v/>
      </c>
      <c r="I1797" s="8">
        <f>IF(F1797&lt;&gt;"",HYPERLINK("https://m.uber.com/ul/?action=setPickup&amp;pickup=my_location&amp;dropoff[latitude]="&amp;LEFT(SUBSTITUTE(F1797," ",""),FIND(",",SUBSTITUTE(F1797," ",""))-1)&amp;"&amp;dropoff[longitude]="&amp;MID(SUBSTITUTE(F1797," ",""),FIND(",",SUBSTITUTE(F1797," ",""))+1,99),"🚕 Uber"),"")</f>
        <v/>
      </c>
      <c r="J1797" s="8">
        <f>IF(F1797&lt;&gt;"","https://api.qrserver.com/v1/create-qr-code/?size=200x200&amp;data="&amp;ENCODEURL("https://www.google.com/maps/search/?api=1&amp;query="&amp;SUBSTITUTE(F1797," ","")),"")</f>
        <v/>
      </c>
      <c r="K1797" s="8">
        <f>IF(C1797&lt;&gt;"",HYPERLINK("https://wa.me/507"&amp;REGEXREPLACE(C1797,"[^0-9]","")&amp;"?text="&amp;ENCODEURL("Ya llegue. Codigo: "&amp;A1797&amp;". Ubicacion: "&amp;"https://www.google.com/maps/search/?api=1&amp;query="&amp;SUBSTITUTE(F1797," ","")),"📲 Avisar al cliente"),"")</f>
        <v/>
      </c>
      <c r="L1797" s="8">
        <f>IF(C1797&lt;&gt;"","https://api.qrserver.com/v1/create-qr-code/?size=200x200&amp;data="&amp;ENCODEURL("https://wa.me/507"&amp;REGEXREPLACE(C1797,"[^0-9]","")&amp;"?text="&amp;ENCODEURL("Ya llegue. Codigo: "&amp;A1797&amp;". Ubicacion: "&amp;"https://www.google.com/maps/search/?api=1&amp;query="&amp;SUBSTITUTE(F1797," ",""))),"")</f>
        <v/>
      </c>
      <c r="M1797" s="8">
        <f>IF(B1797&lt;&gt;"",TODAY(),"")</f>
        <v/>
      </c>
      <c r="N1797" s="8">
        <f>IF(F1797&lt;&gt;"",IFERROR(IF(AND(REGEXMATCH(SUBSTITUTE(TRIM(F1797)," ",""),"^-?\d+(\.\d+)?,-?\d+(\.\d+)?$"),VALUE(REGEXEXTRACT(SUBSTITUTE(TRIM(F1797)," ",""),"^-?\d+(\.\d+)?"))&gt;=-90,VALUE(REGEXEXTRACT(SUBSTITUTE(TRIM(F1797)," ",""),"^-?\d+(\.\d+)?"))&lt;=90,VALUE(REGEXEXTRACT(SUBSTITUTE(TRIM(F1797)," ",""),"-?\d+(\.\d+)?$"))&gt;=-180,VALUE(REGEXEXTRACT(SUBSTITUTE(TRIM(F1797)," ",""),"-?\d+(\.\d+)?$"))&lt;=180),"OK","REVISAR"),"REVISAR"),"")</f>
        <v/>
      </c>
      <c r="O1797">
        <f>IF(A1797&lt;&gt;"","https://direcciones507.github.io/direcciones507/panel.html?codigo="&amp;A1797&amp;"&amp;nombre="&amp;ENCODEURL(B1797)&amp;"&amp;telefono="&amp;SUBSTITUTE(C1797,"-","")&amp;"&amp;referencia="&amp;ENCODEURL(E1797)&amp;"&amp;lat="&amp;IZQUIERDA(SUBSTITUTE(F1797," ",""),ENCONTRAR(",",SUBSTITUTE(F1797," ",""))-1)&amp;"&amp;lng="&amp;DERECHA(SUBSTITUTE(F1797," ",""),LARGO(SUBSTITUTE(F1797," ",""))-ENCONTRAR(",",SUBSTITUTE(F1797," ",""))),"")</f>
        <v/>
      </c>
    </row>
    <row r="1798" ht="15.75" customHeight="1" s="10">
      <c r="A1798" s="8">
        <f>CONCAT("AD507-",TEXT(ROW()-2,"0000"))</f>
        <v/>
      </c>
      <c r="C1798" s="8" t="n"/>
      <c r="F1798" s="8" t="n"/>
      <c r="G1798" s="8">
        <f>IF(F1798&lt;&gt;"",HYPERLINK("https://www.google.com/maps/search/?api=1&amp;query="&amp;SUBSTITUTE(F1798," ",""),"🗺 Google Maps"),"")</f>
        <v/>
      </c>
      <c r="H1798" s="8">
        <f>IF(F1798&lt;&gt;"",HYPERLINK("https://waze.com/ul?ll="&amp;SUBSTITUTE(F1798," ","")&amp;"&amp;navigate=yes","🚗 Waze"),"")</f>
        <v/>
      </c>
      <c r="I1798" s="8">
        <f>IF(F1798&lt;&gt;"",HYPERLINK("https://m.uber.com/ul/?action=setPickup&amp;pickup=my_location&amp;dropoff[latitude]="&amp;LEFT(SUBSTITUTE(F1798," ",""),FIND(",",SUBSTITUTE(F1798," ",""))-1)&amp;"&amp;dropoff[longitude]="&amp;MID(SUBSTITUTE(F1798," ",""),FIND(",",SUBSTITUTE(F1798," ",""))+1,99),"🚕 Uber"),"")</f>
        <v/>
      </c>
      <c r="J1798" s="8">
        <f>IF(F1798&lt;&gt;"","https://api.qrserver.com/v1/create-qr-code/?size=200x200&amp;data="&amp;ENCODEURL("https://www.google.com/maps/search/?api=1&amp;query="&amp;SUBSTITUTE(F1798," ","")),"")</f>
        <v/>
      </c>
      <c r="K1798" s="8">
        <f>IF(C1798&lt;&gt;"",HYPERLINK("https://wa.me/507"&amp;REGEXREPLACE(C1798,"[^0-9]","")&amp;"?text="&amp;ENCODEURL("Ya llegue. Codigo: "&amp;A1798&amp;". Ubicacion: "&amp;"https://www.google.com/maps/search/?api=1&amp;query="&amp;SUBSTITUTE(F1798," ","")),"📲 Avisar al cliente"),"")</f>
        <v/>
      </c>
      <c r="L1798" s="8">
        <f>IF(C1798&lt;&gt;"","https://api.qrserver.com/v1/create-qr-code/?size=200x200&amp;data="&amp;ENCODEURL("https://wa.me/507"&amp;REGEXREPLACE(C1798,"[^0-9]","")&amp;"?text="&amp;ENCODEURL("Ya llegue. Codigo: "&amp;A1798&amp;". Ubicacion: "&amp;"https://www.google.com/maps/search/?api=1&amp;query="&amp;SUBSTITUTE(F1798," ",""))),"")</f>
        <v/>
      </c>
      <c r="M1798" s="8">
        <f>IF(B1798&lt;&gt;"",TODAY(),"")</f>
        <v/>
      </c>
      <c r="N1798" s="8">
        <f>IF(F1798&lt;&gt;"",IFERROR(IF(AND(REGEXMATCH(SUBSTITUTE(TRIM(F1798)," ",""),"^-?\d+(\.\d+)?,-?\d+(\.\d+)?$"),VALUE(REGEXEXTRACT(SUBSTITUTE(TRIM(F1798)," ",""),"^-?\d+(\.\d+)?"))&gt;=-90,VALUE(REGEXEXTRACT(SUBSTITUTE(TRIM(F1798)," ",""),"^-?\d+(\.\d+)?"))&lt;=90,VALUE(REGEXEXTRACT(SUBSTITUTE(TRIM(F1798)," ",""),"-?\d+(\.\d+)?$"))&gt;=-180,VALUE(REGEXEXTRACT(SUBSTITUTE(TRIM(F1798)," ",""),"-?\d+(\.\d+)?$"))&lt;=180),"OK","REVISAR"),"REVISAR"),"")</f>
        <v/>
      </c>
      <c r="O1798">
        <f>IF(A1798&lt;&gt;"","https://direcciones507.github.io/direcciones507/panel.html?codigo="&amp;A1798&amp;"&amp;nombre="&amp;ENCODEURL(B1798)&amp;"&amp;telefono="&amp;SUBSTITUTE(C1798,"-","")&amp;"&amp;referencia="&amp;ENCODEURL(E1798)&amp;"&amp;lat="&amp;IZQUIERDA(SUBSTITUTE(F1798," ",""),ENCONTRAR(",",SUBSTITUTE(F1798," ",""))-1)&amp;"&amp;lng="&amp;DERECHA(SUBSTITUTE(F1798," ",""),LARGO(SUBSTITUTE(F1798," ",""))-ENCONTRAR(",",SUBSTITUTE(F1798," ",""))),"")</f>
        <v/>
      </c>
    </row>
    <row r="1799" ht="15.75" customHeight="1" s="10">
      <c r="A1799" s="8">
        <f>CONCAT("AD507-",TEXT(ROW()-2,"0000"))</f>
        <v/>
      </c>
      <c r="C1799" s="8" t="n"/>
      <c r="F1799" s="8" t="n"/>
      <c r="G1799" s="8">
        <f>IF(F1799&lt;&gt;"",HYPERLINK("https://www.google.com/maps/search/?api=1&amp;query="&amp;SUBSTITUTE(F1799," ",""),"🗺 Google Maps"),"")</f>
        <v/>
      </c>
      <c r="H1799" s="8">
        <f>IF(F1799&lt;&gt;"",HYPERLINK("https://waze.com/ul?ll="&amp;SUBSTITUTE(F1799," ","")&amp;"&amp;navigate=yes","🚗 Waze"),"")</f>
        <v/>
      </c>
      <c r="I1799" s="8">
        <f>IF(F1799&lt;&gt;"",HYPERLINK("https://m.uber.com/ul/?action=setPickup&amp;pickup=my_location&amp;dropoff[latitude]="&amp;LEFT(SUBSTITUTE(F1799," ",""),FIND(",",SUBSTITUTE(F1799," ",""))-1)&amp;"&amp;dropoff[longitude]="&amp;MID(SUBSTITUTE(F1799," ",""),FIND(",",SUBSTITUTE(F1799," ",""))+1,99),"🚕 Uber"),"")</f>
        <v/>
      </c>
      <c r="J1799" s="8">
        <f>IF(F1799&lt;&gt;"","https://api.qrserver.com/v1/create-qr-code/?size=200x200&amp;data="&amp;ENCODEURL("https://www.google.com/maps/search/?api=1&amp;query="&amp;SUBSTITUTE(F1799," ","")),"")</f>
        <v/>
      </c>
      <c r="K1799" s="8">
        <f>IF(C1799&lt;&gt;"",HYPERLINK("https://wa.me/507"&amp;REGEXREPLACE(C1799,"[^0-9]","")&amp;"?text="&amp;ENCODEURL("Ya llegue. Codigo: "&amp;A1799&amp;". Ubicacion: "&amp;"https://www.google.com/maps/search/?api=1&amp;query="&amp;SUBSTITUTE(F1799," ","")),"📲 Avisar al cliente"),"")</f>
        <v/>
      </c>
      <c r="L1799" s="8">
        <f>IF(C1799&lt;&gt;"","https://api.qrserver.com/v1/create-qr-code/?size=200x200&amp;data="&amp;ENCODEURL("https://wa.me/507"&amp;REGEXREPLACE(C1799,"[^0-9]","")&amp;"?text="&amp;ENCODEURL("Ya llegue. Codigo: "&amp;A1799&amp;". Ubicacion: "&amp;"https://www.google.com/maps/search/?api=1&amp;query="&amp;SUBSTITUTE(F1799," ",""))),"")</f>
        <v/>
      </c>
      <c r="M1799" s="8">
        <f>IF(B1799&lt;&gt;"",TODAY(),"")</f>
        <v/>
      </c>
      <c r="N1799" s="8">
        <f>IF(F1799&lt;&gt;"",IFERROR(IF(AND(REGEXMATCH(SUBSTITUTE(TRIM(F1799)," ",""),"^-?\d+(\.\d+)?,-?\d+(\.\d+)?$"),VALUE(REGEXEXTRACT(SUBSTITUTE(TRIM(F1799)," ",""),"^-?\d+(\.\d+)?"))&gt;=-90,VALUE(REGEXEXTRACT(SUBSTITUTE(TRIM(F1799)," ",""),"^-?\d+(\.\d+)?"))&lt;=90,VALUE(REGEXEXTRACT(SUBSTITUTE(TRIM(F1799)," ",""),"-?\d+(\.\d+)?$"))&gt;=-180,VALUE(REGEXEXTRACT(SUBSTITUTE(TRIM(F1799)," ",""),"-?\d+(\.\d+)?$"))&lt;=180),"OK","REVISAR"),"REVISAR"),"")</f>
        <v/>
      </c>
      <c r="O1799">
        <f>IF(A1799&lt;&gt;"","https://direcciones507.github.io/direcciones507/panel.html?codigo="&amp;A1799&amp;"&amp;nombre="&amp;ENCODEURL(B1799)&amp;"&amp;telefono="&amp;SUBSTITUTE(C1799,"-","")&amp;"&amp;referencia="&amp;ENCODEURL(E1799)&amp;"&amp;lat="&amp;IZQUIERDA(SUBSTITUTE(F1799," ",""),ENCONTRAR(",",SUBSTITUTE(F1799," ",""))-1)&amp;"&amp;lng="&amp;DERECHA(SUBSTITUTE(F1799," ",""),LARGO(SUBSTITUTE(F1799," ",""))-ENCONTRAR(",",SUBSTITUTE(F1799," ",""))),"")</f>
        <v/>
      </c>
    </row>
    <row r="1800" ht="15.75" customHeight="1" s="10">
      <c r="A1800" s="8">
        <f>CONCAT("AD507-",TEXT(ROW()-2,"0000"))</f>
        <v/>
      </c>
      <c r="C1800" s="8" t="n"/>
      <c r="F1800" s="8" t="n"/>
      <c r="G1800" s="8">
        <f>IF(F1800&lt;&gt;"",HYPERLINK("https://www.google.com/maps/search/?api=1&amp;query="&amp;SUBSTITUTE(F1800," ",""),"🗺 Google Maps"),"")</f>
        <v/>
      </c>
      <c r="H1800" s="8">
        <f>IF(F1800&lt;&gt;"",HYPERLINK("https://waze.com/ul?ll="&amp;SUBSTITUTE(F1800," ","")&amp;"&amp;navigate=yes","🚗 Waze"),"")</f>
        <v/>
      </c>
      <c r="I1800" s="8">
        <f>IF(F1800&lt;&gt;"",HYPERLINK("https://m.uber.com/ul/?action=setPickup&amp;pickup=my_location&amp;dropoff[latitude]="&amp;LEFT(SUBSTITUTE(F1800," ",""),FIND(",",SUBSTITUTE(F1800," ",""))-1)&amp;"&amp;dropoff[longitude]="&amp;MID(SUBSTITUTE(F1800," ",""),FIND(",",SUBSTITUTE(F1800," ",""))+1,99),"🚕 Uber"),"")</f>
        <v/>
      </c>
      <c r="J1800" s="8">
        <f>IF(F1800&lt;&gt;"","https://api.qrserver.com/v1/create-qr-code/?size=200x200&amp;data="&amp;ENCODEURL("https://www.google.com/maps/search/?api=1&amp;query="&amp;SUBSTITUTE(F1800," ","")),"")</f>
        <v/>
      </c>
      <c r="K1800" s="8">
        <f>IF(C1800&lt;&gt;"",HYPERLINK("https://wa.me/507"&amp;REGEXREPLACE(C1800,"[^0-9]","")&amp;"?text="&amp;ENCODEURL("Ya llegue. Codigo: "&amp;A1800&amp;". Ubicacion: "&amp;"https://www.google.com/maps/search/?api=1&amp;query="&amp;SUBSTITUTE(F1800," ","")),"📲 Avisar al cliente"),"")</f>
        <v/>
      </c>
      <c r="L1800" s="8">
        <f>IF(C1800&lt;&gt;"","https://api.qrserver.com/v1/create-qr-code/?size=200x200&amp;data="&amp;ENCODEURL("https://wa.me/507"&amp;REGEXREPLACE(C1800,"[^0-9]","")&amp;"?text="&amp;ENCODEURL("Ya llegue. Codigo: "&amp;A1800&amp;". Ubicacion: "&amp;"https://www.google.com/maps/search/?api=1&amp;query="&amp;SUBSTITUTE(F1800," ",""))),"")</f>
        <v/>
      </c>
      <c r="M1800" s="8">
        <f>IF(B1800&lt;&gt;"",TODAY(),"")</f>
        <v/>
      </c>
      <c r="N1800" s="8">
        <f>IF(F1800&lt;&gt;"",IFERROR(IF(AND(REGEXMATCH(SUBSTITUTE(TRIM(F1800)," ",""),"^-?\d+(\.\d+)?,-?\d+(\.\d+)?$"),VALUE(REGEXEXTRACT(SUBSTITUTE(TRIM(F1800)," ",""),"^-?\d+(\.\d+)?"))&gt;=-90,VALUE(REGEXEXTRACT(SUBSTITUTE(TRIM(F1800)," ",""),"^-?\d+(\.\d+)?"))&lt;=90,VALUE(REGEXEXTRACT(SUBSTITUTE(TRIM(F1800)," ",""),"-?\d+(\.\d+)?$"))&gt;=-180,VALUE(REGEXEXTRACT(SUBSTITUTE(TRIM(F1800)," ",""),"-?\d+(\.\d+)?$"))&lt;=180),"OK","REVISAR"),"REVISAR"),"")</f>
        <v/>
      </c>
      <c r="O1800">
        <f>IF(A1800&lt;&gt;"","https://direcciones507.github.io/direcciones507/panel.html?codigo="&amp;A1800&amp;"&amp;nombre="&amp;ENCODEURL(B1800)&amp;"&amp;telefono="&amp;SUBSTITUTE(C1800,"-","")&amp;"&amp;referencia="&amp;ENCODEURL(E1800)&amp;"&amp;lat="&amp;IZQUIERDA(SUBSTITUTE(F1800," ",""),ENCONTRAR(",",SUBSTITUTE(F1800," ",""))-1)&amp;"&amp;lng="&amp;DERECHA(SUBSTITUTE(F1800," ",""),LARGO(SUBSTITUTE(F1800," ",""))-ENCONTRAR(",",SUBSTITUTE(F1800," ",""))),"")</f>
        <v/>
      </c>
    </row>
    <row r="1801" ht="15.75" customHeight="1" s="10">
      <c r="A1801" s="8">
        <f>CONCAT("AD507-",TEXT(ROW()-2,"0000"))</f>
        <v/>
      </c>
      <c r="C1801" s="8" t="n"/>
      <c r="F1801" s="8" t="n"/>
      <c r="G1801" s="8">
        <f>IF(F1801&lt;&gt;"",HYPERLINK("https://www.google.com/maps/search/?api=1&amp;query="&amp;SUBSTITUTE(F1801," ",""),"🗺 Google Maps"),"")</f>
        <v/>
      </c>
      <c r="H1801" s="8">
        <f>IF(F1801&lt;&gt;"",HYPERLINK("https://waze.com/ul?ll="&amp;SUBSTITUTE(F1801," ","")&amp;"&amp;navigate=yes","🚗 Waze"),"")</f>
        <v/>
      </c>
      <c r="I1801" s="8">
        <f>IF(F1801&lt;&gt;"",HYPERLINK("https://m.uber.com/ul/?action=setPickup&amp;pickup=my_location&amp;dropoff[latitude]="&amp;LEFT(SUBSTITUTE(F1801," ",""),FIND(",",SUBSTITUTE(F1801," ",""))-1)&amp;"&amp;dropoff[longitude]="&amp;MID(SUBSTITUTE(F1801," ",""),FIND(",",SUBSTITUTE(F1801," ",""))+1,99),"🚕 Uber"),"")</f>
        <v/>
      </c>
      <c r="J1801" s="8">
        <f>IF(F1801&lt;&gt;"","https://api.qrserver.com/v1/create-qr-code/?size=200x200&amp;data="&amp;ENCODEURL("https://www.google.com/maps/search/?api=1&amp;query="&amp;SUBSTITUTE(F1801," ","")),"")</f>
        <v/>
      </c>
      <c r="K1801" s="8">
        <f>IF(C1801&lt;&gt;"",HYPERLINK("https://wa.me/507"&amp;REGEXREPLACE(C1801,"[^0-9]","")&amp;"?text="&amp;ENCODEURL("Ya llegue. Codigo: "&amp;A1801&amp;". Ubicacion: "&amp;"https://www.google.com/maps/search/?api=1&amp;query="&amp;SUBSTITUTE(F1801," ","")),"📲 Avisar al cliente"),"")</f>
        <v/>
      </c>
      <c r="L1801" s="8">
        <f>IF(C1801&lt;&gt;"","https://api.qrserver.com/v1/create-qr-code/?size=200x200&amp;data="&amp;ENCODEURL("https://wa.me/507"&amp;REGEXREPLACE(C1801,"[^0-9]","")&amp;"?text="&amp;ENCODEURL("Ya llegue. Codigo: "&amp;A1801&amp;". Ubicacion: "&amp;"https://www.google.com/maps/search/?api=1&amp;query="&amp;SUBSTITUTE(F1801," ",""))),"")</f>
        <v/>
      </c>
      <c r="M1801" s="8">
        <f>IF(B1801&lt;&gt;"",TODAY(),"")</f>
        <v/>
      </c>
      <c r="N1801" s="8">
        <f>IF(F1801&lt;&gt;"",IFERROR(IF(AND(REGEXMATCH(SUBSTITUTE(TRIM(F1801)," ",""),"^-?\d+(\.\d+)?,-?\d+(\.\d+)?$"),VALUE(REGEXEXTRACT(SUBSTITUTE(TRIM(F1801)," ",""),"^-?\d+(\.\d+)?"))&gt;=-90,VALUE(REGEXEXTRACT(SUBSTITUTE(TRIM(F1801)," ",""),"^-?\d+(\.\d+)?"))&lt;=90,VALUE(REGEXEXTRACT(SUBSTITUTE(TRIM(F1801)," ",""),"-?\d+(\.\d+)?$"))&gt;=-180,VALUE(REGEXEXTRACT(SUBSTITUTE(TRIM(F1801)," ",""),"-?\d+(\.\d+)?$"))&lt;=180),"OK","REVISAR"),"REVISAR"),"")</f>
        <v/>
      </c>
      <c r="O1801">
        <f>IF(A1801&lt;&gt;"","https://direcciones507.github.io/direcciones507/panel.html?codigo="&amp;A1801&amp;"&amp;nombre="&amp;ENCODEURL(B1801)&amp;"&amp;telefono="&amp;SUBSTITUTE(C1801,"-","")&amp;"&amp;referencia="&amp;ENCODEURL(E1801)&amp;"&amp;lat="&amp;IZQUIERDA(SUBSTITUTE(F1801," ",""),ENCONTRAR(",",SUBSTITUTE(F1801," ",""))-1)&amp;"&amp;lng="&amp;DERECHA(SUBSTITUTE(F1801," ",""),LARGO(SUBSTITUTE(F1801," ",""))-ENCONTRAR(",",SUBSTITUTE(F1801," ",""))),"")</f>
        <v/>
      </c>
    </row>
    <row r="1802" ht="15.75" customHeight="1" s="10">
      <c r="A1802" s="8">
        <f>CONCAT("AD507-",TEXT(ROW()-2,"0000"))</f>
        <v/>
      </c>
      <c r="C1802" s="8" t="n"/>
      <c r="F1802" s="8" t="n"/>
      <c r="G1802" s="8">
        <f>IF(F1802&lt;&gt;"",HYPERLINK("https://www.google.com/maps/search/?api=1&amp;query="&amp;SUBSTITUTE(F1802," ",""),"🗺 Google Maps"),"")</f>
        <v/>
      </c>
      <c r="H1802" s="8">
        <f>IF(F1802&lt;&gt;"",HYPERLINK("https://waze.com/ul?ll="&amp;SUBSTITUTE(F1802," ","")&amp;"&amp;navigate=yes","🚗 Waze"),"")</f>
        <v/>
      </c>
      <c r="I1802" s="8">
        <f>IF(F1802&lt;&gt;"",HYPERLINK("https://m.uber.com/ul/?action=setPickup&amp;pickup=my_location&amp;dropoff[latitude]="&amp;LEFT(SUBSTITUTE(F1802," ",""),FIND(",",SUBSTITUTE(F1802," ",""))-1)&amp;"&amp;dropoff[longitude]="&amp;MID(SUBSTITUTE(F1802," ",""),FIND(",",SUBSTITUTE(F1802," ",""))+1,99),"🚕 Uber"),"")</f>
        <v/>
      </c>
      <c r="J1802" s="8">
        <f>IF(F1802&lt;&gt;"","https://api.qrserver.com/v1/create-qr-code/?size=200x200&amp;data="&amp;ENCODEURL("https://www.google.com/maps/search/?api=1&amp;query="&amp;SUBSTITUTE(F1802," ","")),"")</f>
        <v/>
      </c>
      <c r="K1802" s="8">
        <f>IF(C1802&lt;&gt;"",HYPERLINK("https://wa.me/507"&amp;REGEXREPLACE(C1802,"[^0-9]","")&amp;"?text="&amp;ENCODEURL("Ya llegue. Codigo: "&amp;A1802&amp;". Ubicacion: "&amp;"https://www.google.com/maps/search/?api=1&amp;query="&amp;SUBSTITUTE(F1802," ","")),"📲 Avisar al cliente"),"")</f>
        <v/>
      </c>
      <c r="L1802" s="8">
        <f>IF(C1802&lt;&gt;"","https://api.qrserver.com/v1/create-qr-code/?size=200x200&amp;data="&amp;ENCODEURL("https://wa.me/507"&amp;REGEXREPLACE(C1802,"[^0-9]","")&amp;"?text="&amp;ENCODEURL("Ya llegue. Codigo: "&amp;A1802&amp;". Ubicacion: "&amp;"https://www.google.com/maps/search/?api=1&amp;query="&amp;SUBSTITUTE(F1802," ",""))),"")</f>
        <v/>
      </c>
      <c r="M1802" s="8">
        <f>IF(B1802&lt;&gt;"",TODAY(),"")</f>
        <v/>
      </c>
      <c r="N1802" s="8">
        <f>IF(F1802&lt;&gt;"",IFERROR(IF(AND(REGEXMATCH(SUBSTITUTE(TRIM(F1802)," ",""),"^-?\d+(\.\d+)?,-?\d+(\.\d+)?$"),VALUE(REGEXEXTRACT(SUBSTITUTE(TRIM(F1802)," ",""),"^-?\d+(\.\d+)?"))&gt;=-90,VALUE(REGEXEXTRACT(SUBSTITUTE(TRIM(F1802)," ",""),"^-?\d+(\.\d+)?"))&lt;=90,VALUE(REGEXEXTRACT(SUBSTITUTE(TRIM(F1802)," ",""),"-?\d+(\.\d+)?$"))&gt;=-180,VALUE(REGEXEXTRACT(SUBSTITUTE(TRIM(F1802)," ",""),"-?\d+(\.\d+)?$"))&lt;=180),"OK","REVISAR"),"REVISAR"),"")</f>
        <v/>
      </c>
      <c r="O1802">
        <f>IF(A1802&lt;&gt;"","https://direcciones507.github.io/direcciones507/panel.html?codigo="&amp;A1802&amp;"&amp;nombre="&amp;ENCODEURL(B1802)&amp;"&amp;telefono="&amp;SUBSTITUTE(C1802,"-","")&amp;"&amp;referencia="&amp;ENCODEURL(E1802)&amp;"&amp;lat="&amp;IZQUIERDA(SUBSTITUTE(F1802," ",""),ENCONTRAR(",",SUBSTITUTE(F1802," ",""))-1)&amp;"&amp;lng="&amp;DERECHA(SUBSTITUTE(F1802," ",""),LARGO(SUBSTITUTE(F1802," ",""))-ENCONTRAR(",",SUBSTITUTE(F1802," ",""))),"")</f>
        <v/>
      </c>
    </row>
    <row r="1803" ht="15.75" customHeight="1" s="10">
      <c r="A1803" s="8">
        <f>CONCAT("AD507-",TEXT(ROW()-2,"0000"))</f>
        <v/>
      </c>
      <c r="C1803" s="8" t="n"/>
      <c r="F1803" s="8" t="n"/>
      <c r="G1803" s="8">
        <f>IF(F1803&lt;&gt;"",HYPERLINK("https://www.google.com/maps/search/?api=1&amp;query="&amp;SUBSTITUTE(F1803," ",""),"🗺 Google Maps"),"")</f>
        <v/>
      </c>
      <c r="H1803" s="8">
        <f>IF(F1803&lt;&gt;"",HYPERLINK("https://waze.com/ul?ll="&amp;SUBSTITUTE(F1803," ","")&amp;"&amp;navigate=yes","🚗 Waze"),"")</f>
        <v/>
      </c>
      <c r="I1803" s="8">
        <f>IF(F1803&lt;&gt;"",HYPERLINK("https://m.uber.com/ul/?action=setPickup&amp;pickup=my_location&amp;dropoff[latitude]="&amp;LEFT(SUBSTITUTE(F1803," ",""),FIND(",",SUBSTITUTE(F1803," ",""))-1)&amp;"&amp;dropoff[longitude]="&amp;MID(SUBSTITUTE(F1803," ",""),FIND(",",SUBSTITUTE(F1803," ",""))+1,99),"🚕 Uber"),"")</f>
        <v/>
      </c>
      <c r="J1803" s="8">
        <f>IF(F1803&lt;&gt;"","https://api.qrserver.com/v1/create-qr-code/?size=200x200&amp;data="&amp;ENCODEURL("https://www.google.com/maps/search/?api=1&amp;query="&amp;SUBSTITUTE(F1803," ","")),"")</f>
        <v/>
      </c>
      <c r="K1803" s="8">
        <f>IF(C1803&lt;&gt;"",HYPERLINK("https://wa.me/507"&amp;REGEXREPLACE(C1803,"[^0-9]","")&amp;"?text="&amp;ENCODEURL("Ya llegue. Codigo: "&amp;A1803&amp;". Ubicacion: "&amp;"https://www.google.com/maps/search/?api=1&amp;query="&amp;SUBSTITUTE(F1803," ","")),"📲 Avisar al cliente"),"")</f>
        <v/>
      </c>
      <c r="L1803" s="8">
        <f>IF(C1803&lt;&gt;"","https://api.qrserver.com/v1/create-qr-code/?size=200x200&amp;data="&amp;ENCODEURL("https://wa.me/507"&amp;REGEXREPLACE(C1803,"[^0-9]","")&amp;"?text="&amp;ENCODEURL("Ya llegue. Codigo: "&amp;A1803&amp;". Ubicacion: "&amp;"https://www.google.com/maps/search/?api=1&amp;query="&amp;SUBSTITUTE(F1803," ",""))),"")</f>
        <v/>
      </c>
      <c r="M1803" s="8">
        <f>IF(B1803&lt;&gt;"",TODAY(),"")</f>
        <v/>
      </c>
      <c r="N1803" s="8">
        <f>IF(F1803&lt;&gt;"",IFERROR(IF(AND(REGEXMATCH(SUBSTITUTE(TRIM(F1803)," ",""),"^-?\d+(\.\d+)?,-?\d+(\.\d+)?$"),VALUE(REGEXEXTRACT(SUBSTITUTE(TRIM(F1803)," ",""),"^-?\d+(\.\d+)?"))&gt;=-90,VALUE(REGEXEXTRACT(SUBSTITUTE(TRIM(F1803)," ",""),"^-?\d+(\.\d+)?"))&lt;=90,VALUE(REGEXEXTRACT(SUBSTITUTE(TRIM(F1803)," ",""),"-?\d+(\.\d+)?$"))&gt;=-180,VALUE(REGEXEXTRACT(SUBSTITUTE(TRIM(F1803)," ",""),"-?\d+(\.\d+)?$"))&lt;=180),"OK","REVISAR"),"REVISAR"),"")</f>
        <v/>
      </c>
      <c r="O1803">
        <f>IF(A1803&lt;&gt;"","https://direcciones507.github.io/direcciones507/panel.html?codigo="&amp;A1803&amp;"&amp;nombre="&amp;ENCODEURL(B1803)&amp;"&amp;telefono="&amp;SUBSTITUTE(C1803,"-","")&amp;"&amp;referencia="&amp;ENCODEURL(E1803)&amp;"&amp;lat="&amp;IZQUIERDA(SUBSTITUTE(F1803," ",""),ENCONTRAR(",",SUBSTITUTE(F1803," ",""))-1)&amp;"&amp;lng="&amp;DERECHA(SUBSTITUTE(F1803," ",""),LARGO(SUBSTITUTE(F1803," ",""))-ENCONTRAR(",",SUBSTITUTE(F1803," ",""))),"")</f>
        <v/>
      </c>
    </row>
    <row r="1804" ht="15.75" customHeight="1" s="10">
      <c r="A1804" s="8">
        <f>CONCAT("AD507-",TEXT(ROW()-2,"0000"))</f>
        <v/>
      </c>
      <c r="C1804" s="8" t="n"/>
      <c r="F1804" s="8" t="n"/>
      <c r="G1804" s="8">
        <f>IF(F1804&lt;&gt;"",HYPERLINK("https://www.google.com/maps/search/?api=1&amp;query="&amp;SUBSTITUTE(F1804," ",""),"🗺 Google Maps"),"")</f>
        <v/>
      </c>
      <c r="H1804" s="8">
        <f>IF(F1804&lt;&gt;"",HYPERLINK("https://waze.com/ul?ll="&amp;SUBSTITUTE(F1804," ","")&amp;"&amp;navigate=yes","🚗 Waze"),"")</f>
        <v/>
      </c>
      <c r="I1804" s="8">
        <f>IF(F1804&lt;&gt;"",HYPERLINK("https://m.uber.com/ul/?action=setPickup&amp;pickup=my_location&amp;dropoff[latitude]="&amp;LEFT(SUBSTITUTE(F1804," ",""),FIND(",",SUBSTITUTE(F1804," ",""))-1)&amp;"&amp;dropoff[longitude]="&amp;MID(SUBSTITUTE(F1804," ",""),FIND(",",SUBSTITUTE(F1804," ",""))+1,99),"🚕 Uber"),"")</f>
        <v/>
      </c>
      <c r="J1804" s="8">
        <f>IF(F1804&lt;&gt;"","https://api.qrserver.com/v1/create-qr-code/?size=200x200&amp;data="&amp;ENCODEURL("https://www.google.com/maps/search/?api=1&amp;query="&amp;SUBSTITUTE(F1804," ","")),"")</f>
        <v/>
      </c>
      <c r="K1804" s="8">
        <f>IF(C1804&lt;&gt;"",HYPERLINK("https://wa.me/507"&amp;REGEXREPLACE(C1804,"[^0-9]","")&amp;"?text="&amp;ENCODEURL("Ya llegue. Codigo: "&amp;A1804&amp;". Ubicacion: "&amp;"https://www.google.com/maps/search/?api=1&amp;query="&amp;SUBSTITUTE(F1804," ","")),"📲 Avisar al cliente"),"")</f>
        <v/>
      </c>
      <c r="L1804" s="8">
        <f>IF(C1804&lt;&gt;"","https://api.qrserver.com/v1/create-qr-code/?size=200x200&amp;data="&amp;ENCODEURL("https://wa.me/507"&amp;REGEXREPLACE(C1804,"[^0-9]","")&amp;"?text="&amp;ENCODEURL("Ya llegue. Codigo: "&amp;A1804&amp;". Ubicacion: "&amp;"https://www.google.com/maps/search/?api=1&amp;query="&amp;SUBSTITUTE(F1804," ",""))),"")</f>
        <v/>
      </c>
      <c r="M1804" s="8">
        <f>IF(B1804&lt;&gt;"",TODAY(),"")</f>
        <v/>
      </c>
      <c r="N1804" s="8">
        <f>IF(F1804&lt;&gt;"",IFERROR(IF(AND(REGEXMATCH(SUBSTITUTE(TRIM(F1804)," ",""),"^-?\d+(\.\d+)?,-?\d+(\.\d+)?$"),VALUE(REGEXEXTRACT(SUBSTITUTE(TRIM(F1804)," ",""),"^-?\d+(\.\d+)?"))&gt;=-90,VALUE(REGEXEXTRACT(SUBSTITUTE(TRIM(F1804)," ",""),"^-?\d+(\.\d+)?"))&lt;=90,VALUE(REGEXEXTRACT(SUBSTITUTE(TRIM(F1804)," ",""),"-?\d+(\.\d+)?$"))&gt;=-180,VALUE(REGEXEXTRACT(SUBSTITUTE(TRIM(F1804)," ",""),"-?\d+(\.\d+)?$"))&lt;=180),"OK","REVISAR"),"REVISAR"),"")</f>
        <v/>
      </c>
      <c r="O1804">
        <f>IF(A1804&lt;&gt;"","https://direcciones507.github.io/direcciones507/panel.html?codigo="&amp;A1804&amp;"&amp;nombre="&amp;ENCODEURL(B1804)&amp;"&amp;telefono="&amp;SUBSTITUTE(C1804,"-","")&amp;"&amp;referencia="&amp;ENCODEURL(E1804)&amp;"&amp;lat="&amp;IZQUIERDA(SUBSTITUTE(F1804," ",""),ENCONTRAR(",",SUBSTITUTE(F1804," ",""))-1)&amp;"&amp;lng="&amp;DERECHA(SUBSTITUTE(F1804," ",""),LARGO(SUBSTITUTE(F1804," ",""))-ENCONTRAR(",",SUBSTITUTE(F1804," ",""))),"")</f>
        <v/>
      </c>
    </row>
    <row r="1805" ht="15.75" customHeight="1" s="10">
      <c r="A1805" s="8">
        <f>CONCAT("AD507-",TEXT(ROW()-2,"0000"))</f>
        <v/>
      </c>
      <c r="C1805" s="8" t="n"/>
      <c r="F1805" s="8" t="n"/>
      <c r="G1805" s="8">
        <f>IF(F1805&lt;&gt;"",HYPERLINK("https://www.google.com/maps/search/?api=1&amp;query="&amp;SUBSTITUTE(F1805," ",""),"🗺 Google Maps"),"")</f>
        <v/>
      </c>
      <c r="H1805" s="8">
        <f>IF(F1805&lt;&gt;"",HYPERLINK("https://waze.com/ul?ll="&amp;SUBSTITUTE(F1805," ","")&amp;"&amp;navigate=yes","🚗 Waze"),"")</f>
        <v/>
      </c>
      <c r="I1805" s="8">
        <f>IF(F1805&lt;&gt;"",HYPERLINK("https://m.uber.com/ul/?action=setPickup&amp;pickup=my_location&amp;dropoff[latitude]="&amp;LEFT(SUBSTITUTE(F1805," ",""),FIND(",",SUBSTITUTE(F1805," ",""))-1)&amp;"&amp;dropoff[longitude]="&amp;MID(SUBSTITUTE(F1805," ",""),FIND(",",SUBSTITUTE(F1805," ",""))+1,99),"🚕 Uber"),"")</f>
        <v/>
      </c>
      <c r="J1805" s="8">
        <f>IF(F1805&lt;&gt;"","https://api.qrserver.com/v1/create-qr-code/?size=200x200&amp;data="&amp;ENCODEURL("https://www.google.com/maps/search/?api=1&amp;query="&amp;SUBSTITUTE(F1805," ","")),"")</f>
        <v/>
      </c>
      <c r="K1805" s="8">
        <f>IF(C1805&lt;&gt;"",HYPERLINK("https://wa.me/507"&amp;REGEXREPLACE(C1805,"[^0-9]","")&amp;"?text="&amp;ENCODEURL("Ya llegue. Codigo: "&amp;A1805&amp;". Ubicacion: "&amp;"https://www.google.com/maps/search/?api=1&amp;query="&amp;SUBSTITUTE(F1805," ","")),"📲 Avisar al cliente"),"")</f>
        <v/>
      </c>
      <c r="L1805" s="8">
        <f>IF(C1805&lt;&gt;"","https://api.qrserver.com/v1/create-qr-code/?size=200x200&amp;data="&amp;ENCODEURL("https://wa.me/507"&amp;REGEXREPLACE(C1805,"[^0-9]","")&amp;"?text="&amp;ENCODEURL("Ya llegue. Codigo: "&amp;A1805&amp;". Ubicacion: "&amp;"https://www.google.com/maps/search/?api=1&amp;query="&amp;SUBSTITUTE(F1805," ",""))),"")</f>
        <v/>
      </c>
      <c r="M1805" s="8">
        <f>IF(B1805&lt;&gt;"",TODAY(),"")</f>
        <v/>
      </c>
      <c r="N1805" s="8">
        <f>IF(F1805&lt;&gt;"",IFERROR(IF(AND(REGEXMATCH(SUBSTITUTE(TRIM(F1805)," ",""),"^-?\d+(\.\d+)?,-?\d+(\.\d+)?$"),VALUE(REGEXEXTRACT(SUBSTITUTE(TRIM(F1805)," ",""),"^-?\d+(\.\d+)?"))&gt;=-90,VALUE(REGEXEXTRACT(SUBSTITUTE(TRIM(F1805)," ",""),"^-?\d+(\.\d+)?"))&lt;=90,VALUE(REGEXEXTRACT(SUBSTITUTE(TRIM(F1805)," ",""),"-?\d+(\.\d+)?$"))&gt;=-180,VALUE(REGEXEXTRACT(SUBSTITUTE(TRIM(F1805)," ",""),"-?\d+(\.\d+)?$"))&lt;=180),"OK","REVISAR"),"REVISAR"),"")</f>
        <v/>
      </c>
      <c r="O1805">
        <f>IF(A1805&lt;&gt;"","https://direcciones507.github.io/direcciones507/panel.html?codigo="&amp;A1805&amp;"&amp;nombre="&amp;ENCODEURL(B1805)&amp;"&amp;telefono="&amp;SUBSTITUTE(C1805,"-","")&amp;"&amp;referencia="&amp;ENCODEURL(E1805)&amp;"&amp;lat="&amp;IZQUIERDA(SUBSTITUTE(F1805," ",""),ENCONTRAR(",",SUBSTITUTE(F1805," ",""))-1)&amp;"&amp;lng="&amp;DERECHA(SUBSTITUTE(F1805," ",""),LARGO(SUBSTITUTE(F1805," ",""))-ENCONTRAR(",",SUBSTITUTE(F1805," ",""))),"")</f>
        <v/>
      </c>
    </row>
    <row r="1806" ht="15.75" customHeight="1" s="10">
      <c r="A1806" s="8">
        <f>CONCAT("AD507-",TEXT(ROW()-2,"0000"))</f>
        <v/>
      </c>
      <c r="C1806" s="8" t="n"/>
      <c r="F1806" s="8" t="n"/>
      <c r="G1806" s="8">
        <f>IF(F1806&lt;&gt;"",HYPERLINK("https://www.google.com/maps/search/?api=1&amp;query="&amp;SUBSTITUTE(F1806," ",""),"🗺 Google Maps"),"")</f>
        <v/>
      </c>
      <c r="H1806" s="8">
        <f>IF(F1806&lt;&gt;"",HYPERLINK("https://waze.com/ul?ll="&amp;SUBSTITUTE(F1806," ","")&amp;"&amp;navigate=yes","🚗 Waze"),"")</f>
        <v/>
      </c>
      <c r="I1806" s="8">
        <f>IF(F1806&lt;&gt;"",HYPERLINK("https://m.uber.com/ul/?action=setPickup&amp;pickup=my_location&amp;dropoff[latitude]="&amp;LEFT(SUBSTITUTE(F1806," ",""),FIND(",",SUBSTITUTE(F1806," ",""))-1)&amp;"&amp;dropoff[longitude]="&amp;MID(SUBSTITUTE(F1806," ",""),FIND(",",SUBSTITUTE(F1806," ",""))+1,99),"🚕 Uber"),"")</f>
        <v/>
      </c>
      <c r="J1806" s="8">
        <f>IF(F1806&lt;&gt;"","https://api.qrserver.com/v1/create-qr-code/?size=200x200&amp;data="&amp;ENCODEURL("https://www.google.com/maps/search/?api=1&amp;query="&amp;SUBSTITUTE(F1806," ","")),"")</f>
        <v/>
      </c>
      <c r="K1806" s="8">
        <f>IF(C1806&lt;&gt;"",HYPERLINK("https://wa.me/507"&amp;REGEXREPLACE(C1806,"[^0-9]","")&amp;"?text="&amp;ENCODEURL("Ya llegue. Codigo: "&amp;A1806&amp;". Ubicacion: "&amp;"https://www.google.com/maps/search/?api=1&amp;query="&amp;SUBSTITUTE(F1806," ","")),"📲 Avisar al cliente"),"")</f>
        <v/>
      </c>
      <c r="L1806" s="8">
        <f>IF(C1806&lt;&gt;"","https://api.qrserver.com/v1/create-qr-code/?size=200x200&amp;data="&amp;ENCODEURL("https://wa.me/507"&amp;REGEXREPLACE(C1806,"[^0-9]","")&amp;"?text="&amp;ENCODEURL("Ya llegue. Codigo: "&amp;A1806&amp;". Ubicacion: "&amp;"https://www.google.com/maps/search/?api=1&amp;query="&amp;SUBSTITUTE(F1806," ",""))),"")</f>
        <v/>
      </c>
      <c r="M1806" s="8">
        <f>IF(B1806&lt;&gt;"",TODAY(),"")</f>
        <v/>
      </c>
      <c r="N1806" s="8">
        <f>IF(F1806&lt;&gt;"",IFERROR(IF(AND(REGEXMATCH(SUBSTITUTE(TRIM(F1806)," ",""),"^-?\d+(\.\d+)?,-?\d+(\.\d+)?$"),VALUE(REGEXEXTRACT(SUBSTITUTE(TRIM(F1806)," ",""),"^-?\d+(\.\d+)?"))&gt;=-90,VALUE(REGEXEXTRACT(SUBSTITUTE(TRIM(F1806)," ",""),"^-?\d+(\.\d+)?"))&lt;=90,VALUE(REGEXEXTRACT(SUBSTITUTE(TRIM(F1806)," ",""),"-?\d+(\.\d+)?$"))&gt;=-180,VALUE(REGEXEXTRACT(SUBSTITUTE(TRIM(F1806)," ",""),"-?\d+(\.\d+)?$"))&lt;=180),"OK","REVISAR"),"REVISAR"),"")</f>
        <v/>
      </c>
      <c r="O1806">
        <f>IF(A1806&lt;&gt;"","https://direcciones507.github.io/direcciones507/panel.html?codigo="&amp;A1806&amp;"&amp;nombre="&amp;ENCODEURL(B1806)&amp;"&amp;telefono="&amp;SUBSTITUTE(C1806,"-","")&amp;"&amp;referencia="&amp;ENCODEURL(E1806)&amp;"&amp;lat="&amp;IZQUIERDA(SUBSTITUTE(F1806," ",""),ENCONTRAR(",",SUBSTITUTE(F1806," ",""))-1)&amp;"&amp;lng="&amp;DERECHA(SUBSTITUTE(F1806," ",""),LARGO(SUBSTITUTE(F1806," ",""))-ENCONTRAR(",",SUBSTITUTE(F1806," ",""))),"")</f>
        <v/>
      </c>
    </row>
    <row r="1807" ht="15.75" customHeight="1" s="10">
      <c r="A1807" s="8">
        <f>CONCAT("AD507-",TEXT(ROW()-2,"0000"))</f>
        <v/>
      </c>
      <c r="C1807" s="8" t="n"/>
      <c r="F1807" s="8" t="n"/>
      <c r="G1807" s="8">
        <f>IF(F1807&lt;&gt;"",HYPERLINK("https://www.google.com/maps/search/?api=1&amp;query="&amp;SUBSTITUTE(F1807," ",""),"🗺 Google Maps"),"")</f>
        <v/>
      </c>
      <c r="H1807" s="8">
        <f>IF(F1807&lt;&gt;"",HYPERLINK("https://waze.com/ul?ll="&amp;SUBSTITUTE(F1807," ","")&amp;"&amp;navigate=yes","🚗 Waze"),"")</f>
        <v/>
      </c>
      <c r="I1807" s="8">
        <f>IF(F1807&lt;&gt;"",HYPERLINK("https://m.uber.com/ul/?action=setPickup&amp;pickup=my_location&amp;dropoff[latitude]="&amp;LEFT(SUBSTITUTE(F1807," ",""),FIND(",",SUBSTITUTE(F1807," ",""))-1)&amp;"&amp;dropoff[longitude]="&amp;MID(SUBSTITUTE(F1807," ",""),FIND(",",SUBSTITUTE(F1807," ",""))+1,99),"🚕 Uber"),"")</f>
        <v/>
      </c>
      <c r="J1807" s="8">
        <f>IF(F1807&lt;&gt;"","https://api.qrserver.com/v1/create-qr-code/?size=200x200&amp;data="&amp;ENCODEURL("https://www.google.com/maps/search/?api=1&amp;query="&amp;SUBSTITUTE(F1807," ","")),"")</f>
        <v/>
      </c>
      <c r="K1807" s="8">
        <f>IF(C1807&lt;&gt;"",HYPERLINK("https://wa.me/507"&amp;REGEXREPLACE(C1807,"[^0-9]","")&amp;"?text="&amp;ENCODEURL("Ya llegue. Codigo: "&amp;A1807&amp;". Ubicacion: "&amp;"https://www.google.com/maps/search/?api=1&amp;query="&amp;SUBSTITUTE(F1807," ","")),"📲 Avisar al cliente"),"")</f>
        <v/>
      </c>
      <c r="L1807" s="8">
        <f>IF(C1807&lt;&gt;"","https://api.qrserver.com/v1/create-qr-code/?size=200x200&amp;data="&amp;ENCODEURL("https://wa.me/507"&amp;REGEXREPLACE(C1807,"[^0-9]","")&amp;"?text="&amp;ENCODEURL("Ya llegue. Codigo: "&amp;A1807&amp;". Ubicacion: "&amp;"https://www.google.com/maps/search/?api=1&amp;query="&amp;SUBSTITUTE(F1807," ",""))),"")</f>
        <v/>
      </c>
      <c r="M1807" s="8">
        <f>IF(B1807&lt;&gt;"",TODAY(),"")</f>
        <v/>
      </c>
      <c r="N1807" s="8">
        <f>IF(F1807&lt;&gt;"",IFERROR(IF(AND(REGEXMATCH(SUBSTITUTE(TRIM(F1807)," ",""),"^-?\d+(\.\d+)?,-?\d+(\.\d+)?$"),VALUE(REGEXEXTRACT(SUBSTITUTE(TRIM(F1807)," ",""),"^-?\d+(\.\d+)?"))&gt;=-90,VALUE(REGEXEXTRACT(SUBSTITUTE(TRIM(F1807)," ",""),"^-?\d+(\.\d+)?"))&lt;=90,VALUE(REGEXEXTRACT(SUBSTITUTE(TRIM(F1807)," ",""),"-?\d+(\.\d+)?$"))&gt;=-180,VALUE(REGEXEXTRACT(SUBSTITUTE(TRIM(F1807)," ",""),"-?\d+(\.\d+)?$"))&lt;=180),"OK","REVISAR"),"REVISAR"),"")</f>
        <v/>
      </c>
      <c r="O1807">
        <f>IF(A1807&lt;&gt;"","https://direcciones507.github.io/direcciones507/panel.html?codigo="&amp;A1807&amp;"&amp;nombre="&amp;ENCODEURL(B1807)&amp;"&amp;telefono="&amp;SUBSTITUTE(C1807,"-","")&amp;"&amp;referencia="&amp;ENCODEURL(E1807)&amp;"&amp;lat="&amp;IZQUIERDA(SUBSTITUTE(F1807," ",""),ENCONTRAR(",",SUBSTITUTE(F1807," ",""))-1)&amp;"&amp;lng="&amp;DERECHA(SUBSTITUTE(F1807," ",""),LARGO(SUBSTITUTE(F1807," ",""))-ENCONTRAR(",",SUBSTITUTE(F1807," ",""))),"")</f>
        <v/>
      </c>
    </row>
    <row r="1808" ht="15.75" customHeight="1" s="10">
      <c r="A1808" s="8">
        <f>CONCAT("AD507-",TEXT(ROW()-2,"0000"))</f>
        <v/>
      </c>
      <c r="C1808" s="8" t="n"/>
      <c r="F1808" s="8" t="n"/>
      <c r="G1808" s="8">
        <f>IF(F1808&lt;&gt;"",HYPERLINK("https://www.google.com/maps/search/?api=1&amp;query="&amp;SUBSTITUTE(F1808," ",""),"🗺 Google Maps"),"")</f>
        <v/>
      </c>
      <c r="H1808" s="8">
        <f>IF(F1808&lt;&gt;"",HYPERLINK("https://waze.com/ul?ll="&amp;SUBSTITUTE(F1808," ","")&amp;"&amp;navigate=yes","🚗 Waze"),"")</f>
        <v/>
      </c>
      <c r="I1808" s="8">
        <f>IF(F1808&lt;&gt;"",HYPERLINK("https://m.uber.com/ul/?action=setPickup&amp;pickup=my_location&amp;dropoff[latitude]="&amp;LEFT(SUBSTITUTE(F1808," ",""),FIND(",",SUBSTITUTE(F1808," ",""))-1)&amp;"&amp;dropoff[longitude]="&amp;MID(SUBSTITUTE(F1808," ",""),FIND(",",SUBSTITUTE(F1808," ",""))+1,99),"🚕 Uber"),"")</f>
        <v/>
      </c>
      <c r="J1808" s="8">
        <f>IF(F1808&lt;&gt;"","https://api.qrserver.com/v1/create-qr-code/?size=200x200&amp;data="&amp;ENCODEURL("https://www.google.com/maps/search/?api=1&amp;query="&amp;SUBSTITUTE(F1808," ","")),"")</f>
        <v/>
      </c>
      <c r="K1808" s="8">
        <f>IF(C1808&lt;&gt;"",HYPERLINK("https://wa.me/507"&amp;REGEXREPLACE(C1808,"[^0-9]","")&amp;"?text="&amp;ENCODEURL("Ya llegue. Codigo: "&amp;A1808&amp;". Ubicacion: "&amp;"https://www.google.com/maps/search/?api=1&amp;query="&amp;SUBSTITUTE(F1808," ","")),"📲 Avisar al cliente"),"")</f>
        <v/>
      </c>
      <c r="L1808" s="8">
        <f>IF(C1808&lt;&gt;"","https://api.qrserver.com/v1/create-qr-code/?size=200x200&amp;data="&amp;ENCODEURL("https://wa.me/507"&amp;REGEXREPLACE(C1808,"[^0-9]","")&amp;"?text="&amp;ENCODEURL("Ya llegue. Codigo: "&amp;A1808&amp;". Ubicacion: "&amp;"https://www.google.com/maps/search/?api=1&amp;query="&amp;SUBSTITUTE(F1808," ",""))),"")</f>
        <v/>
      </c>
      <c r="M1808" s="8">
        <f>IF(B1808&lt;&gt;"",TODAY(),"")</f>
        <v/>
      </c>
      <c r="N1808" s="8">
        <f>IF(F1808&lt;&gt;"",IFERROR(IF(AND(REGEXMATCH(SUBSTITUTE(TRIM(F1808)," ",""),"^-?\d+(\.\d+)?,-?\d+(\.\d+)?$"),VALUE(REGEXEXTRACT(SUBSTITUTE(TRIM(F1808)," ",""),"^-?\d+(\.\d+)?"))&gt;=-90,VALUE(REGEXEXTRACT(SUBSTITUTE(TRIM(F1808)," ",""),"^-?\d+(\.\d+)?"))&lt;=90,VALUE(REGEXEXTRACT(SUBSTITUTE(TRIM(F1808)," ",""),"-?\d+(\.\d+)?$"))&gt;=-180,VALUE(REGEXEXTRACT(SUBSTITUTE(TRIM(F1808)," ",""),"-?\d+(\.\d+)?$"))&lt;=180),"OK","REVISAR"),"REVISAR"),"")</f>
        <v/>
      </c>
      <c r="O1808">
        <f>IF(A1808&lt;&gt;"","https://direcciones507.github.io/direcciones507/panel.html?codigo="&amp;A1808&amp;"&amp;nombre="&amp;ENCODEURL(B1808)&amp;"&amp;telefono="&amp;SUBSTITUTE(C1808,"-","")&amp;"&amp;referencia="&amp;ENCODEURL(E1808)&amp;"&amp;lat="&amp;IZQUIERDA(SUBSTITUTE(F1808," ",""),ENCONTRAR(",",SUBSTITUTE(F1808," ",""))-1)&amp;"&amp;lng="&amp;DERECHA(SUBSTITUTE(F1808," ",""),LARGO(SUBSTITUTE(F1808," ",""))-ENCONTRAR(",",SUBSTITUTE(F1808," ",""))),"")</f>
        <v/>
      </c>
    </row>
    <row r="1809" ht="15.75" customHeight="1" s="10">
      <c r="A1809" s="8">
        <f>CONCAT("AD507-",TEXT(ROW()-2,"0000"))</f>
        <v/>
      </c>
      <c r="C1809" s="8" t="n"/>
      <c r="F1809" s="8" t="n"/>
      <c r="G1809" s="8">
        <f>IF(F1809&lt;&gt;"",HYPERLINK("https://www.google.com/maps/search/?api=1&amp;query="&amp;SUBSTITUTE(F1809," ",""),"🗺 Google Maps"),"")</f>
        <v/>
      </c>
      <c r="H1809" s="8">
        <f>IF(F1809&lt;&gt;"",HYPERLINK("https://waze.com/ul?ll="&amp;SUBSTITUTE(F1809," ","")&amp;"&amp;navigate=yes","🚗 Waze"),"")</f>
        <v/>
      </c>
      <c r="I1809" s="8">
        <f>IF(F1809&lt;&gt;"",HYPERLINK("https://m.uber.com/ul/?action=setPickup&amp;pickup=my_location&amp;dropoff[latitude]="&amp;LEFT(SUBSTITUTE(F1809," ",""),FIND(",",SUBSTITUTE(F1809," ",""))-1)&amp;"&amp;dropoff[longitude]="&amp;MID(SUBSTITUTE(F1809," ",""),FIND(",",SUBSTITUTE(F1809," ",""))+1,99),"🚕 Uber"),"")</f>
        <v/>
      </c>
      <c r="J1809" s="8">
        <f>IF(F1809&lt;&gt;"","https://api.qrserver.com/v1/create-qr-code/?size=200x200&amp;data="&amp;ENCODEURL("https://www.google.com/maps/search/?api=1&amp;query="&amp;SUBSTITUTE(F1809," ","")),"")</f>
        <v/>
      </c>
      <c r="K1809" s="8">
        <f>IF(C1809&lt;&gt;"",HYPERLINK("https://wa.me/507"&amp;REGEXREPLACE(C1809,"[^0-9]","")&amp;"?text="&amp;ENCODEURL("Ya llegue. Codigo: "&amp;A1809&amp;". Ubicacion: "&amp;"https://www.google.com/maps/search/?api=1&amp;query="&amp;SUBSTITUTE(F1809," ","")),"📲 Avisar al cliente"),"")</f>
        <v/>
      </c>
      <c r="L1809" s="8">
        <f>IF(C1809&lt;&gt;"","https://api.qrserver.com/v1/create-qr-code/?size=200x200&amp;data="&amp;ENCODEURL("https://wa.me/507"&amp;REGEXREPLACE(C1809,"[^0-9]","")&amp;"?text="&amp;ENCODEURL("Ya llegue. Codigo: "&amp;A1809&amp;". Ubicacion: "&amp;"https://www.google.com/maps/search/?api=1&amp;query="&amp;SUBSTITUTE(F1809," ",""))),"")</f>
        <v/>
      </c>
      <c r="M1809" s="8">
        <f>IF(B1809&lt;&gt;"",TODAY(),"")</f>
        <v/>
      </c>
      <c r="N1809" s="8">
        <f>IF(F1809&lt;&gt;"",IFERROR(IF(AND(REGEXMATCH(SUBSTITUTE(TRIM(F1809)," ",""),"^-?\d+(\.\d+)?,-?\d+(\.\d+)?$"),VALUE(REGEXEXTRACT(SUBSTITUTE(TRIM(F1809)," ",""),"^-?\d+(\.\d+)?"))&gt;=-90,VALUE(REGEXEXTRACT(SUBSTITUTE(TRIM(F1809)," ",""),"^-?\d+(\.\d+)?"))&lt;=90,VALUE(REGEXEXTRACT(SUBSTITUTE(TRIM(F1809)," ",""),"-?\d+(\.\d+)?$"))&gt;=-180,VALUE(REGEXEXTRACT(SUBSTITUTE(TRIM(F1809)," ",""),"-?\d+(\.\d+)?$"))&lt;=180),"OK","REVISAR"),"REVISAR"),"")</f>
        <v/>
      </c>
      <c r="O1809">
        <f>IF(A1809&lt;&gt;"","https://direcciones507.github.io/direcciones507/panel.html?codigo="&amp;A1809&amp;"&amp;nombre="&amp;ENCODEURL(B1809)&amp;"&amp;telefono="&amp;SUBSTITUTE(C1809,"-","")&amp;"&amp;referencia="&amp;ENCODEURL(E1809)&amp;"&amp;lat="&amp;IZQUIERDA(SUBSTITUTE(F1809," ",""),ENCONTRAR(",",SUBSTITUTE(F1809," ",""))-1)&amp;"&amp;lng="&amp;DERECHA(SUBSTITUTE(F1809," ",""),LARGO(SUBSTITUTE(F1809," ",""))-ENCONTRAR(",",SUBSTITUTE(F1809," ",""))),"")</f>
        <v/>
      </c>
    </row>
    <row r="1810" ht="15.75" customHeight="1" s="10">
      <c r="A1810" s="8">
        <f>CONCAT("AD507-",TEXT(ROW()-2,"0000"))</f>
        <v/>
      </c>
      <c r="C1810" s="8" t="n"/>
      <c r="F1810" s="8" t="n"/>
      <c r="G1810" s="8">
        <f>IF(F1810&lt;&gt;"",HYPERLINK("https://www.google.com/maps/search/?api=1&amp;query="&amp;SUBSTITUTE(F1810," ",""),"🗺 Google Maps"),"")</f>
        <v/>
      </c>
      <c r="H1810" s="8">
        <f>IF(F1810&lt;&gt;"",HYPERLINK("https://waze.com/ul?ll="&amp;SUBSTITUTE(F1810," ","")&amp;"&amp;navigate=yes","🚗 Waze"),"")</f>
        <v/>
      </c>
      <c r="I1810" s="8">
        <f>IF(F1810&lt;&gt;"",HYPERLINK("https://m.uber.com/ul/?action=setPickup&amp;pickup=my_location&amp;dropoff[latitude]="&amp;LEFT(SUBSTITUTE(F1810," ",""),FIND(",",SUBSTITUTE(F1810," ",""))-1)&amp;"&amp;dropoff[longitude]="&amp;MID(SUBSTITUTE(F1810," ",""),FIND(",",SUBSTITUTE(F1810," ",""))+1,99),"🚕 Uber"),"")</f>
        <v/>
      </c>
      <c r="J1810" s="8">
        <f>IF(F1810&lt;&gt;"","https://api.qrserver.com/v1/create-qr-code/?size=200x200&amp;data="&amp;ENCODEURL("https://www.google.com/maps/search/?api=1&amp;query="&amp;SUBSTITUTE(F1810," ","")),"")</f>
        <v/>
      </c>
      <c r="K1810" s="8">
        <f>IF(C1810&lt;&gt;"",HYPERLINK("https://wa.me/507"&amp;REGEXREPLACE(C1810,"[^0-9]","")&amp;"?text="&amp;ENCODEURL("Ya llegue. Codigo: "&amp;A1810&amp;". Ubicacion: "&amp;"https://www.google.com/maps/search/?api=1&amp;query="&amp;SUBSTITUTE(F1810," ","")),"📲 Avisar al cliente"),"")</f>
        <v/>
      </c>
      <c r="L1810" s="8">
        <f>IF(C1810&lt;&gt;"","https://api.qrserver.com/v1/create-qr-code/?size=200x200&amp;data="&amp;ENCODEURL("https://wa.me/507"&amp;REGEXREPLACE(C1810,"[^0-9]","")&amp;"?text="&amp;ENCODEURL("Ya llegue. Codigo: "&amp;A1810&amp;". Ubicacion: "&amp;"https://www.google.com/maps/search/?api=1&amp;query="&amp;SUBSTITUTE(F1810," ",""))),"")</f>
        <v/>
      </c>
      <c r="M1810" s="8">
        <f>IF(B1810&lt;&gt;"",TODAY(),"")</f>
        <v/>
      </c>
      <c r="N1810" s="8">
        <f>IF(F1810&lt;&gt;"",IFERROR(IF(AND(REGEXMATCH(SUBSTITUTE(TRIM(F1810)," ",""),"^-?\d+(\.\d+)?,-?\d+(\.\d+)?$"),VALUE(REGEXEXTRACT(SUBSTITUTE(TRIM(F1810)," ",""),"^-?\d+(\.\d+)?"))&gt;=-90,VALUE(REGEXEXTRACT(SUBSTITUTE(TRIM(F1810)," ",""),"^-?\d+(\.\d+)?"))&lt;=90,VALUE(REGEXEXTRACT(SUBSTITUTE(TRIM(F1810)," ",""),"-?\d+(\.\d+)?$"))&gt;=-180,VALUE(REGEXEXTRACT(SUBSTITUTE(TRIM(F1810)," ",""),"-?\d+(\.\d+)?$"))&lt;=180),"OK","REVISAR"),"REVISAR"),"")</f>
        <v/>
      </c>
      <c r="O1810">
        <f>IF(A1810&lt;&gt;"","https://direcciones507.github.io/direcciones507/panel.html?codigo="&amp;A1810&amp;"&amp;nombre="&amp;ENCODEURL(B1810)&amp;"&amp;telefono="&amp;SUBSTITUTE(C1810,"-","")&amp;"&amp;referencia="&amp;ENCODEURL(E1810)&amp;"&amp;lat="&amp;IZQUIERDA(SUBSTITUTE(F1810," ",""),ENCONTRAR(",",SUBSTITUTE(F1810," ",""))-1)&amp;"&amp;lng="&amp;DERECHA(SUBSTITUTE(F1810," ",""),LARGO(SUBSTITUTE(F1810," ",""))-ENCONTRAR(",",SUBSTITUTE(F1810," ",""))),"")</f>
        <v/>
      </c>
    </row>
    <row r="1811" ht="15.75" customHeight="1" s="10">
      <c r="A1811" s="8">
        <f>CONCAT("AD507-",TEXT(ROW()-2,"0000"))</f>
        <v/>
      </c>
      <c r="C1811" s="8" t="n"/>
      <c r="F1811" s="8" t="n"/>
      <c r="G1811" s="8">
        <f>IF(F1811&lt;&gt;"",HYPERLINK("https://www.google.com/maps/search/?api=1&amp;query="&amp;SUBSTITUTE(F1811," ",""),"🗺 Google Maps"),"")</f>
        <v/>
      </c>
      <c r="H1811" s="8">
        <f>IF(F1811&lt;&gt;"",HYPERLINK("https://waze.com/ul?ll="&amp;SUBSTITUTE(F1811," ","")&amp;"&amp;navigate=yes","🚗 Waze"),"")</f>
        <v/>
      </c>
      <c r="I1811" s="8">
        <f>IF(F1811&lt;&gt;"",HYPERLINK("https://m.uber.com/ul/?action=setPickup&amp;pickup=my_location&amp;dropoff[latitude]="&amp;LEFT(SUBSTITUTE(F1811," ",""),FIND(",",SUBSTITUTE(F1811," ",""))-1)&amp;"&amp;dropoff[longitude]="&amp;MID(SUBSTITUTE(F1811," ",""),FIND(",",SUBSTITUTE(F1811," ",""))+1,99),"🚕 Uber"),"")</f>
        <v/>
      </c>
      <c r="J1811" s="8">
        <f>IF(F1811&lt;&gt;"","https://api.qrserver.com/v1/create-qr-code/?size=200x200&amp;data="&amp;ENCODEURL("https://www.google.com/maps/search/?api=1&amp;query="&amp;SUBSTITUTE(F1811," ","")),"")</f>
        <v/>
      </c>
      <c r="K1811" s="8">
        <f>IF(C1811&lt;&gt;"",HYPERLINK("https://wa.me/507"&amp;REGEXREPLACE(C1811,"[^0-9]","")&amp;"?text="&amp;ENCODEURL("Ya llegue. Codigo: "&amp;A1811&amp;". Ubicacion: "&amp;"https://www.google.com/maps/search/?api=1&amp;query="&amp;SUBSTITUTE(F1811," ","")),"📲 Avisar al cliente"),"")</f>
        <v/>
      </c>
      <c r="L1811" s="8">
        <f>IF(C1811&lt;&gt;"","https://api.qrserver.com/v1/create-qr-code/?size=200x200&amp;data="&amp;ENCODEURL("https://wa.me/507"&amp;REGEXREPLACE(C1811,"[^0-9]","")&amp;"?text="&amp;ENCODEURL("Ya llegue. Codigo: "&amp;A1811&amp;". Ubicacion: "&amp;"https://www.google.com/maps/search/?api=1&amp;query="&amp;SUBSTITUTE(F1811," ",""))),"")</f>
        <v/>
      </c>
      <c r="M1811" s="8">
        <f>IF(B1811&lt;&gt;"",TODAY(),"")</f>
        <v/>
      </c>
      <c r="N1811" s="8">
        <f>IF(F1811&lt;&gt;"",IFERROR(IF(AND(REGEXMATCH(SUBSTITUTE(TRIM(F1811)," ",""),"^-?\d+(\.\d+)?,-?\d+(\.\d+)?$"),VALUE(REGEXEXTRACT(SUBSTITUTE(TRIM(F1811)," ",""),"^-?\d+(\.\d+)?"))&gt;=-90,VALUE(REGEXEXTRACT(SUBSTITUTE(TRIM(F1811)," ",""),"^-?\d+(\.\d+)?"))&lt;=90,VALUE(REGEXEXTRACT(SUBSTITUTE(TRIM(F1811)," ",""),"-?\d+(\.\d+)?$"))&gt;=-180,VALUE(REGEXEXTRACT(SUBSTITUTE(TRIM(F1811)," ",""),"-?\d+(\.\d+)?$"))&lt;=180),"OK","REVISAR"),"REVISAR"),"")</f>
        <v/>
      </c>
      <c r="O1811">
        <f>IF(A1811&lt;&gt;"","https://direcciones507.github.io/direcciones507/panel.html?codigo="&amp;A1811&amp;"&amp;nombre="&amp;ENCODEURL(B1811)&amp;"&amp;telefono="&amp;SUBSTITUTE(C1811,"-","")&amp;"&amp;referencia="&amp;ENCODEURL(E1811)&amp;"&amp;lat="&amp;IZQUIERDA(SUBSTITUTE(F1811," ",""),ENCONTRAR(",",SUBSTITUTE(F1811," ",""))-1)&amp;"&amp;lng="&amp;DERECHA(SUBSTITUTE(F1811," ",""),LARGO(SUBSTITUTE(F1811," ",""))-ENCONTRAR(",",SUBSTITUTE(F1811," ",""))),"")</f>
        <v/>
      </c>
    </row>
    <row r="1812" ht="15.75" customHeight="1" s="10">
      <c r="A1812" s="8">
        <f>CONCAT("AD507-",TEXT(ROW()-2,"0000"))</f>
        <v/>
      </c>
      <c r="C1812" s="8" t="n"/>
      <c r="F1812" s="8" t="n"/>
      <c r="G1812" s="8">
        <f>IF(F1812&lt;&gt;"",HYPERLINK("https://www.google.com/maps/search/?api=1&amp;query="&amp;SUBSTITUTE(F1812," ",""),"🗺 Google Maps"),"")</f>
        <v/>
      </c>
      <c r="H1812" s="8">
        <f>IF(F1812&lt;&gt;"",HYPERLINK("https://waze.com/ul?ll="&amp;SUBSTITUTE(F1812," ","")&amp;"&amp;navigate=yes","🚗 Waze"),"")</f>
        <v/>
      </c>
      <c r="I1812" s="8">
        <f>IF(F1812&lt;&gt;"",HYPERLINK("https://m.uber.com/ul/?action=setPickup&amp;pickup=my_location&amp;dropoff[latitude]="&amp;LEFT(SUBSTITUTE(F1812," ",""),FIND(",",SUBSTITUTE(F1812," ",""))-1)&amp;"&amp;dropoff[longitude]="&amp;MID(SUBSTITUTE(F1812," ",""),FIND(",",SUBSTITUTE(F1812," ",""))+1,99),"🚕 Uber"),"")</f>
        <v/>
      </c>
      <c r="J1812" s="8">
        <f>IF(F1812&lt;&gt;"","https://api.qrserver.com/v1/create-qr-code/?size=200x200&amp;data="&amp;ENCODEURL("https://www.google.com/maps/search/?api=1&amp;query="&amp;SUBSTITUTE(F1812," ","")),"")</f>
        <v/>
      </c>
      <c r="K1812" s="8">
        <f>IF(C1812&lt;&gt;"",HYPERLINK("https://wa.me/507"&amp;REGEXREPLACE(C1812,"[^0-9]","")&amp;"?text="&amp;ENCODEURL("Ya llegue. Codigo: "&amp;A1812&amp;". Ubicacion: "&amp;"https://www.google.com/maps/search/?api=1&amp;query="&amp;SUBSTITUTE(F1812," ","")),"📲 Avisar al cliente"),"")</f>
        <v/>
      </c>
      <c r="L1812" s="8">
        <f>IF(C1812&lt;&gt;"","https://api.qrserver.com/v1/create-qr-code/?size=200x200&amp;data="&amp;ENCODEURL("https://wa.me/507"&amp;REGEXREPLACE(C1812,"[^0-9]","")&amp;"?text="&amp;ENCODEURL("Ya llegue. Codigo: "&amp;A1812&amp;". Ubicacion: "&amp;"https://www.google.com/maps/search/?api=1&amp;query="&amp;SUBSTITUTE(F1812," ",""))),"")</f>
        <v/>
      </c>
      <c r="M1812" s="8">
        <f>IF(B1812&lt;&gt;"",TODAY(),"")</f>
        <v/>
      </c>
      <c r="N1812" s="8">
        <f>IF(F1812&lt;&gt;"",IFERROR(IF(AND(REGEXMATCH(SUBSTITUTE(TRIM(F1812)," ",""),"^-?\d+(\.\d+)?,-?\d+(\.\d+)?$"),VALUE(REGEXEXTRACT(SUBSTITUTE(TRIM(F1812)," ",""),"^-?\d+(\.\d+)?"))&gt;=-90,VALUE(REGEXEXTRACT(SUBSTITUTE(TRIM(F1812)," ",""),"^-?\d+(\.\d+)?"))&lt;=90,VALUE(REGEXEXTRACT(SUBSTITUTE(TRIM(F1812)," ",""),"-?\d+(\.\d+)?$"))&gt;=-180,VALUE(REGEXEXTRACT(SUBSTITUTE(TRIM(F1812)," ",""),"-?\d+(\.\d+)?$"))&lt;=180),"OK","REVISAR"),"REVISAR"),"")</f>
        <v/>
      </c>
      <c r="O1812">
        <f>IF(A1812&lt;&gt;"","https://direcciones507.github.io/direcciones507/panel.html?codigo="&amp;A1812&amp;"&amp;nombre="&amp;ENCODEURL(B1812)&amp;"&amp;telefono="&amp;SUBSTITUTE(C1812,"-","")&amp;"&amp;referencia="&amp;ENCODEURL(E1812)&amp;"&amp;lat="&amp;IZQUIERDA(SUBSTITUTE(F1812," ",""),ENCONTRAR(",",SUBSTITUTE(F1812," ",""))-1)&amp;"&amp;lng="&amp;DERECHA(SUBSTITUTE(F1812," ",""),LARGO(SUBSTITUTE(F1812," ",""))-ENCONTRAR(",",SUBSTITUTE(F1812," ",""))),"")</f>
        <v/>
      </c>
    </row>
    <row r="1813" ht="15.75" customHeight="1" s="10">
      <c r="A1813" s="8">
        <f>CONCAT("AD507-",TEXT(ROW()-2,"0000"))</f>
        <v/>
      </c>
      <c r="C1813" s="8" t="n"/>
      <c r="F1813" s="8" t="n"/>
      <c r="G1813" s="8">
        <f>IF(F1813&lt;&gt;"",HYPERLINK("https://www.google.com/maps/search/?api=1&amp;query="&amp;SUBSTITUTE(F1813," ",""),"🗺 Google Maps"),"")</f>
        <v/>
      </c>
      <c r="H1813" s="8">
        <f>IF(F1813&lt;&gt;"",HYPERLINK("https://waze.com/ul?ll="&amp;SUBSTITUTE(F1813," ","")&amp;"&amp;navigate=yes","🚗 Waze"),"")</f>
        <v/>
      </c>
      <c r="I1813" s="8">
        <f>IF(F1813&lt;&gt;"",HYPERLINK("https://m.uber.com/ul/?action=setPickup&amp;pickup=my_location&amp;dropoff[latitude]="&amp;LEFT(SUBSTITUTE(F1813," ",""),FIND(",",SUBSTITUTE(F1813," ",""))-1)&amp;"&amp;dropoff[longitude]="&amp;MID(SUBSTITUTE(F1813," ",""),FIND(",",SUBSTITUTE(F1813," ",""))+1,99),"🚕 Uber"),"")</f>
        <v/>
      </c>
      <c r="J1813" s="8">
        <f>IF(F1813&lt;&gt;"","https://api.qrserver.com/v1/create-qr-code/?size=200x200&amp;data="&amp;ENCODEURL("https://www.google.com/maps/search/?api=1&amp;query="&amp;SUBSTITUTE(F1813," ","")),"")</f>
        <v/>
      </c>
      <c r="K1813" s="8">
        <f>IF(C1813&lt;&gt;"",HYPERLINK("https://wa.me/507"&amp;REGEXREPLACE(C1813,"[^0-9]","")&amp;"?text="&amp;ENCODEURL("Ya llegue. Codigo: "&amp;A1813&amp;". Ubicacion: "&amp;"https://www.google.com/maps/search/?api=1&amp;query="&amp;SUBSTITUTE(F1813," ","")),"📲 Avisar al cliente"),"")</f>
        <v/>
      </c>
      <c r="L1813" s="8">
        <f>IF(C1813&lt;&gt;"","https://api.qrserver.com/v1/create-qr-code/?size=200x200&amp;data="&amp;ENCODEURL("https://wa.me/507"&amp;REGEXREPLACE(C1813,"[^0-9]","")&amp;"?text="&amp;ENCODEURL("Ya llegue. Codigo: "&amp;A1813&amp;". Ubicacion: "&amp;"https://www.google.com/maps/search/?api=1&amp;query="&amp;SUBSTITUTE(F1813," ",""))),"")</f>
        <v/>
      </c>
      <c r="M1813" s="8">
        <f>IF(B1813&lt;&gt;"",TODAY(),"")</f>
        <v/>
      </c>
      <c r="N1813" s="8">
        <f>IF(F1813&lt;&gt;"",IFERROR(IF(AND(REGEXMATCH(SUBSTITUTE(TRIM(F1813)," ",""),"^-?\d+(\.\d+)?,-?\d+(\.\d+)?$"),VALUE(REGEXEXTRACT(SUBSTITUTE(TRIM(F1813)," ",""),"^-?\d+(\.\d+)?"))&gt;=-90,VALUE(REGEXEXTRACT(SUBSTITUTE(TRIM(F1813)," ",""),"^-?\d+(\.\d+)?"))&lt;=90,VALUE(REGEXEXTRACT(SUBSTITUTE(TRIM(F1813)," ",""),"-?\d+(\.\d+)?$"))&gt;=-180,VALUE(REGEXEXTRACT(SUBSTITUTE(TRIM(F1813)," ",""),"-?\d+(\.\d+)?$"))&lt;=180),"OK","REVISAR"),"REVISAR"),"")</f>
        <v/>
      </c>
      <c r="O1813">
        <f>IF(A1813&lt;&gt;"","https://direcciones507.github.io/direcciones507/panel.html?codigo="&amp;A1813&amp;"&amp;nombre="&amp;ENCODEURL(B1813)&amp;"&amp;telefono="&amp;SUBSTITUTE(C1813,"-","")&amp;"&amp;referencia="&amp;ENCODEURL(E1813)&amp;"&amp;lat="&amp;IZQUIERDA(SUBSTITUTE(F1813," ",""),ENCONTRAR(",",SUBSTITUTE(F1813," ",""))-1)&amp;"&amp;lng="&amp;DERECHA(SUBSTITUTE(F1813," ",""),LARGO(SUBSTITUTE(F1813," ",""))-ENCONTRAR(",",SUBSTITUTE(F1813," ",""))),"")</f>
        <v/>
      </c>
    </row>
    <row r="1814" ht="15.75" customHeight="1" s="10">
      <c r="A1814" s="8">
        <f>CONCAT("AD507-",TEXT(ROW()-2,"0000"))</f>
        <v/>
      </c>
      <c r="C1814" s="8" t="n"/>
      <c r="F1814" s="8" t="n"/>
      <c r="G1814" s="8">
        <f>IF(F1814&lt;&gt;"",HYPERLINK("https://www.google.com/maps/search/?api=1&amp;query="&amp;SUBSTITUTE(F1814," ",""),"🗺 Google Maps"),"")</f>
        <v/>
      </c>
      <c r="H1814" s="8">
        <f>IF(F1814&lt;&gt;"",HYPERLINK("https://waze.com/ul?ll="&amp;SUBSTITUTE(F1814," ","")&amp;"&amp;navigate=yes","🚗 Waze"),"")</f>
        <v/>
      </c>
      <c r="I1814" s="8">
        <f>IF(F1814&lt;&gt;"",HYPERLINK("https://m.uber.com/ul/?action=setPickup&amp;pickup=my_location&amp;dropoff[latitude]="&amp;LEFT(SUBSTITUTE(F1814," ",""),FIND(",",SUBSTITUTE(F1814," ",""))-1)&amp;"&amp;dropoff[longitude]="&amp;MID(SUBSTITUTE(F1814," ",""),FIND(",",SUBSTITUTE(F1814," ",""))+1,99),"🚕 Uber"),"")</f>
        <v/>
      </c>
      <c r="J1814" s="8">
        <f>IF(F1814&lt;&gt;"","https://api.qrserver.com/v1/create-qr-code/?size=200x200&amp;data="&amp;ENCODEURL("https://www.google.com/maps/search/?api=1&amp;query="&amp;SUBSTITUTE(F1814," ","")),"")</f>
        <v/>
      </c>
      <c r="K1814" s="8">
        <f>IF(C1814&lt;&gt;"",HYPERLINK("https://wa.me/507"&amp;REGEXREPLACE(C1814,"[^0-9]","")&amp;"?text="&amp;ENCODEURL("Ya llegue. Codigo: "&amp;A1814&amp;". Ubicacion: "&amp;"https://www.google.com/maps/search/?api=1&amp;query="&amp;SUBSTITUTE(F1814," ","")),"📲 Avisar al cliente"),"")</f>
        <v/>
      </c>
      <c r="L1814" s="8">
        <f>IF(C1814&lt;&gt;"","https://api.qrserver.com/v1/create-qr-code/?size=200x200&amp;data="&amp;ENCODEURL("https://wa.me/507"&amp;REGEXREPLACE(C1814,"[^0-9]","")&amp;"?text="&amp;ENCODEURL("Ya llegue. Codigo: "&amp;A1814&amp;". Ubicacion: "&amp;"https://www.google.com/maps/search/?api=1&amp;query="&amp;SUBSTITUTE(F1814," ",""))),"")</f>
        <v/>
      </c>
      <c r="M1814" s="8">
        <f>IF(B1814&lt;&gt;"",TODAY(),"")</f>
        <v/>
      </c>
      <c r="N1814" s="8">
        <f>IF(F1814&lt;&gt;"",IFERROR(IF(AND(REGEXMATCH(SUBSTITUTE(TRIM(F1814)," ",""),"^-?\d+(\.\d+)?,-?\d+(\.\d+)?$"),VALUE(REGEXEXTRACT(SUBSTITUTE(TRIM(F1814)," ",""),"^-?\d+(\.\d+)?"))&gt;=-90,VALUE(REGEXEXTRACT(SUBSTITUTE(TRIM(F1814)," ",""),"^-?\d+(\.\d+)?"))&lt;=90,VALUE(REGEXEXTRACT(SUBSTITUTE(TRIM(F1814)," ",""),"-?\d+(\.\d+)?$"))&gt;=-180,VALUE(REGEXEXTRACT(SUBSTITUTE(TRIM(F1814)," ",""),"-?\d+(\.\d+)?$"))&lt;=180),"OK","REVISAR"),"REVISAR"),"")</f>
        <v/>
      </c>
      <c r="O1814">
        <f>IF(A1814&lt;&gt;"","https://direcciones507.github.io/direcciones507/panel.html?codigo="&amp;A1814&amp;"&amp;nombre="&amp;ENCODEURL(B1814)&amp;"&amp;telefono="&amp;SUBSTITUTE(C1814,"-","")&amp;"&amp;referencia="&amp;ENCODEURL(E1814)&amp;"&amp;lat="&amp;IZQUIERDA(SUBSTITUTE(F1814," ",""),ENCONTRAR(",",SUBSTITUTE(F1814," ",""))-1)&amp;"&amp;lng="&amp;DERECHA(SUBSTITUTE(F1814," ",""),LARGO(SUBSTITUTE(F1814," ",""))-ENCONTRAR(",",SUBSTITUTE(F1814," ",""))),"")</f>
        <v/>
      </c>
    </row>
    <row r="1815" ht="15.75" customHeight="1" s="10">
      <c r="A1815" s="8">
        <f>CONCAT("AD507-",TEXT(ROW()-2,"0000"))</f>
        <v/>
      </c>
      <c r="C1815" s="8" t="n"/>
      <c r="F1815" s="8" t="n"/>
      <c r="G1815" s="8">
        <f>IF(F1815&lt;&gt;"",HYPERLINK("https://www.google.com/maps/search/?api=1&amp;query="&amp;SUBSTITUTE(F1815," ",""),"🗺 Google Maps"),"")</f>
        <v/>
      </c>
      <c r="H1815" s="8">
        <f>IF(F1815&lt;&gt;"",HYPERLINK("https://waze.com/ul?ll="&amp;SUBSTITUTE(F1815," ","")&amp;"&amp;navigate=yes","🚗 Waze"),"")</f>
        <v/>
      </c>
      <c r="I1815" s="8">
        <f>IF(F1815&lt;&gt;"",HYPERLINK("https://m.uber.com/ul/?action=setPickup&amp;pickup=my_location&amp;dropoff[latitude]="&amp;LEFT(SUBSTITUTE(F1815," ",""),FIND(",",SUBSTITUTE(F1815," ",""))-1)&amp;"&amp;dropoff[longitude]="&amp;MID(SUBSTITUTE(F1815," ",""),FIND(",",SUBSTITUTE(F1815," ",""))+1,99),"🚕 Uber"),"")</f>
        <v/>
      </c>
      <c r="J1815" s="8">
        <f>IF(F1815&lt;&gt;"","https://api.qrserver.com/v1/create-qr-code/?size=200x200&amp;data="&amp;ENCODEURL("https://www.google.com/maps/search/?api=1&amp;query="&amp;SUBSTITUTE(F1815," ","")),"")</f>
        <v/>
      </c>
      <c r="K1815" s="8">
        <f>IF(C1815&lt;&gt;"",HYPERLINK("https://wa.me/507"&amp;REGEXREPLACE(C1815,"[^0-9]","")&amp;"?text="&amp;ENCODEURL("Ya llegue. Codigo: "&amp;A1815&amp;". Ubicacion: "&amp;"https://www.google.com/maps/search/?api=1&amp;query="&amp;SUBSTITUTE(F1815," ","")),"📲 Avisar al cliente"),"")</f>
        <v/>
      </c>
      <c r="L1815" s="8">
        <f>IF(C1815&lt;&gt;"","https://api.qrserver.com/v1/create-qr-code/?size=200x200&amp;data="&amp;ENCODEURL("https://wa.me/507"&amp;REGEXREPLACE(C1815,"[^0-9]","")&amp;"?text="&amp;ENCODEURL("Ya llegue. Codigo: "&amp;A1815&amp;". Ubicacion: "&amp;"https://www.google.com/maps/search/?api=1&amp;query="&amp;SUBSTITUTE(F1815," ",""))),"")</f>
        <v/>
      </c>
      <c r="M1815" s="8">
        <f>IF(B1815&lt;&gt;"",TODAY(),"")</f>
        <v/>
      </c>
      <c r="N1815" s="8">
        <f>IF(F1815&lt;&gt;"",IFERROR(IF(AND(REGEXMATCH(SUBSTITUTE(TRIM(F1815)," ",""),"^-?\d+(\.\d+)?,-?\d+(\.\d+)?$"),VALUE(REGEXEXTRACT(SUBSTITUTE(TRIM(F1815)," ",""),"^-?\d+(\.\d+)?"))&gt;=-90,VALUE(REGEXEXTRACT(SUBSTITUTE(TRIM(F1815)," ",""),"^-?\d+(\.\d+)?"))&lt;=90,VALUE(REGEXEXTRACT(SUBSTITUTE(TRIM(F1815)," ",""),"-?\d+(\.\d+)?$"))&gt;=-180,VALUE(REGEXEXTRACT(SUBSTITUTE(TRIM(F1815)," ",""),"-?\d+(\.\d+)?$"))&lt;=180),"OK","REVISAR"),"REVISAR"),"")</f>
        <v/>
      </c>
      <c r="O1815">
        <f>IF(A1815&lt;&gt;"","https://direcciones507.github.io/direcciones507/panel.html?codigo="&amp;A1815&amp;"&amp;nombre="&amp;ENCODEURL(B1815)&amp;"&amp;telefono="&amp;SUBSTITUTE(C1815,"-","")&amp;"&amp;referencia="&amp;ENCODEURL(E1815)&amp;"&amp;lat="&amp;IZQUIERDA(SUBSTITUTE(F1815," ",""),ENCONTRAR(",",SUBSTITUTE(F1815," ",""))-1)&amp;"&amp;lng="&amp;DERECHA(SUBSTITUTE(F1815," ",""),LARGO(SUBSTITUTE(F1815," ",""))-ENCONTRAR(",",SUBSTITUTE(F1815," ",""))),"")</f>
        <v/>
      </c>
    </row>
    <row r="1816" ht="15.75" customHeight="1" s="10">
      <c r="A1816" s="8">
        <f>CONCAT("AD507-",TEXT(ROW()-2,"0000"))</f>
        <v/>
      </c>
      <c r="C1816" s="8" t="n"/>
      <c r="F1816" s="8" t="n"/>
      <c r="G1816" s="8">
        <f>IF(F1816&lt;&gt;"",HYPERLINK("https://www.google.com/maps/search/?api=1&amp;query="&amp;SUBSTITUTE(F1816," ",""),"🗺 Google Maps"),"")</f>
        <v/>
      </c>
      <c r="H1816" s="8">
        <f>IF(F1816&lt;&gt;"",HYPERLINK("https://waze.com/ul?ll="&amp;SUBSTITUTE(F1816," ","")&amp;"&amp;navigate=yes","🚗 Waze"),"")</f>
        <v/>
      </c>
      <c r="I1816" s="8">
        <f>IF(F1816&lt;&gt;"",HYPERLINK("https://m.uber.com/ul/?action=setPickup&amp;pickup=my_location&amp;dropoff[latitude]="&amp;LEFT(SUBSTITUTE(F1816," ",""),FIND(",",SUBSTITUTE(F1816," ",""))-1)&amp;"&amp;dropoff[longitude]="&amp;MID(SUBSTITUTE(F1816," ",""),FIND(",",SUBSTITUTE(F1816," ",""))+1,99),"🚕 Uber"),"")</f>
        <v/>
      </c>
      <c r="J1816" s="8">
        <f>IF(F1816&lt;&gt;"","https://api.qrserver.com/v1/create-qr-code/?size=200x200&amp;data="&amp;ENCODEURL("https://www.google.com/maps/search/?api=1&amp;query="&amp;SUBSTITUTE(F1816," ","")),"")</f>
        <v/>
      </c>
      <c r="K1816" s="8">
        <f>IF(C1816&lt;&gt;"",HYPERLINK("https://wa.me/507"&amp;REGEXREPLACE(C1816,"[^0-9]","")&amp;"?text="&amp;ENCODEURL("Ya llegue. Codigo: "&amp;A1816&amp;". Ubicacion: "&amp;"https://www.google.com/maps/search/?api=1&amp;query="&amp;SUBSTITUTE(F1816," ","")),"📲 Avisar al cliente"),"")</f>
        <v/>
      </c>
      <c r="L1816" s="8">
        <f>IF(C1816&lt;&gt;"","https://api.qrserver.com/v1/create-qr-code/?size=200x200&amp;data="&amp;ENCODEURL("https://wa.me/507"&amp;REGEXREPLACE(C1816,"[^0-9]","")&amp;"?text="&amp;ENCODEURL("Ya llegue. Codigo: "&amp;A1816&amp;". Ubicacion: "&amp;"https://www.google.com/maps/search/?api=1&amp;query="&amp;SUBSTITUTE(F1816," ",""))),"")</f>
        <v/>
      </c>
      <c r="M1816" s="8">
        <f>IF(B1816&lt;&gt;"",TODAY(),"")</f>
        <v/>
      </c>
      <c r="N1816" s="8">
        <f>IF(F1816&lt;&gt;"",IFERROR(IF(AND(REGEXMATCH(SUBSTITUTE(TRIM(F1816)," ",""),"^-?\d+(\.\d+)?,-?\d+(\.\d+)?$"),VALUE(REGEXEXTRACT(SUBSTITUTE(TRIM(F1816)," ",""),"^-?\d+(\.\d+)?"))&gt;=-90,VALUE(REGEXEXTRACT(SUBSTITUTE(TRIM(F1816)," ",""),"^-?\d+(\.\d+)?"))&lt;=90,VALUE(REGEXEXTRACT(SUBSTITUTE(TRIM(F1816)," ",""),"-?\d+(\.\d+)?$"))&gt;=-180,VALUE(REGEXEXTRACT(SUBSTITUTE(TRIM(F1816)," ",""),"-?\d+(\.\d+)?$"))&lt;=180),"OK","REVISAR"),"REVISAR"),"")</f>
        <v/>
      </c>
      <c r="O1816">
        <f>IF(A1816&lt;&gt;"","https://direcciones507.github.io/direcciones507/panel.html?codigo="&amp;A1816&amp;"&amp;nombre="&amp;ENCODEURL(B1816)&amp;"&amp;telefono="&amp;SUBSTITUTE(C1816,"-","")&amp;"&amp;referencia="&amp;ENCODEURL(E1816)&amp;"&amp;lat="&amp;IZQUIERDA(SUBSTITUTE(F1816," ",""),ENCONTRAR(",",SUBSTITUTE(F1816," ",""))-1)&amp;"&amp;lng="&amp;DERECHA(SUBSTITUTE(F1816," ",""),LARGO(SUBSTITUTE(F1816," ",""))-ENCONTRAR(",",SUBSTITUTE(F1816," ",""))),"")</f>
        <v/>
      </c>
    </row>
    <row r="1817" ht="15.75" customHeight="1" s="10">
      <c r="A1817" s="8">
        <f>CONCAT("AD507-",TEXT(ROW()-2,"0000"))</f>
        <v/>
      </c>
      <c r="C1817" s="8" t="n"/>
      <c r="F1817" s="8" t="n"/>
      <c r="G1817" s="8">
        <f>IF(F1817&lt;&gt;"",HYPERLINK("https://www.google.com/maps/search/?api=1&amp;query="&amp;SUBSTITUTE(F1817," ",""),"🗺 Google Maps"),"")</f>
        <v/>
      </c>
      <c r="H1817" s="8">
        <f>IF(F1817&lt;&gt;"",HYPERLINK("https://waze.com/ul?ll="&amp;SUBSTITUTE(F1817," ","")&amp;"&amp;navigate=yes","🚗 Waze"),"")</f>
        <v/>
      </c>
      <c r="I1817" s="8">
        <f>IF(F1817&lt;&gt;"",HYPERLINK("https://m.uber.com/ul/?action=setPickup&amp;pickup=my_location&amp;dropoff[latitude]="&amp;LEFT(SUBSTITUTE(F1817," ",""),FIND(",",SUBSTITUTE(F1817," ",""))-1)&amp;"&amp;dropoff[longitude]="&amp;MID(SUBSTITUTE(F1817," ",""),FIND(",",SUBSTITUTE(F1817," ",""))+1,99),"🚕 Uber"),"")</f>
        <v/>
      </c>
      <c r="J1817" s="8">
        <f>IF(F1817&lt;&gt;"","https://api.qrserver.com/v1/create-qr-code/?size=200x200&amp;data="&amp;ENCODEURL("https://www.google.com/maps/search/?api=1&amp;query="&amp;SUBSTITUTE(F1817," ","")),"")</f>
        <v/>
      </c>
      <c r="K1817" s="8">
        <f>IF(C1817&lt;&gt;"",HYPERLINK("https://wa.me/507"&amp;REGEXREPLACE(C1817,"[^0-9]","")&amp;"?text="&amp;ENCODEURL("Ya llegue. Codigo: "&amp;A1817&amp;". Ubicacion: "&amp;"https://www.google.com/maps/search/?api=1&amp;query="&amp;SUBSTITUTE(F1817," ","")),"📲 Avisar al cliente"),"")</f>
        <v/>
      </c>
      <c r="L1817" s="8">
        <f>IF(C1817&lt;&gt;"","https://api.qrserver.com/v1/create-qr-code/?size=200x200&amp;data="&amp;ENCODEURL("https://wa.me/507"&amp;REGEXREPLACE(C1817,"[^0-9]","")&amp;"?text="&amp;ENCODEURL("Ya llegue. Codigo: "&amp;A1817&amp;". Ubicacion: "&amp;"https://www.google.com/maps/search/?api=1&amp;query="&amp;SUBSTITUTE(F1817," ",""))),"")</f>
        <v/>
      </c>
      <c r="M1817" s="8">
        <f>IF(B1817&lt;&gt;"",TODAY(),"")</f>
        <v/>
      </c>
      <c r="N1817" s="8">
        <f>IF(F1817&lt;&gt;"",IFERROR(IF(AND(REGEXMATCH(SUBSTITUTE(TRIM(F1817)," ",""),"^-?\d+(\.\d+)?,-?\d+(\.\d+)?$"),VALUE(REGEXEXTRACT(SUBSTITUTE(TRIM(F1817)," ",""),"^-?\d+(\.\d+)?"))&gt;=-90,VALUE(REGEXEXTRACT(SUBSTITUTE(TRIM(F1817)," ",""),"^-?\d+(\.\d+)?"))&lt;=90,VALUE(REGEXEXTRACT(SUBSTITUTE(TRIM(F1817)," ",""),"-?\d+(\.\d+)?$"))&gt;=-180,VALUE(REGEXEXTRACT(SUBSTITUTE(TRIM(F1817)," ",""),"-?\d+(\.\d+)?$"))&lt;=180),"OK","REVISAR"),"REVISAR"),"")</f>
        <v/>
      </c>
      <c r="O1817">
        <f>IF(A1817&lt;&gt;"","https://direcciones507.github.io/direcciones507/panel.html?codigo="&amp;A1817&amp;"&amp;nombre="&amp;ENCODEURL(B1817)&amp;"&amp;telefono="&amp;SUBSTITUTE(C1817,"-","")&amp;"&amp;referencia="&amp;ENCODEURL(E1817)&amp;"&amp;lat="&amp;IZQUIERDA(SUBSTITUTE(F1817," ",""),ENCONTRAR(",",SUBSTITUTE(F1817," ",""))-1)&amp;"&amp;lng="&amp;DERECHA(SUBSTITUTE(F1817," ",""),LARGO(SUBSTITUTE(F1817," ",""))-ENCONTRAR(",",SUBSTITUTE(F1817," ",""))),"")</f>
        <v/>
      </c>
    </row>
    <row r="1818" ht="15.75" customHeight="1" s="10">
      <c r="A1818" s="8">
        <f>CONCAT("AD507-",TEXT(ROW()-2,"0000"))</f>
        <v/>
      </c>
      <c r="C1818" s="8" t="n"/>
      <c r="F1818" s="8" t="n"/>
      <c r="G1818" s="8">
        <f>IF(F1818&lt;&gt;"",HYPERLINK("https://www.google.com/maps/search/?api=1&amp;query="&amp;SUBSTITUTE(F1818," ",""),"🗺 Google Maps"),"")</f>
        <v/>
      </c>
      <c r="H1818" s="8">
        <f>IF(F1818&lt;&gt;"",HYPERLINK("https://waze.com/ul?ll="&amp;SUBSTITUTE(F1818," ","")&amp;"&amp;navigate=yes","🚗 Waze"),"")</f>
        <v/>
      </c>
      <c r="I1818" s="8">
        <f>IF(F1818&lt;&gt;"",HYPERLINK("https://m.uber.com/ul/?action=setPickup&amp;pickup=my_location&amp;dropoff[latitude]="&amp;LEFT(SUBSTITUTE(F1818," ",""),FIND(",",SUBSTITUTE(F1818," ",""))-1)&amp;"&amp;dropoff[longitude]="&amp;MID(SUBSTITUTE(F1818," ",""),FIND(",",SUBSTITUTE(F1818," ",""))+1,99),"🚕 Uber"),"")</f>
        <v/>
      </c>
      <c r="J1818" s="8">
        <f>IF(F1818&lt;&gt;"","https://api.qrserver.com/v1/create-qr-code/?size=200x200&amp;data="&amp;ENCODEURL("https://www.google.com/maps/search/?api=1&amp;query="&amp;SUBSTITUTE(F1818," ","")),"")</f>
        <v/>
      </c>
      <c r="K1818" s="8">
        <f>IF(C1818&lt;&gt;"",HYPERLINK("https://wa.me/507"&amp;REGEXREPLACE(C1818,"[^0-9]","")&amp;"?text="&amp;ENCODEURL("Ya llegue. Codigo: "&amp;A1818&amp;". Ubicacion: "&amp;"https://www.google.com/maps/search/?api=1&amp;query="&amp;SUBSTITUTE(F1818," ","")),"📲 Avisar al cliente"),"")</f>
        <v/>
      </c>
      <c r="L1818" s="8">
        <f>IF(C1818&lt;&gt;"","https://api.qrserver.com/v1/create-qr-code/?size=200x200&amp;data="&amp;ENCODEURL("https://wa.me/507"&amp;REGEXREPLACE(C1818,"[^0-9]","")&amp;"?text="&amp;ENCODEURL("Ya llegue. Codigo: "&amp;A1818&amp;". Ubicacion: "&amp;"https://www.google.com/maps/search/?api=1&amp;query="&amp;SUBSTITUTE(F1818," ",""))),"")</f>
        <v/>
      </c>
      <c r="M1818" s="8">
        <f>IF(B1818&lt;&gt;"",TODAY(),"")</f>
        <v/>
      </c>
      <c r="N1818" s="8">
        <f>IF(F1818&lt;&gt;"",IFERROR(IF(AND(REGEXMATCH(SUBSTITUTE(TRIM(F1818)," ",""),"^-?\d+(\.\d+)?,-?\d+(\.\d+)?$"),VALUE(REGEXEXTRACT(SUBSTITUTE(TRIM(F1818)," ",""),"^-?\d+(\.\d+)?"))&gt;=-90,VALUE(REGEXEXTRACT(SUBSTITUTE(TRIM(F1818)," ",""),"^-?\d+(\.\d+)?"))&lt;=90,VALUE(REGEXEXTRACT(SUBSTITUTE(TRIM(F1818)," ",""),"-?\d+(\.\d+)?$"))&gt;=-180,VALUE(REGEXEXTRACT(SUBSTITUTE(TRIM(F1818)," ",""),"-?\d+(\.\d+)?$"))&lt;=180),"OK","REVISAR"),"REVISAR"),"")</f>
        <v/>
      </c>
      <c r="O1818">
        <f>IF(A1818&lt;&gt;"","https://direcciones507.github.io/direcciones507/panel.html?codigo="&amp;A1818&amp;"&amp;nombre="&amp;ENCODEURL(B1818)&amp;"&amp;telefono="&amp;SUBSTITUTE(C1818,"-","")&amp;"&amp;referencia="&amp;ENCODEURL(E1818)&amp;"&amp;lat="&amp;IZQUIERDA(SUBSTITUTE(F1818," ",""),ENCONTRAR(",",SUBSTITUTE(F1818," ",""))-1)&amp;"&amp;lng="&amp;DERECHA(SUBSTITUTE(F1818," ",""),LARGO(SUBSTITUTE(F1818," ",""))-ENCONTRAR(",",SUBSTITUTE(F1818," ",""))),"")</f>
        <v/>
      </c>
    </row>
    <row r="1819" ht="15.75" customHeight="1" s="10">
      <c r="A1819" s="8">
        <f>CONCAT("AD507-",TEXT(ROW()-2,"0000"))</f>
        <v/>
      </c>
      <c r="C1819" s="8" t="n"/>
      <c r="F1819" s="8" t="n"/>
      <c r="G1819" s="8">
        <f>IF(F1819&lt;&gt;"",HYPERLINK("https://www.google.com/maps/search/?api=1&amp;query="&amp;SUBSTITUTE(F1819," ",""),"🗺 Google Maps"),"")</f>
        <v/>
      </c>
      <c r="H1819" s="8">
        <f>IF(F1819&lt;&gt;"",HYPERLINK("https://waze.com/ul?ll="&amp;SUBSTITUTE(F1819," ","")&amp;"&amp;navigate=yes","🚗 Waze"),"")</f>
        <v/>
      </c>
      <c r="I1819" s="8">
        <f>IF(F1819&lt;&gt;"",HYPERLINK("https://m.uber.com/ul/?action=setPickup&amp;pickup=my_location&amp;dropoff[latitude]="&amp;LEFT(SUBSTITUTE(F1819," ",""),FIND(",",SUBSTITUTE(F1819," ",""))-1)&amp;"&amp;dropoff[longitude]="&amp;MID(SUBSTITUTE(F1819," ",""),FIND(",",SUBSTITUTE(F1819," ",""))+1,99),"🚕 Uber"),"")</f>
        <v/>
      </c>
      <c r="J1819" s="8">
        <f>IF(F1819&lt;&gt;"","https://api.qrserver.com/v1/create-qr-code/?size=200x200&amp;data="&amp;ENCODEURL("https://www.google.com/maps/search/?api=1&amp;query="&amp;SUBSTITUTE(F1819," ","")),"")</f>
        <v/>
      </c>
      <c r="K1819" s="8">
        <f>IF(C1819&lt;&gt;"",HYPERLINK("https://wa.me/507"&amp;REGEXREPLACE(C1819,"[^0-9]","")&amp;"?text="&amp;ENCODEURL("Ya llegue. Codigo: "&amp;A1819&amp;". Ubicacion: "&amp;"https://www.google.com/maps/search/?api=1&amp;query="&amp;SUBSTITUTE(F1819," ","")),"📲 Avisar al cliente"),"")</f>
        <v/>
      </c>
      <c r="L1819" s="8">
        <f>IF(C1819&lt;&gt;"","https://api.qrserver.com/v1/create-qr-code/?size=200x200&amp;data="&amp;ENCODEURL("https://wa.me/507"&amp;REGEXREPLACE(C1819,"[^0-9]","")&amp;"?text="&amp;ENCODEURL("Ya llegue. Codigo: "&amp;A1819&amp;". Ubicacion: "&amp;"https://www.google.com/maps/search/?api=1&amp;query="&amp;SUBSTITUTE(F1819," ",""))),"")</f>
        <v/>
      </c>
      <c r="M1819" s="8">
        <f>IF(B1819&lt;&gt;"",TODAY(),"")</f>
        <v/>
      </c>
      <c r="N1819" s="8">
        <f>IF(F1819&lt;&gt;"",IFERROR(IF(AND(REGEXMATCH(SUBSTITUTE(TRIM(F1819)," ",""),"^-?\d+(\.\d+)?,-?\d+(\.\d+)?$"),VALUE(REGEXEXTRACT(SUBSTITUTE(TRIM(F1819)," ",""),"^-?\d+(\.\d+)?"))&gt;=-90,VALUE(REGEXEXTRACT(SUBSTITUTE(TRIM(F1819)," ",""),"^-?\d+(\.\d+)?"))&lt;=90,VALUE(REGEXEXTRACT(SUBSTITUTE(TRIM(F1819)," ",""),"-?\d+(\.\d+)?$"))&gt;=-180,VALUE(REGEXEXTRACT(SUBSTITUTE(TRIM(F1819)," ",""),"-?\d+(\.\d+)?$"))&lt;=180),"OK","REVISAR"),"REVISAR"),"")</f>
        <v/>
      </c>
      <c r="O1819">
        <f>IF(A1819&lt;&gt;"","https://direcciones507.github.io/direcciones507/panel.html?codigo="&amp;A1819&amp;"&amp;nombre="&amp;ENCODEURL(B1819)&amp;"&amp;telefono="&amp;SUBSTITUTE(C1819,"-","")&amp;"&amp;referencia="&amp;ENCODEURL(E1819)&amp;"&amp;lat="&amp;IZQUIERDA(SUBSTITUTE(F1819," ",""),ENCONTRAR(",",SUBSTITUTE(F1819," ",""))-1)&amp;"&amp;lng="&amp;DERECHA(SUBSTITUTE(F1819," ",""),LARGO(SUBSTITUTE(F1819," ",""))-ENCONTRAR(",",SUBSTITUTE(F1819," ",""))),"")</f>
        <v/>
      </c>
    </row>
    <row r="1820" ht="15.75" customHeight="1" s="10">
      <c r="A1820" s="8">
        <f>CONCAT("AD507-",TEXT(ROW()-2,"0000"))</f>
        <v/>
      </c>
      <c r="C1820" s="8" t="n"/>
      <c r="F1820" s="8" t="n"/>
      <c r="G1820" s="8">
        <f>IF(F1820&lt;&gt;"",HYPERLINK("https://www.google.com/maps/search/?api=1&amp;query="&amp;SUBSTITUTE(F1820," ",""),"🗺 Google Maps"),"")</f>
        <v/>
      </c>
      <c r="H1820" s="8">
        <f>IF(F1820&lt;&gt;"",HYPERLINK("https://waze.com/ul?ll="&amp;SUBSTITUTE(F1820," ","")&amp;"&amp;navigate=yes","🚗 Waze"),"")</f>
        <v/>
      </c>
      <c r="I1820" s="8">
        <f>IF(F1820&lt;&gt;"",HYPERLINK("https://m.uber.com/ul/?action=setPickup&amp;pickup=my_location&amp;dropoff[latitude]="&amp;LEFT(SUBSTITUTE(F1820," ",""),FIND(",",SUBSTITUTE(F1820," ",""))-1)&amp;"&amp;dropoff[longitude]="&amp;MID(SUBSTITUTE(F1820," ",""),FIND(",",SUBSTITUTE(F1820," ",""))+1,99),"🚕 Uber"),"")</f>
        <v/>
      </c>
      <c r="J1820" s="8">
        <f>IF(F1820&lt;&gt;"","https://api.qrserver.com/v1/create-qr-code/?size=200x200&amp;data="&amp;ENCODEURL("https://www.google.com/maps/search/?api=1&amp;query="&amp;SUBSTITUTE(F1820," ","")),"")</f>
        <v/>
      </c>
      <c r="K1820" s="8">
        <f>IF(C1820&lt;&gt;"",HYPERLINK("https://wa.me/507"&amp;REGEXREPLACE(C1820,"[^0-9]","")&amp;"?text="&amp;ENCODEURL("Ya llegue. Codigo: "&amp;A1820&amp;". Ubicacion: "&amp;"https://www.google.com/maps/search/?api=1&amp;query="&amp;SUBSTITUTE(F1820," ","")),"📲 Avisar al cliente"),"")</f>
        <v/>
      </c>
      <c r="L1820" s="8">
        <f>IF(C1820&lt;&gt;"","https://api.qrserver.com/v1/create-qr-code/?size=200x200&amp;data="&amp;ENCODEURL("https://wa.me/507"&amp;REGEXREPLACE(C1820,"[^0-9]","")&amp;"?text="&amp;ENCODEURL("Ya llegue. Codigo: "&amp;A1820&amp;". Ubicacion: "&amp;"https://www.google.com/maps/search/?api=1&amp;query="&amp;SUBSTITUTE(F1820," ",""))),"")</f>
        <v/>
      </c>
      <c r="M1820" s="8">
        <f>IF(B1820&lt;&gt;"",TODAY(),"")</f>
        <v/>
      </c>
      <c r="N1820" s="8">
        <f>IF(F1820&lt;&gt;"",IFERROR(IF(AND(REGEXMATCH(SUBSTITUTE(TRIM(F1820)," ",""),"^-?\d+(\.\d+)?,-?\d+(\.\d+)?$"),VALUE(REGEXEXTRACT(SUBSTITUTE(TRIM(F1820)," ",""),"^-?\d+(\.\d+)?"))&gt;=-90,VALUE(REGEXEXTRACT(SUBSTITUTE(TRIM(F1820)," ",""),"^-?\d+(\.\d+)?"))&lt;=90,VALUE(REGEXEXTRACT(SUBSTITUTE(TRIM(F1820)," ",""),"-?\d+(\.\d+)?$"))&gt;=-180,VALUE(REGEXEXTRACT(SUBSTITUTE(TRIM(F1820)," ",""),"-?\d+(\.\d+)?$"))&lt;=180),"OK","REVISAR"),"REVISAR"),"")</f>
        <v/>
      </c>
      <c r="O1820">
        <f>IF(A1820&lt;&gt;"","https://direcciones507.github.io/direcciones507/panel.html?codigo="&amp;A1820&amp;"&amp;nombre="&amp;ENCODEURL(B1820)&amp;"&amp;telefono="&amp;SUBSTITUTE(C1820,"-","")&amp;"&amp;referencia="&amp;ENCODEURL(E1820)&amp;"&amp;lat="&amp;IZQUIERDA(SUBSTITUTE(F1820," ",""),ENCONTRAR(",",SUBSTITUTE(F1820," ",""))-1)&amp;"&amp;lng="&amp;DERECHA(SUBSTITUTE(F1820," ",""),LARGO(SUBSTITUTE(F1820," ",""))-ENCONTRAR(",",SUBSTITUTE(F1820," ",""))),"")</f>
        <v/>
      </c>
    </row>
    <row r="1821" ht="15.75" customHeight="1" s="10">
      <c r="A1821" s="8">
        <f>CONCAT("AD507-",TEXT(ROW()-2,"0000"))</f>
        <v/>
      </c>
      <c r="C1821" s="8" t="n"/>
      <c r="F1821" s="8" t="n"/>
      <c r="G1821" s="8">
        <f>IF(F1821&lt;&gt;"",HYPERLINK("https://www.google.com/maps/search/?api=1&amp;query="&amp;SUBSTITUTE(F1821," ",""),"🗺 Google Maps"),"")</f>
        <v/>
      </c>
      <c r="H1821" s="8">
        <f>IF(F1821&lt;&gt;"",HYPERLINK("https://waze.com/ul?ll="&amp;SUBSTITUTE(F1821," ","")&amp;"&amp;navigate=yes","🚗 Waze"),"")</f>
        <v/>
      </c>
      <c r="I1821" s="8">
        <f>IF(F1821&lt;&gt;"",HYPERLINK("https://m.uber.com/ul/?action=setPickup&amp;pickup=my_location&amp;dropoff[latitude]="&amp;LEFT(SUBSTITUTE(F1821," ",""),FIND(",",SUBSTITUTE(F1821," ",""))-1)&amp;"&amp;dropoff[longitude]="&amp;MID(SUBSTITUTE(F1821," ",""),FIND(",",SUBSTITUTE(F1821," ",""))+1,99),"🚕 Uber"),"")</f>
        <v/>
      </c>
      <c r="J1821" s="8">
        <f>IF(F1821&lt;&gt;"","https://api.qrserver.com/v1/create-qr-code/?size=200x200&amp;data="&amp;ENCODEURL("https://www.google.com/maps/search/?api=1&amp;query="&amp;SUBSTITUTE(F1821," ","")),"")</f>
        <v/>
      </c>
      <c r="K1821" s="8">
        <f>IF(C1821&lt;&gt;"",HYPERLINK("https://wa.me/507"&amp;REGEXREPLACE(C1821,"[^0-9]","")&amp;"?text="&amp;ENCODEURL("Ya llegue. Codigo: "&amp;A1821&amp;". Ubicacion: "&amp;"https://www.google.com/maps/search/?api=1&amp;query="&amp;SUBSTITUTE(F1821," ","")),"📲 Avisar al cliente"),"")</f>
        <v/>
      </c>
      <c r="L1821" s="8">
        <f>IF(C1821&lt;&gt;"","https://api.qrserver.com/v1/create-qr-code/?size=200x200&amp;data="&amp;ENCODEURL("https://wa.me/507"&amp;REGEXREPLACE(C1821,"[^0-9]","")&amp;"?text="&amp;ENCODEURL("Ya llegue. Codigo: "&amp;A1821&amp;". Ubicacion: "&amp;"https://www.google.com/maps/search/?api=1&amp;query="&amp;SUBSTITUTE(F1821," ",""))),"")</f>
        <v/>
      </c>
      <c r="M1821" s="8">
        <f>IF(B1821&lt;&gt;"",TODAY(),"")</f>
        <v/>
      </c>
      <c r="N1821" s="8">
        <f>IF(F1821&lt;&gt;"",IFERROR(IF(AND(REGEXMATCH(SUBSTITUTE(TRIM(F1821)," ",""),"^-?\d+(\.\d+)?,-?\d+(\.\d+)?$"),VALUE(REGEXEXTRACT(SUBSTITUTE(TRIM(F1821)," ",""),"^-?\d+(\.\d+)?"))&gt;=-90,VALUE(REGEXEXTRACT(SUBSTITUTE(TRIM(F1821)," ",""),"^-?\d+(\.\d+)?"))&lt;=90,VALUE(REGEXEXTRACT(SUBSTITUTE(TRIM(F1821)," ",""),"-?\d+(\.\d+)?$"))&gt;=-180,VALUE(REGEXEXTRACT(SUBSTITUTE(TRIM(F1821)," ",""),"-?\d+(\.\d+)?$"))&lt;=180),"OK","REVISAR"),"REVISAR"),"")</f>
        <v/>
      </c>
      <c r="O1821">
        <f>IF(A1821&lt;&gt;"","https://direcciones507.github.io/direcciones507/panel.html?codigo="&amp;A1821&amp;"&amp;nombre="&amp;ENCODEURL(B1821)&amp;"&amp;telefono="&amp;SUBSTITUTE(C1821,"-","")&amp;"&amp;referencia="&amp;ENCODEURL(E1821)&amp;"&amp;lat="&amp;IZQUIERDA(SUBSTITUTE(F1821," ",""),ENCONTRAR(",",SUBSTITUTE(F1821," ",""))-1)&amp;"&amp;lng="&amp;DERECHA(SUBSTITUTE(F1821," ",""),LARGO(SUBSTITUTE(F1821," ",""))-ENCONTRAR(",",SUBSTITUTE(F1821," ",""))),"")</f>
        <v/>
      </c>
    </row>
    <row r="1822" ht="15.75" customHeight="1" s="10">
      <c r="A1822" s="8">
        <f>CONCAT("AD507-",TEXT(ROW()-2,"0000"))</f>
        <v/>
      </c>
      <c r="C1822" s="8" t="n"/>
      <c r="F1822" s="8" t="n"/>
      <c r="G1822" s="8">
        <f>IF(F1822&lt;&gt;"",HYPERLINK("https://www.google.com/maps/search/?api=1&amp;query="&amp;SUBSTITUTE(F1822," ",""),"🗺 Google Maps"),"")</f>
        <v/>
      </c>
      <c r="H1822" s="8">
        <f>IF(F1822&lt;&gt;"",HYPERLINK("https://waze.com/ul?ll="&amp;SUBSTITUTE(F1822," ","")&amp;"&amp;navigate=yes","🚗 Waze"),"")</f>
        <v/>
      </c>
      <c r="I1822" s="8">
        <f>IF(F1822&lt;&gt;"",HYPERLINK("https://m.uber.com/ul/?action=setPickup&amp;pickup=my_location&amp;dropoff[latitude]="&amp;LEFT(SUBSTITUTE(F1822," ",""),FIND(",",SUBSTITUTE(F1822," ",""))-1)&amp;"&amp;dropoff[longitude]="&amp;MID(SUBSTITUTE(F1822," ",""),FIND(",",SUBSTITUTE(F1822," ",""))+1,99),"🚕 Uber"),"")</f>
        <v/>
      </c>
      <c r="J1822" s="8">
        <f>IF(F1822&lt;&gt;"","https://api.qrserver.com/v1/create-qr-code/?size=200x200&amp;data="&amp;ENCODEURL("https://www.google.com/maps/search/?api=1&amp;query="&amp;SUBSTITUTE(F1822," ","")),"")</f>
        <v/>
      </c>
      <c r="K1822" s="8">
        <f>IF(C1822&lt;&gt;"",HYPERLINK("https://wa.me/507"&amp;REGEXREPLACE(C1822,"[^0-9]","")&amp;"?text="&amp;ENCODEURL("Ya llegue. Codigo: "&amp;A1822&amp;". Ubicacion: "&amp;"https://www.google.com/maps/search/?api=1&amp;query="&amp;SUBSTITUTE(F1822," ","")),"📲 Avisar al cliente"),"")</f>
        <v/>
      </c>
      <c r="L1822" s="8">
        <f>IF(C1822&lt;&gt;"","https://api.qrserver.com/v1/create-qr-code/?size=200x200&amp;data="&amp;ENCODEURL("https://wa.me/507"&amp;REGEXREPLACE(C1822,"[^0-9]","")&amp;"?text="&amp;ENCODEURL("Ya llegue. Codigo: "&amp;A1822&amp;". Ubicacion: "&amp;"https://www.google.com/maps/search/?api=1&amp;query="&amp;SUBSTITUTE(F1822," ",""))),"")</f>
        <v/>
      </c>
      <c r="M1822" s="8">
        <f>IF(B1822&lt;&gt;"",TODAY(),"")</f>
        <v/>
      </c>
      <c r="N1822" s="8">
        <f>IF(F1822&lt;&gt;"",IFERROR(IF(AND(REGEXMATCH(SUBSTITUTE(TRIM(F1822)," ",""),"^-?\d+(\.\d+)?,-?\d+(\.\d+)?$"),VALUE(REGEXEXTRACT(SUBSTITUTE(TRIM(F1822)," ",""),"^-?\d+(\.\d+)?"))&gt;=-90,VALUE(REGEXEXTRACT(SUBSTITUTE(TRIM(F1822)," ",""),"^-?\d+(\.\d+)?"))&lt;=90,VALUE(REGEXEXTRACT(SUBSTITUTE(TRIM(F1822)," ",""),"-?\d+(\.\d+)?$"))&gt;=-180,VALUE(REGEXEXTRACT(SUBSTITUTE(TRIM(F1822)," ",""),"-?\d+(\.\d+)?$"))&lt;=180),"OK","REVISAR"),"REVISAR"),"")</f>
        <v/>
      </c>
      <c r="O1822">
        <f>IF(A1822&lt;&gt;"","https://direcciones507.github.io/direcciones507/panel.html?codigo="&amp;A1822&amp;"&amp;nombre="&amp;ENCODEURL(B1822)&amp;"&amp;telefono="&amp;SUBSTITUTE(C1822,"-","")&amp;"&amp;referencia="&amp;ENCODEURL(E1822)&amp;"&amp;lat="&amp;IZQUIERDA(SUBSTITUTE(F1822," ",""),ENCONTRAR(",",SUBSTITUTE(F1822," ",""))-1)&amp;"&amp;lng="&amp;DERECHA(SUBSTITUTE(F1822," ",""),LARGO(SUBSTITUTE(F1822," ",""))-ENCONTRAR(",",SUBSTITUTE(F1822," ",""))),"")</f>
        <v/>
      </c>
    </row>
    <row r="1823" ht="15.75" customHeight="1" s="10">
      <c r="A1823" s="8">
        <f>CONCAT("AD507-",TEXT(ROW()-2,"0000"))</f>
        <v/>
      </c>
      <c r="C1823" s="8" t="n"/>
      <c r="F1823" s="8" t="n"/>
      <c r="G1823" s="8">
        <f>IF(F1823&lt;&gt;"",HYPERLINK("https://www.google.com/maps/search/?api=1&amp;query="&amp;SUBSTITUTE(F1823," ",""),"🗺 Google Maps"),"")</f>
        <v/>
      </c>
      <c r="H1823" s="8">
        <f>IF(F1823&lt;&gt;"",HYPERLINK("https://waze.com/ul?ll="&amp;SUBSTITUTE(F1823," ","")&amp;"&amp;navigate=yes","🚗 Waze"),"")</f>
        <v/>
      </c>
      <c r="I1823" s="8">
        <f>IF(F1823&lt;&gt;"",HYPERLINK("https://m.uber.com/ul/?action=setPickup&amp;pickup=my_location&amp;dropoff[latitude]="&amp;LEFT(SUBSTITUTE(F1823," ",""),FIND(",",SUBSTITUTE(F1823," ",""))-1)&amp;"&amp;dropoff[longitude]="&amp;MID(SUBSTITUTE(F1823," ",""),FIND(",",SUBSTITUTE(F1823," ",""))+1,99),"🚕 Uber"),"")</f>
        <v/>
      </c>
      <c r="J1823" s="8">
        <f>IF(F1823&lt;&gt;"","https://api.qrserver.com/v1/create-qr-code/?size=200x200&amp;data="&amp;ENCODEURL("https://www.google.com/maps/search/?api=1&amp;query="&amp;SUBSTITUTE(F1823," ","")),"")</f>
        <v/>
      </c>
      <c r="K1823" s="8">
        <f>IF(C1823&lt;&gt;"",HYPERLINK("https://wa.me/507"&amp;REGEXREPLACE(C1823,"[^0-9]","")&amp;"?text="&amp;ENCODEURL("Ya llegue. Codigo: "&amp;A1823&amp;". Ubicacion: "&amp;"https://www.google.com/maps/search/?api=1&amp;query="&amp;SUBSTITUTE(F1823," ","")),"📲 Avisar al cliente"),"")</f>
        <v/>
      </c>
      <c r="L1823" s="8">
        <f>IF(C1823&lt;&gt;"","https://api.qrserver.com/v1/create-qr-code/?size=200x200&amp;data="&amp;ENCODEURL("https://wa.me/507"&amp;REGEXREPLACE(C1823,"[^0-9]","")&amp;"?text="&amp;ENCODEURL("Ya llegue. Codigo: "&amp;A1823&amp;". Ubicacion: "&amp;"https://www.google.com/maps/search/?api=1&amp;query="&amp;SUBSTITUTE(F1823," ",""))),"")</f>
        <v/>
      </c>
      <c r="M1823" s="8">
        <f>IF(B1823&lt;&gt;"",TODAY(),"")</f>
        <v/>
      </c>
      <c r="N1823" s="8">
        <f>IF(F1823&lt;&gt;"",IFERROR(IF(AND(REGEXMATCH(SUBSTITUTE(TRIM(F1823)," ",""),"^-?\d+(\.\d+)?,-?\d+(\.\d+)?$"),VALUE(REGEXEXTRACT(SUBSTITUTE(TRIM(F1823)," ",""),"^-?\d+(\.\d+)?"))&gt;=-90,VALUE(REGEXEXTRACT(SUBSTITUTE(TRIM(F1823)," ",""),"^-?\d+(\.\d+)?"))&lt;=90,VALUE(REGEXEXTRACT(SUBSTITUTE(TRIM(F1823)," ",""),"-?\d+(\.\d+)?$"))&gt;=-180,VALUE(REGEXEXTRACT(SUBSTITUTE(TRIM(F1823)," ",""),"-?\d+(\.\d+)?$"))&lt;=180),"OK","REVISAR"),"REVISAR"),"")</f>
        <v/>
      </c>
      <c r="O1823">
        <f>IF(A1823&lt;&gt;"","https://direcciones507.github.io/direcciones507/panel.html?codigo="&amp;A1823&amp;"&amp;nombre="&amp;ENCODEURL(B1823)&amp;"&amp;telefono="&amp;SUBSTITUTE(C1823,"-","")&amp;"&amp;referencia="&amp;ENCODEURL(E1823)&amp;"&amp;lat="&amp;IZQUIERDA(SUBSTITUTE(F1823," ",""),ENCONTRAR(",",SUBSTITUTE(F1823," ",""))-1)&amp;"&amp;lng="&amp;DERECHA(SUBSTITUTE(F1823," ",""),LARGO(SUBSTITUTE(F1823," ",""))-ENCONTRAR(",",SUBSTITUTE(F1823," ",""))),"")</f>
        <v/>
      </c>
    </row>
    <row r="1824" ht="15.75" customHeight="1" s="10">
      <c r="A1824" s="8">
        <f>CONCAT("AD507-",TEXT(ROW()-2,"0000"))</f>
        <v/>
      </c>
      <c r="C1824" s="8" t="n"/>
      <c r="F1824" s="8" t="n"/>
      <c r="G1824" s="8">
        <f>IF(F1824&lt;&gt;"",HYPERLINK("https://www.google.com/maps/search/?api=1&amp;query="&amp;SUBSTITUTE(F1824," ",""),"🗺 Google Maps"),"")</f>
        <v/>
      </c>
      <c r="H1824" s="8">
        <f>IF(F1824&lt;&gt;"",HYPERLINK("https://waze.com/ul?ll="&amp;SUBSTITUTE(F1824," ","")&amp;"&amp;navigate=yes","🚗 Waze"),"")</f>
        <v/>
      </c>
      <c r="I1824" s="8">
        <f>IF(F1824&lt;&gt;"",HYPERLINK("https://m.uber.com/ul/?action=setPickup&amp;pickup=my_location&amp;dropoff[latitude]="&amp;LEFT(SUBSTITUTE(F1824," ",""),FIND(",",SUBSTITUTE(F1824," ",""))-1)&amp;"&amp;dropoff[longitude]="&amp;MID(SUBSTITUTE(F1824," ",""),FIND(",",SUBSTITUTE(F1824," ",""))+1,99),"🚕 Uber"),"")</f>
        <v/>
      </c>
      <c r="J1824" s="8">
        <f>IF(F1824&lt;&gt;"","https://api.qrserver.com/v1/create-qr-code/?size=200x200&amp;data="&amp;ENCODEURL("https://www.google.com/maps/search/?api=1&amp;query="&amp;SUBSTITUTE(F1824," ","")),"")</f>
        <v/>
      </c>
      <c r="K1824" s="8">
        <f>IF(C1824&lt;&gt;"",HYPERLINK("https://wa.me/507"&amp;REGEXREPLACE(C1824,"[^0-9]","")&amp;"?text="&amp;ENCODEURL("Ya llegue. Codigo: "&amp;A1824&amp;". Ubicacion: "&amp;"https://www.google.com/maps/search/?api=1&amp;query="&amp;SUBSTITUTE(F1824," ","")),"📲 Avisar al cliente"),"")</f>
        <v/>
      </c>
      <c r="L1824" s="8">
        <f>IF(C1824&lt;&gt;"","https://api.qrserver.com/v1/create-qr-code/?size=200x200&amp;data="&amp;ENCODEURL("https://wa.me/507"&amp;REGEXREPLACE(C1824,"[^0-9]","")&amp;"?text="&amp;ENCODEURL("Ya llegue. Codigo: "&amp;A1824&amp;". Ubicacion: "&amp;"https://www.google.com/maps/search/?api=1&amp;query="&amp;SUBSTITUTE(F1824," ",""))),"")</f>
        <v/>
      </c>
      <c r="M1824" s="8">
        <f>IF(B1824&lt;&gt;"",TODAY(),"")</f>
        <v/>
      </c>
      <c r="N1824" s="8">
        <f>IF(F1824&lt;&gt;"",IFERROR(IF(AND(REGEXMATCH(SUBSTITUTE(TRIM(F1824)," ",""),"^-?\d+(\.\d+)?,-?\d+(\.\d+)?$"),VALUE(REGEXEXTRACT(SUBSTITUTE(TRIM(F1824)," ",""),"^-?\d+(\.\d+)?"))&gt;=-90,VALUE(REGEXEXTRACT(SUBSTITUTE(TRIM(F1824)," ",""),"^-?\d+(\.\d+)?"))&lt;=90,VALUE(REGEXEXTRACT(SUBSTITUTE(TRIM(F1824)," ",""),"-?\d+(\.\d+)?$"))&gt;=-180,VALUE(REGEXEXTRACT(SUBSTITUTE(TRIM(F1824)," ",""),"-?\d+(\.\d+)?$"))&lt;=180),"OK","REVISAR"),"REVISAR"),"")</f>
        <v/>
      </c>
      <c r="O1824">
        <f>IF(A1824&lt;&gt;"","https://direcciones507.github.io/direcciones507/panel.html?codigo="&amp;A1824&amp;"&amp;nombre="&amp;ENCODEURL(B1824)&amp;"&amp;telefono="&amp;SUBSTITUTE(C1824,"-","")&amp;"&amp;referencia="&amp;ENCODEURL(E1824)&amp;"&amp;lat="&amp;IZQUIERDA(SUBSTITUTE(F1824," ",""),ENCONTRAR(",",SUBSTITUTE(F1824," ",""))-1)&amp;"&amp;lng="&amp;DERECHA(SUBSTITUTE(F1824," ",""),LARGO(SUBSTITUTE(F1824," ",""))-ENCONTRAR(",",SUBSTITUTE(F1824," ",""))),"")</f>
        <v/>
      </c>
    </row>
    <row r="1825" ht="15.75" customHeight="1" s="10">
      <c r="A1825" s="8">
        <f>CONCAT("AD507-",TEXT(ROW()-2,"0000"))</f>
        <v/>
      </c>
      <c r="C1825" s="8" t="n"/>
      <c r="F1825" s="8" t="n"/>
      <c r="G1825" s="8">
        <f>IF(F1825&lt;&gt;"",HYPERLINK("https://www.google.com/maps/search/?api=1&amp;query="&amp;SUBSTITUTE(F1825," ",""),"🗺 Google Maps"),"")</f>
        <v/>
      </c>
      <c r="H1825" s="8">
        <f>IF(F1825&lt;&gt;"",HYPERLINK("https://waze.com/ul?ll="&amp;SUBSTITUTE(F1825," ","")&amp;"&amp;navigate=yes","🚗 Waze"),"")</f>
        <v/>
      </c>
      <c r="I1825" s="8">
        <f>IF(F1825&lt;&gt;"",HYPERLINK("https://m.uber.com/ul/?action=setPickup&amp;pickup=my_location&amp;dropoff[latitude]="&amp;LEFT(SUBSTITUTE(F1825," ",""),FIND(",",SUBSTITUTE(F1825," ",""))-1)&amp;"&amp;dropoff[longitude]="&amp;MID(SUBSTITUTE(F1825," ",""),FIND(",",SUBSTITUTE(F1825," ",""))+1,99),"🚕 Uber"),"")</f>
        <v/>
      </c>
      <c r="J1825" s="8">
        <f>IF(F1825&lt;&gt;"","https://api.qrserver.com/v1/create-qr-code/?size=200x200&amp;data="&amp;ENCODEURL("https://www.google.com/maps/search/?api=1&amp;query="&amp;SUBSTITUTE(F1825," ","")),"")</f>
        <v/>
      </c>
      <c r="K1825" s="8">
        <f>IF(C1825&lt;&gt;"",HYPERLINK("https://wa.me/507"&amp;REGEXREPLACE(C1825,"[^0-9]","")&amp;"?text="&amp;ENCODEURL("Ya llegue. Codigo: "&amp;A1825&amp;". Ubicacion: "&amp;"https://www.google.com/maps/search/?api=1&amp;query="&amp;SUBSTITUTE(F1825," ","")),"📲 Avisar al cliente"),"")</f>
        <v/>
      </c>
      <c r="L1825" s="8">
        <f>IF(C1825&lt;&gt;"","https://api.qrserver.com/v1/create-qr-code/?size=200x200&amp;data="&amp;ENCODEURL("https://wa.me/507"&amp;REGEXREPLACE(C1825,"[^0-9]","")&amp;"?text="&amp;ENCODEURL("Ya llegue. Codigo: "&amp;A1825&amp;". Ubicacion: "&amp;"https://www.google.com/maps/search/?api=1&amp;query="&amp;SUBSTITUTE(F1825," ",""))),"")</f>
        <v/>
      </c>
      <c r="M1825" s="8">
        <f>IF(B1825&lt;&gt;"",TODAY(),"")</f>
        <v/>
      </c>
      <c r="N1825" s="8">
        <f>IF(F1825&lt;&gt;"",IFERROR(IF(AND(REGEXMATCH(SUBSTITUTE(TRIM(F1825)," ",""),"^-?\d+(\.\d+)?,-?\d+(\.\d+)?$"),VALUE(REGEXEXTRACT(SUBSTITUTE(TRIM(F1825)," ",""),"^-?\d+(\.\d+)?"))&gt;=-90,VALUE(REGEXEXTRACT(SUBSTITUTE(TRIM(F1825)," ",""),"^-?\d+(\.\d+)?"))&lt;=90,VALUE(REGEXEXTRACT(SUBSTITUTE(TRIM(F1825)," ",""),"-?\d+(\.\d+)?$"))&gt;=-180,VALUE(REGEXEXTRACT(SUBSTITUTE(TRIM(F1825)," ",""),"-?\d+(\.\d+)?$"))&lt;=180),"OK","REVISAR"),"REVISAR"),"")</f>
        <v/>
      </c>
      <c r="O1825">
        <f>IF(A1825&lt;&gt;"","https://direcciones507.github.io/direcciones507/panel.html?codigo="&amp;A1825&amp;"&amp;nombre="&amp;ENCODEURL(B1825)&amp;"&amp;telefono="&amp;SUBSTITUTE(C1825,"-","")&amp;"&amp;referencia="&amp;ENCODEURL(E1825)&amp;"&amp;lat="&amp;IZQUIERDA(SUBSTITUTE(F1825," ",""),ENCONTRAR(",",SUBSTITUTE(F1825," ",""))-1)&amp;"&amp;lng="&amp;DERECHA(SUBSTITUTE(F1825," ",""),LARGO(SUBSTITUTE(F1825," ",""))-ENCONTRAR(",",SUBSTITUTE(F1825," ",""))),"")</f>
        <v/>
      </c>
    </row>
    <row r="1826" ht="15.75" customHeight="1" s="10">
      <c r="A1826" s="8">
        <f>CONCAT("AD507-",TEXT(ROW()-2,"0000"))</f>
        <v/>
      </c>
      <c r="C1826" s="8" t="n"/>
      <c r="F1826" s="8" t="n"/>
      <c r="G1826" s="8">
        <f>IF(F1826&lt;&gt;"",HYPERLINK("https://www.google.com/maps/search/?api=1&amp;query="&amp;SUBSTITUTE(F1826," ",""),"🗺 Google Maps"),"")</f>
        <v/>
      </c>
      <c r="H1826" s="8">
        <f>IF(F1826&lt;&gt;"",HYPERLINK("https://waze.com/ul?ll="&amp;SUBSTITUTE(F1826," ","")&amp;"&amp;navigate=yes","🚗 Waze"),"")</f>
        <v/>
      </c>
      <c r="I1826" s="8">
        <f>IF(F1826&lt;&gt;"",HYPERLINK("https://m.uber.com/ul/?action=setPickup&amp;pickup=my_location&amp;dropoff[latitude]="&amp;LEFT(SUBSTITUTE(F1826," ",""),FIND(",",SUBSTITUTE(F1826," ",""))-1)&amp;"&amp;dropoff[longitude]="&amp;MID(SUBSTITUTE(F1826," ",""),FIND(",",SUBSTITUTE(F1826," ",""))+1,99),"🚕 Uber"),"")</f>
        <v/>
      </c>
      <c r="J1826" s="8">
        <f>IF(F1826&lt;&gt;"","https://api.qrserver.com/v1/create-qr-code/?size=200x200&amp;data="&amp;ENCODEURL("https://www.google.com/maps/search/?api=1&amp;query="&amp;SUBSTITUTE(F1826," ","")),"")</f>
        <v/>
      </c>
      <c r="K1826" s="8">
        <f>IF(C1826&lt;&gt;"",HYPERLINK("https://wa.me/507"&amp;REGEXREPLACE(C1826,"[^0-9]","")&amp;"?text="&amp;ENCODEURL("Ya llegue. Codigo: "&amp;A1826&amp;". Ubicacion: "&amp;"https://www.google.com/maps/search/?api=1&amp;query="&amp;SUBSTITUTE(F1826," ","")),"📲 Avisar al cliente"),"")</f>
        <v/>
      </c>
      <c r="L1826" s="8">
        <f>IF(C1826&lt;&gt;"","https://api.qrserver.com/v1/create-qr-code/?size=200x200&amp;data="&amp;ENCODEURL("https://wa.me/507"&amp;REGEXREPLACE(C1826,"[^0-9]","")&amp;"?text="&amp;ENCODEURL("Ya llegue. Codigo: "&amp;A1826&amp;". Ubicacion: "&amp;"https://www.google.com/maps/search/?api=1&amp;query="&amp;SUBSTITUTE(F1826," ",""))),"")</f>
        <v/>
      </c>
      <c r="M1826" s="8">
        <f>IF(B1826&lt;&gt;"",TODAY(),"")</f>
        <v/>
      </c>
      <c r="N1826" s="8">
        <f>IF(F1826&lt;&gt;"",IFERROR(IF(AND(REGEXMATCH(SUBSTITUTE(TRIM(F1826)," ",""),"^-?\d+(\.\d+)?,-?\d+(\.\d+)?$"),VALUE(REGEXEXTRACT(SUBSTITUTE(TRIM(F1826)," ",""),"^-?\d+(\.\d+)?"))&gt;=-90,VALUE(REGEXEXTRACT(SUBSTITUTE(TRIM(F1826)," ",""),"^-?\d+(\.\d+)?"))&lt;=90,VALUE(REGEXEXTRACT(SUBSTITUTE(TRIM(F1826)," ",""),"-?\d+(\.\d+)?$"))&gt;=-180,VALUE(REGEXEXTRACT(SUBSTITUTE(TRIM(F1826)," ",""),"-?\d+(\.\d+)?$"))&lt;=180),"OK","REVISAR"),"REVISAR"),"")</f>
        <v/>
      </c>
      <c r="O1826">
        <f>IF(A1826&lt;&gt;"","https://direcciones507.github.io/direcciones507/panel.html?codigo="&amp;A1826&amp;"&amp;nombre="&amp;ENCODEURL(B1826)&amp;"&amp;telefono="&amp;SUBSTITUTE(C1826,"-","")&amp;"&amp;referencia="&amp;ENCODEURL(E1826)&amp;"&amp;lat="&amp;IZQUIERDA(SUBSTITUTE(F1826," ",""),ENCONTRAR(",",SUBSTITUTE(F1826," ",""))-1)&amp;"&amp;lng="&amp;DERECHA(SUBSTITUTE(F1826," ",""),LARGO(SUBSTITUTE(F1826," ",""))-ENCONTRAR(",",SUBSTITUTE(F1826," ",""))),"")</f>
        <v/>
      </c>
    </row>
    <row r="1827" ht="15.75" customHeight="1" s="10">
      <c r="A1827" s="8">
        <f>CONCAT("AD507-",TEXT(ROW()-2,"0000"))</f>
        <v/>
      </c>
      <c r="C1827" s="8" t="n"/>
      <c r="F1827" s="8" t="n"/>
      <c r="G1827" s="8">
        <f>IF(F1827&lt;&gt;"",HYPERLINK("https://www.google.com/maps/search/?api=1&amp;query="&amp;SUBSTITUTE(F1827," ",""),"🗺 Google Maps"),"")</f>
        <v/>
      </c>
      <c r="H1827" s="8">
        <f>IF(F1827&lt;&gt;"",HYPERLINK("https://waze.com/ul?ll="&amp;SUBSTITUTE(F1827," ","")&amp;"&amp;navigate=yes","🚗 Waze"),"")</f>
        <v/>
      </c>
      <c r="I1827" s="8">
        <f>IF(F1827&lt;&gt;"",HYPERLINK("https://m.uber.com/ul/?action=setPickup&amp;pickup=my_location&amp;dropoff[latitude]="&amp;LEFT(SUBSTITUTE(F1827," ",""),FIND(",",SUBSTITUTE(F1827," ",""))-1)&amp;"&amp;dropoff[longitude]="&amp;MID(SUBSTITUTE(F1827," ",""),FIND(",",SUBSTITUTE(F1827," ",""))+1,99),"🚕 Uber"),"")</f>
        <v/>
      </c>
      <c r="J1827" s="8">
        <f>IF(F1827&lt;&gt;"","https://api.qrserver.com/v1/create-qr-code/?size=200x200&amp;data="&amp;ENCODEURL("https://www.google.com/maps/search/?api=1&amp;query="&amp;SUBSTITUTE(F1827," ","")),"")</f>
        <v/>
      </c>
      <c r="K1827" s="8">
        <f>IF(C1827&lt;&gt;"",HYPERLINK("https://wa.me/507"&amp;REGEXREPLACE(C1827,"[^0-9]","")&amp;"?text="&amp;ENCODEURL("Ya llegue. Codigo: "&amp;A1827&amp;". Ubicacion: "&amp;"https://www.google.com/maps/search/?api=1&amp;query="&amp;SUBSTITUTE(F1827," ","")),"📲 Avisar al cliente"),"")</f>
        <v/>
      </c>
      <c r="L1827" s="8">
        <f>IF(C1827&lt;&gt;"","https://api.qrserver.com/v1/create-qr-code/?size=200x200&amp;data="&amp;ENCODEURL("https://wa.me/507"&amp;REGEXREPLACE(C1827,"[^0-9]","")&amp;"?text="&amp;ENCODEURL("Ya llegue. Codigo: "&amp;A1827&amp;". Ubicacion: "&amp;"https://www.google.com/maps/search/?api=1&amp;query="&amp;SUBSTITUTE(F1827," ",""))),"")</f>
        <v/>
      </c>
      <c r="M1827" s="8">
        <f>IF(B1827&lt;&gt;"",TODAY(),"")</f>
        <v/>
      </c>
      <c r="N1827" s="8">
        <f>IF(F1827&lt;&gt;"",IFERROR(IF(AND(REGEXMATCH(SUBSTITUTE(TRIM(F1827)," ",""),"^-?\d+(\.\d+)?,-?\d+(\.\d+)?$"),VALUE(REGEXEXTRACT(SUBSTITUTE(TRIM(F1827)," ",""),"^-?\d+(\.\d+)?"))&gt;=-90,VALUE(REGEXEXTRACT(SUBSTITUTE(TRIM(F1827)," ",""),"^-?\d+(\.\d+)?"))&lt;=90,VALUE(REGEXEXTRACT(SUBSTITUTE(TRIM(F1827)," ",""),"-?\d+(\.\d+)?$"))&gt;=-180,VALUE(REGEXEXTRACT(SUBSTITUTE(TRIM(F1827)," ",""),"-?\d+(\.\d+)?$"))&lt;=180),"OK","REVISAR"),"REVISAR"),"")</f>
        <v/>
      </c>
      <c r="O1827">
        <f>IF(A1827&lt;&gt;"","https://direcciones507.github.io/direcciones507/panel.html?codigo="&amp;A1827&amp;"&amp;nombre="&amp;ENCODEURL(B1827)&amp;"&amp;telefono="&amp;SUBSTITUTE(C1827,"-","")&amp;"&amp;referencia="&amp;ENCODEURL(E1827)&amp;"&amp;lat="&amp;IZQUIERDA(SUBSTITUTE(F1827," ",""),ENCONTRAR(",",SUBSTITUTE(F1827," ",""))-1)&amp;"&amp;lng="&amp;DERECHA(SUBSTITUTE(F1827," ",""),LARGO(SUBSTITUTE(F1827," ",""))-ENCONTRAR(",",SUBSTITUTE(F1827," ",""))),"")</f>
        <v/>
      </c>
    </row>
    <row r="1828" ht="15.75" customHeight="1" s="10">
      <c r="A1828" s="8">
        <f>CONCAT("AD507-",TEXT(ROW()-2,"0000"))</f>
        <v/>
      </c>
      <c r="C1828" s="8" t="n"/>
      <c r="F1828" s="8" t="n"/>
      <c r="G1828" s="8">
        <f>IF(F1828&lt;&gt;"",HYPERLINK("https://www.google.com/maps/search/?api=1&amp;query="&amp;SUBSTITUTE(F1828," ",""),"🗺 Google Maps"),"")</f>
        <v/>
      </c>
      <c r="H1828" s="8">
        <f>IF(F1828&lt;&gt;"",HYPERLINK("https://waze.com/ul?ll="&amp;SUBSTITUTE(F1828," ","")&amp;"&amp;navigate=yes","🚗 Waze"),"")</f>
        <v/>
      </c>
      <c r="I1828" s="8">
        <f>IF(F1828&lt;&gt;"",HYPERLINK("https://m.uber.com/ul/?action=setPickup&amp;pickup=my_location&amp;dropoff[latitude]="&amp;LEFT(SUBSTITUTE(F1828," ",""),FIND(",",SUBSTITUTE(F1828," ",""))-1)&amp;"&amp;dropoff[longitude]="&amp;MID(SUBSTITUTE(F1828," ",""),FIND(",",SUBSTITUTE(F1828," ",""))+1,99),"🚕 Uber"),"")</f>
        <v/>
      </c>
      <c r="J1828" s="8">
        <f>IF(F1828&lt;&gt;"","https://api.qrserver.com/v1/create-qr-code/?size=200x200&amp;data="&amp;ENCODEURL("https://www.google.com/maps/search/?api=1&amp;query="&amp;SUBSTITUTE(F1828," ","")),"")</f>
        <v/>
      </c>
      <c r="K1828" s="8">
        <f>IF(C1828&lt;&gt;"",HYPERLINK("https://wa.me/507"&amp;REGEXREPLACE(C1828,"[^0-9]","")&amp;"?text="&amp;ENCODEURL("Ya llegue. Codigo: "&amp;A1828&amp;". Ubicacion: "&amp;"https://www.google.com/maps/search/?api=1&amp;query="&amp;SUBSTITUTE(F1828," ","")),"📲 Avisar al cliente"),"")</f>
        <v/>
      </c>
      <c r="L1828" s="8">
        <f>IF(C1828&lt;&gt;"","https://api.qrserver.com/v1/create-qr-code/?size=200x200&amp;data="&amp;ENCODEURL("https://wa.me/507"&amp;REGEXREPLACE(C1828,"[^0-9]","")&amp;"?text="&amp;ENCODEURL("Ya llegue. Codigo: "&amp;A1828&amp;". Ubicacion: "&amp;"https://www.google.com/maps/search/?api=1&amp;query="&amp;SUBSTITUTE(F1828," ",""))),"")</f>
        <v/>
      </c>
      <c r="M1828" s="8">
        <f>IF(B1828&lt;&gt;"",TODAY(),"")</f>
        <v/>
      </c>
      <c r="N1828" s="8">
        <f>IF(F1828&lt;&gt;"",IFERROR(IF(AND(REGEXMATCH(SUBSTITUTE(TRIM(F1828)," ",""),"^-?\d+(\.\d+)?,-?\d+(\.\d+)?$"),VALUE(REGEXEXTRACT(SUBSTITUTE(TRIM(F1828)," ",""),"^-?\d+(\.\d+)?"))&gt;=-90,VALUE(REGEXEXTRACT(SUBSTITUTE(TRIM(F1828)," ",""),"^-?\d+(\.\d+)?"))&lt;=90,VALUE(REGEXEXTRACT(SUBSTITUTE(TRIM(F1828)," ",""),"-?\d+(\.\d+)?$"))&gt;=-180,VALUE(REGEXEXTRACT(SUBSTITUTE(TRIM(F1828)," ",""),"-?\d+(\.\d+)?$"))&lt;=180),"OK","REVISAR"),"REVISAR"),"")</f>
        <v/>
      </c>
      <c r="O1828">
        <f>IF(A1828&lt;&gt;"","https://direcciones507.github.io/direcciones507/panel.html?codigo="&amp;A1828&amp;"&amp;nombre="&amp;ENCODEURL(B1828)&amp;"&amp;telefono="&amp;SUBSTITUTE(C1828,"-","")&amp;"&amp;referencia="&amp;ENCODEURL(E1828)&amp;"&amp;lat="&amp;IZQUIERDA(SUBSTITUTE(F1828," ",""),ENCONTRAR(",",SUBSTITUTE(F1828," ",""))-1)&amp;"&amp;lng="&amp;DERECHA(SUBSTITUTE(F1828," ",""),LARGO(SUBSTITUTE(F1828," ",""))-ENCONTRAR(",",SUBSTITUTE(F1828," ",""))),"")</f>
        <v/>
      </c>
    </row>
    <row r="1829" ht="15.75" customHeight="1" s="10">
      <c r="A1829" s="8">
        <f>CONCAT("AD507-",TEXT(ROW()-2,"0000"))</f>
        <v/>
      </c>
      <c r="C1829" s="8" t="n"/>
      <c r="F1829" s="8" t="n"/>
      <c r="G1829" s="8">
        <f>IF(F1829&lt;&gt;"",HYPERLINK("https://www.google.com/maps/search/?api=1&amp;query="&amp;SUBSTITUTE(F1829," ",""),"🗺 Google Maps"),"")</f>
        <v/>
      </c>
      <c r="H1829" s="8">
        <f>IF(F1829&lt;&gt;"",HYPERLINK("https://waze.com/ul?ll="&amp;SUBSTITUTE(F1829," ","")&amp;"&amp;navigate=yes","🚗 Waze"),"")</f>
        <v/>
      </c>
      <c r="I1829" s="8">
        <f>IF(F1829&lt;&gt;"",HYPERLINK("https://m.uber.com/ul/?action=setPickup&amp;pickup=my_location&amp;dropoff[latitude]="&amp;LEFT(SUBSTITUTE(F1829," ",""),FIND(",",SUBSTITUTE(F1829," ",""))-1)&amp;"&amp;dropoff[longitude]="&amp;MID(SUBSTITUTE(F1829," ",""),FIND(",",SUBSTITUTE(F1829," ",""))+1,99),"🚕 Uber"),"")</f>
        <v/>
      </c>
      <c r="J1829" s="8">
        <f>IF(F1829&lt;&gt;"","https://api.qrserver.com/v1/create-qr-code/?size=200x200&amp;data="&amp;ENCODEURL("https://www.google.com/maps/search/?api=1&amp;query="&amp;SUBSTITUTE(F1829," ","")),"")</f>
        <v/>
      </c>
      <c r="K1829" s="8">
        <f>IF(C1829&lt;&gt;"",HYPERLINK("https://wa.me/507"&amp;REGEXREPLACE(C1829,"[^0-9]","")&amp;"?text="&amp;ENCODEURL("Ya llegue. Codigo: "&amp;A1829&amp;". Ubicacion: "&amp;"https://www.google.com/maps/search/?api=1&amp;query="&amp;SUBSTITUTE(F1829," ","")),"📲 Avisar al cliente"),"")</f>
        <v/>
      </c>
      <c r="L1829" s="8">
        <f>IF(C1829&lt;&gt;"","https://api.qrserver.com/v1/create-qr-code/?size=200x200&amp;data="&amp;ENCODEURL("https://wa.me/507"&amp;REGEXREPLACE(C1829,"[^0-9]","")&amp;"?text="&amp;ENCODEURL("Ya llegue. Codigo: "&amp;A1829&amp;". Ubicacion: "&amp;"https://www.google.com/maps/search/?api=1&amp;query="&amp;SUBSTITUTE(F1829," ",""))),"")</f>
        <v/>
      </c>
      <c r="M1829" s="8">
        <f>IF(B1829&lt;&gt;"",TODAY(),"")</f>
        <v/>
      </c>
      <c r="N1829" s="8">
        <f>IF(F1829&lt;&gt;"",IFERROR(IF(AND(REGEXMATCH(SUBSTITUTE(TRIM(F1829)," ",""),"^-?\d+(\.\d+)?,-?\d+(\.\d+)?$"),VALUE(REGEXEXTRACT(SUBSTITUTE(TRIM(F1829)," ",""),"^-?\d+(\.\d+)?"))&gt;=-90,VALUE(REGEXEXTRACT(SUBSTITUTE(TRIM(F1829)," ",""),"^-?\d+(\.\d+)?"))&lt;=90,VALUE(REGEXEXTRACT(SUBSTITUTE(TRIM(F1829)," ",""),"-?\d+(\.\d+)?$"))&gt;=-180,VALUE(REGEXEXTRACT(SUBSTITUTE(TRIM(F1829)," ",""),"-?\d+(\.\d+)?$"))&lt;=180),"OK","REVISAR"),"REVISAR"),"")</f>
        <v/>
      </c>
      <c r="O1829">
        <f>IF(A1829&lt;&gt;"","https://direcciones507.github.io/direcciones507/panel.html?codigo="&amp;A1829&amp;"&amp;nombre="&amp;ENCODEURL(B1829)&amp;"&amp;telefono="&amp;SUBSTITUTE(C1829,"-","")&amp;"&amp;referencia="&amp;ENCODEURL(E1829)&amp;"&amp;lat="&amp;IZQUIERDA(SUBSTITUTE(F1829," ",""),ENCONTRAR(",",SUBSTITUTE(F1829," ",""))-1)&amp;"&amp;lng="&amp;DERECHA(SUBSTITUTE(F1829," ",""),LARGO(SUBSTITUTE(F1829," ",""))-ENCONTRAR(",",SUBSTITUTE(F1829," ",""))),"")</f>
        <v/>
      </c>
    </row>
    <row r="1830" ht="15.75" customHeight="1" s="10">
      <c r="A1830" s="8">
        <f>CONCAT("AD507-",TEXT(ROW()-2,"0000"))</f>
        <v/>
      </c>
      <c r="C1830" s="8" t="n"/>
      <c r="F1830" s="8" t="n"/>
      <c r="G1830" s="8">
        <f>IF(F1830&lt;&gt;"",HYPERLINK("https://www.google.com/maps/search/?api=1&amp;query="&amp;SUBSTITUTE(F1830," ",""),"🗺 Google Maps"),"")</f>
        <v/>
      </c>
      <c r="H1830" s="8">
        <f>IF(F1830&lt;&gt;"",HYPERLINK("https://waze.com/ul?ll="&amp;SUBSTITUTE(F1830," ","")&amp;"&amp;navigate=yes","🚗 Waze"),"")</f>
        <v/>
      </c>
      <c r="I1830" s="8">
        <f>IF(F1830&lt;&gt;"",HYPERLINK("https://m.uber.com/ul/?action=setPickup&amp;pickup=my_location&amp;dropoff[latitude]="&amp;LEFT(SUBSTITUTE(F1830," ",""),FIND(",",SUBSTITUTE(F1830," ",""))-1)&amp;"&amp;dropoff[longitude]="&amp;MID(SUBSTITUTE(F1830," ",""),FIND(",",SUBSTITUTE(F1830," ",""))+1,99),"🚕 Uber"),"")</f>
        <v/>
      </c>
      <c r="J1830" s="8">
        <f>IF(F1830&lt;&gt;"","https://api.qrserver.com/v1/create-qr-code/?size=200x200&amp;data="&amp;ENCODEURL("https://www.google.com/maps/search/?api=1&amp;query="&amp;SUBSTITUTE(F1830," ","")),"")</f>
        <v/>
      </c>
      <c r="K1830" s="8">
        <f>IF(C1830&lt;&gt;"",HYPERLINK("https://wa.me/507"&amp;REGEXREPLACE(C1830,"[^0-9]","")&amp;"?text="&amp;ENCODEURL("Ya llegue. Codigo: "&amp;A1830&amp;". Ubicacion: "&amp;"https://www.google.com/maps/search/?api=1&amp;query="&amp;SUBSTITUTE(F1830," ","")),"📲 Avisar al cliente"),"")</f>
        <v/>
      </c>
      <c r="L1830" s="8">
        <f>IF(C1830&lt;&gt;"","https://api.qrserver.com/v1/create-qr-code/?size=200x200&amp;data="&amp;ENCODEURL("https://wa.me/507"&amp;REGEXREPLACE(C1830,"[^0-9]","")&amp;"?text="&amp;ENCODEURL("Ya llegue. Codigo: "&amp;A1830&amp;". Ubicacion: "&amp;"https://www.google.com/maps/search/?api=1&amp;query="&amp;SUBSTITUTE(F1830," ",""))),"")</f>
        <v/>
      </c>
      <c r="M1830" s="8">
        <f>IF(B1830&lt;&gt;"",TODAY(),"")</f>
        <v/>
      </c>
      <c r="N1830" s="8">
        <f>IF(F1830&lt;&gt;"",IFERROR(IF(AND(REGEXMATCH(SUBSTITUTE(TRIM(F1830)," ",""),"^-?\d+(\.\d+)?,-?\d+(\.\d+)?$"),VALUE(REGEXEXTRACT(SUBSTITUTE(TRIM(F1830)," ",""),"^-?\d+(\.\d+)?"))&gt;=-90,VALUE(REGEXEXTRACT(SUBSTITUTE(TRIM(F1830)," ",""),"^-?\d+(\.\d+)?"))&lt;=90,VALUE(REGEXEXTRACT(SUBSTITUTE(TRIM(F1830)," ",""),"-?\d+(\.\d+)?$"))&gt;=-180,VALUE(REGEXEXTRACT(SUBSTITUTE(TRIM(F1830)," ",""),"-?\d+(\.\d+)?$"))&lt;=180),"OK","REVISAR"),"REVISAR"),"")</f>
        <v/>
      </c>
      <c r="O1830">
        <f>IF(A1830&lt;&gt;"","https://direcciones507.github.io/direcciones507/panel.html?codigo="&amp;A1830&amp;"&amp;nombre="&amp;ENCODEURL(B1830)&amp;"&amp;telefono="&amp;SUBSTITUTE(C1830,"-","")&amp;"&amp;referencia="&amp;ENCODEURL(E1830)&amp;"&amp;lat="&amp;IZQUIERDA(SUBSTITUTE(F1830," ",""),ENCONTRAR(",",SUBSTITUTE(F1830," ",""))-1)&amp;"&amp;lng="&amp;DERECHA(SUBSTITUTE(F1830," ",""),LARGO(SUBSTITUTE(F1830," ",""))-ENCONTRAR(",",SUBSTITUTE(F1830," ",""))),"")</f>
        <v/>
      </c>
    </row>
    <row r="1831" ht="15.75" customHeight="1" s="10">
      <c r="A1831" s="8">
        <f>CONCAT("AD507-",TEXT(ROW()-2,"0000"))</f>
        <v/>
      </c>
      <c r="C1831" s="8" t="n"/>
      <c r="F1831" s="8" t="n"/>
      <c r="G1831" s="8">
        <f>IF(F1831&lt;&gt;"",HYPERLINK("https://www.google.com/maps/search/?api=1&amp;query="&amp;SUBSTITUTE(F1831," ",""),"🗺 Google Maps"),"")</f>
        <v/>
      </c>
      <c r="H1831" s="8">
        <f>IF(F1831&lt;&gt;"",HYPERLINK("https://waze.com/ul?ll="&amp;SUBSTITUTE(F1831," ","")&amp;"&amp;navigate=yes","🚗 Waze"),"")</f>
        <v/>
      </c>
      <c r="I1831" s="8">
        <f>IF(F1831&lt;&gt;"",HYPERLINK("https://m.uber.com/ul/?action=setPickup&amp;pickup=my_location&amp;dropoff[latitude]="&amp;LEFT(SUBSTITUTE(F1831," ",""),FIND(",",SUBSTITUTE(F1831," ",""))-1)&amp;"&amp;dropoff[longitude]="&amp;MID(SUBSTITUTE(F1831," ",""),FIND(",",SUBSTITUTE(F1831," ",""))+1,99),"🚕 Uber"),"")</f>
        <v/>
      </c>
      <c r="J1831" s="8">
        <f>IF(F1831&lt;&gt;"","https://api.qrserver.com/v1/create-qr-code/?size=200x200&amp;data="&amp;ENCODEURL("https://www.google.com/maps/search/?api=1&amp;query="&amp;SUBSTITUTE(F1831," ","")),"")</f>
        <v/>
      </c>
      <c r="K1831" s="8">
        <f>IF(C1831&lt;&gt;"",HYPERLINK("https://wa.me/507"&amp;REGEXREPLACE(C1831,"[^0-9]","")&amp;"?text="&amp;ENCODEURL("Ya llegue. Codigo: "&amp;A1831&amp;". Ubicacion: "&amp;"https://www.google.com/maps/search/?api=1&amp;query="&amp;SUBSTITUTE(F1831," ","")),"📲 Avisar al cliente"),"")</f>
        <v/>
      </c>
      <c r="L1831" s="8">
        <f>IF(C1831&lt;&gt;"","https://api.qrserver.com/v1/create-qr-code/?size=200x200&amp;data="&amp;ENCODEURL("https://wa.me/507"&amp;REGEXREPLACE(C1831,"[^0-9]","")&amp;"?text="&amp;ENCODEURL("Ya llegue. Codigo: "&amp;A1831&amp;". Ubicacion: "&amp;"https://www.google.com/maps/search/?api=1&amp;query="&amp;SUBSTITUTE(F1831," ",""))),"")</f>
        <v/>
      </c>
      <c r="M1831" s="8">
        <f>IF(B1831&lt;&gt;"",TODAY(),"")</f>
        <v/>
      </c>
      <c r="N1831" s="8">
        <f>IF(F1831&lt;&gt;"",IFERROR(IF(AND(REGEXMATCH(SUBSTITUTE(TRIM(F1831)," ",""),"^-?\d+(\.\d+)?,-?\d+(\.\d+)?$"),VALUE(REGEXEXTRACT(SUBSTITUTE(TRIM(F1831)," ",""),"^-?\d+(\.\d+)?"))&gt;=-90,VALUE(REGEXEXTRACT(SUBSTITUTE(TRIM(F1831)," ",""),"^-?\d+(\.\d+)?"))&lt;=90,VALUE(REGEXEXTRACT(SUBSTITUTE(TRIM(F1831)," ",""),"-?\d+(\.\d+)?$"))&gt;=-180,VALUE(REGEXEXTRACT(SUBSTITUTE(TRIM(F1831)," ",""),"-?\d+(\.\d+)?$"))&lt;=180),"OK","REVISAR"),"REVISAR"),"")</f>
        <v/>
      </c>
      <c r="O1831">
        <f>IF(A1831&lt;&gt;"","https://direcciones507.github.io/direcciones507/panel.html?codigo="&amp;A1831&amp;"&amp;nombre="&amp;ENCODEURL(B1831)&amp;"&amp;telefono="&amp;SUBSTITUTE(C1831,"-","")&amp;"&amp;referencia="&amp;ENCODEURL(E1831)&amp;"&amp;lat="&amp;IZQUIERDA(SUBSTITUTE(F1831," ",""),ENCONTRAR(",",SUBSTITUTE(F1831," ",""))-1)&amp;"&amp;lng="&amp;DERECHA(SUBSTITUTE(F1831," ",""),LARGO(SUBSTITUTE(F1831," ",""))-ENCONTRAR(",",SUBSTITUTE(F1831," ",""))),"")</f>
        <v/>
      </c>
    </row>
    <row r="1832" ht="15.75" customHeight="1" s="10">
      <c r="A1832" s="8">
        <f>CONCAT("AD507-",TEXT(ROW()-2,"0000"))</f>
        <v/>
      </c>
      <c r="C1832" s="8" t="n"/>
      <c r="F1832" s="8" t="n"/>
      <c r="G1832" s="8">
        <f>IF(F1832&lt;&gt;"",HYPERLINK("https://www.google.com/maps/search/?api=1&amp;query="&amp;SUBSTITUTE(F1832," ",""),"🗺 Google Maps"),"")</f>
        <v/>
      </c>
      <c r="H1832" s="8">
        <f>IF(F1832&lt;&gt;"",HYPERLINK("https://waze.com/ul?ll="&amp;SUBSTITUTE(F1832," ","")&amp;"&amp;navigate=yes","🚗 Waze"),"")</f>
        <v/>
      </c>
      <c r="I1832" s="8">
        <f>IF(F1832&lt;&gt;"",HYPERLINK("https://m.uber.com/ul/?action=setPickup&amp;pickup=my_location&amp;dropoff[latitude]="&amp;LEFT(SUBSTITUTE(F1832," ",""),FIND(",",SUBSTITUTE(F1832," ",""))-1)&amp;"&amp;dropoff[longitude]="&amp;MID(SUBSTITUTE(F1832," ",""),FIND(",",SUBSTITUTE(F1832," ",""))+1,99),"🚕 Uber"),"")</f>
        <v/>
      </c>
      <c r="J1832" s="8">
        <f>IF(F1832&lt;&gt;"","https://api.qrserver.com/v1/create-qr-code/?size=200x200&amp;data="&amp;ENCODEURL("https://www.google.com/maps/search/?api=1&amp;query="&amp;SUBSTITUTE(F1832," ","")),"")</f>
        <v/>
      </c>
      <c r="K1832" s="8">
        <f>IF(C1832&lt;&gt;"",HYPERLINK("https://wa.me/507"&amp;REGEXREPLACE(C1832,"[^0-9]","")&amp;"?text="&amp;ENCODEURL("Ya llegue. Codigo: "&amp;A1832&amp;". Ubicacion: "&amp;"https://www.google.com/maps/search/?api=1&amp;query="&amp;SUBSTITUTE(F1832," ","")),"📲 Avisar al cliente"),"")</f>
        <v/>
      </c>
      <c r="L1832" s="8">
        <f>IF(C1832&lt;&gt;"","https://api.qrserver.com/v1/create-qr-code/?size=200x200&amp;data="&amp;ENCODEURL("https://wa.me/507"&amp;REGEXREPLACE(C1832,"[^0-9]","")&amp;"?text="&amp;ENCODEURL("Ya llegue. Codigo: "&amp;A1832&amp;". Ubicacion: "&amp;"https://www.google.com/maps/search/?api=1&amp;query="&amp;SUBSTITUTE(F1832," ",""))),"")</f>
        <v/>
      </c>
      <c r="M1832" s="8">
        <f>IF(B1832&lt;&gt;"",TODAY(),"")</f>
        <v/>
      </c>
      <c r="N1832" s="8">
        <f>IF(F1832&lt;&gt;"",IFERROR(IF(AND(REGEXMATCH(SUBSTITUTE(TRIM(F1832)," ",""),"^-?\d+(\.\d+)?,-?\d+(\.\d+)?$"),VALUE(REGEXEXTRACT(SUBSTITUTE(TRIM(F1832)," ",""),"^-?\d+(\.\d+)?"))&gt;=-90,VALUE(REGEXEXTRACT(SUBSTITUTE(TRIM(F1832)," ",""),"^-?\d+(\.\d+)?"))&lt;=90,VALUE(REGEXEXTRACT(SUBSTITUTE(TRIM(F1832)," ",""),"-?\d+(\.\d+)?$"))&gt;=-180,VALUE(REGEXEXTRACT(SUBSTITUTE(TRIM(F1832)," ",""),"-?\d+(\.\d+)?$"))&lt;=180),"OK","REVISAR"),"REVISAR"),"")</f>
        <v/>
      </c>
      <c r="O1832">
        <f>IF(A1832&lt;&gt;"","https://direcciones507.github.io/direcciones507/panel.html?codigo="&amp;A1832&amp;"&amp;nombre="&amp;ENCODEURL(B1832)&amp;"&amp;telefono="&amp;SUBSTITUTE(C1832,"-","")&amp;"&amp;referencia="&amp;ENCODEURL(E1832)&amp;"&amp;lat="&amp;IZQUIERDA(SUBSTITUTE(F1832," ",""),ENCONTRAR(",",SUBSTITUTE(F1832," ",""))-1)&amp;"&amp;lng="&amp;DERECHA(SUBSTITUTE(F1832," ",""),LARGO(SUBSTITUTE(F1832," ",""))-ENCONTRAR(",",SUBSTITUTE(F1832," ",""))),"")</f>
        <v/>
      </c>
    </row>
    <row r="1833" ht="15.75" customHeight="1" s="10">
      <c r="A1833" s="8">
        <f>CONCAT("AD507-",TEXT(ROW()-2,"0000"))</f>
        <v/>
      </c>
      <c r="C1833" s="8" t="n"/>
      <c r="F1833" s="8" t="n"/>
      <c r="G1833" s="8">
        <f>IF(F1833&lt;&gt;"",HYPERLINK("https://www.google.com/maps/search/?api=1&amp;query="&amp;SUBSTITUTE(F1833," ",""),"🗺 Google Maps"),"")</f>
        <v/>
      </c>
      <c r="H1833" s="8">
        <f>IF(F1833&lt;&gt;"",HYPERLINK("https://waze.com/ul?ll="&amp;SUBSTITUTE(F1833," ","")&amp;"&amp;navigate=yes","🚗 Waze"),"")</f>
        <v/>
      </c>
      <c r="I1833" s="8">
        <f>IF(F1833&lt;&gt;"",HYPERLINK("https://m.uber.com/ul/?action=setPickup&amp;pickup=my_location&amp;dropoff[latitude]="&amp;LEFT(SUBSTITUTE(F1833," ",""),FIND(",",SUBSTITUTE(F1833," ",""))-1)&amp;"&amp;dropoff[longitude]="&amp;MID(SUBSTITUTE(F1833," ",""),FIND(",",SUBSTITUTE(F1833," ",""))+1,99),"🚕 Uber"),"")</f>
        <v/>
      </c>
      <c r="J1833" s="8">
        <f>IF(F1833&lt;&gt;"","https://api.qrserver.com/v1/create-qr-code/?size=200x200&amp;data="&amp;ENCODEURL("https://www.google.com/maps/search/?api=1&amp;query="&amp;SUBSTITUTE(F1833," ","")),"")</f>
        <v/>
      </c>
      <c r="K1833" s="8">
        <f>IF(C1833&lt;&gt;"",HYPERLINK("https://wa.me/507"&amp;REGEXREPLACE(C1833,"[^0-9]","")&amp;"?text="&amp;ENCODEURL("Ya llegue. Codigo: "&amp;A1833&amp;". Ubicacion: "&amp;"https://www.google.com/maps/search/?api=1&amp;query="&amp;SUBSTITUTE(F1833," ","")),"📲 Avisar al cliente"),"")</f>
        <v/>
      </c>
      <c r="L1833" s="8">
        <f>IF(C1833&lt;&gt;"","https://api.qrserver.com/v1/create-qr-code/?size=200x200&amp;data="&amp;ENCODEURL("https://wa.me/507"&amp;REGEXREPLACE(C1833,"[^0-9]","")&amp;"?text="&amp;ENCODEURL("Ya llegue. Codigo: "&amp;A1833&amp;". Ubicacion: "&amp;"https://www.google.com/maps/search/?api=1&amp;query="&amp;SUBSTITUTE(F1833," ",""))),"")</f>
        <v/>
      </c>
      <c r="M1833" s="8">
        <f>IF(B1833&lt;&gt;"",TODAY(),"")</f>
        <v/>
      </c>
      <c r="N1833" s="8">
        <f>IF(F1833&lt;&gt;"",IFERROR(IF(AND(REGEXMATCH(SUBSTITUTE(TRIM(F1833)," ",""),"^-?\d+(\.\d+)?,-?\d+(\.\d+)?$"),VALUE(REGEXEXTRACT(SUBSTITUTE(TRIM(F1833)," ",""),"^-?\d+(\.\d+)?"))&gt;=-90,VALUE(REGEXEXTRACT(SUBSTITUTE(TRIM(F1833)," ",""),"^-?\d+(\.\d+)?"))&lt;=90,VALUE(REGEXEXTRACT(SUBSTITUTE(TRIM(F1833)," ",""),"-?\d+(\.\d+)?$"))&gt;=-180,VALUE(REGEXEXTRACT(SUBSTITUTE(TRIM(F1833)," ",""),"-?\d+(\.\d+)?$"))&lt;=180),"OK","REVISAR"),"REVISAR"),"")</f>
        <v/>
      </c>
      <c r="O1833">
        <f>IF(A1833&lt;&gt;"","https://direcciones507.github.io/direcciones507/panel.html?codigo="&amp;A1833&amp;"&amp;nombre="&amp;ENCODEURL(B1833)&amp;"&amp;telefono="&amp;SUBSTITUTE(C1833,"-","")&amp;"&amp;referencia="&amp;ENCODEURL(E1833)&amp;"&amp;lat="&amp;IZQUIERDA(SUBSTITUTE(F1833," ",""),ENCONTRAR(",",SUBSTITUTE(F1833," ",""))-1)&amp;"&amp;lng="&amp;DERECHA(SUBSTITUTE(F1833," ",""),LARGO(SUBSTITUTE(F1833," ",""))-ENCONTRAR(",",SUBSTITUTE(F1833," ",""))),"")</f>
        <v/>
      </c>
    </row>
    <row r="1834" ht="15.75" customHeight="1" s="10">
      <c r="A1834" s="8">
        <f>CONCAT("AD507-",TEXT(ROW()-2,"0000"))</f>
        <v/>
      </c>
      <c r="C1834" s="8" t="n"/>
      <c r="F1834" s="8" t="n"/>
      <c r="G1834" s="8">
        <f>IF(F1834&lt;&gt;"",HYPERLINK("https://www.google.com/maps/search/?api=1&amp;query="&amp;SUBSTITUTE(F1834," ",""),"🗺 Google Maps"),"")</f>
        <v/>
      </c>
      <c r="H1834" s="8">
        <f>IF(F1834&lt;&gt;"",HYPERLINK("https://waze.com/ul?ll="&amp;SUBSTITUTE(F1834," ","")&amp;"&amp;navigate=yes","🚗 Waze"),"")</f>
        <v/>
      </c>
      <c r="I1834" s="8">
        <f>IF(F1834&lt;&gt;"",HYPERLINK("https://m.uber.com/ul/?action=setPickup&amp;pickup=my_location&amp;dropoff[latitude]="&amp;LEFT(SUBSTITUTE(F1834," ",""),FIND(",",SUBSTITUTE(F1834," ",""))-1)&amp;"&amp;dropoff[longitude]="&amp;MID(SUBSTITUTE(F1834," ",""),FIND(",",SUBSTITUTE(F1834," ",""))+1,99),"🚕 Uber"),"")</f>
        <v/>
      </c>
      <c r="J1834" s="8">
        <f>IF(F1834&lt;&gt;"","https://api.qrserver.com/v1/create-qr-code/?size=200x200&amp;data="&amp;ENCODEURL("https://www.google.com/maps/search/?api=1&amp;query="&amp;SUBSTITUTE(F1834," ","")),"")</f>
        <v/>
      </c>
      <c r="K1834" s="8">
        <f>IF(C1834&lt;&gt;"",HYPERLINK("https://wa.me/507"&amp;REGEXREPLACE(C1834,"[^0-9]","")&amp;"?text="&amp;ENCODEURL("Ya llegue. Codigo: "&amp;A1834&amp;". Ubicacion: "&amp;"https://www.google.com/maps/search/?api=1&amp;query="&amp;SUBSTITUTE(F1834," ","")),"📲 Avisar al cliente"),"")</f>
        <v/>
      </c>
      <c r="L1834" s="8">
        <f>IF(C1834&lt;&gt;"","https://api.qrserver.com/v1/create-qr-code/?size=200x200&amp;data="&amp;ENCODEURL("https://wa.me/507"&amp;REGEXREPLACE(C1834,"[^0-9]","")&amp;"?text="&amp;ENCODEURL("Ya llegue. Codigo: "&amp;A1834&amp;". Ubicacion: "&amp;"https://www.google.com/maps/search/?api=1&amp;query="&amp;SUBSTITUTE(F1834," ",""))),"")</f>
        <v/>
      </c>
      <c r="M1834" s="8">
        <f>IF(B1834&lt;&gt;"",TODAY(),"")</f>
        <v/>
      </c>
      <c r="N1834" s="8">
        <f>IF(F1834&lt;&gt;"",IFERROR(IF(AND(REGEXMATCH(SUBSTITUTE(TRIM(F1834)," ",""),"^-?\d+(\.\d+)?,-?\d+(\.\d+)?$"),VALUE(REGEXEXTRACT(SUBSTITUTE(TRIM(F1834)," ",""),"^-?\d+(\.\d+)?"))&gt;=-90,VALUE(REGEXEXTRACT(SUBSTITUTE(TRIM(F1834)," ",""),"^-?\d+(\.\d+)?"))&lt;=90,VALUE(REGEXEXTRACT(SUBSTITUTE(TRIM(F1834)," ",""),"-?\d+(\.\d+)?$"))&gt;=-180,VALUE(REGEXEXTRACT(SUBSTITUTE(TRIM(F1834)," ",""),"-?\d+(\.\d+)?$"))&lt;=180),"OK","REVISAR"),"REVISAR"),"")</f>
        <v/>
      </c>
      <c r="O1834">
        <f>IF(A1834&lt;&gt;"","https://direcciones507.github.io/direcciones507/panel.html?codigo="&amp;A1834&amp;"&amp;nombre="&amp;ENCODEURL(B1834)&amp;"&amp;telefono="&amp;SUBSTITUTE(C1834,"-","")&amp;"&amp;referencia="&amp;ENCODEURL(E1834)&amp;"&amp;lat="&amp;IZQUIERDA(SUBSTITUTE(F1834," ",""),ENCONTRAR(",",SUBSTITUTE(F1834," ",""))-1)&amp;"&amp;lng="&amp;DERECHA(SUBSTITUTE(F1834," ",""),LARGO(SUBSTITUTE(F1834," ",""))-ENCONTRAR(",",SUBSTITUTE(F1834," ",""))),"")</f>
        <v/>
      </c>
    </row>
    <row r="1835" ht="15.75" customHeight="1" s="10">
      <c r="A1835" s="8">
        <f>CONCAT("AD507-",TEXT(ROW()-2,"0000"))</f>
        <v/>
      </c>
      <c r="C1835" s="8" t="n"/>
      <c r="F1835" s="8" t="n"/>
      <c r="G1835" s="8">
        <f>IF(F1835&lt;&gt;"",HYPERLINK("https://www.google.com/maps/search/?api=1&amp;query="&amp;SUBSTITUTE(F1835," ",""),"🗺 Google Maps"),"")</f>
        <v/>
      </c>
      <c r="H1835" s="8">
        <f>IF(F1835&lt;&gt;"",HYPERLINK("https://waze.com/ul?ll="&amp;SUBSTITUTE(F1835," ","")&amp;"&amp;navigate=yes","🚗 Waze"),"")</f>
        <v/>
      </c>
      <c r="I1835" s="8">
        <f>IF(F1835&lt;&gt;"",HYPERLINK("https://m.uber.com/ul/?action=setPickup&amp;pickup=my_location&amp;dropoff[latitude]="&amp;LEFT(SUBSTITUTE(F1835," ",""),FIND(",",SUBSTITUTE(F1835," ",""))-1)&amp;"&amp;dropoff[longitude]="&amp;MID(SUBSTITUTE(F1835," ",""),FIND(",",SUBSTITUTE(F1835," ",""))+1,99),"🚕 Uber"),"")</f>
        <v/>
      </c>
      <c r="J1835" s="8">
        <f>IF(F1835&lt;&gt;"","https://api.qrserver.com/v1/create-qr-code/?size=200x200&amp;data="&amp;ENCODEURL("https://www.google.com/maps/search/?api=1&amp;query="&amp;SUBSTITUTE(F1835," ","")),"")</f>
        <v/>
      </c>
      <c r="K1835" s="8">
        <f>IF(C1835&lt;&gt;"",HYPERLINK("https://wa.me/507"&amp;REGEXREPLACE(C1835,"[^0-9]","")&amp;"?text="&amp;ENCODEURL("Ya llegue. Codigo: "&amp;A1835&amp;". Ubicacion: "&amp;"https://www.google.com/maps/search/?api=1&amp;query="&amp;SUBSTITUTE(F1835," ","")),"📲 Avisar al cliente"),"")</f>
        <v/>
      </c>
      <c r="L1835" s="8">
        <f>IF(C1835&lt;&gt;"","https://api.qrserver.com/v1/create-qr-code/?size=200x200&amp;data="&amp;ENCODEURL("https://wa.me/507"&amp;REGEXREPLACE(C1835,"[^0-9]","")&amp;"?text="&amp;ENCODEURL("Ya llegue. Codigo: "&amp;A1835&amp;". Ubicacion: "&amp;"https://www.google.com/maps/search/?api=1&amp;query="&amp;SUBSTITUTE(F1835," ",""))),"")</f>
        <v/>
      </c>
      <c r="M1835" s="8">
        <f>IF(B1835&lt;&gt;"",TODAY(),"")</f>
        <v/>
      </c>
      <c r="N1835" s="8">
        <f>IF(F1835&lt;&gt;"",IFERROR(IF(AND(REGEXMATCH(SUBSTITUTE(TRIM(F1835)," ",""),"^-?\d+(\.\d+)?,-?\d+(\.\d+)?$"),VALUE(REGEXEXTRACT(SUBSTITUTE(TRIM(F1835)," ",""),"^-?\d+(\.\d+)?"))&gt;=-90,VALUE(REGEXEXTRACT(SUBSTITUTE(TRIM(F1835)," ",""),"^-?\d+(\.\d+)?"))&lt;=90,VALUE(REGEXEXTRACT(SUBSTITUTE(TRIM(F1835)," ",""),"-?\d+(\.\d+)?$"))&gt;=-180,VALUE(REGEXEXTRACT(SUBSTITUTE(TRIM(F1835)," ",""),"-?\d+(\.\d+)?$"))&lt;=180),"OK","REVISAR"),"REVISAR"),"")</f>
        <v/>
      </c>
      <c r="O1835">
        <f>IF(A1835&lt;&gt;"","https://direcciones507.github.io/direcciones507/panel.html?codigo="&amp;A1835&amp;"&amp;nombre="&amp;ENCODEURL(B1835)&amp;"&amp;telefono="&amp;SUBSTITUTE(C1835,"-","")&amp;"&amp;referencia="&amp;ENCODEURL(E1835)&amp;"&amp;lat="&amp;IZQUIERDA(SUBSTITUTE(F1835," ",""),ENCONTRAR(",",SUBSTITUTE(F1835," ",""))-1)&amp;"&amp;lng="&amp;DERECHA(SUBSTITUTE(F1835," ",""),LARGO(SUBSTITUTE(F1835," ",""))-ENCONTRAR(",",SUBSTITUTE(F1835," ",""))),"")</f>
        <v/>
      </c>
    </row>
    <row r="1836" ht="15.75" customHeight="1" s="10">
      <c r="A1836" s="8">
        <f>CONCAT("AD507-",TEXT(ROW()-2,"0000"))</f>
        <v/>
      </c>
      <c r="C1836" s="8" t="n"/>
      <c r="F1836" s="8" t="n"/>
      <c r="G1836" s="8">
        <f>IF(F1836&lt;&gt;"",HYPERLINK("https://www.google.com/maps/search/?api=1&amp;query="&amp;SUBSTITUTE(F1836," ",""),"🗺 Google Maps"),"")</f>
        <v/>
      </c>
      <c r="H1836" s="8">
        <f>IF(F1836&lt;&gt;"",HYPERLINK("https://waze.com/ul?ll="&amp;SUBSTITUTE(F1836," ","")&amp;"&amp;navigate=yes","🚗 Waze"),"")</f>
        <v/>
      </c>
      <c r="I1836" s="8">
        <f>IF(F1836&lt;&gt;"",HYPERLINK("https://m.uber.com/ul/?action=setPickup&amp;pickup=my_location&amp;dropoff[latitude]="&amp;LEFT(SUBSTITUTE(F1836," ",""),FIND(",",SUBSTITUTE(F1836," ",""))-1)&amp;"&amp;dropoff[longitude]="&amp;MID(SUBSTITUTE(F1836," ",""),FIND(",",SUBSTITUTE(F1836," ",""))+1,99),"🚕 Uber"),"")</f>
        <v/>
      </c>
      <c r="J1836" s="8">
        <f>IF(F1836&lt;&gt;"","https://api.qrserver.com/v1/create-qr-code/?size=200x200&amp;data="&amp;ENCODEURL("https://www.google.com/maps/search/?api=1&amp;query="&amp;SUBSTITUTE(F1836," ","")),"")</f>
        <v/>
      </c>
      <c r="K1836" s="8">
        <f>IF(C1836&lt;&gt;"",HYPERLINK("https://wa.me/507"&amp;REGEXREPLACE(C1836,"[^0-9]","")&amp;"?text="&amp;ENCODEURL("Ya llegue. Codigo: "&amp;A1836&amp;". Ubicacion: "&amp;"https://www.google.com/maps/search/?api=1&amp;query="&amp;SUBSTITUTE(F1836," ","")),"📲 Avisar al cliente"),"")</f>
        <v/>
      </c>
      <c r="L1836" s="8">
        <f>IF(C1836&lt;&gt;"","https://api.qrserver.com/v1/create-qr-code/?size=200x200&amp;data="&amp;ENCODEURL("https://wa.me/507"&amp;REGEXREPLACE(C1836,"[^0-9]","")&amp;"?text="&amp;ENCODEURL("Ya llegue. Codigo: "&amp;A1836&amp;". Ubicacion: "&amp;"https://www.google.com/maps/search/?api=1&amp;query="&amp;SUBSTITUTE(F1836," ",""))),"")</f>
        <v/>
      </c>
      <c r="M1836" s="8">
        <f>IF(B1836&lt;&gt;"",TODAY(),"")</f>
        <v/>
      </c>
      <c r="N1836" s="8">
        <f>IF(F1836&lt;&gt;"",IFERROR(IF(AND(REGEXMATCH(SUBSTITUTE(TRIM(F1836)," ",""),"^-?\d+(\.\d+)?,-?\d+(\.\d+)?$"),VALUE(REGEXEXTRACT(SUBSTITUTE(TRIM(F1836)," ",""),"^-?\d+(\.\d+)?"))&gt;=-90,VALUE(REGEXEXTRACT(SUBSTITUTE(TRIM(F1836)," ",""),"^-?\d+(\.\d+)?"))&lt;=90,VALUE(REGEXEXTRACT(SUBSTITUTE(TRIM(F1836)," ",""),"-?\d+(\.\d+)?$"))&gt;=-180,VALUE(REGEXEXTRACT(SUBSTITUTE(TRIM(F1836)," ",""),"-?\d+(\.\d+)?$"))&lt;=180),"OK","REVISAR"),"REVISAR"),"")</f>
        <v/>
      </c>
      <c r="O1836">
        <f>IF(A1836&lt;&gt;"","https://direcciones507.github.io/direcciones507/panel.html?codigo="&amp;A1836&amp;"&amp;nombre="&amp;ENCODEURL(B1836)&amp;"&amp;telefono="&amp;SUBSTITUTE(C1836,"-","")&amp;"&amp;referencia="&amp;ENCODEURL(E1836)&amp;"&amp;lat="&amp;IZQUIERDA(SUBSTITUTE(F1836," ",""),ENCONTRAR(",",SUBSTITUTE(F1836," ",""))-1)&amp;"&amp;lng="&amp;DERECHA(SUBSTITUTE(F1836," ",""),LARGO(SUBSTITUTE(F1836," ",""))-ENCONTRAR(",",SUBSTITUTE(F1836," ",""))),"")</f>
        <v/>
      </c>
    </row>
    <row r="1837" ht="15.75" customHeight="1" s="10">
      <c r="A1837" s="8">
        <f>CONCAT("AD507-",TEXT(ROW()-2,"0000"))</f>
        <v/>
      </c>
      <c r="C1837" s="8" t="n"/>
      <c r="F1837" s="8" t="n"/>
      <c r="G1837" s="8">
        <f>IF(F1837&lt;&gt;"",HYPERLINK("https://www.google.com/maps/search/?api=1&amp;query="&amp;SUBSTITUTE(F1837," ",""),"🗺 Google Maps"),"")</f>
        <v/>
      </c>
      <c r="H1837" s="8">
        <f>IF(F1837&lt;&gt;"",HYPERLINK("https://waze.com/ul?ll="&amp;SUBSTITUTE(F1837," ","")&amp;"&amp;navigate=yes","🚗 Waze"),"")</f>
        <v/>
      </c>
      <c r="I1837" s="8">
        <f>IF(F1837&lt;&gt;"",HYPERLINK("https://m.uber.com/ul/?action=setPickup&amp;pickup=my_location&amp;dropoff[latitude]="&amp;LEFT(SUBSTITUTE(F1837," ",""),FIND(",",SUBSTITUTE(F1837," ",""))-1)&amp;"&amp;dropoff[longitude]="&amp;MID(SUBSTITUTE(F1837," ",""),FIND(",",SUBSTITUTE(F1837," ",""))+1,99),"🚕 Uber"),"")</f>
        <v/>
      </c>
      <c r="J1837" s="8">
        <f>IF(F1837&lt;&gt;"","https://api.qrserver.com/v1/create-qr-code/?size=200x200&amp;data="&amp;ENCODEURL("https://www.google.com/maps/search/?api=1&amp;query="&amp;SUBSTITUTE(F1837," ","")),"")</f>
        <v/>
      </c>
      <c r="K1837" s="8">
        <f>IF(C1837&lt;&gt;"",HYPERLINK("https://wa.me/507"&amp;REGEXREPLACE(C1837,"[^0-9]","")&amp;"?text="&amp;ENCODEURL("Ya llegue. Codigo: "&amp;A1837&amp;". Ubicacion: "&amp;"https://www.google.com/maps/search/?api=1&amp;query="&amp;SUBSTITUTE(F1837," ","")),"📲 Avisar al cliente"),"")</f>
        <v/>
      </c>
      <c r="L1837" s="8">
        <f>IF(C1837&lt;&gt;"","https://api.qrserver.com/v1/create-qr-code/?size=200x200&amp;data="&amp;ENCODEURL("https://wa.me/507"&amp;REGEXREPLACE(C1837,"[^0-9]","")&amp;"?text="&amp;ENCODEURL("Ya llegue. Codigo: "&amp;A1837&amp;". Ubicacion: "&amp;"https://www.google.com/maps/search/?api=1&amp;query="&amp;SUBSTITUTE(F1837," ",""))),"")</f>
        <v/>
      </c>
      <c r="M1837" s="8">
        <f>IF(B1837&lt;&gt;"",TODAY(),"")</f>
        <v/>
      </c>
      <c r="N1837" s="8">
        <f>IF(F1837&lt;&gt;"",IFERROR(IF(AND(REGEXMATCH(SUBSTITUTE(TRIM(F1837)," ",""),"^-?\d+(\.\d+)?,-?\d+(\.\d+)?$"),VALUE(REGEXEXTRACT(SUBSTITUTE(TRIM(F1837)," ",""),"^-?\d+(\.\d+)?"))&gt;=-90,VALUE(REGEXEXTRACT(SUBSTITUTE(TRIM(F1837)," ",""),"^-?\d+(\.\d+)?"))&lt;=90,VALUE(REGEXEXTRACT(SUBSTITUTE(TRIM(F1837)," ",""),"-?\d+(\.\d+)?$"))&gt;=-180,VALUE(REGEXEXTRACT(SUBSTITUTE(TRIM(F1837)," ",""),"-?\d+(\.\d+)?$"))&lt;=180),"OK","REVISAR"),"REVISAR"),"")</f>
        <v/>
      </c>
      <c r="O1837">
        <f>IF(A1837&lt;&gt;"","https://direcciones507.github.io/direcciones507/panel.html?codigo="&amp;A1837&amp;"&amp;nombre="&amp;ENCODEURL(B1837)&amp;"&amp;telefono="&amp;SUBSTITUTE(C1837,"-","")&amp;"&amp;referencia="&amp;ENCODEURL(E1837)&amp;"&amp;lat="&amp;IZQUIERDA(SUBSTITUTE(F1837," ",""),ENCONTRAR(",",SUBSTITUTE(F1837," ",""))-1)&amp;"&amp;lng="&amp;DERECHA(SUBSTITUTE(F1837," ",""),LARGO(SUBSTITUTE(F1837," ",""))-ENCONTRAR(",",SUBSTITUTE(F1837," ",""))),"")</f>
        <v/>
      </c>
    </row>
    <row r="1838" ht="15.75" customHeight="1" s="10">
      <c r="A1838" s="8">
        <f>CONCAT("AD507-",TEXT(ROW()-2,"0000"))</f>
        <v/>
      </c>
      <c r="C1838" s="8" t="n"/>
      <c r="F1838" s="8" t="n"/>
      <c r="G1838" s="8">
        <f>IF(F1838&lt;&gt;"",HYPERLINK("https://www.google.com/maps/search/?api=1&amp;query="&amp;SUBSTITUTE(F1838," ",""),"🗺 Google Maps"),"")</f>
        <v/>
      </c>
      <c r="H1838" s="8">
        <f>IF(F1838&lt;&gt;"",HYPERLINK("https://waze.com/ul?ll="&amp;SUBSTITUTE(F1838," ","")&amp;"&amp;navigate=yes","🚗 Waze"),"")</f>
        <v/>
      </c>
      <c r="I1838" s="8">
        <f>IF(F1838&lt;&gt;"",HYPERLINK("https://m.uber.com/ul/?action=setPickup&amp;pickup=my_location&amp;dropoff[latitude]="&amp;LEFT(SUBSTITUTE(F1838," ",""),FIND(",",SUBSTITUTE(F1838," ",""))-1)&amp;"&amp;dropoff[longitude]="&amp;MID(SUBSTITUTE(F1838," ",""),FIND(",",SUBSTITUTE(F1838," ",""))+1,99),"🚕 Uber"),"")</f>
        <v/>
      </c>
      <c r="J1838" s="8">
        <f>IF(F1838&lt;&gt;"","https://api.qrserver.com/v1/create-qr-code/?size=200x200&amp;data="&amp;ENCODEURL("https://www.google.com/maps/search/?api=1&amp;query="&amp;SUBSTITUTE(F1838," ","")),"")</f>
        <v/>
      </c>
      <c r="K1838" s="8">
        <f>IF(C1838&lt;&gt;"",HYPERLINK("https://wa.me/507"&amp;REGEXREPLACE(C1838,"[^0-9]","")&amp;"?text="&amp;ENCODEURL("Ya llegue. Codigo: "&amp;A1838&amp;". Ubicacion: "&amp;"https://www.google.com/maps/search/?api=1&amp;query="&amp;SUBSTITUTE(F1838," ","")),"📲 Avisar al cliente"),"")</f>
        <v/>
      </c>
      <c r="L1838" s="8">
        <f>IF(C1838&lt;&gt;"","https://api.qrserver.com/v1/create-qr-code/?size=200x200&amp;data="&amp;ENCODEURL("https://wa.me/507"&amp;REGEXREPLACE(C1838,"[^0-9]","")&amp;"?text="&amp;ENCODEURL("Ya llegue. Codigo: "&amp;A1838&amp;". Ubicacion: "&amp;"https://www.google.com/maps/search/?api=1&amp;query="&amp;SUBSTITUTE(F1838," ",""))),"")</f>
        <v/>
      </c>
      <c r="M1838" s="8">
        <f>IF(B1838&lt;&gt;"",TODAY(),"")</f>
        <v/>
      </c>
      <c r="N1838" s="8">
        <f>IF(F1838&lt;&gt;"",IFERROR(IF(AND(REGEXMATCH(SUBSTITUTE(TRIM(F1838)," ",""),"^-?\d+(\.\d+)?,-?\d+(\.\d+)?$"),VALUE(REGEXEXTRACT(SUBSTITUTE(TRIM(F1838)," ",""),"^-?\d+(\.\d+)?"))&gt;=-90,VALUE(REGEXEXTRACT(SUBSTITUTE(TRIM(F1838)," ",""),"^-?\d+(\.\d+)?"))&lt;=90,VALUE(REGEXEXTRACT(SUBSTITUTE(TRIM(F1838)," ",""),"-?\d+(\.\d+)?$"))&gt;=-180,VALUE(REGEXEXTRACT(SUBSTITUTE(TRIM(F1838)," ",""),"-?\d+(\.\d+)?$"))&lt;=180),"OK","REVISAR"),"REVISAR"),"")</f>
        <v/>
      </c>
      <c r="O1838">
        <f>IF(A1838&lt;&gt;"","https://direcciones507.github.io/direcciones507/panel.html?codigo="&amp;A1838&amp;"&amp;nombre="&amp;ENCODEURL(B1838)&amp;"&amp;telefono="&amp;SUBSTITUTE(C1838,"-","")&amp;"&amp;referencia="&amp;ENCODEURL(E1838)&amp;"&amp;lat="&amp;IZQUIERDA(SUBSTITUTE(F1838," ",""),ENCONTRAR(",",SUBSTITUTE(F1838," ",""))-1)&amp;"&amp;lng="&amp;DERECHA(SUBSTITUTE(F1838," ",""),LARGO(SUBSTITUTE(F1838," ",""))-ENCONTRAR(",",SUBSTITUTE(F1838," ",""))),"")</f>
        <v/>
      </c>
    </row>
    <row r="1839" ht="15.75" customHeight="1" s="10">
      <c r="A1839" s="8">
        <f>CONCAT("AD507-",TEXT(ROW()-2,"0000"))</f>
        <v/>
      </c>
      <c r="C1839" s="8" t="n"/>
      <c r="F1839" s="8" t="n"/>
      <c r="G1839" s="8">
        <f>IF(F1839&lt;&gt;"",HYPERLINK("https://www.google.com/maps/search/?api=1&amp;query="&amp;SUBSTITUTE(F1839," ",""),"🗺 Google Maps"),"")</f>
        <v/>
      </c>
      <c r="H1839" s="8">
        <f>IF(F1839&lt;&gt;"",HYPERLINK("https://waze.com/ul?ll="&amp;SUBSTITUTE(F1839," ","")&amp;"&amp;navigate=yes","🚗 Waze"),"")</f>
        <v/>
      </c>
      <c r="I1839" s="8">
        <f>IF(F1839&lt;&gt;"",HYPERLINK("https://m.uber.com/ul/?action=setPickup&amp;pickup=my_location&amp;dropoff[latitude]="&amp;LEFT(SUBSTITUTE(F1839," ",""),FIND(",",SUBSTITUTE(F1839," ",""))-1)&amp;"&amp;dropoff[longitude]="&amp;MID(SUBSTITUTE(F1839," ",""),FIND(",",SUBSTITUTE(F1839," ",""))+1,99),"🚕 Uber"),"")</f>
        <v/>
      </c>
      <c r="J1839" s="8">
        <f>IF(F1839&lt;&gt;"","https://api.qrserver.com/v1/create-qr-code/?size=200x200&amp;data="&amp;ENCODEURL("https://www.google.com/maps/search/?api=1&amp;query="&amp;SUBSTITUTE(F1839," ","")),"")</f>
        <v/>
      </c>
      <c r="K1839" s="8">
        <f>IF(C1839&lt;&gt;"",HYPERLINK("https://wa.me/507"&amp;REGEXREPLACE(C1839,"[^0-9]","")&amp;"?text="&amp;ENCODEURL("Ya llegue. Codigo: "&amp;A1839&amp;". Ubicacion: "&amp;"https://www.google.com/maps/search/?api=1&amp;query="&amp;SUBSTITUTE(F1839," ","")),"📲 Avisar al cliente"),"")</f>
        <v/>
      </c>
      <c r="L1839" s="8">
        <f>IF(C1839&lt;&gt;"","https://api.qrserver.com/v1/create-qr-code/?size=200x200&amp;data="&amp;ENCODEURL("https://wa.me/507"&amp;REGEXREPLACE(C1839,"[^0-9]","")&amp;"?text="&amp;ENCODEURL("Ya llegue. Codigo: "&amp;A1839&amp;". Ubicacion: "&amp;"https://www.google.com/maps/search/?api=1&amp;query="&amp;SUBSTITUTE(F1839," ",""))),"")</f>
        <v/>
      </c>
      <c r="M1839" s="8">
        <f>IF(B1839&lt;&gt;"",TODAY(),"")</f>
        <v/>
      </c>
      <c r="N1839" s="8">
        <f>IF(F1839&lt;&gt;"",IFERROR(IF(AND(REGEXMATCH(SUBSTITUTE(TRIM(F1839)," ",""),"^-?\d+(\.\d+)?,-?\d+(\.\d+)?$"),VALUE(REGEXEXTRACT(SUBSTITUTE(TRIM(F1839)," ",""),"^-?\d+(\.\d+)?"))&gt;=-90,VALUE(REGEXEXTRACT(SUBSTITUTE(TRIM(F1839)," ",""),"^-?\d+(\.\d+)?"))&lt;=90,VALUE(REGEXEXTRACT(SUBSTITUTE(TRIM(F1839)," ",""),"-?\d+(\.\d+)?$"))&gt;=-180,VALUE(REGEXEXTRACT(SUBSTITUTE(TRIM(F1839)," ",""),"-?\d+(\.\d+)?$"))&lt;=180),"OK","REVISAR"),"REVISAR"),"")</f>
        <v/>
      </c>
      <c r="O1839">
        <f>IF(A1839&lt;&gt;"","https://direcciones507.github.io/direcciones507/panel.html?codigo="&amp;A1839&amp;"&amp;nombre="&amp;ENCODEURL(B1839)&amp;"&amp;telefono="&amp;SUBSTITUTE(C1839,"-","")&amp;"&amp;referencia="&amp;ENCODEURL(E1839)&amp;"&amp;lat="&amp;IZQUIERDA(SUBSTITUTE(F1839," ",""),ENCONTRAR(",",SUBSTITUTE(F1839," ",""))-1)&amp;"&amp;lng="&amp;DERECHA(SUBSTITUTE(F1839," ",""),LARGO(SUBSTITUTE(F1839," ",""))-ENCONTRAR(",",SUBSTITUTE(F1839," ",""))),"")</f>
        <v/>
      </c>
    </row>
    <row r="1840" ht="15.75" customHeight="1" s="10">
      <c r="A1840" s="8">
        <f>CONCAT("AD507-",TEXT(ROW()-2,"0000"))</f>
        <v/>
      </c>
      <c r="C1840" s="8" t="n"/>
      <c r="F1840" s="8" t="n"/>
      <c r="G1840" s="8">
        <f>IF(F1840&lt;&gt;"",HYPERLINK("https://www.google.com/maps/search/?api=1&amp;query="&amp;SUBSTITUTE(F1840," ",""),"🗺 Google Maps"),"")</f>
        <v/>
      </c>
      <c r="H1840" s="8">
        <f>IF(F1840&lt;&gt;"",HYPERLINK("https://waze.com/ul?ll="&amp;SUBSTITUTE(F1840," ","")&amp;"&amp;navigate=yes","🚗 Waze"),"")</f>
        <v/>
      </c>
      <c r="I1840" s="8">
        <f>IF(F1840&lt;&gt;"",HYPERLINK("https://m.uber.com/ul/?action=setPickup&amp;pickup=my_location&amp;dropoff[latitude]="&amp;LEFT(SUBSTITUTE(F1840," ",""),FIND(",",SUBSTITUTE(F1840," ",""))-1)&amp;"&amp;dropoff[longitude]="&amp;MID(SUBSTITUTE(F1840," ",""),FIND(",",SUBSTITUTE(F1840," ",""))+1,99),"🚕 Uber"),"")</f>
        <v/>
      </c>
      <c r="J1840" s="8">
        <f>IF(F1840&lt;&gt;"","https://api.qrserver.com/v1/create-qr-code/?size=200x200&amp;data="&amp;ENCODEURL("https://www.google.com/maps/search/?api=1&amp;query="&amp;SUBSTITUTE(F1840," ","")),"")</f>
        <v/>
      </c>
      <c r="K1840" s="8">
        <f>IF(C1840&lt;&gt;"",HYPERLINK("https://wa.me/507"&amp;REGEXREPLACE(C1840,"[^0-9]","")&amp;"?text="&amp;ENCODEURL("Ya llegue. Codigo: "&amp;A1840&amp;". Ubicacion: "&amp;"https://www.google.com/maps/search/?api=1&amp;query="&amp;SUBSTITUTE(F1840," ","")),"📲 Avisar al cliente"),"")</f>
        <v/>
      </c>
      <c r="L1840" s="8">
        <f>IF(C1840&lt;&gt;"","https://api.qrserver.com/v1/create-qr-code/?size=200x200&amp;data="&amp;ENCODEURL("https://wa.me/507"&amp;REGEXREPLACE(C1840,"[^0-9]","")&amp;"?text="&amp;ENCODEURL("Ya llegue. Codigo: "&amp;A1840&amp;". Ubicacion: "&amp;"https://www.google.com/maps/search/?api=1&amp;query="&amp;SUBSTITUTE(F1840," ",""))),"")</f>
        <v/>
      </c>
      <c r="M1840" s="8">
        <f>IF(B1840&lt;&gt;"",TODAY(),"")</f>
        <v/>
      </c>
      <c r="N1840" s="8">
        <f>IF(F1840&lt;&gt;"",IFERROR(IF(AND(REGEXMATCH(SUBSTITUTE(TRIM(F1840)," ",""),"^-?\d+(\.\d+)?,-?\d+(\.\d+)?$"),VALUE(REGEXEXTRACT(SUBSTITUTE(TRIM(F1840)," ",""),"^-?\d+(\.\d+)?"))&gt;=-90,VALUE(REGEXEXTRACT(SUBSTITUTE(TRIM(F1840)," ",""),"^-?\d+(\.\d+)?"))&lt;=90,VALUE(REGEXEXTRACT(SUBSTITUTE(TRIM(F1840)," ",""),"-?\d+(\.\d+)?$"))&gt;=-180,VALUE(REGEXEXTRACT(SUBSTITUTE(TRIM(F1840)," ",""),"-?\d+(\.\d+)?$"))&lt;=180),"OK","REVISAR"),"REVISAR"),"")</f>
        <v/>
      </c>
      <c r="O1840">
        <f>IF(A1840&lt;&gt;"","https://direcciones507.github.io/direcciones507/panel.html?codigo="&amp;A1840&amp;"&amp;nombre="&amp;ENCODEURL(B1840)&amp;"&amp;telefono="&amp;SUBSTITUTE(C1840,"-","")&amp;"&amp;referencia="&amp;ENCODEURL(E1840)&amp;"&amp;lat="&amp;IZQUIERDA(SUBSTITUTE(F1840," ",""),ENCONTRAR(",",SUBSTITUTE(F1840," ",""))-1)&amp;"&amp;lng="&amp;DERECHA(SUBSTITUTE(F1840," ",""),LARGO(SUBSTITUTE(F1840," ",""))-ENCONTRAR(",",SUBSTITUTE(F1840," ",""))),"")</f>
        <v/>
      </c>
    </row>
    <row r="1841" ht="15.75" customHeight="1" s="10">
      <c r="A1841" s="8">
        <f>CONCAT("AD507-",TEXT(ROW()-2,"0000"))</f>
        <v/>
      </c>
      <c r="C1841" s="8" t="n"/>
      <c r="F1841" s="8" t="n"/>
      <c r="G1841" s="8">
        <f>IF(F1841&lt;&gt;"",HYPERLINK("https://www.google.com/maps/search/?api=1&amp;query="&amp;SUBSTITUTE(F1841," ",""),"🗺 Google Maps"),"")</f>
        <v/>
      </c>
      <c r="H1841" s="8">
        <f>IF(F1841&lt;&gt;"",HYPERLINK("https://waze.com/ul?ll="&amp;SUBSTITUTE(F1841," ","")&amp;"&amp;navigate=yes","🚗 Waze"),"")</f>
        <v/>
      </c>
      <c r="I1841" s="8">
        <f>IF(F1841&lt;&gt;"",HYPERLINK("https://m.uber.com/ul/?action=setPickup&amp;pickup=my_location&amp;dropoff[latitude]="&amp;LEFT(SUBSTITUTE(F1841," ",""),FIND(",",SUBSTITUTE(F1841," ",""))-1)&amp;"&amp;dropoff[longitude]="&amp;MID(SUBSTITUTE(F1841," ",""),FIND(",",SUBSTITUTE(F1841," ",""))+1,99),"🚕 Uber"),"")</f>
        <v/>
      </c>
      <c r="J1841" s="8">
        <f>IF(F1841&lt;&gt;"","https://api.qrserver.com/v1/create-qr-code/?size=200x200&amp;data="&amp;ENCODEURL("https://www.google.com/maps/search/?api=1&amp;query="&amp;SUBSTITUTE(F1841," ","")),"")</f>
        <v/>
      </c>
      <c r="K1841" s="8">
        <f>IF(C1841&lt;&gt;"",HYPERLINK("https://wa.me/507"&amp;REGEXREPLACE(C1841,"[^0-9]","")&amp;"?text="&amp;ENCODEURL("Ya llegue. Codigo: "&amp;A1841&amp;". Ubicacion: "&amp;"https://www.google.com/maps/search/?api=1&amp;query="&amp;SUBSTITUTE(F1841," ","")),"📲 Avisar al cliente"),"")</f>
        <v/>
      </c>
      <c r="L1841" s="8">
        <f>IF(C1841&lt;&gt;"","https://api.qrserver.com/v1/create-qr-code/?size=200x200&amp;data="&amp;ENCODEURL("https://wa.me/507"&amp;REGEXREPLACE(C1841,"[^0-9]","")&amp;"?text="&amp;ENCODEURL("Ya llegue. Codigo: "&amp;A1841&amp;". Ubicacion: "&amp;"https://www.google.com/maps/search/?api=1&amp;query="&amp;SUBSTITUTE(F1841," ",""))),"")</f>
        <v/>
      </c>
      <c r="M1841" s="8">
        <f>IF(B1841&lt;&gt;"",TODAY(),"")</f>
        <v/>
      </c>
      <c r="N1841" s="8">
        <f>IF(F1841&lt;&gt;"",IFERROR(IF(AND(REGEXMATCH(SUBSTITUTE(TRIM(F1841)," ",""),"^-?\d+(\.\d+)?,-?\d+(\.\d+)?$"),VALUE(REGEXEXTRACT(SUBSTITUTE(TRIM(F1841)," ",""),"^-?\d+(\.\d+)?"))&gt;=-90,VALUE(REGEXEXTRACT(SUBSTITUTE(TRIM(F1841)," ",""),"^-?\d+(\.\d+)?"))&lt;=90,VALUE(REGEXEXTRACT(SUBSTITUTE(TRIM(F1841)," ",""),"-?\d+(\.\d+)?$"))&gt;=-180,VALUE(REGEXEXTRACT(SUBSTITUTE(TRIM(F1841)," ",""),"-?\d+(\.\d+)?$"))&lt;=180),"OK","REVISAR"),"REVISAR"),"")</f>
        <v/>
      </c>
      <c r="O1841">
        <f>IF(A1841&lt;&gt;"","https://direcciones507.github.io/direcciones507/panel.html?codigo="&amp;A1841&amp;"&amp;nombre="&amp;ENCODEURL(B1841)&amp;"&amp;telefono="&amp;SUBSTITUTE(C1841,"-","")&amp;"&amp;referencia="&amp;ENCODEURL(E1841)&amp;"&amp;lat="&amp;IZQUIERDA(SUBSTITUTE(F1841," ",""),ENCONTRAR(",",SUBSTITUTE(F1841," ",""))-1)&amp;"&amp;lng="&amp;DERECHA(SUBSTITUTE(F1841," ",""),LARGO(SUBSTITUTE(F1841," ",""))-ENCONTRAR(",",SUBSTITUTE(F1841," ",""))),"")</f>
        <v/>
      </c>
    </row>
    <row r="1842" ht="15.75" customHeight="1" s="10">
      <c r="A1842" s="8">
        <f>CONCAT("AD507-",TEXT(ROW()-2,"0000"))</f>
        <v/>
      </c>
      <c r="C1842" s="8" t="n"/>
      <c r="F1842" s="8" t="n"/>
      <c r="G1842" s="8">
        <f>IF(F1842&lt;&gt;"",HYPERLINK("https://www.google.com/maps/search/?api=1&amp;query="&amp;SUBSTITUTE(F1842," ",""),"🗺 Google Maps"),"")</f>
        <v/>
      </c>
      <c r="H1842" s="8">
        <f>IF(F1842&lt;&gt;"",HYPERLINK("https://waze.com/ul?ll="&amp;SUBSTITUTE(F1842," ","")&amp;"&amp;navigate=yes","🚗 Waze"),"")</f>
        <v/>
      </c>
      <c r="I1842" s="8">
        <f>IF(F1842&lt;&gt;"",HYPERLINK("https://m.uber.com/ul/?action=setPickup&amp;pickup=my_location&amp;dropoff[latitude]="&amp;LEFT(SUBSTITUTE(F1842," ",""),FIND(",",SUBSTITUTE(F1842," ",""))-1)&amp;"&amp;dropoff[longitude]="&amp;MID(SUBSTITUTE(F1842," ",""),FIND(",",SUBSTITUTE(F1842," ",""))+1,99),"🚕 Uber"),"")</f>
        <v/>
      </c>
      <c r="J1842" s="8">
        <f>IF(F1842&lt;&gt;"","https://api.qrserver.com/v1/create-qr-code/?size=200x200&amp;data="&amp;ENCODEURL("https://www.google.com/maps/search/?api=1&amp;query="&amp;SUBSTITUTE(F1842," ","")),"")</f>
        <v/>
      </c>
      <c r="K1842" s="8">
        <f>IF(C1842&lt;&gt;"",HYPERLINK("https://wa.me/507"&amp;REGEXREPLACE(C1842,"[^0-9]","")&amp;"?text="&amp;ENCODEURL("Ya llegue. Codigo: "&amp;A1842&amp;". Ubicacion: "&amp;"https://www.google.com/maps/search/?api=1&amp;query="&amp;SUBSTITUTE(F1842," ","")),"📲 Avisar al cliente"),"")</f>
        <v/>
      </c>
      <c r="L1842" s="8">
        <f>IF(C1842&lt;&gt;"","https://api.qrserver.com/v1/create-qr-code/?size=200x200&amp;data="&amp;ENCODEURL("https://wa.me/507"&amp;REGEXREPLACE(C1842,"[^0-9]","")&amp;"?text="&amp;ENCODEURL("Ya llegue. Codigo: "&amp;A1842&amp;". Ubicacion: "&amp;"https://www.google.com/maps/search/?api=1&amp;query="&amp;SUBSTITUTE(F1842," ",""))),"")</f>
        <v/>
      </c>
      <c r="M1842" s="8">
        <f>IF(B1842&lt;&gt;"",TODAY(),"")</f>
        <v/>
      </c>
      <c r="N1842" s="8">
        <f>IF(F1842&lt;&gt;"",IFERROR(IF(AND(REGEXMATCH(SUBSTITUTE(TRIM(F1842)," ",""),"^-?\d+(\.\d+)?,-?\d+(\.\d+)?$"),VALUE(REGEXEXTRACT(SUBSTITUTE(TRIM(F1842)," ",""),"^-?\d+(\.\d+)?"))&gt;=-90,VALUE(REGEXEXTRACT(SUBSTITUTE(TRIM(F1842)," ",""),"^-?\d+(\.\d+)?"))&lt;=90,VALUE(REGEXEXTRACT(SUBSTITUTE(TRIM(F1842)," ",""),"-?\d+(\.\d+)?$"))&gt;=-180,VALUE(REGEXEXTRACT(SUBSTITUTE(TRIM(F1842)," ",""),"-?\d+(\.\d+)?$"))&lt;=180),"OK","REVISAR"),"REVISAR"),"")</f>
        <v/>
      </c>
      <c r="O1842">
        <f>IF(A1842&lt;&gt;"","https://direcciones507.github.io/direcciones507/panel.html?codigo="&amp;A1842&amp;"&amp;nombre="&amp;ENCODEURL(B1842)&amp;"&amp;telefono="&amp;SUBSTITUTE(C1842,"-","")&amp;"&amp;referencia="&amp;ENCODEURL(E1842)&amp;"&amp;lat="&amp;IZQUIERDA(SUBSTITUTE(F1842," ",""),ENCONTRAR(",",SUBSTITUTE(F1842," ",""))-1)&amp;"&amp;lng="&amp;DERECHA(SUBSTITUTE(F1842," ",""),LARGO(SUBSTITUTE(F1842," ",""))-ENCONTRAR(",",SUBSTITUTE(F1842," ",""))),"")</f>
        <v/>
      </c>
    </row>
    <row r="1843" ht="15.75" customHeight="1" s="10">
      <c r="A1843" s="8">
        <f>CONCAT("AD507-",TEXT(ROW()-2,"0000"))</f>
        <v/>
      </c>
      <c r="C1843" s="8" t="n"/>
      <c r="F1843" s="8" t="n"/>
      <c r="G1843" s="8">
        <f>IF(F1843&lt;&gt;"",HYPERLINK("https://www.google.com/maps/search/?api=1&amp;query="&amp;SUBSTITUTE(F1843," ",""),"🗺 Google Maps"),"")</f>
        <v/>
      </c>
      <c r="H1843" s="8">
        <f>IF(F1843&lt;&gt;"",HYPERLINK("https://waze.com/ul?ll="&amp;SUBSTITUTE(F1843," ","")&amp;"&amp;navigate=yes","🚗 Waze"),"")</f>
        <v/>
      </c>
      <c r="I1843" s="8">
        <f>IF(F1843&lt;&gt;"",HYPERLINK("https://m.uber.com/ul/?action=setPickup&amp;pickup=my_location&amp;dropoff[latitude]="&amp;LEFT(SUBSTITUTE(F1843," ",""),FIND(",",SUBSTITUTE(F1843," ",""))-1)&amp;"&amp;dropoff[longitude]="&amp;MID(SUBSTITUTE(F1843," ",""),FIND(",",SUBSTITUTE(F1843," ",""))+1,99),"🚕 Uber"),"")</f>
        <v/>
      </c>
      <c r="J1843" s="8">
        <f>IF(F1843&lt;&gt;"","https://api.qrserver.com/v1/create-qr-code/?size=200x200&amp;data="&amp;ENCODEURL("https://www.google.com/maps/search/?api=1&amp;query="&amp;SUBSTITUTE(F1843," ","")),"")</f>
        <v/>
      </c>
      <c r="K1843" s="8">
        <f>IF(C1843&lt;&gt;"",HYPERLINK("https://wa.me/507"&amp;REGEXREPLACE(C1843,"[^0-9]","")&amp;"?text="&amp;ENCODEURL("Ya llegue. Codigo: "&amp;A1843&amp;". Ubicacion: "&amp;"https://www.google.com/maps/search/?api=1&amp;query="&amp;SUBSTITUTE(F1843," ","")),"📲 Avisar al cliente"),"")</f>
        <v/>
      </c>
      <c r="L1843" s="8">
        <f>IF(C1843&lt;&gt;"","https://api.qrserver.com/v1/create-qr-code/?size=200x200&amp;data="&amp;ENCODEURL("https://wa.me/507"&amp;REGEXREPLACE(C1843,"[^0-9]","")&amp;"?text="&amp;ENCODEURL("Ya llegue. Codigo: "&amp;A1843&amp;". Ubicacion: "&amp;"https://www.google.com/maps/search/?api=1&amp;query="&amp;SUBSTITUTE(F1843," ",""))),"")</f>
        <v/>
      </c>
      <c r="M1843" s="8">
        <f>IF(B1843&lt;&gt;"",TODAY(),"")</f>
        <v/>
      </c>
      <c r="N1843" s="8">
        <f>IF(F1843&lt;&gt;"",IFERROR(IF(AND(REGEXMATCH(SUBSTITUTE(TRIM(F1843)," ",""),"^-?\d+(\.\d+)?,-?\d+(\.\d+)?$"),VALUE(REGEXEXTRACT(SUBSTITUTE(TRIM(F1843)," ",""),"^-?\d+(\.\d+)?"))&gt;=-90,VALUE(REGEXEXTRACT(SUBSTITUTE(TRIM(F1843)," ",""),"^-?\d+(\.\d+)?"))&lt;=90,VALUE(REGEXEXTRACT(SUBSTITUTE(TRIM(F1843)," ",""),"-?\d+(\.\d+)?$"))&gt;=-180,VALUE(REGEXEXTRACT(SUBSTITUTE(TRIM(F1843)," ",""),"-?\d+(\.\d+)?$"))&lt;=180),"OK","REVISAR"),"REVISAR"),"")</f>
        <v/>
      </c>
      <c r="O1843">
        <f>IF(A1843&lt;&gt;"","https://direcciones507.github.io/direcciones507/panel.html?codigo="&amp;A1843&amp;"&amp;nombre="&amp;ENCODEURL(B1843)&amp;"&amp;telefono="&amp;SUBSTITUTE(C1843,"-","")&amp;"&amp;referencia="&amp;ENCODEURL(E1843)&amp;"&amp;lat="&amp;IZQUIERDA(SUBSTITUTE(F1843," ",""),ENCONTRAR(",",SUBSTITUTE(F1843," ",""))-1)&amp;"&amp;lng="&amp;DERECHA(SUBSTITUTE(F1843," ",""),LARGO(SUBSTITUTE(F1843," ",""))-ENCONTRAR(",",SUBSTITUTE(F1843," ",""))),"")</f>
        <v/>
      </c>
    </row>
    <row r="1844" ht="15.75" customHeight="1" s="10">
      <c r="A1844" s="8">
        <f>CONCAT("AD507-",TEXT(ROW()-2,"0000"))</f>
        <v/>
      </c>
      <c r="C1844" s="8" t="n"/>
      <c r="F1844" s="8" t="n"/>
      <c r="G1844" s="8">
        <f>IF(F1844&lt;&gt;"",HYPERLINK("https://www.google.com/maps/search/?api=1&amp;query="&amp;SUBSTITUTE(F1844," ",""),"🗺 Google Maps"),"")</f>
        <v/>
      </c>
      <c r="H1844" s="8">
        <f>IF(F1844&lt;&gt;"",HYPERLINK("https://waze.com/ul?ll="&amp;SUBSTITUTE(F1844," ","")&amp;"&amp;navigate=yes","🚗 Waze"),"")</f>
        <v/>
      </c>
      <c r="I1844" s="8">
        <f>IF(F1844&lt;&gt;"",HYPERLINK("https://m.uber.com/ul/?action=setPickup&amp;pickup=my_location&amp;dropoff[latitude]="&amp;LEFT(SUBSTITUTE(F1844," ",""),FIND(",",SUBSTITUTE(F1844," ",""))-1)&amp;"&amp;dropoff[longitude]="&amp;MID(SUBSTITUTE(F1844," ",""),FIND(",",SUBSTITUTE(F1844," ",""))+1,99),"🚕 Uber"),"")</f>
        <v/>
      </c>
      <c r="J1844" s="8">
        <f>IF(F1844&lt;&gt;"","https://api.qrserver.com/v1/create-qr-code/?size=200x200&amp;data="&amp;ENCODEURL("https://www.google.com/maps/search/?api=1&amp;query="&amp;SUBSTITUTE(F1844," ","")),"")</f>
        <v/>
      </c>
      <c r="K1844" s="8">
        <f>IF(C1844&lt;&gt;"",HYPERLINK("https://wa.me/507"&amp;REGEXREPLACE(C1844,"[^0-9]","")&amp;"?text="&amp;ENCODEURL("Ya llegue. Codigo: "&amp;A1844&amp;". Ubicacion: "&amp;"https://www.google.com/maps/search/?api=1&amp;query="&amp;SUBSTITUTE(F1844," ","")),"📲 Avisar al cliente"),"")</f>
        <v/>
      </c>
      <c r="L1844" s="8">
        <f>IF(C1844&lt;&gt;"","https://api.qrserver.com/v1/create-qr-code/?size=200x200&amp;data="&amp;ENCODEURL("https://wa.me/507"&amp;REGEXREPLACE(C1844,"[^0-9]","")&amp;"?text="&amp;ENCODEURL("Ya llegue. Codigo: "&amp;A1844&amp;". Ubicacion: "&amp;"https://www.google.com/maps/search/?api=1&amp;query="&amp;SUBSTITUTE(F1844," ",""))),"")</f>
        <v/>
      </c>
      <c r="M1844" s="8">
        <f>IF(B1844&lt;&gt;"",TODAY(),"")</f>
        <v/>
      </c>
      <c r="N1844" s="8">
        <f>IF(F1844&lt;&gt;"",IFERROR(IF(AND(REGEXMATCH(SUBSTITUTE(TRIM(F1844)," ",""),"^-?\d+(\.\d+)?,-?\d+(\.\d+)?$"),VALUE(REGEXEXTRACT(SUBSTITUTE(TRIM(F1844)," ",""),"^-?\d+(\.\d+)?"))&gt;=-90,VALUE(REGEXEXTRACT(SUBSTITUTE(TRIM(F1844)," ",""),"^-?\d+(\.\d+)?"))&lt;=90,VALUE(REGEXEXTRACT(SUBSTITUTE(TRIM(F1844)," ",""),"-?\d+(\.\d+)?$"))&gt;=-180,VALUE(REGEXEXTRACT(SUBSTITUTE(TRIM(F1844)," ",""),"-?\d+(\.\d+)?$"))&lt;=180),"OK","REVISAR"),"REVISAR"),"")</f>
        <v/>
      </c>
      <c r="O1844">
        <f>IF(A1844&lt;&gt;"","https://direcciones507.github.io/direcciones507/panel.html?codigo="&amp;A1844&amp;"&amp;nombre="&amp;ENCODEURL(B1844)&amp;"&amp;telefono="&amp;SUBSTITUTE(C1844,"-","")&amp;"&amp;referencia="&amp;ENCODEURL(E1844)&amp;"&amp;lat="&amp;IZQUIERDA(SUBSTITUTE(F1844," ",""),ENCONTRAR(",",SUBSTITUTE(F1844," ",""))-1)&amp;"&amp;lng="&amp;DERECHA(SUBSTITUTE(F1844," ",""),LARGO(SUBSTITUTE(F1844," ",""))-ENCONTRAR(",",SUBSTITUTE(F1844," ",""))),"")</f>
        <v/>
      </c>
    </row>
    <row r="1845" ht="15.75" customHeight="1" s="10">
      <c r="A1845" s="8">
        <f>CONCAT("AD507-",TEXT(ROW()-2,"0000"))</f>
        <v/>
      </c>
      <c r="C1845" s="8" t="n"/>
      <c r="F1845" s="8" t="n"/>
      <c r="G1845" s="8">
        <f>IF(F1845&lt;&gt;"",HYPERLINK("https://www.google.com/maps/search/?api=1&amp;query="&amp;SUBSTITUTE(F1845," ",""),"🗺 Google Maps"),"")</f>
        <v/>
      </c>
      <c r="H1845" s="8">
        <f>IF(F1845&lt;&gt;"",HYPERLINK("https://waze.com/ul?ll="&amp;SUBSTITUTE(F1845," ","")&amp;"&amp;navigate=yes","🚗 Waze"),"")</f>
        <v/>
      </c>
      <c r="I1845" s="8">
        <f>IF(F1845&lt;&gt;"",HYPERLINK("https://m.uber.com/ul/?action=setPickup&amp;pickup=my_location&amp;dropoff[latitude]="&amp;LEFT(SUBSTITUTE(F1845," ",""),FIND(",",SUBSTITUTE(F1845," ",""))-1)&amp;"&amp;dropoff[longitude]="&amp;MID(SUBSTITUTE(F1845," ",""),FIND(",",SUBSTITUTE(F1845," ",""))+1,99),"🚕 Uber"),"")</f>
        <v/>
      </c>
      <c r="J1845" s="8">
        <f>IF(F1845&lt;&gt;"","https://api.qrserver.com/v1/create-qr-code/?size=200x200&amp;data="&amp;ENCODEURL("https://www.google.com/maps/search/?api=1&amp;query="&amp;SUBSTITUTE(F1845," ","")),"")</f>
        <v/>
      </c>
      <c r="K1845" s="8">
        <f>IF(C1845&lt;&gt;"",HYPERLINK("https://wa.me/507"&amp;REGEXREPLACE(C1845,"[^0-9]","")&amp;"?text="&amp;ENCODEURL("Ya llegue. Codigo: "&amp;A1845&amp;". Ubicacion: "&amp;"https://www.google.com/maps/search/?api=1&amp;query="&amp;SUBSTITUTE(F1845," ","")),"📲 Avisar al cliente"),"")</f>
        <v/>
      </c>
      <c r="L1845" s="8">
        <f>IF(C1845&lt;&gt;"","https://api.qrserver.com/v1/create-qr-code/?size=200x200&amp;data="&amp;ENCODEURL("https://wa.me/507"&amp;REGEXREPLACE(C1845,"[^0-9]","")&amp;"?text="&amp;ENCODEURL("Ya llegue. Codigo: "&amp;A1845&amp;". Ubicacion: "&amp;"https://www.google.com/maps/search/?api=1&amp;query="&amp;SUBSTITUTE(F1845," ",""))),"")</f>
        <v/>
      </c>
      <c r="M1845" s="8">
        <f>IF(B1845&lt;&gt;"",TODAY(),"")</f>
        <v/>
      </c>
      <c r="N1845" s="8">
        <f>IF(F1845&lt;&gt;"",IFERROR(IF(AND(REGEXMATCH(SUBSTITUTE(TRIM(F1845)," ",""),"^-?\d+(\.\d+)?,-?\d+(\.\d+)?$"),VALUE(REGEXEXTRACT(SUBSTITUTE(TRIM(F1845)," ",""),"^-?\d+(\.\d+)?"))&gt;=-90,VALUE(REGEXEXTRACT(SUBSTITUTE(TRIM(F1845)," ",""),"^-?\d+(\.\d+)?"))&lt;=90,VALUE(REGEXEXTRACT(SUBSTITUTE(TRIM(F1845)," ",""),"-?\d+(\.\d+)?$"))&gt;=-180,VALUE(REGEXEXTRACT(SUBSTITUTE(TRIM(F1845)," ",""),"-?\d+(\.\d+)?$"))&lt;=180),"OK","REVISAR"),"REVISAR"),"")</f>
        <v/>
      </c>
      <c r="O1845">
        <f>IF(A1845&lt;&gt;"","https://direcciones507.github.io/direcciones507/panel.html?codigo="&amp;A1845&amp;"&amp;nombre="&amp;ENCODEURL(B1845)&amp;"&amp;telefono="&amp;SUBSTITUTE(C1845,"-","")&amp;"&amp;referencia="&amp;ENCODEURL(E1845)&amp;"&amp;lat="&amp;IZQUIERDA(SUBSTITUTE(F1845," ",""),ENCONTRAR(",",SUBSTITUTE(F1845," ",""))-1)&amp;"&amp;lng="&amp;DERECHA(SUBSTITUTE(F1845," ",""),LARGO(SUBSTITUTE(F1845," ",""))-ENCONTRAR(",",SUBSTITUTE(F1845," ",""))),"")</f>
        <v/>
      </c>
    </row>
    <row r="1846" ht="15.75" customHeight="1" s="10">
      <c r="A1846" s="8">
        <f>CONCAT("AD507-",TEXT(ROW()-2,"0000"))</f>
        <v/>
      </c>
      <c r="C1846" s="8" t="n"/>
      <c r="F1846" s="8" t="n"/>
      <c r="G1846" s="8">
        <f>IF(F1846&lt;&gt;"",HYPERLINK("https://www.google.com/maps/search/?api=1&amp;query="&amp;SUBSTITUTE(F1846," ",""),"🗺 Google Maps"),"")</f>
        <v/>
      </c>
      <c r="H1846" s="8">
        <f>IF(F1846&lt;&gt;"",HYPERLINK("https://waze.com/ul?ll="&amp;SUBSTITUTE(F1846," ","")&amp;"&amp;navigate=yes","🚗 Waze"),"")</f>
        <v/>
      </c>
      <c r="I1846" s="8">
        <f>IF(F1846&lt;&gt;"",HYPERLINK("https://m.uber.com/ul/?action=setPickup&amp;pickup=my_location&amp;dropoff[latitude]="&amp;LEFT(SUBSTITUTE(F1846," ",""),FIND(",",SUBSTITUTE(F1846," ",""))-1)&amp;"&amp;dropoff[longitude]="&amp;MID(SUBSTITUTE(F1846," ",""),FIND(",",SUBSTITUTE(F1846," ",""))+1,99),"🚕 Uber"),"")</f>
        <v/>
      </c>
      <c r="J1846" s="8">
        <f>IF(F1846&lt;&gt;"","https://api.qrserver.com/v1/create-qr-code/?size=200x200&amp;data="&amp;ENCODEURL("https://www.google.com/maps/search/?api=1&amp;query="&amp;SUBSTITUTE(F1846," ","")),"")</f>
        <v/>
      </c>
      <c r="K1846" s="8">
        <f>IF(C1846&lt;&gt;"",HYPERLINK("https://wa.me/507"&amp;REGEXREPLACE(C1846,"[^0-9]","")&amp;"?text="&amp;ENCODEURL("Ya llegue. Codigo: "&amp;A1846&amp;". Ubicacion: "&amp;"https://www.google.com/maps/search/?api=1&amp;query="&amp;SUBSTITUTE(F1846," ","")),"📲 Avisar al cliente"),"")</f>
        <v/>
      </c>
      <c r="L1846" s="8">
        <f>IF(C1846&lt;&gt;"","https://api.qrserver.com/v1/create-qr-code/?size=200x200&amp;data="&amp;ENCODEURL("https://wa.me/507"&amp;REGEXREPLACE(C1846,"[^0-9]","")&amp;"?text="&amp;ENCODEURL("Ya llegue. Codigo: "&amp;A1846&amp;". Ubicacion: "&amp;"https://www.google.com/maps/search/?api=1&amp;query="&amp;SUBSTITUTE(F1846," ",""))),"")</f>
        <v/>
      </c>
      <c r="M1846" s="8">
        <f>IF(B1846&lt;&gt;"",TODAY(),"")</f>
        <v/>
      </c>
      <c r="N1846" s="8">
        <f>IF(F1846&lt;&gt;"",IFERROR(IF(AND(REGEXMATCH(SUBSTITUTE(TRIM(F1846)," ",""),"^-?\d+(\.\d+)?,-?\d+(\.\d+)?$"),VALUE(REGEXEXTRACT(SUBSTITUTE(TRIM(F1846)," ",""),"^-?\d+(\.\d+)?"))&gt;=-90,VALUE(REGEXEXTRACT(SUBSTITUTE(TRIM(F1846)," ",""),"^-?\d+(\.\d+)?"))&lt;=90,VALUE(REGEXEXTRACT(SUBSTITUTE(TRIM(F1846)," ",""),"-?\d+(\.\d+)?$"))&gt;=-180,VALUE(REGEXEXTRACT(SUBSTITUTE(TRIM(F1846)," ",""),"-?\d+(\.\d+)?$"))&lt;=180),"OK","REVISAR"),"REVISAR"),"")</f>
        <v/>
      </c>
      <c r="O1846">
        <f>IF(A1846&lt;&gt;"","https://direcciones507.github.io/direcciones507/panel.html?codigo="&amp;A1846&amp;"&amp;nombre="&amp;ENCODEURL(B1846)&amp;"&amp;telefono="&amp;SUBSTITUTE(C1846,"-","")&amp;"&amp;referencia="&amp;ENCODEURL(E1846)&amp;"&amp;lat="&amp;IZQUIERDA(SUBSTITUTE(F1846," ",""),ENCONTRAR(",",SUBSTITUTE(F1846," ",""))-1)&amp;"&amp;lng="&amp;DERECHA(SUBSTITUTE(F1846," ",""),LARGO(SUBSTITUTE(F1846," ",""))-ENCONTRAR(",",SUBSTITUTE(F1846," ",""))),"")</f>
        <v/>
      </c>
    </row>
    <row r="1847" ht="15.75" customHeight="1" s="10">
      <c r="A1847" s="8">
        <f>CONCAT("AD507-",TEXT(ROW()-2,"0000"))</f>
        <v/>
      </c>
      <c r="C1847" s="8" t="n"/>
      <c r="F1847" s="8" t="n"/>
      <c r="G1847" s="8">
        <f>IF(F1847&lt;&gt;"",HYPERLINK("https://www.google.com/maps/search/?api=1&amp;query="&amp;SUBSTITUTE(F1847," ",""),"🗺 Google Maps"),"")</f>
        <v/>
      </c>
      <c r="H1847" s="8">
        <f>IF(F1847&lt;&gt;"",HYPERLINK("https://waze.com/ul?ll="&amp;SUBSTITUTE(F1847," ","")&amp;"&amp;navigate=yes","🚗 Waze"),"")</f>
        <v/>
      </c>
      <c r="I1847" s="8">
        <f>IF(F1847&lt;&gt;"",HYPERLINK("https://m.uber.com/ul/?action=setPickup&amp;pickup=my_location&amp;dropoff[latitude]="&amp;LEFT(SUBSTITUTE(F1847," ",""),FIND(",",SUBSTITUTE(F1847," ",""))-1)&amp;"&amp;dropoff[longitude]="&amp;MID(SUBSTITUTE(F1847," ",""),FIND(",",SUBSTITUTE(F1847," ",""))+1,99),"🚕 Uber"),"")</f>
        <v/>
      </c>
      <c r="J1847" s="8">
        <f>IF(F1847&lt;&gt;"","https://api.qrserver.com/v1/create-qr-code/?size=200x200&amp;data="&amp;ENCODEURL("https://www.google.com/maps/search/?api=1&amp;query="&amp;SUBSTITUTE(F1847," ","")),"")</f>
        <v/>
      </c>
      <c r="K1847" s="8">
        <f>IF(C1847&lt;&gt;"",HYPERLINK("https://wa.me/507"&amp;REGEXREPLACE(C1847,"[^0-9]","")&amp;"?text="&amp;ENCODEURL("Ya llegue. Codigo: "&amp;A1847&amp;". Ubicacion: "&amp;"https://www.google.com/maps/search/?api=1&amp;query="&amp;SUBSTITUTE(F1847," ","")),"📲 Avisar al cliente"),"")</f>
        <v/>
      </c>
      <c r="L1847" s="8">
        <f>IF(C1847&lt;&gt;"","https://api.qrserver.com/v1/create-qr-code/?size=200x200&amp;data="&amp;ENCODEURL("https://wa.me/507"&amp;REGEXREPLACE(C1847,"[^0-9]","")&amp;"?text="&amp;ENCODEURL("Ya llegue. Codigo: "&amp;A1847&amp;". Ubicacion: "&amp;"https://www.google.com/maps/search/?api=1&amp;query="&amp;SUBSTITUTE(F1847," ",""))),"")</f>
        <v/>
      </c>
      <c r="M1847" s="8">
        <f>IF(B1847&lt;&gt;"",TODAY(),"")</f>
        <v/>
      </c>
      <c r="N1847" s="8">
        <f>IF(F1847&lt;&gt;"",IFERROR(IF(AND(REGEXMATCH(SUBSTITUTE(TRIM(F1847)," ",""),"^-?\d+(\.\d+)?,-?\d+(\.\d+)?$"),VALUE(REGEXEXTRACT(SUBSTITUTE(TRIM(F1847)," ",""),"^-?\d+(\.\d+)?"))&gt;=-90,VALUE(REGEXEXTRACT(SUBSTITUTE(TRIM(F1847)," ",""),"^-?\d+(\.\d+)?"))&lt;=90,VALUE(REGEXEXTRACT(SUBSTITUTE(TRIM(F1847)," ",""),"-?\d+(\.\d+)?$"))&gt;=-180,VALUE(REGEXEXTRACT(SUBSTITUTE(TRIM(F1847)," ",""),"-?\d+(\.\d+)?$"))&lt;=180),"OK","REVISAR"),"REVISAR"),"")</f>
        <v/>
      </c>
      <c r="O1847">
        <f>IF(A1847&lt;&gt;"","https://direcciones507.github.io/direcciones507/panel.html?codigo="&amp;A1847&amp;"&amp;nombre="&amp;ENCODEURL(B1847)&amp;"&amp;telefono="&amp;SUBSTITUTE(C1847,"-","")&amp;"&amp;referencia="&amp;ENCODEURL(E1847)&amp;"&amp;lat="&amp;IZQUIERDA(SUBSTITUTE(F1847," ",""),ENCONTRAR(",",SUBSTITUTE(F1847," ",""))-1)&amp;"&amp;lng="&amp;DERECHA(SUBSTITUTE(F1847," ",""),LARGO(SUBSTITUTE(F1847," ",""))-ENCONTRAR(",",SUBSTITUTE(F1847," ",""))),"")</f>
        <v/>
      </c>
    </row>
    <row r="1848" ht="15.75" customHeight="1" s="10">
      <c r="A1848" s="8">
        <f>CONCAT("AD507-",TEXT(ROW()-2,"0000"))</f>
        <v/>
      </c>
      <c r="C1848" s="8" t="n"/>
      <c r="F1848" s="8" t="n"/>
      <c r="G1848" s="8">
        <f>IF(F1848&lt;&gt;"",HYPERLINK("https://www.google.com/maps/search/?api=1&amp;query="&amp;SUBSTITUTE(F1848," ",""),"🗺 Google Maps"),"")</f>
        <v/>
      </c>
      <c r="H1848" s="8">
        <f>IF(F1848&lt;&gt;"",HYPERLINK("https://waze.com/ul?ll="&amp;SUBSTITUTE(F1848," ","")&amp;"&amp;navigate=yes","🚗 Waze"),"")</f>
        <v/>
      </c>
      <c r="I1848" s="8">
        <f>IF(F1848&lt;&gt;"",HYPERLINK("https://m.uber.com/ul/?action=setPickup&amp;pickup=my_location&amp;dropoff[latitude]="&amp;LEFT(SUBSTITUTE(F1848," ",""),FIND(",",SUBSTITUTE(F1848," ",""))-1)&amp;"&amp;dropoff[longitude]="&amp;MID(SUBSTITUTE(F1848," ",""),FIND(",",SUBSTITUTE(F1848," ",""))+1,99),"🚕 Uber"),"")</f>
        <v/>
      </c>
      <c r="J1848" s="8">
        <f>IF(F1848&lt;&gt;"","https://api.qrserver.com/v1/create-qr-code/?size=200x200&amp;data="&amp;ENCODEURL("https://www.google.com/maps/search/?api=1&amp;query="&amp;SUBSTITUTE(F1848," ","")),"")</f>
        <v/>
      </c>
      <c r="K1848" s="8">
        <f>IF(C1848&lt;&gt;"",HYPERLINK("https://wa.me/507"&amp;REGEXREPLACE(C1848,"[^0-9]","")&amp;"?text="&amp;ENCODEURL("Ya llegue. Codigo: "&amp;A1848&amp;". Ubicacion: "&amp;"https://www.google.com/maps/search/?api=1&amp;query="&amp;SUBSTITUTE(F1848," ","")),"📲 Avisar al cliente"),"")</f>
        <v/>
      </c>
      <c r="L1848" s="8">
        <f>IF(C1848&lt;&gt;"","https://api.qrserver.com/v1/create-qr-code/?size=200x200&amp;data="&amp;ENCODEURL("https://wa.me/507"&amp;REGEXREPLACE(C1848,"[^0-9]","")&amp;"?text="&amp;ENCODEURL("Ya llegue. Codigo: "&amp;A1848&amp;". Ubicacion: "&amp;"https://www.google.com/maps/search/?api=1&amp;query="&amp;SUBSTITUTE(F1848," ",""))),"")</f>
        <v/>
      </c>
      <c r="M1848" s="8">
        <f>IF(B1848&lt;&gt;"",TODAY(),"")</f>
        <v/>
      </c>
      <c r="N1848" s="8">
        <f>IF(F1848&lt;&gt;"",IFERROR(IF(AND(REGEXMATCH(SUBSTITUTE(TRIM(F1848)," ",""),"^-?\d+(\.\d+)?,-?\d+(\.\d+)?$"),VALUE(REGEXEXTRACT(SUBSTITUTE(TRIM(F1848)," ",""),"^-?\d+(\.\d+)?"))&gt;=-90,VALUE(REGEXEXTRACT(SUBSTITUTE(TRIM(F1848)," ",""),"^-?\d+(\.\d+)?"))&lt;=90,VALUE(REGEXEXTRACT(SUBSTITUTE(TRIM(F1848)," ",""),"-?\d+(\.\d+)?$"))&gt;=-180,VALUE(REGEXEXTRACT(SUBSTITUTE(TRIM(F1848)," ",""),"-?\d+(\.\d+)?$"))&lt;=180),"OK","REVISAR"),"REVISAR"),"")</f>
        <v/>
      </c>
      <c r="O1848">
        <f>IF(A1848&lt;&gt;"","https://direcciones507.github.io/direcciones507/panel.html?codigo="&amp;A1848&amp;"&amp;nombre="&amp;ENCODEURL(B1848)&amp;"&amp;telefono="&amp;SUBSTITUTE(C1848,"-","")&amp;"&amp;referencia="&amp;ENCODEURL(E1848)&amp;"&amp;lat="&amp;IZQUIERDA(SUBSTITUTE(F1848," ",""),ENCONTRAR(",",SUBSTITUTE(F1848," ",""))-1)&amp;"&amp;lng="&amp;DERECHA(SUBSTITUTE(F1848," ",""),LARGO(SUBSTITUTE(F1848," ",""))-ENCONTRAR(",",SUBSTITUTE(F1848," ",""))),"")</f>
        <v/>
      </c>
    </row>
    <row r="1849" ht="15.75" customHeight="1" s="10">
      <c r="A1849" s="8">
        <f>CONCAT("AD507-",TEXT(ROW()-2,"0000"))</f>
        <v/>
      </c>
      <c r="C1849" s="8" t="n"/>
      <c r="F1849" s="8" t="n"/>
      <c r="G1849" s="8">
        <f>IF(F1849&lt;&gt;"",HYPERLINK("https://www.google.com/maps/search/?api=1&amp;query="&amp;SUBSTITUTE(F1849," ",""),"🗺 Google Maps"),"")</f>
        <v/>
      </c>
      <c r="H1849" s="8">
        <f>IF(F1849&lt;&gt;"",HYPERLINK("https://waze.com/ul?ll="&amp;SUBSTITUTE(F1849," ","")&amp;"&amp;navigate=yes","🚗 Waze"),"")</f>
        <v/>
      </c>
      <c r="I1849" s="8">
        <f>IF(F1849&lt;&gt;"",HYPERLINK("https://m.uber.com/ul/?action=setPickup&amp;pickup=my_location&amp;dropoff[latitude]="&amp;LEFT(SUBSTITUTE(F1849," ",""),FIND(",",SUBSTITUTE(F1849," ",""))-1)&amp;"&amp;dropoff[longitude]="&amp;MID(SUBSTITUTE(F1849," ",""),FIND(",",SUBSTITUTE(F1849," ",""))+1,99),"🚕 Uber"),"")</f>
        <v/>
      </c>
      <c r="J1849" s="8">
        <f>IF(F1849&lt;&gt;"","https://api.qrserver.com/v1/create-qr-code/?size=200x200&amp;data="&amp;ENCODEURL("https://www.google.com/maps/search/?api=1&amp;query="&amp;SUBSTITUTE(F1849," ","")),"")</f>
        <v/>
      </c>
      <c r="K1849" s="8">
        <f>IF(C1849&lt;&gt;"",HYPERLINK("https://wa.me/507"&amp;REGEXREPLACE(C1849,"[^0-9]","")&amp;"?text="&amp;ENCODEURL("Ya llegue. Codigo: "&amp;A1849&amp;". Ubicacion: "&amp;"https://www.google.com/maps/search/?api=1&amp;query="&amp;SUBSTITUTE(F1849," ","")),"📲 Avisar al cliente"),"")</f>
        <v/>
      </c>
      <c r="L1849" s="8">
        <f>IF(C1849&lt;&gt;"","https://api.qrserver.com/v1/create-qr-code/?size=200x200&amp;data="&amp;ENCODEURL("https://wa.me/507"&amp;REGEXREPLACE(C1849,"[^0-9]","")&amp;"?text="&amp;ENCODEURL("Ya llegue. Codigo: "&amp;A1849&amp;". Ubicacion: "&amp;"https://www.google.com/maps/search/?api=1&amp;query="&amp;SUBSTITUTE(F1849," ",""))),"")</f>
        <v/>
      </c>
      <c r="M1849" s="8">
        <f>IF(B1849&lt;&gt;"",TODAY(),"")</f>
        <v/>
      </c>
      <c r="N1849" s="8">
        <f>IF(F1849&lt;&gt;"",IFERROR(IF(AND(REGEXMATCH(SUBSTITUTE(TRIM(F1849)," ",""),"^-?\d+(\.\d+)?,-?\d+(\.\d+)?$"),VALUE(REGEXEXTRACT(SUBSTITUTE(TRIM(F1849)," ",""),"^-?\d+(\.\d+)?"))&gt;=-90,VALUE(REGEXEXTRACT(SUBSTITUTE(TRIM(F1849)," ",""),"^-?\d+(\.\d+)?"))&lt;=90,VALUE(REGEXEXTRACT(SUBSTITUTE(TRIM(F1849)," ",""),"-?\d+(\.\d+)?$"))&gt;=-180,VALUE(REGEXEXTRACT(SUBSTITUTE(TRIM(F1849)," ",""),"-?\d+(\.\d+)?$"))&lt;=180),"OK","REVISAR"),"REVISAR"),"")</f>
        <v/>
      </c>
      <c r="O1849">
        <f>IF(A1849&lt;&gt;"","https://direcciones507.github.io/direcciones507/panel.html?codigo="&amp;A1849&amp;"&amp;nombre="&amp;ENCODEURL(B1849)&amp;"&amp;telefono="&amp;SUBSTITUTE(C1849,"-","")&amp;"&amp;referencia="&amp;ENCODEURL(E1849)&amp;"&amp;lat="&amp;IZQUIERDA(SUBSTITUTE(F1849," ",""),ENCONTRAR(",",SUBSTITUTE(F1849," ",""))-1)&amp;"&amp;lng="&amp;DERECHA(SUBSTITUTE(F1849," ",""),LARGO(SUBSTITUTE(F1849," ",""))-ENCONTRAR(",",SUBSTITUTE(F1849," ",""))),"")</f>
        <v/>
      </c>
    </row>
    <row r="1850" ht="15.75" customHeight="1" s="10">
      <c r="A1850" s="8">
        <f>CONCAT("AD507-",TEXT(ROW()-2,"0000"))</f>
        <v/>
      </c>
      <c r="C1850" s="8" t="n"/>
      <c r="F1850" s="8" t="n"/>
      <c r="G1850" s="8">
        <f>IF(F1850&lt;&gt;"",HYPERLINK("https://www.google.com/maps/search/?api=1&amp;query="&amp;SUBSTITUTE(F1850," ",""),"🗺 Google Maps"),"")</f>
        <v/>
      </c>
      <c r="H1850" s="8">
        <f>IF(F1850&lt;&gt;"",HYPERLINK("https://waze.com/ul?ll="&amp;SUBSTITUTE(F1850," ","")&amp;"&amp;navigate=yes","🚗 Waze"),"")</f>
        <v/>
      </c>
      <c r="I1850" s="8">
        <f>IF(F1850&lt;&gt;"",HYPERLINK("https://m.uber.com/ul/?action=setPickup&amp;pickup=my_location&amp;dropoff[latitude]="&amp;LEFT(SUBSTITUTE(F1850," ",""),FIND(",",SUBSTITUTE(F1850," ",""))-1)&amp;"&amp;dropoff[longitude]="&amp;MID(SUBSTITUTE(F1850," ",""),FIND(",",SUBSTITUTE(F1850," ",""))+1,99),"🚕 Uber"),"")</f>
        <v/>
      </c>
      <c r="J1850" s="8">
        <f>IF(F1850&lt;&gt;"","https://api.qrserver.com/v1/create-qr-code/?size=200x200&amp;data="&amp;ENCODEURL("https://www.google.com/maps/search/?api=1&amp;query="&amp;SUBSTITUTE(F1850," ","")),"")</f>
        <v/>
      </c>
      <c r="K1850" s="8">
        <f>IF(C1850&lt;&gt;"",HYPERLINK("https://wa.me/507"&amp;REGEXREPLACE(C1850,"[^0-9]","")&amp;"?text="&amp;ENCODEURL("Ya llegue. Codigo: "&amp;A1850&amp;". Ubicacion: "&amp;"https://www.google.com/maps/search/?api=1&amp;query="&amp;SUBSTITUTE(F1850," ","")),"📲 Avisar al cliente"),"")</f>
        <v/>
      </c>
      <c r="L1850" s="8">
        <f>IF(C1850&lt;&gt;"","https://api.qrserver.com/v1/create-qr-code/?size=200x200&amp;data="&amp;ENCODEURL("https://wa.me/507"&amp;REGEXREPLACE(C1850,"[^0-9]","")&amp;"?text="&amp;ENCODEURL("Ya llegue. Codigo: "&amp;A1850&amp;". Ubicacion: "&amp;"https://www.google.com/maps/search/?api=1&amp;query="&amp;SUBSTITUTE(F1850," ",""))),"")</f>
        <v/>
      </c>
      <c r="M1850" s="8">
        <f>IF(B1850&lt;&gt;"",TODAY(),"")</f>
        <v/>
      </c>
      <c r="N1850" s="8">
        <f>IF(F1850&lt;&gt;"",IFERROR(IF(AND(REGEXMATCH(SUBSTITUTE(TRIM(F1850)," ",""),"^-?\d+(\.\d+)?,-?\d+(\.\d+)?$"),VALUE(REGEXEXTRACT(SUBSTITUTE(TRIM(F1850)," ",""),"^-?\d+(\.\d+)?"))&gt;=-90,VALUE(REGEXEXTRACT(SUBSTITUTE(TRIM(F1850)," ",""),"^-?\d+(\.\d+)?"))&lt;=90,VALUE(REGEXEXTRACT(SUBSTITUTE(TRIM(F1850)," ",""),"-?\d+(\.\d+)?$"))&gt;=-180,VALUE(REGEXEXTRACT(SUBSTITUTE(TRIM(F1850)," ",""),"-?\d+(\.\d+)?$"))&lt;=180),"OK","REVISAR"),"REVISAR"),"")</f>
        <v/>
      </c>
      <c r="O1850">
        <f>IF(A1850&lt;&gt;"","https://direcciones507.github.io/direcciones507/panel.html?codigo="&amp;A1850&amp;"&amp;nombre="&amp;ENCODEURL(B1850)&amp;"&amp;telefono="&amp;SUBSTITUTE(C1850,"-","")&amp;"&amp;referencia="&amp;ENCODEURL(E1850)&amp;"&amp;lat="&amp;IZQUIERDA(SUBSTITUTE(F1850," ",""),ENCONTRAR(",",SUBSTITUTE(F1850," ",""))-1)&amp;"&amp;lng="&amp;DERECHA(SUBSTITUTE(F1850," ",""),LARGO(SUBSTITUTE(F1850," ",""))-ENCONTRAR(",",SUBSTITUTE(F1850," ",""))),"")</f>
        <v/>
      </c>
    </row>
    <row r="1851" ht="15.75" customHeight="1" s="10">
      <c r="A1851" s="8">
        <f>CONCAT("AD507-",TEXT(ROW()-2,"0000"))</f>
        <v/>
      </c>
      <c r="C1851" s="8" t="n"/>
      <c r="F1851" s="8" t="n"/>
      <c r="G1851" s="8">
        <f>IF(F1851&lt;&gt;"",HYPERLINK("https://www.google.com/maps/search/?api=1&amp;query="&amp;SUBSTITUTE(F1851," ",""),"🗺 Google Maps"),"")</f>
        <v/>
      </c>
      <c r="H1851" s="8">
        <f>IF(F1851&lt;&gt;"",HYPERLINK("https://waze.com/ul?ll="&amp;SUBSTITUTE(F1851," ","")&amp;"&amp;navigate=yes","🚗 Waze"),"")</f>
        <v/>
      </c>
      <c r="I1851" s="8">
        <f>IF(F1851&lt;&gt;"",HYPERLINK("https://m.uber.com/ul/?action=setPickup&amp;pickup=my_location&amp;dropoff[latitude]="&amp;LEFT(SUBSTITUTE(F1851," ",""),FIND(",",SUBSTITUTE(F1851," ",""))-1)&amp;"&amp;dropoff[longitude]="&amp;MID(SUBSTITUTE(F1851," ",""),FIND(",",SUBSTITUTE(F1851," ",""))+1,99),"🚕 Uber"),"")</f>
        <v/>
      </c>
      <c r="J1851" s="8">
        <f>IF(F1851&lt;&gt;"","https://api.qrserver.com/v1/create-qr-code/?size=200x200&amp;data="&amp;ENCODEURL("https://www.google.com/maps/search/?api=1&amp;query="&amp;SUBSTITUTE(F1851," ","")),"")</f>
        <v/>
      </c>
      <c r="K1851" s="8">
        <f>IF(C1851&lt;&gt;"",HYPERLINK("https://wa.me/507"&amp;REGEXREPLACE(C1851,"[^0-9]","")&amp;"?text="&amp;ENCODEURL("Ya llegue. Codigo: "&amp;A1851&amp;". Ubicacion: "&amp;"https://www.google.com/maps/search/?api=1&amp;query="&amp;SUBSTITUTE(F1851," ","")),"📲 Avisar al cliente"),"")</f>
        <v/>
      </c>
      <c r="L1851" s="8">
        <f>IF(C1851&lt;&gt;"","https://api.qrserver.com/v1/create-qr-code/?size=200x200&amp;data="&amp;ENCODEURL("https://wa.me/507"&amp;REGEXREPLACE(C1851,"[^0-9]","")&amp;"?text="&amp;ENCODEURL("Ya llegue. Codigo: "&amp;A1851&amp;". Ubicacion: "&amp;"https://www.google.com/maps/search/?api=1&amp;query="&amp;SUBSTITUTE(F1851," ",""))),"")</f>
        <v/>
      </c>
      <c r="M1851" s="8">
        <f>IF(B1851&lt;&gt;"",TODAY(),"")</f>
        <v/>
      </c>
      <c r="N1851" s="8">
        <f>IF(F1851&lt;&gt;"",IFERROR(IF(AND(REGEXMATCH(SUBSTITUTE(TRIM(F1851)," ",""),"^-?\d+(\.\d+)?,-?\d+(\.\d+)?$"),VALUE(REGEXEXTRACT(SUBSTITUTE(TRIM(F1851)," ",""),"^-?\d+(\.\d+)?"))&gt;=-90,VALUE(REGEXEXTRACT(SUBSTITUTE(TRIM(F1851)," ",""),"^-?\d+(\.\d+)?"))&lt;=90,VALUE(REGEXEXTRACT(SUBSTITUTE(TRIM(F1851)," ",""),"-?\d+(\.\d+)?$"))&gt;=-180,VALUE(REGEXEXTRACT(SUBSTITUTE(TRIM(F1851)," ",""),"-?\d+(\.\d+)?$"))&lt;=180),"OK","REVISAR"),"REVISAR"),"")</f>
        <v/>
      </c>
      <c r="O1851">
        <f>IF(A1851&lt;&gt;"","https://direcciones507.github.io/direcciones507/panel.html?codigo="&amp;A1851&amp;"&amp;nombre="&amp;ENCODEURL(B1851)&amp;"&amp;telefono="&amp;SUBSTITUTE(C1851,"-","")&amp;"&amp;referencia="&amp;ENCODEURL(E1851)&amp;"&amp;lat="&amp;IZQUIERDA(SUBSTITUTE(F1851," ",""),ENCONTRAR(",",SUBSTITUTE(F1851," ",""))-1)&amp;"&amp;lng="&amp;DERECHA(SUBSTITUTE(F1851," ",""),LARGO(SUBSTITUTE(F1851," ",""))-ENCONTRAR(",",SUBSTITUTE(F1851," ",""))),"")</f>
        <v/>
      </c>
    </row>
    <row r="1852" ht="15.75" customHeight="1" s="10">
      <c r="A1852" s="8">
        <f>CONCAT("AD507-",TEXT(ROW()-2,"0000"))</f>
        <v/>
      </c>
      <c r="C1852" s="8" t="n"/>
      <c r="F1852" s="8" t="n"/>
      <c r="G1852" s="8">
        <f>IF(F1852&lt;&gt;"",HYPERLINK("https://www.google.com/maps/search/?api=1&amp;query="&amp;SUBSTITUTE(F1852," ",""),"🗺 Google Maps"),"")</f>
        <v/>
      </c>
      <c r="H1852" s="8">
        <f>IF(F1852&lt;&gt;"",HYPERLINK("https://waze.com/ul?ll="&amp;SUBSTITUTE(F1852," ","")&amp;"&amp;navigate=yes","🚗 Waze"),"")</f>
        <v/>
      </c>
      <c r="I1852" s="8">
        <f>IF(F1852&lt;&gt;"",HYPERLINK("https://m.uber.com/ul/?action=setPickup&amp;pickup=my_location&amp;dropoff[latitude]="&amp;LEFT(SUBSTITUTE(F1852," ",""),FIND(",",SUBSTITUTE(F1852," ",""))-1)&amp;"&amp;dropoff[longitude]="&amp;MID(SUBSTITUTE(F1852," ",""),FIND(",",SUBSTITUTE(F1852," ",""))+1,99),"🚕 Uber"),"")</f>
        <v/>
      </c>
      <c r="J1852" s="8">
        <f>IF(F1852&lt;&gt;"","https://api.qrserver.com/v1/create-qr-code/?size=200x200&amp;data="&amp;ENCODEURL("https://www.google.com/maps/search/?api=1&amp;query="&amp;SUBSTITUTE(F1852," ","")),"")</f>
        <v/>
      </c>
      <c r="K1852" s="8">
        <f>IF(C1852&lt;&gt;"",HYPERLINK("https://wa.me/507"&amp;REGEXREPLACE(C1852,"[^0-9]","")&amp;"?text="&amp;ENCODEURL("Ya llegue. Codigo: "&amp;A1852&amp;". Ubicacion: "&amp;"https://www.google.com/maps/search/?api=1&amp;query="&amp;SUBSTITUTE(F1852," ","")),"📲 Avisar al cliente"),"")</f>
        <v/>
      </c>
      <c r="L1852" s="8">
        <f>IF(C1852&lt;&gt;"","https://api.qrserver.com/v1/create-qr-code/?size=200x200&amp;data="&amp;ENCODEURL("https://wa.me/507"&amp;REGEXREPLACE(C1852,"[^0-9]","")&amp;"?text="&amp;ENCODEURL("Ya llegue. Codigo: "&amp;A1852&amp;". Ubicacion: "&amp;"https://www.google.com/maps/search/?api=1&amp;query="&amp;SUBSTITUTE(F1852," ",""))),"")</f>
        <v/>
      </c>
      <c r="M1852" s="8">
        <f>IF(B1852&lt;&gt;"",TODAY(),"")</f>
        <v/>
      </c>
      <c r="N1852" s="8">
        <f>IF(F1852&lt;&gt;"",IFERROR(IF(AND(REGEXMATCH(SUBSTITUTE(TRIM(F1852)," ",""),"^-?\d+(\.\d+)?,-?\d+(\.\d+)?$"),VALUE(REGEXEXTRACT(SUBSTITUTE(TRIM(F1852)," ",""),"^-?\d+(\.\d+)?"))&gt;=-90,VALUE(REGEXEXTRACT(SUBSTITUTE(TRIM(F1852)," ",""),"^-?\d+(\.\d+)?"))&lt;=90,VALUE(REGEXEXTRACT(SUBSTITUTE(TRIM(F1852)," ",""),"-?\d+(\.\d+)?$"))&gt;=-180,VALUE(REGEXEXTRACT(SUBSTITUTE(TRIM(F1852)," ",""),"-?\d+(\.\d+)?$"))&lt;=180),"OK","REVISAR"),"REVISAR"),"")</f>
        <v/>
      </c>
      <c r="O1852">
        <f>IF(A1852&lt;&gt;"","https://direcciones507.github.io/direcciones507/panel.html?codigo="&amp;A1852&amp;"&amp;nombre="&amp;ENCODEURL(B1852)&amp;"&amp;telefono="&amp;SUBSTITUTE(C1852,"-","")&amp;"&amp;referencia="&amp;ENCODEURL(E1852)&amp;"&amp;lat="&amp;IZQUIERDA(SUBSTITUTE(F1852," ",""),ENCONTRAR(",",SUBSTITUTE(F1852," ",""))-1)&amp;"&amp;lng="&amp;DERECHA(SUBSTITUTE(F1852," ",""),LARGO(SUBSTITUTE(F1852," ",""))-ENCONTRAR(",",SUBSTITUTE(F1852," ",""))),"")</f>
        <v/>
      </c>
    </row>
    <row r="1853" ht="15.75" customHeight="1" s="10">
      <c r="A1853" s="8">
        <f>CONCAT("AD507-",TEXT(ROW()-2,"0000"))</f>
        <v/>
      </c>
      <c r="C1853" s="8" t="n"/>
      <c r="F1853" s="8" t="n"/>
      <c r="G1853" s="8">
        <f>IF(F1853&lt;&gt;"",HYPERLINK("https://www.google.com/maps/search/?api=1&amp;query="&amp;SUBSTITUTE(F1853," ",""),"🗺 Google Maps"),"")</f>
        <v/>
      </c>
      <c r="H1853" s="8">
        <f>IF(F1853&lt;&gt;"",HYPERLINK("https://waze.com/ul?ll="&amp;SUBSTITUTE(F1853," ","")&amp;"&amp;navigate=yes","🚗 Waze"),"")</f>
        <v/>
      </c>
      <c r="I1853" s="8">
        <f>IF(F1853&lt;&gt;"",HYPERLINK("https://m.uber.com/ul/?action=setPickup&amp;pickup=my_location&amp;dropoff[latitude]="&amp;LEFT(SUBSTITUTE(F1853," ",""),FIND(",",SUBSTITUTE(F1853," ",""))-1)&amp;"&amp;dropoff[longitude]="&amp;MID(SUBSTITUTE(F1853," ",""),FIND(",",SUBSTITUTE(F1853," ",""))+1,99),"🚕 Uber"),"")</f>
        <v/>
      </c>
      <c r="J1853" s="8">
        <f>IF(F1853&lt;&gt;"","https://api.qrserver.com/v1/create-qr-code/?size=200x200&amp;data="&amp;ENCODEURL("https://www.google.com/maps/search/?api=1&amp;query="&amp;SUBSTITUTE(F1853," ","")),"")</f>
        <v/>
      </c>
      <c r="K1853" s="8">
        <f>IF(C1853&lt;&gt;"",HYPERLINK("https://wa.me/507"&amp;REGEXREPLACE(C1853,"[^0-9]","")&amp;"?text="&amp;ENCODEURL("Ya llegue. Codigo: "&amp;A1853&amp;". Ubicacion: "&amp;"https://www.google.com/maps/search/?api=1&amp;query="&amp;SUBSTITUTE(F1853," ","")),"📲 Avisar al cliente"),"")</f>
        <v/>
      </c>
      <c r="L1853" s="8">
        <f>IF(C1853&lt;&gt;"","https://api.qrserver.com/v1/create-qr-code/?size=200x200&amp;data="&amp;ENCODEURL("https://wa.me/507"&amp;REGEXREPLACE(C1853,"[^0-9]","")&amp;"?text="&amp;ENCODEURL("Ya llegue. Codigo: "&amp;A1853&amp;". Ubicacion: "&amp;"https://www.google.com/maps/search/?api=1&amp;query="&amp;SUBSTITUTE(F1853," ",""))),"")</f>
        <v/>
      </c>
      <c r="M1853" s="8">
        <f>IF(B1853&lt;&gt;"",TODAY(),"")</f>
        <v/>
      </c>
      <c r="N1853" s="8">
        <f>IF(F1853&lt;&gt;"",IFERROR(IF(AND(REGEXMATCH(SUBSTITUTE(TRIM(F1853)," ",""),"^-?\d+(\.\d+)?,-?\d+(\.\d+)?$"),VALUE(REGEXEXTRACT(SUBSTITUTE(TRIM(F1853)," ",""),"^-?\d+(\.\d+)?"))&gt;=-90,VALUE(REGEXEXTRACT(SUBSTITUTE(TRIM(F1853)," ",""),"^-?\d+(\.\d+)?"))&lt;=90,VALUE(REGEXEXTRACT(SUBSTITUTE(TRIM(F1853)," ",""),"-?\d+(\.\d+)?$"))&gt;=-180,VALUE(REGEXEXTRACT(SUBSTITUTE(TRIM(F1853)," ",""),"-?\d+(\.\d+)?$"))&lt;=180),"OK","REVISAR"),"REVISAR"),"")</f>
        <v/>
      </c>
      <c r="O1853">
        <f>IF(A1853&lt;&gt;"","https://direcciones507.github.io/direcciones507/panel.html?codigo="&amp;A1853&amp;"&amp;nombre="&amp;ENCODEURL(B1853)&amp;"&amp;telefono="&amp;SUBSTITUTE(C1853,"-","")&amp;"&amp;referencia="&amp;ENCODEURL(E1853)&amp;"&amp;lat="&amp;IZQUIERDA(SUBSTITUTE(F1853," ",""),ENCONTRAR(",",SUBSTITUTE(F1853," ",""))-1)&amp;"&amp;lng="&amp;DERECHA(SUBSTITUTE(F1853," ",""),LARGO(SUBSTITUTE(F1853," ",""))-ENCONTRAR(",",SUBSTITUTE(F1853," ",""))),"")</f>
        <v/>
      </c>
    </row>
    <row r="1854" ht="15.75" customHeight="1" s="10">
      <c r="A1854" s="8">
        <f>CONCAT("AD507-",TEXT(ROW()-2,"0000"))</f>
        <v/>
      </c>
      <c r="C1854" s="8" t="n"/>
      <c r="F1854" s="8" t="n"/>
      <c r="G1854" s="8">
        <f>IF(F1854&lt;&gt;"",HYPERLINK("https://www.google.com/maps/search/?api=1&amp;query="&amp;SUBSTITUTE(F1854," ",""),"🗺 Google Maps"),"")</f>
        <v/>
      </c>
      <c r="H1854" s="8">
        <f>IF(F1854&lt;&gt;"",HYPERLINK("https://waze.com/ul?ll="&amp;SUBSTITUTE(F1854," ","")&amp;"&amp;navigate=yes","🚗 Waze"),"")</f>
        <v/>
      </c>
      <c r="I1854" s="8">
        <f>IF(F1854&lt;&gt;"",HYPERLINK("https://m.uber.com/ul/?action=setPickup&amp;pickup=my_location&amp;dropoff[latitude]="&amp;LEFT(SUBSTITUTE(F1854," ",""),FIND(",",SUBSTITUTE(F1854," ",""))-1)&amp;"&amp;dropoff[longitude]="&amp;MID(SUBSTITUTE(F1854," ",""),FIND(",",SUBSTITUTE(F1854," ",""))+1,99),"🚕 Uber"),"")</f>
        <v/>
      </c>
      <c r="J1854" s="8">
        <f>IF(F1854&lt;&gt;"","https://api.qrserver.com/v1/create-qr-code/?size=200x200&amp;data="&amp;ENCODEURL("https://www.google.com/maps/search/?api=1&amp;query="&amp;SUBSTITUTE(F1854," ","")),"")</f>
        <v/>
      </c>
      <c r="K1854" s="8">
        <f>IF(C1854&lt;&gt;"",HYPERLINK("https://wa.me/507"&amp;REGEXREPLACE(C1854,"[^0-9]","")&amp;"?text="&amp;ENCODEURL("Ya llegue. Codigo: "&amp;A1854&amp;". Ubicacion: "&amp;"https://www.google.com/maps/search/?api=1&amp;query="&amp;SUBSTITUTE(F1854," ","")),"📲 Avisar al cliente"),"")</f>
        <v/>
      </c>
      <c r="L1854" s="8">
        <f>IF(C1854&lt;&gt;"","https://api.qrserver.com/v1/create-qr-code/?size=200x200&amp;data="&amp;ENCODEURL("https://wa.me/507"&amp;REGEXREPLACE(C1854,"[^0-9]","")&amp;"?text="&amp;ENCODEURL("Ya llegue. Codigo: "&amp;A1854&amp;". Ubicacion: "&amp;"https://www.google.com/maps/search/?api=1&amp;query="&amp;SUBSTITUTE(F1854," ",""))),"")</f>
        <v/>
      </c>
      <c r="M1854" s="8">
        <f>IF(B1854&lt;&gt;"",TODAY(),"")</f>
        <v/>
      </c>
      <c r="N1854" s="8">
        <f>IF(F1854&lt;&gt;"",IFERROR(IF(AND(REGEXMATCH(SUBSTITUTE(TRIM(F1854)," ",""),"^-?\d+(\.\d+)?,-?\d+(\.\d+)?$"),VALUE(REGEXEXTRACT(SUBSTITUTE(TRIM(F1854)," ",""),"^-?\d+(\.\d+)?"))&gt;=-90,VALUE(REGEXEXTRACT(SUBSTITUTE(TRIM(F1854)," ",""),"^-?\d+(\.\d+)?"))&lt;=90,VALUE(REGEXEXTRACT(SUBSTITUTE(TRIM(F1854)," ",""),"-?\d+(\.\d+)?$"))&gt;=-180,VALUE(REGEXEXTRACT(SUBSTITUTE(TRIM(F1854)," ",""),"-?\d+(\.\d+)?$"))&lt;=180),"OK","REVISAR"),"REVISAR"),"")</f>
        <v/>
      </c>
      <c r="O1854">
        <f>IF(A1854&lt;&gt;"","https://direcciones507.github.io/direcciones507/panel.html?codigo="&amp;A1854&amp;"&amp;nombre="&amp;ENCODEURL(B1854)&amp;"&amp;telefono="&amp;SUBSTITUTE(C1854,"-","")&amp;"&amp;referencia="&amp;ENCODEURL(E1854)&amp;"&amp;lat="&amp;IZQUIERDA(SUBSTITUTE(F1854," ",""),ENCONTRAR(",",SUBSTITUTE(F1854," ",""))-1)&amp;"&amp;lng="&amp;DERECHA(SUBSTITUTE(F1854," ",""),LARGO(SUBSTITUTE(F1854," ",""))-ENCONTRAR(",",SUBSTITUTE(F1854," ",""))),"")</f>
        <v/>
      </c>
    </row>
    <row r="1855" ht="15.75" customHeight="1" s="10">
      <c r="A1855" s="8">
        <f>CONCAT("AD507-",TEXT(ROW()-2,"0000"))</f>
        <v/>
      </c>
      <c r="C1855" s="8" t="n"/>
      <c r="F1855" s="8" t="n"/>
      <c r="G1855" s="8">
        <f>IF(F1855&lt;&gt;"",HYPERLINK("https://www.google.com/maps/search/?api=1&amp;query="&amp;SUBSTITUTE(F1855," ",""),"🗺 Google Maps"),"")</f>
        <v/>
      </c>
      <c r="H1855" s="8">
        <f>IF(F1855&lt;&gt;"",HYPERLINK("https://waze.com/ul?ll="&amp;SUBSTITUTE(F1855," ","")&amp;"&amp;navigate=yes","🚗 Waze"),"")</f>
        <v/>
      </c>
      <c r="I1855" s="8">
        <f>IF(F1855&lt;&gt;"",HYPERLINK("https://m.uber.com/ul/?action=setPickup&amp;pickup=my_location&amp;dropoff[latitude]="&amp;LEFT(SUBSTITUTE(F1855," ",""),FIND(",",SUBSTITUTE(F1855," ",""))-1)&amp;"&amp;dropoff[longitude]="&amp;MID(SUBSTITUTE(F1855," ",""),FIND(",",SUBSTITUTE(F1855," ",""))+1,99),"🚕 Uber"),"")</f>
        <v/>
      </c>
      <c r="J1855" s="8">
        <f>IF(F1855&lt;&gt;"","https://api.qrserver.com/v1/create-qr-code/?size=200x200&amp;data="&amp;ENCODEURL("https://www.google.com/maps/search/?api=1&amp;query="&amp;SUBSTITUTE(F1855," ","")),"")</f>
        <v/>
      </c>
      <c r="K1855" s="8">
        <f>IF(C1855&lt;&gt;"",HYPERLINK("https://wa.me/507"&amp;REGEXREPLACE(C1855,"[^0-9]","")&amp;"?text="&amp;ENCODEURL("Ya llegue. Codigo: "&amp;A1855&amp;". Ubicacion: "&amp;"https://www.google.com/maps/search/?api=1&amp;query="&amp;SUBSTITUTE(F1855," ","")),"📲 Avisar al cliente"),"")</f>
        <v/>
      </c>
      <c r="L1855" s="8">
        <f>IF(C1855&lt;&gt;"","https://api.qrserver.com/v1/create-qr-code/?size=200x200&amp;data="&amp;ENCODEURL("https://wa.me/507"&amp;REGEXREPLACE(C1855,"[^0-9]","")&amp;"?text="&amp;ENCODEURL("Ya llegue. Codigo: "&amp;A1855&amp;". Ubicacion: "&amp;"https://www.google.com/maps/search/?api=1&amp;query="&amp;SUBSTITUTE(F1855," ",""))),"")</f>
        <v/>
      </c>
      <c r="M1855" s="8">
        <f>IF(B1855&lt;&gt;"",TODAY(),"")</f>
        <v/>
      </c>
      <c r="N1855" s="8">
        <f>IF(F1855&lt;&gt;"",IFERROR(IF(AND(REGEXMATCH(SUBSTITUTE(TRIM(F1855)," ",""),"^-?\d+(\.\d+)?,-?\d+(\.\d+)?$"),VALUE(REGEXEXTRACT(SUBSTITUTE(TRIM(F1855)," ",""),"^-?\d+(\.\d+)?"))&gt;=-90,VALUE(REGEXEXTRACT(SUBSTITUTE(TRIM(F1855)," ",""),"^-?\d+(\.\d+)?"))&lt;=90,VALUE(REGEXEXTRACT(SUBSTITUTE(TRIM(F1855)," ",""),"-?\d+(\.\d+)?$"))&gt;=-180,VALUE(REGEXEXTRACT(SUBSTITUTE(TRIM(F1855)," ",""),"-?\d+(\.\d+)?$"))&lt;=180),"OK","REVISAR"),"REVISAR"),"")</f>
        <v/>
      </c>
      <c r="O1855">
        <f>IF(A1855&lt;&gt;"","https://direcciones507.github.io/direcciones507/panel.html?codigo="&amp;A1855&amp;"&amp;nombre="&amp;ENCODEURL(B1855)&amp;"&amp;telefono="&amp;SUBSTITUTE(C1855,"-","")&amp;"&amp;referencia="&amp;ENCODEURL(E1855)&amp;"&amp;lat="&amp;IZQUIERDA(SUBSTITUTE(F1855," ",""),ENCONTRAR(",",SUBSTITUTE(F1855," ",""))-1)&amp;"&amp;lng="&amp;DERECHA(SUBSTITUTE(F1855," ",""),LARGO(SUBSTITUTE(F1855," ",""))-ENCONTRAR(",",SUBSTITUTE(F1855," ",""))),"")</f>
        <v/>
      </c>
    </row>
    <row r="1856" ht="15.75" customHeight="1" s="10">
      <c r="A1856" s="8">
        <f>CONCAT("AD507-",TEXT(ROW()-2,"0000"))</f>
        <v/>
      </c>
      <c r="C1856" s="8" t="n"/>
      <c r="F1856" s="8" t="n"/>
      <c r="G1856" s="8">
        <f>IF(F1856&lt;&gt;"",HYPERLINK("https://www.google.com/maps/search/?api=1&amp;query="&amp;SUBSTITUTE(F1856," ",""),"🗺 Google Maps"),"")</f>
        <v/>
      </c>
      <c r="H1856" s="8">
        <f>IF(F1856&lt;&gt;"",HYPERLINK("https://waze.com/ul?ll="&amp;SUBSTITUTE(F1856," ","")&amp;"&amp;navigate=yes","🚗 Waze"),"")</f>
        <v/>
      </c>
      <c r="I1856" s="8">
        <f>IF(F1856&lt;&gt;"",HYPERLINK("https://m.uber.com/ul/?action=setPickup&amp;pickup=my_location&amp;dropoff[latitude]="&amp;LEFT(SUBSTITUTE(F1856," ",""),FIND(",",SUBSTITUTE(F1856," ",""))-1)&amp;"&amp;dropoff[longitude]="&amp;MID(SUBSTITUTE(F1856," ",""),FIND(",",SUBSTITUTE(F1856," ",""))+1,99),"🚕 Uber"),"")</f>
        <v/>
      </c>
      <c r="J1856" s="8">
        <f>IF(F1856&lt;&gt;"","https://api.qrserver.com/v1/create-qr-code/?size=200x200&amp;data="&amp;ENCODEURL("https://www.google.com/maps/search/?api=1&amp;query="&amp;SUBSTITUTE(F1856," ","")),"")</f>
        <v/>
      </c>
      <c r="K1856" s="8">
        <f>IF(C1856&lt;&gt;"",HYPERLINK("https://wa.me/507"&amp;REGEXREPLACE(C1856,"[^0-9]","")&amp;"?text="&amp;ENCODEURL("Ya llegue. Codigo: "&amp;A1856&amp;". Ubicacion: "&amp;"https://www.google.com/maps/search/?api=1&amp;query="&amp;SUBSTITUTE(F1856," ","")),"📲 Avisar al cliente"),"")</f>
        <v/>
      </c>
      <c r="L1856" s="8">
        <f>IF(C1856&lt;&gt;"","https://api.qrserver.com/v1/create-qr-code/?size=200x200&amp;data="&amp;ENCODEURL("https://wa.me/507"&amp;REGEXREPLACE(C1856,"[^0-9]","")&amp;"?text="&amp;ENCODEURL("Ya llegue. Codigo: "&amp;A1856&amp;". Ubicacion: "&amp;"https://www.google.com/maps/search/?api=1&amp;query="&amp;SUBSTITUTE(F1856," ",""))),"")</f>
        <v/>
      </c>
      <c r="M1856" s="8">
        <f>IF(B1856&lt;&gt;"",TODAY(),"")</f>
        <v/>
      </c>
      <c r="N1856" s="8">
        <f>IF(F1856&lt;&gt;"",IFERROR(IF(AND(REGEXMATCH(SUBSTITUTE(TRIM(F1856)," ",""),"^-?\d+(\.\d+)?,-?\d+(\.\d+)?$"),VALUE(REGEXEXTRACT(SUBSTITUTE(TRIM(F1856)," ",""),"^-?\d+(\.\d+)?"))&gt;=-90,VALUE(REGEXEXTRACT(SUBSTITUTE(TRIM(F1856)," ",""),"^-?\d+(\.\d+)?"))&lt;=90,VALUE(REGEXEXTRACT(SUBSTITUTE(TRIM(F1856)," ",""),"-?\d+(\.\d+)?$"))&gt;=-180,VALUE(REGEXEXTRACT(SUBSTITUTE(TRIM(F1856)," ",""),"-?\d+(\.\d+)?$"))&lt;=180),"OK","REVISAR"),"REVISAR"),"")</f>
        <v/>
      </c>
      <c r="O1856">
        <f>IF(A1856&lt;&gt;"","https://direcciones507.github.io/direcciones507/panel.html?codigo="&amp;A1856&amp;"&amp;nombre="&amp;ENCODEURL(B1856)&amp;"&amp;telefono="&amp;SUBSTITUTE(C1856,"-","")&amp;"&amp;referencia="&amp;ENCODEURL(E1856)&amp;"&amp;lat="&amp;IZQUIERDA(SUBSTITUTE(F1856," ",""),ENCONTRAR(",",SUBSTITUTE(F1856," ",""))-1)&amp;"&amp;lng="&amp;DERECHA(SUBSTITUTE(F1856," ",""),LARGO(SUBSTITUTE(F1856," ",""))-ENCONTRAR(",",SUBSTITUTE(F1856," ",""))),"")</f>
        <v/>
      </c>
    </row>
    <row r="1857" ht="15.75" customHeight="1" s="10">
      <c r="A1857" s="8">
        <f>CONCAT("AD507-",TEXT(ROW()-2,"0000"))</f>
        <v/>
      </c>
      <c r="C1857" s="8" t="n"/>
      <c r="F1857" s="8" t="n"/>
      <c r="G1857" s="8">
        <f>IF(F1857&lt;&gt;"",HYPERLINK("https://www.google.com/maps/search/?api=1&amp;query="&amp;SUBSTITUTE(F1857," ",""),"🗺 Google Maps"),"")</f>
        <v/>
      </c>
      <c r="H1857" s="8">
        <f>IF(F1857&lt;&gt;"",HYPERLINK("https://waze.com/ul?ll="&amp;SUBSTITUTE(F1857," ","")&amp;"&amp;navigate=yes","🚗 Waze"),"")</f>
        <v/>
      </c>
      <c r="I1857" s="8">
        <f>IF(F1857&lt;&gt;"",HYPERLINK("https://m.uber.com/ul/?action=setPickup&amp;pickup=my_location&amp;dropoff[latitude]="&amp;LEFT(SUBSTITUTE(F1857," ",""),FIND(",",SUBSTITUTE(F1857," ",""))-1)&amp;"&amp;dropoff[longitude]="&amp;MID(SUBSTITUTE(F1857," ",""),FIND(",",SUBSTITUTE(F1857," ",""))+1,99),"🚕 Uber"),"")</f>
        <v/>
      </c>
      <c r="J1857" s="8">
        <f>IF(F1857&lt;&gt;"","https://api.qrserver.com/v1/create-qr-code/?size=200x200&amp;data="&amp;ENCODEURL("https://www.google.com/maps/search/?api=1&amp;query="&amp;SUBSTITUTE(F1857," ","")),"")</f>
        <v/>
      </c>
      <c r="K1857" s="8">
        <f>IF(C1857&lt;&gt;"",HYPERLINK("https://wa.me/507"&amp;REGEXREPLACE(C1857,"[^0-9]","")&amp;"?text="&amp;ENCODEURL("Ya llegue. Codigo: "&amp;A1857&amp;". Ubicacion: "&amp;"https://www.google.com/maps/search/?api=1&amp;query="&amp;SUBSTITUTE(F1857," ","")),"📲 Avisar al cliente"),"")</f>
        <v/>
      </c>
      <c r="L1857" s="8">
        <f>IF(C1857&lt;&gt;"","https://api.qrserver.com/v1/create-qr-code/?size=200x200&amp;data="&amp;ENCODEURL("https://wa.me/507"&amp;REGEXREPLACE(C1857,"[^0-9]","")&amp;"?text="&amp;ENCODEURL("Ya llegue. Codigo: "&amp;A1857&amp;". Ubicacion: "&amp;"https://www.google.com/maps/search/?api=1&amp;query="&amp;SUBSTITUTE(F1857," ",""))),"")</f>
        <v/>
      </c>
      <c r="M1857" s="8">
        <f>IF(B1857&lt;&gt;"",TODAY(),"")</f>
        <v/>
      </c>
      <c r="N1857" s="8">
        <f>IF(F1857&lt;&gt;"",IFERROR(IF(AND(REGEXMATCH(SUBSTITUTE(TRIM(F1857)," ",""),"^-?\d+(\.\d+)?,-?\d+(\.\d+)?$"),VALUE(REGEXEXTRACT(SUBSTITUTE(TRIM(F1857)," ",""),"^-?\d+(\.\d+)?"))&gt;=-90,VALUE(REGEXEXTRACT(SUBSTITUTE(TRIM(F1857)," ",""),"^-?\d+(\.\d+)?"))&lt;=90,VALUE(REGEXEXTRACT(SUBSTITUTE(TRIM(F1857)," ",""),"-?\d+(\.\d+)?$"))&gt;=-180,VALUE(REGEXEXTRACT(SUBSTITUTE(TRIM(F1857)," ",""),"-?\d+(\.\d+)?$"))&lt;=180),"OK","REVISAR"),"REVISAR"),"")</f>
        <v/>
      </c>
      <c r="O1857">
        <f>IF(A1857&lt;&gt;"","https://direcciones507.github.io/direcciones507/panel.html?codigo="&amp;A1857&amp;"&amp;nombre="&amp;ENCODEURL(B1857)&amp;"&amp;telefono="&amp;SUBSTITUTE(C1857,"-","")&amp;"&amp;referencia="&amp;ENCODEURL(E1857)&amp;"&amp;lat="&amp;IZQUIERDA(SUBSTITUTE(F1857," ",""),ENCONTRAR(",",SUBSTITUTE(F1857," ",""))-1)&amp;"&amp;lng="&amp;DERECHA(SUBSTITUTE(F1857," ",""),LARGO(SUBSTITUTE(F1857," ",""))-ENCONTRAR(",",SUBSTITUTE(F1857," ",""))),"")</f>
        <v/>
      </c>
    </row>
    <row r="1858" ht="15.75" customHeight="1" s="10">
      <c r="A1858" s="8">
        <f>CONCAT("AD507-",TEXT(ROW()-2,"0000"))</f>
        <v/>
      </c>
      <c r="C1858" s="8" t="n"/>
      <c r="F1858" s="8" t="n"/>
      <c r="G1858" s="8">
        <f>IF(F1858&lt;&gt;"",HYPERLINK("https://www.google.com/maps/search/?api=1&amp;query="&amp;SUBSTITUTE(F1858," ",""),"🗺 Google Maps"),"")</f>
        <v/>
      </c>
      <c r="H1858" s="8">
        <f>IF(F1858&lt;&gt;"",HYPERLINK("https://waze.com/ul?ll="&amp;SUBSTITUTE(F1858," ","")&amp;"&amp;navigate=yes","🚗 Waze"),"")</f>
        <v/>
      </c>
      <c r="I1858" s="8">
        <f>IF(F1858&lt;&gt;"",HYPERLINK("https://m.uber.com/ul/?action=setPickup&amp;pickup=my_location&amp;dropoff[latitude]="&amp;LEFT(SUBSTITUTE(F1858," ",""),FIND(",",SUBSTITUTE(F1858," ",""))-1)&amp;"&amp;dropoff[longitude]="&amp;MID(SUBSTITUTE(F1858," ",""),FIND(",",SUBSTITUTE(F1858," ",""))+1,99),"🚕 Uber"),"")</f>
        <v/>
      </c>
      <c r="J1858" s="8">
        <f>IF(F1858&lt;&gt;"","https://api.qrserver.com/v1/create-qr-code/?size=200x200&amp;data="&amp;ENCODEURL("https://www.google.com/maps/search/?api=1&amp;query="&amp;SUBSTITUTE(F1858," ","")),"")</f>
        <v/>
      </c>
      <c r="K1858" s="8">
        <f>IF(C1858&lt;&gt;"",HYPERLINK("https://wa.me/507"&amp;REGEXREPLACE(C1858,"[^0-9]","")&amp;"?text="&amp;ENCODEURL("Ya llegue. Codigo: "&amp;A1858&amp;". Ubicacion: "&amp;"https://www.google.com/maps/search/?api=1&amp;query="&amp;SUBSTITUTE(F1858," ","")),"📲 Avisar al cliente"),"")</f>
        <v/>
      </c>
      <c r="L1858" s="8">
        <f>IF(C1858&lt;&gt;"","https://api.qrserver.com/v1/create-qr-code/?size=200x200&amp;data="&amp;ENCODEURL("https://wa.me/507"&amp;REGEXREPLACE(C1858,"[^0-9]","")&amp;"?text="&amp;ENCODEURL("Ya llegue. Codigo: "&amp;A1858&amp;". Ubicacion: "&amp;"https://www.google.com/maps/search/?api=1&amp;query="&amp;SUBSTITUTE(F1858," ",""))),"")</f>
        <v/>
      </c>
      <c r="M1858" s="8">
        <f>IF(B1858&lt;&gt;"",TODAY(),"")</f>
        <v/>
      </c>
      <c r="N1858" s="8">
        <f>IF(F1858&lt;&gt;"",IFERROR(IF(AND(REGEXMATCH(SUBSTITUTE(TRIM(F1858)," ",""),"^-?\d+(\.\d+)?,-?\d+(\.\d+)?$"),VALUE(REGEXEXTRACT(SUBSTITUTE(TRIM(F1858)," ",""),"^-?\d+(\.\d+)?"))&gt;=-90,VALUE(REGEXEXTRACT(SUBSTITUTE(TRIM(F1858)," ",""),"^-?\d+(\.\d+)?"))&lt;=90,VALUE(REGEXEXTRACT(SUBSTITUTE(TRIM(F1858)," ",""),"-?\d+(\.\d+)?$"))&gt;=-180,VALUE(REGEXEXTRACT(SUBSTITUTE(TRIM(F1858)," ",""),"-?\d+(\.\d+)?$"))&lt;=180),"OK","REVISAR"),"REVISAR"),"")</f>
        <v/>
      </c>
      <c r="O1858">
        <f>IF(A1858&lt;&gt;"","https://direcciones507.github.io/direcciones507/panel.html?codigo="&amp;A1858&amp;"&amp;nombre="&amp;ENCODEURL(B1858)&amp;"&amp;telefono="&amp;SUBSTITUTE(C1858,"-","")&amp;"&amp;referencia="&amp;ENCODEURL(E1858)&amp;"&amp;lat="&amp;IZQUIERDA(SUBSTITUTE(F1858," ",""),ENCONTRAR(",",SUBSTITUTE(F1858," ",""))-1)&amp;"&amp;lng="&amp;DERECHA(SUBSTITUTE(F1858," ",""),LARGO(SUBSTITUTE(F1858," ",""))-ENCONTRAR(",",SUBSTITUTE(F1858," ",""))),"")</f>
        <v/>
      </c>
    </row>
    <row r="1859" ht="15.75" customHeight="1" s="10">
      <c r="A1859" s="8">
        <f>CONCAT("AD507-",TEXT(ROW()-2,"0000"))</f>
        <v/>
      </c>
      <c r="C1859" s="8" t="n"/>
      <c r="F1859" s="8" t="n"/>
      <c r="G1859" s="8">
        <f>IF(F1859&lt;&gt;"",HYPERLINK("https://www.google.com/maps/search/?api=1&amp;query="&amp;SUBSTITUTE(F1859," ",""),"🗺 Google Maps"),"")</f>
        <v/>
      </c>
      <c r="H1859" s="8">
        <f>IF(F1859&lt;&gt;"",HYPERLINK("https://waze.com/ul?ll="&amp;SUBSTITUTE(F1859," ","")&amp;"&amp;navigate=yes","🚗 Waze"),"")</f>
        <v/>
      </c>
      <c r="I1859" s="8">
        <f>IF(F1859&lt;&gt;"",HYPERLINK("https://m.uber.com/ul/?action=setPickup&amp;pickup=my_location&amp;dropoff[latitude]="&amp;LEFT(SUBSTITUTE(F1859," ",""),FIND(",",SUBSTITUTE(F1859," ",""))-1)&amp;"&amp;dropoff[longitude]="&amp;MID(SUBSTITUTE(F1859," ",""),FIND(",",SUBSTITUTE(F1859," ",""))+1,99),"🚕 Uber"),"")</f>
        <v/>
      </c>
      <c r="J1859" s="8">
        <f>IF(F1859&lt;&gt;"","https://api.qrserver.com/v1/create-qr-code/?size=200x200&amp;data="&amp;ENCODEURL("https://www.google.com/maps/search/?api=1&amp;query="&amp;SUBSTITUTE(F1859," ","")),"")</f>
        <v/>
      </c>
      <c r="K1859" s="8">
        <f>IF(C1859&lt;&gt;"",HYPERLINK("https://wa.me/507"&amp;REGEXREPLACE(C1859,"[^0-9]","")&amp;"?text="&amp;ENCODEURL("Ya llegue. Codigo: "&amp;A1859&amp;". Ubicacion: "&amp;"https://www.google.com/maps/search/?api=1&amp;query="&amp;SUBSTITUTE(F1859," ","")),"📲 Avisar al cliente"),"")</f>
        <v/>
      </c>
      <c r="L1859" s="8">
        <f>IF(C1859&lt;&gt;"","https://api.qrserver.com/v1/create-qr-code/?size=200x200&amp;data="&amp;ENCODEURL("https://wa.me/507"&amp;REGEXREPLACE(C1859,"[^0-9]","")&amp;"?text="&amp;ENCODEURL("Ya llegue. Codigo: "&amp;A1859&amp;". Ubicacion: "&amp;"https://www.google.com/maps/search/?api=1&amp;query="&amp;SUBSTITUTE(F1859," ",""))),"")</f>
        <v/>
      </c>
      <c r="M1859" s="8">
        <f>IF(B1859&lt;&gt;"",TODAY(),"")</f>
        <v/>
      </c>
      <c r="N1859" s="8">
        <f>IF(F1859&lt;&gt;"",IFERROR(IF(AND(REGEXMATCH(SUBSTITUTE(TRIM(F1859)," ",""),"^-?\d+(\.\d+)?,-?\d+(\.\d+)?$"),VALUE(REGEXEXTRACT(SUBSTITUTE(TRIM(F1859)," ",""),"^-?\d+(\.\d+)?"))&gt;=-90,VALUE(REGEXEXTRACT(SUBSTITUTE(TRIM(F1859)," ",""),"^-?\d+(\.\d+)?"))&lt;=90,VALUE(REGEXEXTRACT(SUBSTITUTE(TRIM(F1859)," ",""),"-?\d+(\.\d+)?$"))&gt;=-180,VALUE(REGEXEXTRACT(SUBSTITUTE(TRIM(F1859)," ",""),"-?\d+(\.\d+)?$"))&lt;=180),"OK","REVISAR"),"REVISAR"),"")</f>
        <v/>
      </c>
      <c r="O1859">
        <f>IF(A1859&lt;&gt;"","https://direcciones507.github.io/direcciones507/panel.html?codigo="&amp;A1859&amp;"&amp;nombre="&amp;ENCODEURL(B1859)&amp;"&amp;telefono="&amp;SUBSTITUTE(C1859,"-","")&amp;"&amp;referencia="&amp;ENCODEURL(E1859)&amp;"&amp;lat="&amp;IZQUIERDA(SUBSTITUTE(F1859," ",""),ENCONTRAR(",",SUBSTITUTE(F1859," ",""))-1)&amp;"&amp;lng="&amp;DERECHA(SUBSTITUTE(F1859," ",""),LARGO(SUBSTITUTE(F1859," ",""))-ENCONTRAR(",",SUBSTITUTE(F1859," ",""))),"")</f>
        <v/>
      </c>
    </row>
    <row r="1860" ht="15.75" customHeight="1" s="10">
      <c r="A1860" s="8">
        <f>CONCAT("AD507-",TEXT(ROW()-2,"0000"))</f>
        <v/>
      </c>
      <c r="C1860" s="8" t="n"/>
      <c r="F1860" s="8" t="n"/>
      <c r="G1860" s="8">
        <f>IF(F1860&lt;&gt;"",HYPERLINK("https://www.google.com/maps/search/?api=1&amp;query="&amp;SUBSTITUTE(F1860," ",""),"🗺 Google Maps"),"")</f>
        <v/>
      </c>
      <c r="H1860" s="8">
        <f>IF(F1860&lt;&gt;"",HYPERLINK("https://waze.com/ul?ll="&amp;SUBSTITUTE(F1860," ","")&amp;"&amp;navigate=yes","🚗 Waze"),"")</f>
        <v/>
      </c>
      <c r="I1860" s="8">
        <f>IF(F1860&lt;&gt;"",HYPERLINK("https://m.uber.com/ul/?action=setPickup&amp;pickup=my_location&amp;dropoff[latitude]="&amp;LEFT(SUBSTITUTE(F1860," ",""),FIND(",",SUBSTITUTE(F1860," ",""))-1)&amp;"&amp;dropoff[longitude]="&amp;MID(SUBSTITUTE(F1860," ",""),FIND(",",SUBSTITUTE(F1860," ",""))+1,99),"🚕 Uber"),"")</f>
        <v/>
      </c>
      <c r="J1860" s="8">
        <f>IF(F1860&lt;&gt;"","https://api.qrserver.com/v1/create-qr-code/?size=200x200&amp;data="&amp;ENCODEURL("https://www.google.com/maps/search/?api=1&amp;query="&amp;SUBSTITUTE(F1860," ","")),"")</f>
        <v/>
      </c>
      <c r="K1860" s="8">
        <f>IF(C1860&lt;&gt;"",HYPERLINK("https://wa.me/507"&amp;REGEXREPLACE(C1860,"[^0-9]","")&amp;"?text="&amp;ENCODEURL("Ya llegue. Codigo: "&amp;A1860&amp;". Ubicacion: "&amp;"https://www.google.com/maps/search/?api=1&amp;query="&amp;SUBSTITUTE(F1860," ","")),"📲 Avisar al cliente"),"")</f>
        <v/>
      </c>
      <c r="L1860" s="8">
        <f>IF(C1860&lt;&gt;"","https://api.qrserver.com/v1/create-qr-code/?size=200x200&amp;data="&amp;ENCODEURL("https://wa.me/507"&amp;REGEXREPLACE(C1860,"[^0-9]","")&amp;"?text="&amp;ENCODEURL("Ya llegue. Codigo: "&amp;A1860&amp;". Ubicacion: "&amp;"https://www.google.com/maps/search/?api=1&amp;query="&amp;SUBSTITUTE(F1860," ",""))),"")</f>
        <v/>
      </c>
      <c r="M1860" s="8">
        <f>IF(B1860&lt;&gt;"",TODAY(),"")</f>
        <v/>
      </c>
      <c r="N1860" s="8">
        <f>IF(F1860&lt;&gt;"",IFERROR(IF(AND(REGEXMATCH(SUBSTITUTE(TRIM(F1860)," ",""),"^-?\d+(\.\d+)?,-?\d+(\.\d+)?$"),VALUE(REGEXEXTRACT(SUBSTITUTE(TRIM(F1860)," ",""),"^-?\d+(\.\d+)?"))&gt;=-90,VALUE(REGEXEXTRACT(SUBSTITUTE(TRIM(F1860)," ",""),"^-?\d+(\.\d+)?"))&lt;=90,VALUE(REGEXEXTRACT(SUBSTITUTE(TRIM(F1860)," ",""),"-?\d+(\.\d+)?$"))&gt;=-180,VALUE(REGEXEXTRACT(SUBSTITUTE(TRIM(F1860)," ",""),"-?\d+(\.\d+)?$"))&lt;=180),"OK","REVISAR"),"REVISAR"),"")</f>
        <v/>
      </c>
      <c r="O1860">
        <f>IF(A1860&lt;&gt;"","https://direcciones507.github.io/direcciones507/panel.html?codigo="&amp;A1860&amp;"&amp;nombre="&amp;ENCODEURL(B1860)&amp;"&amp;telefono="&amp;SUBSTITUTE(C1860,"-","")&amp;"&amp;referencia="&amp;ENCODEURL(E1860)&amp;"&amp;lat="&amp;IZQUIERDA(SUBSTITUTE(F1860," ",""),ENCONTRAR(",",SUBSTITUTE(F1860," ",""))-1)&amp;"&amp;lng="&amp;DERECHA(SUBSTITUTE(F1860," ",""),LARGO(SUBSTITUTE(F1860," ",""))-ENCONTRAR(",",SUBSTITUTE(F1860," ",""))),"")</f>
        <v/>
      </c>
    </row>
    <row r="1861" ht="15.75" customHeight="1" s="10">
      <c r="A1861" s="8">
        <f>CONCAT("AD507-",TEXT(ROW()-2,"0000"))</f>
        <v/>
      </c>
      <c r="C1861" s="8" t="n"/>
      <c r="F1861" s="8" t="n"/>
      <c r="G1861" s="8">
        <f>IF(F1861&lt;&gt;"",HYPERLINK("https://www.google.com/maps/search/?api=1&amp;query="&amp;SUBSTITUTE(F1861," ",""),"🗺 Google Maps"),"")</f>
        <v/>
      </c>
      <c r="H1861" s="8">
        <f>IF(F1861&lt;&gt;"",HYPERLINK("https://waze.com/ul?ll="&amp;SUBSTITUTE(F1861," ","")&amp;"&amp;navigate=yes","🚗 Waze"),"")</f>
        <v/>
      </c>
      <c r="I1861" s="8">
        <f>IF(F1861&lt;&gt;"",HYPERLINK("https://m.uber.com/ul/?action=setPickup&amp;pickup=my_location&amp;dropoff[latitude]="&amp;LEFT(SUBSTITUTE(F1861," ",""),FIND(",",SUBSTITUTE(F1861," ",""))-1)&amp;"&amp;dropoff[longitude]="&amp;MID(SUBSTITUTE(F1861," ",""),FIND(",",SUBSTITUTE(F1861," ",""))+1,99),"🚕 Uber"),"")</f>
        <v/>
      </c>
      <c r="J1861" s="8">
        <f>IF(F1861&lt;&gt;"","https://api.qrserver.com/v1/create-qr-code/?size=200x200&amp;data="&amp;ENCODEURL("https://www.google.com/maps/search/?api=1&amp;query="&amp;SUBSTITUTE(F1861," ","")),"")</f>
        <v/>
      </c>
      <c r="K1861" s="8">
        <f>IF(C1861&lt;&gt;"",HYPERLINK("https://wa.me/507"&amp;REGEXREPLACE(C1861,"[^0-9]","")&amp;"?text="&amp;ENCODEURL("Ya llegue. Codigo: "&amp;A1861&amp;". Ubicacion: "&amp;"https://www.google.com/maps/search/?api=1&amp;query="&amp;SUBSTITUTE(F1861," ","")),"📲 Avisar al cliente"),"")</f>
        <v/>
      </c>
      <c r="L1861" s="8">
        <f>IF(C1861&lt;&gt;"","https://api.qrserver.com/v1/create-qr-code/?size=200x200&amp;data="&amp;ENCODEURL("https://wa.me/507"&amp;REGEXREPLACE(C1861,"[^0-9]","")&amp;"?text="&amp;ENCODEURL("Ya llegue. Codigo: "&amp;A1861&amp;". Ubicacion: "&amp;"https://www.google.com/maps/search/?api=1&amp;query="&amp;SUBSTITUTE(F1861," ",""))),"")</f>
        <v/>
      </c>
      <c r="M1861" s="8">
        <f>IF(B1861&lt;&gt;"",TODAY(),"")</f>
        <v/>
      </c>
      <c r="N1861" s="8">
        <f>IF(F1861&lt;&gt;"",IFERROR(IF(AND(REGEXMATCH(SUBSTITUTE(TRIM(F1861)," ",""),"^-?\d+(\.\d+)?,-?\d+(\.\d+)?$"),VALUE(REGEXEXTRACT(SUBSTITUTE(TRIM(F1861)," ",""),"^-?\d+(\.\d+)?"))&gt;=-90,VALUE(REGEXEXTRACT(SUBSTITUTE(TRIM(F1861)," ",""),"^-?\d+(\.\d+)?"))&lt;=90,VALUE(REGEXEXTRACT(SUBSTITUTE(TRIM(F1861)," ",""),"-?\d+(\.\d+)?$"))&gt;=-180,VALUE(REGEXEXTRACT(SUBSTITUTE(TRIM(F1861)," ",""),"-?\d+(\.\d+)?$"))&lt;=180),"OK","REVISAR"),"REVISAR"),"")</f>
        <v/>
      </c>
      <c r="O1861">
        <f>IF(A1861&lt;&gt;"","https://direcciones507.github.io/direcciones507/panel.html?codigo="&amp;A1861&amp;"&amp;nombre="&amp;ENCODEURL(B1861)&amp;"&amp;telefono="&amp;SUBSTITUTE(C1861,"-","")&amp;"&amp;referencia="&amp;ENCODEURL(E1861)&amp;"&amp;lat="&amp;IZQUIERDA(SUBSTITUTE(F1861," ",""),ENCONTRAR(",",SUBSTITUTE(F1861," ",""))-1)&amp;"&amp;lng="&amp;DERECHA(SUBSTITUTE(F1861," ",""),LARGO(SUBSTITUTE(F1861," ",""))-ENCONTRAR(",",SUBSTITUTE(F1861," ",""))),"")</f>
        <v/>
      </c>
    </row>
    <row r="1862" ht="15.75" customHeight="1" s="10">
      <c r="A1862" s="8">
        <f>CONCAT("AD507-",TEXT(ROW()-2,"0000"))</f>
        <v/>
      </c>
      <c r="C1862" s="8" t="n"/>
      <c r="F1862" s="8" t="n"/>
      <c r="G1862" s="8">
        <f>IF(F1862&lt;&gt;"",HYPERLINK("https://www.google.com/maps/search/?api=1&amp;query="&amp;SUBSTITUTE(F1862," ",""),"🗺 Google Maps"),"")</f>
        <v/>
      </c>
      <c r="H1862" s="8">
        <f>IF(F1862&lt;&gt;"",HYPERLINK("https://waze.com/ul?ll="&amp;SUBSTITUTE(F1862," ","")&amp;"&amp;navigate=yes","🚗 Waze"),"")</f>
        <v/>
      </c>
      <c r="I1862" s="8">
        <f>IF(F1862&lt;&gt;"",HYPERLINK("https://m.uber.com/ul/?action=setPickup&amp;pickup=my_location&amp;dropoff[latitude]="&amp;LEFT(SUBSTITUTE(F1862," ",""),FIND(",",SUBSTITUTE(F1862," ",""))-1)&amp;"&amp;dropoff[longitude]="&amp;MID(SUBSTITUTE(F1862," ",""),FIND(",",SUBSTITUTE(F1862," ",""))+1,99),"🚕 Uber"),"")</f>
        <v/>
      </c>
      <c r="J1862" s="8">
        <f>IF(F1862&lt;&gt;"","https://api.qrserver.com/v1/create-qr-code/?size=200x200&amp;data="&amp;ENCODEURL("https://www.google.com/maps/search/?api=1&amp;query="&amp;SUBSTITUTE(F1862," ","")),"")</f>
        <v/>
      </c>
      <c r="K1862" s="8">
        <f>IF(C1862&lt;&gt;"",HYPERLINK("https://wa.me/507"&amp;REGEXREPLACE(C1862,"[^0-9]","")&amp;"?text="&amp;ENCODEURL("Ya llegue. Codigo: "&amp;A1862&amp;". Ubicacion: "&amp;"https://www.google.com/maps/search/?api=1&amp;query="&amp;SUBSTITUTE(F1862," ","")),"📲 Avisar al cliente"),"")</f>
        <v/>
      </c>
      <c r="L1862" s="8">
        <f>IF(C1862&lt;&gt;"","https://api.qrserver.com/v1/create-qr-code/?size=200x200&amp;data="&amp;ENCODEURL("https://wa.me/507"&amp;REGEXREPLACE(C1862,"[^0-9]","")&amp;"?text="&amp;ENCODEURL("Ya llegue. Codigo: "&amp;A1862&amp;". Ubicacion: "&amp;"https://www.google.com/maps/search/?api=1&amp;query="&amp;SUBSTITUTE(F1862," ",""))),"")</f>
        <v/>
      </c>
      <c r="M1862" s="8">
        <f>IF(B1862&lt;&gt;"",TODAY(),"")</f>
        <v/>
      </c>
      <c r="N1862" s="8">
        <f>IF(F1862&lt;&gt;"",IFERROR(IF(AND(REGEXMATCH(SUBSTITUTE(TRIM(F1862)," ",""),"^-?\d+(\.\d+)?,-?\d+(\.\d+)?$"),VALUE(REGEXEXTRACT(SUBSTITUTE(TRIM(F1862)," ",""),"^-?\d+(\.\d+)?"))&gt;=-90,VALUE(REGEXEXTRACT(SUBSTITUTE(TRIM(F1862)," ",""),"^-?\d+(\.\d+)?"))&lt;=90,VALUE(REGEXEXTRACT(SUBSTITUTE(TRIM(F1862)," ",""),"-?\d+(\.\d+)?$"))&gt;=-180,VALUE(REGEXEXTRACT(SUBSTITUTE(TRIM(F1862)," ",""),"-?\d+(\.\d+)?$"))&lt;=180),"OK","REVISAR"),"REVISAR"),"")</f>
        <v/>
      </c>
      <c r="O1862">
        <f>IF(A1862&lt;&gt;"","https://direcciones507.github.io/direcciones507/panel.html?codigo="&amp;A1862&amp;"&amp;nombre="&amp;ENCODEURL(B1862)&amp;"&amp;telefono="&amp;SUBSTITUTE(C1862,"-","")&amp;"&amp;referencia="&amp;ENCODEURL(E1862)&amp;"&amp;lat="&amp;IZQUIERDA(SUBSTITUTE(F1862," ",""),ENCONTRAR(",",SUBSTITUTE(F1862," ",""))-1)&amp;"&amp;lng="&amp;DERECHA(SUBSTITUTE(F1862," ",""),LARGO(SUBSTITUTE(F1862," ",""))-ENCONTRAR(",",SUBSTITUTE(F1862," ",""))),"")</f>
        <v/>
      </c>
    </row>
    <row r="1863" ht="15.75" customHeight="1" s="10">
      <c r="A1863" s="8">
        <f>CONCAT("AD507-",TEXT(ROW()-2,"0000"))</f>
        <v/>
      </c>
      <c r="C1863" s="8" t="n"/>
      <c r="F1863" s="8" t="n"/>
      <c r="G1863" s="8">
        <f>IF(F1863&lt;&gt;"",HYPERLINK("https://www.google.com/maps/search/?api=1&amp;query="&amp;SUBSTITUTE(F1863," ",""),"🗺 Google Maps"),"")</f>
        <v/>
      </c>
      <c r="H1863" s="8">
        <f>IF(F1863&lt;&gt;"",HYPERLINK("https://waze.com/ul?ll="&amp;SUBSTITUTE(F1863," ","")&amp;"&amp;navigate=yes","🚗 Waze"),"")</f>
        <v/>
      </c>
      <c r="I1863" s="8">
        <f>IF(F1863&lt;&gt;"",HYPERLINK("https://m.uber.com/ul/?action=setPickup&amp;pickup=my_location&amp;dropoff[latitude]="&amp;LEFT(SUBSTITUTE(F1863," ",""),FIND(",",SUBSTITUTE(F1863," ",""))-1)&amp;"&amp;dropoff[longitude]="&amp;MID(SUBSTITUTE(F1863," ",""),FIND(",",SUBSTITUTE(F1863," ",""))+1,99),"🚕 Uber"),"")</f>
        <v/>
      </c>
      <c r="J1863" s="8">
        <f>IF(F1863&lt;&gt;"","https://api.qrserver.com/v1/create-qr-code/?size=200x200&amp;data="&amp;ENCODEURL("https://www.google.com/maps/search/?api=1&amp;query="&amp;SUBSTITUTE(F1863," ","")),"")</f>
        <v/>
      </c>
      <c r="K1863" s="8">
        <f>IF(C1863&lt;&gt;"",HYPERLINK("https://wa.me/507"&amp;REGEXREPLACE(C1863,"[^0-9]","")&amp;"?text="&amp;ENCODEURL("Ya llegue. Codigo: "&amp;A1863&amp;". Ubicacion: "&amp;"https://www.google.com/maps/search/?api=1&amp;query="&amp;SUBSTITUTE(F1863," ","")),"📲 Avisar al cliente"),"")</f>
        <v/>
      </c>
      <c r="L1863" s="8">
        <f>IF(C1863&lt;&gt;"","https://api.qrserver.com/v1/create-qr-code/?size=200x200&amp;data="&amp;ENCODEURL("https://wa.me/507"&amp;REGEXREPLACE(C1863,"[^0-9]","")&amp;"?text="&amp;ENCODEURL("Ya llegue. Codigo: "&amp;A1863&amp;". Ubicacion: "&amp;"https://www.google.com/maps/search/?api=1&amp;query="&amp;SUBSTITUTE(F1863," ",""))),"")</f>
        <v/>
      </c>
      <c r="M1863" s="8">
        <f>IF(B1863&lt;&gt;"",TODAY(),"")</f>
        <v/>
      </c>
      <c r="N1863" s="8">
        <f>IF(F1863&lt;&gt;"",IFERROR(IF(AND(REGEXMATCH(SUBSTITUTE(TRIM(F1863)," ",""),"^-?\d+(\.\d+)?,-?\d+(\.\d+)?$"),VALUE(REGEXEXTRACT(SUBSTITUTE(TRIM(F1863)," ",""),"^-?\d+(\.\d+)?"))&gt;=-90,VALUE(REGEXEXTRACT(SUBSTITUTE(TRIM(F1863)," ",""),"^-?\d+(\.\d+)?"))&lt;=90,VALUE(REGEXEXTRACT(SUBSTITUTE(TRIM(F1863)," ",""),"-?\d+(\.\d+)?$"))&gt;=-180,VALUE(REGEXEXTRACT(SUBSTITUTE(TRIM(F1863)," ",""),"-?\d+(\.\d+)?$"))&lt;=180),"OK","REVISAR"),"REVISAR"),"")</f>
        <v/>
      </c>
      <c r="O1863">
        <f>IF(A1863&lt;&gt;"","https://direcciones507.github.io/direcciones507/panel.html?codigo="&amp;A1863&amp;"&amp;nombre="&amp;ENCODEURL(B1863)&amp;"&amp;telefono="&amp;SUBSTITUTE(C1863,"-","")&amp;"&amp;referencia="&amp;ENCODEURL(E1863)&amp;"&amp;lat="&amp;IZQUIERDA(SUBSTITUTE(F1863," ",""),ENCONTRAR(",",SUBSTITUTE(F1863," ",""))-1)&amp;"&amp;lng="&amp;DERECHA(SUBSTITUTE(F1863," ",""),LARGO(SUBSTITUTE(F1863," ",""))-ENCONTRAR(",",SUBSTITUTE(F1863," ",""))),"")</f>
        <v/>
      </c>
    </row>
    <row r="1864" ht="15.75" customHeight="1" s="10">
      <c r="A1864" s="8">
        <f>CONCAT("AD507-",TEXT(ROW()-2,"0000"))</f>
        <v/>
      </c>
      <c r="C1864" s="8" t="n"/>
      <c r="F1864" s="8" t="n"/>
      <c r="G1864" s="8">
        <f>IF(F1864&lt;&gt;"",HYPERLINK("https://www.google.com/maps/search/?api=1&amp;query="&amp;SUBSTITUTE(F1864," ",""),"🗺 Google Maps"),"")</f>
        <v/>
      </c>
      <c r="H1864" s="8">
        <f>IF(F1864&lt;&gt;"",HYPERLINK("https://waze.com/ul?ll="&amp;SUBSTITUTE(F1864," ","")&amp;"&amp;navigate=yes","🚗 Waze"),"")</f>
        <v/>
      </c>
      <c r="I1864" s="8">
        <f>IF(F1864&lt;&gt;"",HYPERLINK("https://m.uber.com/ul/?action=setPickup&amp;pickup=my_location&amp;dropoff[latitude]="&amp;LEFT(SUBSTITUTE(F1864," ",""),FIND(",",SUBSTITUTE(F1864," ",""))-1)&amp;"&amp;dropoff[longitude]="&amp;MID(SUBSTITUTE(F1864," ",""),FIND(",",SUBSTITUTE(F1864," ",""))+1,99),"🚕 Uber"),"")</f>
        <v/>
      </c>
      <c r="J1864" s="8">
        <f>IF(F1864&lt;&gt;"","https://api.qrserver.com/v1/create-qr-code/?size=200x200&amp;data="&amp;ENCODEURL("https://www.google.com/maps/search/?api=1&amp;query="&amp;SUBSTITUTE(F1864," ","")),"")</f>
        <v/>
      </c>
      <c r="K1864" s="8">
        <f>IF(C1864&lt;&gt;"",HYPERLINK("https://wa.me/507"&amp;REGEXREPLACE(C1864,"[^0-9]","")&amp;"?text="&amp;ENCODEURL("Ya llegue. Codigo: "&amp;A1864&amp;". Ubicacion: "&amp;"https://www.google.com/maps/search/?api=1&amp;query="&amp;SUBSTITUTE(F1864," ","")),"📲 Avisar al cliente"),"")</f>
        <v/>
      </c>
      <c r="L1864" s="8">
        <f>IF(C1864&lt;&gt;"","https://api.qrserver.com/v1/create-qr-code/?size=200x200&amp;data="&amp;ENCODEURL("https://wa.me/507"&amp;REGEXREPLACE(C1864,"[^0-9]","")&amp;"?text="&amp;ENCODEURL("Ya llegue. Codigo: "&amp;A1864&amp;". Ubicacion: "&amp;"https://www.google.com/maps/search/?api=1&amp;query="&amp;SUBSTITUTE(F1864," ",""))),"")</f>
        <v/>
      </c>
      <c r="M1864" s="8">
        <f>IF(B1864&lt;&gt;"",TODAY(),"")</f>
        <v/>
      </c>
      <c r="N1864" s="8">
        <f>IF(F1864&lt;&gt;"",IFERROR(IF(AND(REGEXMATCH(SUBSTITUTE(TRIM(F1864)," ",""),"^-?\d+(\.\d+)?,-?\d+(\.\d+)?$"),VALUE(REGEXEXTRACT(SUBSTITUTE(TRIM(F1864)," ",""),"^-?\d+(\.\d+)?"))&gt;=-90,VALUE(REGEXEXTRACT(SUBSTITUTE(TRIM(F1864)," ",""),"^-?\d+(\.\d+)?"))&lt;=90,VALUE(REGEXEXTRACT(SUBSTITUTE(TRIM(F1864)," ",""),"-?\d+(\.\d+)?$"))&gt;=-180,VALUE(REGEXEXTRACT(SUBSTITUTE(TRIM(F1864)," ",""),"-?\d+(\.\d+)?$"))&lt;=180),"OK","REVISAR"),"REVISAR"),"")</f>
        <v/>
      </c>
      <c r="O1864">
        <f>IF(A1864&lt;&gt;"","https://direcciones507.github.io/direcciones507/panel.html?codigo="&amp;A1864&amp;"&amp;nombre="&amp;ENCODEURL(B1864)&amp;"&amp;telefono="&amp;SUBSTITUTE(C1864,"-","")&amp;"&amp;referencia="&amp;ENCODEURL(E1864)&amp;"&amp;lat="&amp;IZQUIERDA(SUBSTITUTE(F1864," ",""),ENCONTRAR(",",SUBSTITUTE(F1864," ",""))-1)&amp;"&amp;lng="&amp;DERECHA(SUBSTITUTE(F1864," ",""),LARGO(SUBSTITUTE(F1864," ",""))-ENCONTRAR(",",SUBSTITUTE(F1864," ",""))),"")</f>
        <v/>
      </c>
    </row>
    <row r="1865" ht="15.75" customHeight="1" s="10">
      <c r="A1865" s="8">
        <f>CONCAT("AD507-",TEXT(ROW()-2,"0000"))</f>
        <v/>
      </c>
      <c r="C1865" s="8" t="n"/>
      <c r="F1865" s="8" t="n"/>
      <c r="G1865" s="8">
        <f>IF(F1865&lt;&gt;"",HYPERLINK("https://www.google.com/maps/search/?api=1&amp;query="&amp;SUBSTITUTE(F1865," ",""),"🗺 Google Maps"),"")</f>
        <v/>
      </c>
      <c r="H1865" s="8">
        <f>IF(F1865&lt;&gt;"",HYPERLINK("https://waze.com/ul?ll="&amp;SUBSTITUTE(F1865," ","")&amp;"&amp;navigate=yes","🚗 Waze"),"")</f>
        <v/>
      </c>
      <c r="I1865" s="8">
        <f>IF(F1865&lt;&gt;"",HYPERLINK("https://m.uber.com/ul/?action=setPickup&amp;pickup=my_location&amp;dropoff[latitude]="&amp;LEFT(SUBSTITUTE(F1865," ",""),FIND(",",SUBSTITUTE(F1865," ",""))-1)&amp;"&amp;dropoff[longitude]="&amp;MID(SUBSTITUTE(F1865," ",""),FIND(",",SUBSTITUTE(F1865," ",""))+1,99),"🚕 Uber"),"")</f>
        <v/>
      </c>
      <c r="J1865" s="8">
        <f>IF(F1865&lt;&gt;"","https://api.qrserver.com/v1/create-qr-code/?size=200x200&amp;data="&amp;ENCODEURL("https://www.google.com/maps/search/?api=1&amp;query="&amp;SUBSTITUTE(F1865," ","")),"")</f>
        <v/>
      </c>
      <c r="K1865" s="8">
        <f>IF(C1865&lt;&gt;"",HYPERLINK("https://wa.me/507"&amp;REGEXREPLACE(C1865,"[^0-9]","")&amp;"?text="&amp;ENCODEURL("Ya llegue. Codigo: "&amp;A1865&amp;". Ubicacion: "&amp;"https://www.google.com/maps/search/?api=1&amp;query="&amp;SUBSTITUTE(F1865," ","")),"📲 Avisar al cliente"),"")</f>
        <v/>
      </c>
      <c r="L1865" s="8">
        <f>IF(C1865&lt;&gt;"","https://api.qrserver.com/v1/create-qr-code/?size=200x200&amp;data="&amp;ENCODEURL("https://wa.me/507"&amp;REGEXREPLACE(C1865,"[^0-9]","")&amp;"?text="&amp;ENCODEURL("Ya llegue. Codigo: "&amp;A1865&amp;". Ubicacion: "&amp;"https://www.google.com/maps/search/?api=1&amp;query="&amp;SUBSTITUTE(F1865," ",""))),"")</f>
        <v/>
      </c>
      <c r="M1865" s="8">
        <f>IF(B1865&lt;&gt;"",TODAY(),"")</f>
        <v/>
      </c>
      <c r="N1865" s="8">
        <f>IF(F1865&lt;&gt;"",IFERROR(IF(AND(REGEXMATCH(SUBSTITUTE(TRIM(F1865)," ",""),"^-?\d+(\.\d+)?,-?\d+(\.\d+)?$"),VALUE(REGEXEXTRACT(SUBSTITUTE(TRIM(F1865)," ",""),"^-?\d+(\.\d+)?"))&gt;=-90,VALUE(REGEXEXTRACT(SUBSTITUTE(TRIM(F1865)," ",""),"^-?\d+(\.\d+)?"))&lt;=90,VALUE(REGEXEXTRACT(SUBSTITUTE(TRIM(F1865)," ",""),"-?\d+(\.\d+)?$"))&gt;=-180,VALUE(REGEXEXTRACT(SUBSTITUTE(TRIM(F1865)," ",""),"-?\d+(\.\d+)?$"))&lt;=180),"OK","REVISAR"),"REVISAR"),"")</f>
        <v/>
      </c>
      <c r="O1865">
        <f>IF(A1865&lt;&gt;"","https://direcciones507.github.io/direcciones507/panel.html?codigo="&amp;A1865&amp;"&amp;nombre="&amp;ENCODEURL(B1865)&amp;"&amp;telefono="&amp;SUBSTITUTE(C1865,"-","")&amp;"&amp;referencia="&amp;ENCODEURL(E1865)&amp;"&amp;lat="&amp;IZQUIERDA(SUBSTITUTE(F1865," ",""),ENCONTRAR(",",SUBSTITUTE(F1865," ",""))-1)&amp;"&amp;lng="&amp;DERECHA(SUBSTITUTE(F1865," ",""),LARGO(SUBSTITUTE(F1865," ",""))-ENCONTRAR(",",SUBSTITUTE(F1865," ",""))),"")</f>
        <v/>
      </c>
    </row>
    <row r="1866" ht="15.75" customHeight="1" s="10">
      <c r="A1866" s="8">
        <f>CONCAT("AD507-",TEXT(ROW()-2,"0000"))</f>
        <v/>
      </c>
      <c r="C1866" s="8" t="n"/>
      <c r="F1866" s="8" t="n"/>
      <c r="G1866" s="8">
        <f>IF(F1866&lt;&gt;"",HYPERLINK("https://www.google.com/maps/search/?api=1&amp;query="&amp;SUBSTITUTE(F1866," ",""),"🗺 Google Maps"),"")</f>
        <v/>
      </c>
      <c r="H1866" s="8">
        <f>IF(F1866&lt;&gt;"",HYPERLINK("https://waze.com/ul?ll="&amp;SUBSTITUTE(F1866," ","")&amp;"&amp;navigate=yes","🚗 Waze"),"")</f>
        <v/>
      </c>
      <c r="I1866" s="8">
        <f>IF(F1866&lt;&gt;"",HYPERLINK("https://m.uber.com/ul/?action=setPickup&amp;pickup=my_location&amp;dropoff[latitude]="&amp;LEFT(SUBSTITUTE(F1866," ",""),FIND(",",SUBSTITUTE(F1866," ",""))-1)&amp;"&amp;dropoff[longitude]="&amp;MID(SUBSTITUTE(F1866," ",""),FIND(",",SUBSTITUTE(F1866," ",""))+1,99),"🚕 Uber"),"")</f>
        <v/>
      </c>
      <c r="J1866" s="8">
        <f>IF(F1866&lt;&gt;"","https://api.qrserver.com/v1/create-qr-code/?size=200x200&amp;data="&amp;ENCODEURL("https://www.google.com/maps/search/?api=1&amp;query="&amp;SUBSTITUTE(F1866," ","")),"")</f>
        <v/>
      </c>
      <c r="K1866" s="8">
        <f>IF(C1866&lt;&gt;"",HYPERLINK("https://wa.me/507"&amp;REGEXREPLACE(C1866,"[^0-9]","")&amp;"?text="&amp;ENCODEURL("Ya llegue. Codigo: "&amp;A1866&amp;". Ubicacion: "&amp;"https://www.google.com/maps/search/?api=1&amp;query="&amp;SUBSTITUTE(F1866," ","")),"📲 Avisar al cliente"),"")</f>
        <v/>
      </c>
      <c r="L1866" s="8">
        <f>IF(C1866&lt;&gt;"","https://api.qrserver.com/v1/create-qr-code/?size=200x200&amp;data="&amp;ENCODEURL("https://wa.me/507"&amp;REGEXREPLACE(C1866,"[^0-9]","")&amp;"?text="&amp;ENCODEURL("Ya llegue. Codigo: "&amp;A1866&amp;". Ubicacion: "&amp;"https://www.google.com/maps/search/?api=1&amp;query="&amp;SUBSTITUTE(F1866," ",""))),"")</f>
        <v/>
      </c>
      <c r="M1866" s="8">
        <f>IF(B1866&lt;&gt;"",TODAY(),"")</f>
        <v/>
      </c>
      <c r="N1866" s="8">
        <f>IF(F1866&lt;&gt;"",IFERROR(IF(AND(REGEXMATCH(SUBSTITUTE(TRIM(F1866)," ",""),"^-?\d+(\.\d+)?,-?\d+(\.\d+)?$"),VALUE(REGEXEXTRACT(SUBSTITUTE(TRIM(F1866)," ",""),"^-?\d+(\.\d+)?"))&gt;=-90,VALUE(REGEXEXTRACT(SUBSTITUTE(TRIM(F1866)," ",""),"^-?\d+(\.\d+)?"))&lt;=90,VALUE(REGEXEXTRACT(SUBSTITUTE(TRIM(F1866)," ",""),"-?\d+(\.\d+)?$"))&gt;=-180,VALUE(REGEXEXTRACT(SUBSTITUTE(TRIM(F1866)," ",""),"-?\d+(\.\d+)?$"))&lt;=180),"OK","REVISAR"),"REVISAR"),"")</f>
        <v/>
      </c>
      <c r="O1866">
        <f>IF(A1866&lt;&gt;"","https://direcciones507.github.io/direcciones507/panel.html?codigo="&amp;A1866&amp;"&amp;nombre="&amp;ENCODEURL(B1866)&amp;"&amp;telefono="&amp;SUBSTITUTE(C1866,"-","")&amp;"&amp;referencia="&amp;ENCODEURL(E1866)&amp;"&amp;lat="&amp;IZQUIERDA(SUBSTITUTE(F1866," ",""),ENCONTRAR(",",SUBSTITUTE(F1866," ",""))-1)&amp;"&amp;lng="&amp;DERECHA(SUBSTITUTE(F1866," ",""),LARGO(SUBSTITUTE(F1866," ",""))-ENCONTRAR(",",SUBSTITUTE(F1866," ",""))),"")</f>
        <v/>
      </c>
    </row>
    <row r="1867" ht="15.75" customHeight="1" s="10">
      <c r="A1867" s="8">
        <f>CONCAT("AD507-",TEXT(ROW()-2,"0000"))</f>
        <v/>
      </c>
      <c r="C1867" s="8" t="n"/>
      <c r="F1867" s="8" t="n"/>
      <c r="G1867" s="8">
        <f>IF(F1867&lt;&gt;"",HYPERLINK("https://www.google.com/maps/search/?api=1&amp;query="&amp;SUBSTITUTE(F1867," ",""),"🗺 Google Maps"),"")</f>
        <v/>
      </c>
      <c r="H1867" s="8">
        <f>IF(F1867&lt;&gt;"",HYPERLINK("https://waze.com/ul?ll="&amp;SUBSTITUTE(F1867," ","")&amp;"&amp;navigate=yes","🚗 Waze"),"")</f>
        <v/>
      </c>
      <c r="I1867" s="8">
        <f>IF(F1867&lt;&gt;"",HYPERLINK("https://m.uber.com/ul/?action=setPickup&amp;pickup=my_location&amp;dropoff[latitude]="&amp;LEFT(SUBSTITUTE(F1867," ",""),FIND(",",SUBSTITUTE(F1867," ",""))-1)&amp;"&amp;dropoff[longitude]="&amp;MID(SUBSTITUTE(F1867," ",""),FIND(",",SUBSTITUTE(F1867," ",""))+1,99),"🚕 Uber"),"")</f>
        <v/>
      </c>
      <c r="J1867" s="8">
        <f>IF(F1867&lt;&gt;"","https://api.qrserver.com/v1/create-qr-code/?size=200x200&amp;data="&amp;ENCODEURL("https://www.google.com/maps/search/?api=1&amp;query="&amp;SUBSTITUTE(F1867," ","")),"")</f>
        <v/>
      </c>
      <c r="K1867" s="8">
        <f>IF(C1867&lt;&gt;"",HYPERLINK("https://wa.me/507"&amp;REGEXREPLACE(C1867,"[^0-9]","")&amp;"?text="&amp;ENCODEURL("Ya llegue. Codigo: "&amp;A1867&amp;". Ubicacion: "&amp;"https://www.google.com/maps/search/?api=1&amp;query="&amp;SUBSTITUTE(F1867," ","")),"📲 Avisar al cliente"),"")</f>
        <v/>
      </c>
      <c r="L1867" s="8">
        <f>IF(C1867&lt;&gt;"","https://api.qrserver.com/v1/create-qr-code/?size=200x200&amp;data="&amp;ENCODEURL("https://wa.me/507"&amp;REGEXREPLACE(C1867,"[^0-9]","")&amp;"?text="&amp;ENCODEURL("Ya llegue. Codigo: "&amp;A1867&amp;". Ubicacion: "&amp;"https://www.google.com/maps/search/?api=1&amp;query="&amp;SUBSTITUTE(F1867," ",""))),"")</f>
        <v/>
      </c>
      <c r="M1867" s="8">
        <f>IF(B1867&lt;&gt;"",TODAY(),"")</f>
        <v/>
      </c>
      <c r="N1867" s="8">
        <f>IF(F1867&lt;&gt;"",IFERROR(IF(AND(REGEXMATCH(SUBSTITUTE(TRIM(F1867)," ",""),"^-?\d+(\.\d+)?,-?\d+(\.\d+)?$"),VALUE(REGEXEXTRACT(SUBSTITUTE(TRIM(F1867)," ",""),"^-?\d+(\.\d+)?"))&gt;=-90,VALUE(REGEXEXTRACT(SUBSTITUTE(TRIM(F1867)," ",""),"^-?\d+(\.\d+)?"))&lt;=90,VALUE(REGEXEXTRACT(SUBSTITUTE(TRIM(F1867)," ",""),"-?\d+(\.\d+)?$"))&gt;=-180,VALUE(REGEXEXTRACT(SUBSTITUTE(TRIM(F1867)," ",""),"-?\d+(\.\d+)?$"))&lt;=180),"OK","REVISAR"),"REVISAR"),"")</f>
        <v/>
      </c>
      <c r="O1867">
        <f>IF(A1867&lt;&gt;"","https://direcciones507.github.io/direcciones507/panel.html?codigo="&amp;A1867&amp;"&amp;nombre="&amp;ENCODEURL(B1867)&amp;"&amp;telefono="&amp;SUBSTITUTE(C1867,"-","")&amp;"&amp;referencia="&amp;ENCODEURL(E1867)&amp;"&amp;lat="&amp;IZQUIERDA(SUBSTITUTE(F1867," ",""),ENCONTRAR(",",SUBSTITUTE(F1867," ",""))-1)&amp;"&amp;lng="&amp;DERECHA(SUBSTITUTE(F1867," ",""),LARGO(SUBSTITUTE(F1867," ",""))-ENCONTRAR(",",SUBSTITUTE(F1867," ",""))),"")</f>
        <v/>
      </c>
    </row>
    <row r="1868" ht="15.75" customHeight="1" s="10">
      <c r="A1868" s="8">
        <f>CONCAT("AD507-",TEXT(ROW()-2,"0000"))</f>
        <v/>
      </c>
      <c r="C1868" s="8" t="n"/>
      <c r="F1868" s="8" t="n"/>
      <c r="G1868" s="8">
        <f>IF(F1868&lt;&gt;"",HYPERLINK("https://www.google.com/maps/search/?api=1&amp;query="&amp;SUBSTITUTE(F1868," ",""),"🗺 Google Maps"),"")</f>
        <v/>
      </c>
      <c r="H1868" s="8">
        <f>IF(F1868&lt;&gt;"",HYPERLINK("https://waze.com/ul?ll="&amp;SUBSTITUTE(F1868," ","")&amp;"&amp;navigate=yes","🚗 Waze"),"")</f>
        <v/>
      </c>
      <c r="I1868" s="8">
        <f>IF(F1868&lt;&gt;"",HYPERLINK("https://m.uber.com/ul/?action=setPickup&amp;pickup=my_location&amp;dropoff[latitude]="&amp;LEFT(SUBSTITUTE(F1868," ",""),FIND(",",SUBSTITUTE(F1868," ",""))-1)&amp;"&amp;dropoff[longitude]="&amp;MID(SUBSTITUTE(F1868," ",""),FIND(",",SUBSTITUTE(F1868," ",""))+1,99),"🚕 Uber"),"")</f>
        <v/>
      </c>
      <c r="J1868" s="8">
        <f>IF(F1868&lt;&gt;"","https://api.qrserver.com/v1/create-qr-code/?size=200x200&amp;data="&amp;ENCODEURL("https://www.google.com/maps/search/?api=1&amp;query="&amp;SUBSTITUTE(F1868," ","")),"")</f>
        <v/>
      </c>
      <c r="K1868" s="8">
        <f>IF(C1868&lt;&gt;"",HYPERLINK("https://wa.me/507"&amp;REGEXREPLACE(C1868,"[^0-9]","")&amp;"?text="&amp;ENCODEURL("Ya llegue. Codigo: "&amp;A1868&amp;". Ubicacion: "&amp;"https://www.google.com/maps/search/?api=1&amp;query="&amp;SUBSTITUTE(F1868," ","")),"📲 Avisar al cliente"),"")</f>
        <v/>
      </c>
      <c r="L1868" s="8">
        <f>IF(C1868&lt;&gt;"","https://api.qrserver.com/v1/create-qr-code/?size=200x200&amp;data="&amp;ENCODEURL("https://wa.me/507"&amp;REGEXREPLACE(C1868,"[^0-9]","")&amp;"?text="&amp;ENCODEURL("Ya llegue. Codigo: "&amp;A1868&amp;". Ubicacion: "&amp;"https://www.google.com/maps/search/?api=1&amp;query="&amp;SUBSTITUTE(F1868," ",""))),"")</f>
        <v/>
      </c>
      <c r="M1868" s="8">
        <f>IF(B1868&lt;&gt;"",TODAY(),"")</f>
        <v/>
      </c>
      <c r="N1868" s="8">
        <f>IF(F1868&lt;&gt;"",IFERROR(IF(AND(REGEXMATCH(SUBSTITUTE(TRIM(F1868)," ",""),"^-?\d+(\.\d+)?,-?\d+(\.\d+)?$"),VALUE(REGEXEXTRACT(SUBSTITUTE(TRIM(F1868)," ",""),"^-?\d+(\.\d+)?"))&gt;=-90,VALUE(REGEXEXTRACT(SUBSTITUTE(TRIM(F1868)," ",""),"^-?\d+(\.\d+)?"))&lt;=90,VALUE(REGEXEXTRACT(SUBSTITUTE(TRIM(F1868)," ",""),"-?\d+(\.\d+)?$"))&gt;=-180,VALUE(REGEXEXTRACT(SUBSTITUTE(TRIM(F1868)," ",""),"-?\d+(\.\d+)?$"))&lt;=180),"OK","REVISAR"),"REVISAR"),"")</f>
        <v/>
      </c>
      <c r="O1868">
        <f>IF(A1868&lt;&gt;"","https://direcciones507.github.io/direcciones507/panel.html?codigo="&amp;A1868&amp;"&amp;nombre="&amp;ENCODEURL(B1868)&amp;"&amp;telefono="&amp;SUBSTITUTE(C1868,"-","")&amp;"&amp;referencia="&amp;ENCODEURL(E1868)&amp;"&amp;lat="&amp;IZQUIERDA(SUBSTITUTE(F1868," ",""),ENCONTRAR(",",SUBSTITUTE(F1868," ",""))-1)&amp;"&amp;lng="&amp;DERECHA(SUBSTITUTE(F1868," ",""),LARGO(SUBSTITUTE(F1868," ",""))-ENCONTRAR(",",SUBSTITUTE(F1868," ",""))),"")</f>
        <v/>
      </c>
    </row>
    <row r="1869" ht="15.75" customHeight="1" s="10">
      <c r="A1869" s="8">
        <f>CONCAT("AD507-",TEXT(ROW()-2,"0000"))</f>
        <v/>
      </c>
      <c r="C1869" s="8" t="n"/>
      <c r="F1869" s="8" t="n"/>
      <c r="G1869" s="8">
        <f>IF(F1869&lt;&gt;"",HYPERLINK("https://www.google.com/maps/search/?api=1&amp;query="&amp;SUBSTITUTE(F1869," ",""),"🗺 Google Maps"),"")</f>
        <v/>
      </c>
      <c r="H1869" s="8">
        <f>IF(F1869&lt;&gt;"",HYPERLINK("https://waze.com/ul?ll="&amp;SUBSTITUTE(F1869," ","")&amp;"&amp;navigate=yes","🚗 Waze"),"")</f>
        <v/>
      </c>
      <c r="I1869" s="8">
        <f>IF(F1869&lt;&gt;"",HYPERLINK("https://m.uber.com/ul/?action=setPickup&amp;pickup=my_location&amp;dropoff[latitude]="&amp;LEFT(SUBSTITUTE(F1869," ",""),FIND(",",SUBSTITUTE(F1869," ",""))-1)&amp;"&amp;dropoff[longitude]="&amp;MID(SUBSTITUTE(F1869," ",""),FIND(",",SUBSTITUTE(F1869," ",""))+1,99),"🚕 Uber"),"")</f>
        <v/>
      </c>
      <c r="J1869" s="8">
        <f>IF(F1869&lt;&gt;"","https://api.qrserver.com/v1/create-qr-code/?size=200x200&amp;data="&amp;ENCODEURL("https://www.google.com/maps/search/?api=1&amp;query="&amp;SUBSTITUTE(F1869," ","")),"")</f>
        <v/>
      </c>
      <c r="K1869" s="8">
        <f>IF(C1869&lt;&gt;"",HYPERLINK("https://wa.me/507"&amp;REGEXREPLACE(C1869,"[^0-9]","")&amp;"?text="&amp;ENCODEURL("Ya llegue. Codigo: "&amp;A1869&amp;". Ubicacion: "&amp;"https://www.google.com/maps/search/?api=1&amp;query="&amp;SUBSTITUTE(F1869," ","")),"📲 Avisar al cliente"),"")</f>
        <v/>
      </c>
      <c r="L1869" s="8">
        <f>IF(C1869&lt;&gt;"","https://api.qrserver.com/v1/create-qr-code/?size=200x200&amp;data="&amp;ENCODEURL("https://wa.me/507"&amp;REGEXREPLACE(C1869,"[^0-9]","")&amp;"?text="&amp;ENCODEURL("Ya llegue. Codigo: "&amp;A1869&amp;". Ubicacion: "&amp;"https://www.google.com/maps/search/?api=1&amp;query="&amp;SUBSTITUTE(F1869," ",""))),"")</f>
        <v/>
      </c>
      <c r="M1869" s="8">
        <f>IF(B1869&lt;&gt;"",TODAY(),"")</f>
        <v/>
      </c>
      <c r="N1869" s="8">
        <f>IF(F1869&lt;&gt;"",IFERROR(IF(AND(REGEXMATCH(SUBSTITUTE(TRIM(F1869)," ",""),"^-?\d+(\.\d+)?,-?\d+(\.\d+)?$"),VALUE(REGEXEXTRACT(SUBSTITUTE(TRIM(F1869)," ",""),"^-?\d+(\.\d+)?"))&gt;=-90,VALUE(REGEXEXTRACT(SUBSTITUTE(TRIM(F1869)," ",""),"^-?\d+(\.\d+)?"))&lt;=90,VALUE(REGEXEXTRACT(SUBSTITUTE(TRIM(F1869)," ",""),"-?\d+(\.\d+)?$"))&gt;=-180,VALUE(REGEXEXTRACT(SUBSTITUTE(TRIM(F1869)," ",""),"-?\d+(\.\d+)?$"))&lt;=180),"OK","REVISAR"),"REVISAR"),"")</f>
        <v/>
      </c>
      <c r="O1869">
        <f>IF(A1869&lt;&gt;"","https://direcciones507.github.io/direcciones507/panel.html?codigo="&amp;A1869&amp;"&amp;nombre="&amp;ENCODEURL(B1869)&amp;"&amp;telefono="&amp;SUBSTITUTE(C1869,"-","")&amp;"&amp;referencia="&amp;ENCODEURL(E1869)&amp;"&amp;lat="&amp;IZQUIERDA(SUBSTITUTE(F1869," ",""),ENCONTRAR(",",SUBSTITUTE(F1869," ",""))-1)&amp;"&amp;lng="&amp;DERECHA(SUBSTITUTE(F1869," ",""),LARGO(SUBSTITUTE(F1869," ",""))-ENCONTRAR(",",SUBSTITUTE(F1869," ",""))),"")</f>
        <v/>
      </c>
    </row>
    <row r="1870" ht="15.75" customHeight="1" s="10">
      <c r="A1870" s="8">
        <f>CONCAT("AD507-",TEXT(ROW()-2,"0000"))</f>
        <v/>
      </c>
      <c r="C1870" s="8" t="n"/>
      <c r="F1870" s="8" t="n"/>
      <c r="G1870" s="8">
        <f>IF(F1870&lt;&gt;"",HYPERLINK("https://www.google.com/maps/search/?api=1&amp;query="&amp;SUBSTITUTE(F1870," ",""),"🗺 Google Maps"),"")</f>
        <v/>
      </c>
      <c r="H1870" s="8">
        <f>IF(F1870&lt;&gt;"",HYPERLINK("https://waze.com/ul?ll="&amp;SUBSTITUTE(F1870," ","")&amp;"&amp;navigate=yes","🚗 Waze"),"")</f>
        <v/>
      </c>
      <c r="I1870" s="8">
        <f>IF(F1870&lt;&gt;"",HYPERLINK("https://m.uber.com/ul/?action=setPickup&amp;pickup=my_location&amp;dropoff[latitude]="&amp;LEFT(SUBSTITUTE(F1870," ",""),FIND(",",SUBSTITUTE(F1870," ",""))-1)&amp;"&amp;dropoff[longitude]="&amp;MID(SUBSTITUTE(F1870," ",""),FIND(",",SUBSTITUTE(F1870," ",""))+1,99),"🚕 Uber"),"")</f>
        <v/>
      </c>
      <c r="J1870" s="8">
        <f>IF(F1870&lt;&gt;"","https://api.qrserver.com/v1/create-qr-code/?size=200x200&amp;data="&amp;ENCODEURL("https://www.google.com/maps/search/?api=1&amp;query="&amp;SUBSTITUTE(F1870," ","")),"")</f>
        <v/>
      </c>
      <c r="K1870" s="8">
        <f>IF(C1870&lt;&gt;"",HYPERLINK("https://wa.me/507"&amp;REGEXREPLACE(C1870,"[^0-9]","")&amp;"?text="&amp;ENCODEURL("Ya llegue. Codigo: "&amp;A1870&amp;". Ubicacion: "&amp;"https://www.google.com/maps/search/?api=1&amp;query="&amp;SUBSTITUTE(F1870," ","")),"📲 Avisar al cliente"),"")</f>
        <v/>
      </c>
      <c r="L1870" s="8">
        <f>IF(C1870&lt;&gt;"","https://api.qrserver.com/v1/create-qr-code/?size=200x200&amp;data="&amp;ENCODEURL("https://wa.me/507"&amp;REGEXREPLACE(C1870,"[^0-9]","")&amp;"?text="&amp;ENCODEURL("Ya llegue. Codigo: "&amp;A1870&amp;". Ubicacion: "&amp;"https://www.google.com/maps/search/?api=1&amp;query="&amp;SUBSTITUTE(F1870," ",""))),"")</f>
        <v/>
      </c>
      <c r="M1870" s="8">
        <f>IF(B1870&lt;&gt;"",TODAY(),"")</f>
        <v/>
      </c>
      <c r="N1870" s="8">
        <f>IF(F1870&lt;&gt;"",IFERROR(IF(AND(REGEXMATCH(SUBSTITUTE(TRIM(F1870)," ",""),"^-?\d+(\.\d+)?,-?\d+(\.\d+)?$"),VALUE(REGEXEXTRACT(SUBSTITUTE(TRIM(F1870)," ",""),"^-?\d+(\.\d+)?"))&gt;=-90,VALUE(REGEXEXTRACT(SUBSTITUTE(TRIM(F1870)," ",""),"^-?\d+(\.\d+)?"))&lt;=90,VALUE(REGEXEXTRACT(SUBSTITUTE(TRIM(F1870)," ",""),"-?\d+(\.\d+)?$"))&gt;=-180,VALUE(REGEXEXTRACT(SUBSTITUTE(TRIM(F1870)," ",""),"-?\d+(\.\d+)?$"))&lt;=180),"OK","REVISAR"),"REVISAR"),"")</f>
        <v/>
      </c>
      <c r="O1870">
        <f>IF(A1870&lt;&gt;"","https://direcciones507.github.io/direcciones507/panel.html?codigo="&amp;A1870&amp;"&amp;nombre="&amp;ENCODEURL(B1870)&amp;"&amp;telefono="&amp;SUBSTITUTE(C1870,"-","")&amp;"&amp;referencia="&amp;ENCODEURL(E1870)&amp;"&amp;lat="&amp;IZQUIERDA(SUBSTITUTE(F1870," ",""),ENCONTRAR(",",SUBSTITUTE(F1870," ",""))-1)&amp;"&amp;lng="&amp;DERECHA(SUBSTITUTE(F1870," ",""),LARGO(SUBSTITUTE(F1870," ",""))-ENCONTRAR(",",SUBSTITUTE(F1870," ",""))),"")</f>
        <v/>
      </c>
    </row>
    <row r="1871" ht="15.75" customHeight="1" s="10">
      <c r="A1871" s="8">
        <f>CONCAT("AD507-",TEXT(ROW()-2,"0000"))</f>
        <v/>
      </c>
      <c r="C1871" s="8" t="n"/>
      <c r="F1871" s="8" t="n"/>
      <c r="G1871" s="8">
        <f>IF(F1871&lt;&gt;"",HYPERLINK("https://www.google.com/maps/search/?api=1&amp;query="&amp;SUBSTITUTE(F1871," ",""),"🗺 Google Maps"),"")</f>
        <v/>
      </c>
      <c r="H1871" s="8">
        <f>IF(F1871&lt;&gt;"",HYPERLINK("https://waze.com/ul?ll="&amp;SUBSTITUTE(F1871," ","")&amp;"&amp;navigate=yes","🚗 Waze"),"")</f>
        <v/>
      </c>
      <c r="I1871" s="8">
        <f>IF(F1871&lt;&gt;"",HYPERLINK("https://m.uber.com/ul/?action=setPickup&amp;pickup=my_location&amp;dropoff[latitude]="&amp;LEFT(SUBSTITUTE(F1871," ",""),FIND(",",SUBSTITUTE(F1871," ",""))-1)&amp;"&amp;dropoff[longitude]="&amp;MID(SUBSTITUTE(F1871," ",""),FIND(",",SUBSTITUTE(F1871," ",""))+1,99),"🚕 Uber"),"")</f>
        <v/>
      </c>
      <c r="J1871" s="8">
        <f>IF(F1871&lt;&gt;"","https://api.qrserver.com/v1/create-qr-code/?size=200x200&amp;data="&amp;ENCODEURL("https://www.google.com/maps/search/?api=1&amp;query="&amp;SUBSTITUTE(F1871," ","")),"")</f>
        <v/>
      </c>
      <c r="K1871" s="8">
        <f>IF(C1871&lt;&gt;"",HYPERLINK("https://wa.me/507"&amp;REGEXREPLACE(C1871,"[^0-9]","")&amp;"?text="&amp;ENCODEURL("Ya llegue. Codigo: "&amp;A1871&amp;". Ubicacion: "&amp;"https://www.google.com/maps/search/?api=1&amp;query="&amp;SUBSTITUTE(F1871," ","")),"📲 Avisar al cliente"),"")</f>
        <v/>
      </c>
      <c r="L1871" s="8">
        <f>IF(C1871&lt;&gt;"","https://api.qrserver.com/v1/create-qr-code/?size=200x200&amp;data="&amp;ENCODEURL("https://wa.me/507"&amp;REGEXREPLACE(C1871,"[^0-9]","")&amp;"?text="&amp;ENCODEURL("Ya llegue. Codigo: "&amp;A1871&amp;". Ubicacion: "&amp;"https://www.google.com/maps/search/?api=1&amp;query="&amp;SUBSTITUTE(F1871," ",""))),"")</f>
        <v/>
      </c>
      <c r="M1871" s="8">
        <f>IF(B1871&lt;&gt;"",TODAY(),"")</f>
        <v/>
      </c>
      <c r="N1871" s="8">
        <f>IF(F1871&lt;&gt;"",IFERROR(IF(AND(REGEXMATCH(SUBSTITUTE(TRIM(F1871)," ",""),"^-?\d+(\.\d+)?,-?\d+(\.\d+)?$"),VALUE(REGEXEXTRACT(SUBSTITUTE(TRIM(F1871)," ",""),"^-?\d+(\.\d+)?"))&gt;=-90,VALUE(REGEXEXTRACT(SUBSTITUTE(TRIM(F1871)," ",""),"^-?\d+(\.\d+)?"))&lt;=90,VALUE(REGEXEXTRACT(SUBSTITUTE(TRIM(F1871)," ",""),"-?\d+(\.\d+)?$"))&gt;=-180,VALUE(REGEXEXTRACT(SUBSTITUTE(TRIM(F1871)," ",""),"-?\d+(\.\d+)?$"))&lt;=180),"OK","REVISAR"),"REVISAR"),"")</f>
        <v/>
      </c>
      <c r="O1871">
        <f>IF(A1871&lt;&gt;"","https://direcciones507.github.io/direcciones507/panel.html?codigo="&amp;A1871&amp;"&amp;nombre="&amp;ENCODEURL(B1871)&amp;"&amp;telefono="&amp;SUBSTITUTE(C1871,"-","")&amp;"&amp;referencia="&amp;ENCODEURL(E1871)&amp;"&amp;lat="&amp;IZQUIERDA(SUBSTITUTE(F1871," ",""),ENCONTRAR(",",SUBSTITUTE(F1871," ",""))-1)&amp;"&amp;lng="&amp;DERECHA(SUBSTITUTE(F1871," ",""),LARGO(SUBSTITUTE(F1871," ",""))-ENCONTRAR(",",SUBSTITUTE(F1871," ",""))),"")</f>
        <v/>
      </c>
    </row>
    <row r="1872" ht="15.75" customHeight="1" s="10">
      <c r="A1872" s="8">
        <f>CONCAT("AD507-",TEXT(ROW()-2,"0000"))</f>
        <v/>
      </c>
      <c r="C1872" s="8" t="n"/>
      <c r="F1872" s="8" t="n"/>
      <c r="G1872" s="8">
        <f>IF(F1872&lt;&gt;"",HYPERLINK("https://www.google.com/maps/search/?api=1&amp;query="&amp;SUBSTITUTE(F1872," ",""),"🗺 Google Maps"),"")</f>
        <v/>
      </c>
      <c r="H1872" s="8">
        <f>IF(F1872&lt;&gt;"",HYPERLINK("https://waze.com/ul?ll="&amp;SUBSTITUTE(F1872," ","")&amp;"&amp;navigate=yes","🚗 Waze"),"")</f>
        <v/>
      </c>
      <c r="I1872" s="8">
        <f>IF(F1872&lt;&gt;"",HYPERLINK("https://m.uber.com/ul/?action=setPickup&amp;pickup=my_location&amp;dropoff[latitude]="&amp;LEFT(SUBSTITUTE(F1872," ",""),FIND(",",SUBSTITUTE(F1872," ",""))-1)&amp;"&amp;dropoff[longitude]="&amp;MID(SUBSTITUTE(F1872," ",""),FIND(",",SUBSTITUTE(F1872," ",""))+1,99),"🚕 Uber"),"")</f>
        <v/>
      </c>
      <c r="J1872" s="8">
        <f>IF(F1872&lt;&gt;"","https://api.qrserver.com/v1/create-qr-code/?size=200x200&amp;data="&amp;ENCODEURL("https://www.google.com/maps/search/?api=1&amp;query="&amp;SUBSTITUTE(F1872," ","")),"")</f>
        <v/>
      </c>
      <c r="K1872" s="8">
        <f>IF(C1872&lt;&gt;"",HYPERLINK("https://wa.me/507"&amp;REGEXREPLACE(C1872,"[^0-9]","")&amp;"?text="&amp;ENCODEURL("Ya llegue. Codigo: "&amp;A1872&amp;". Ubicacion: "&amp;"https://www.google.com/maps/search/?api=1&amp;query="&amp;SUBSTITUTE(F1872," ","")),"📲 Avisar al cliente"),"")</f>
        <v/>
      </c>
      <c r="L1872" s="8">
        <f>IF(C1872&lt;&gt;"","https://api.qrserver.com/v1/create-qr-code/?size=200x200&amp;data="&amp;ENCODEURL("https://wa.me/507"&amp;REGEXREPLACE(C1872,"[^0-9]","")&amp;"?text="&amp;ENCODEURL("Ya llegue. Codigo: "&amp;A1872&amp;". Ubicacion: "&amp;"https://www.google.com/maps/search/?api=1&amp;query="&amp;SUBSTITUTE(F1872," ",""))),"")</f>
        <v/>
      </c>
      <c r="M1872" s="8">
        <f>IF(B1872&lt;&gt;"",TODAY(),"")</f>
        <v/>
      </c>
      <c r="N1872" s="8">
        <f>IF(F1872&lt;&gt;"",IFERROR(IF(AND(REGEXMATCH(SUBSTITUTE(TRIM(F1872)," ",""),"^-?\d+(\.\d+)?,-?\d+(\.\d+)?$"),VALUE(REGEXEXTRACT(SUBSTITUTE(TRIM(F1872)," ",""),"^-?\d+(\.\d+)?"))&gt;=-90,VALUE(REGEXEXTRACT(SUBSTITUTE(TRIM(F1872)," ",""),"^-?\d+(\.\d+)?"))&lt;=90,VALUE(REGEXEXTRACT(SUBSTITUTE(TRIM(F1872)," ",""),"-?\d+(\.\d+)?$"))&gt;=-180,VALUE(REGEXEXTRACT(SUBSTITUTE(TRIM(F1872)," ",""),"-?\d+(\.\d+)?$"))&lt;=180),"OK","REVISAR"),"REVISAR"),"")</f>
        <v/>
      </c>
      <c r="O1872">
        <f>IF(A1872&lt;&gt;"","https://direcciones507.github.io/direcciones507/panel.html?codigo="&amp;A1872&amp;"&amp;nombre="&amp;ENCODEURL(B1872)&amp;"&amp;telefono="&amp;SUBSTITUTE(C1872,"-","")&amp;"&amp;referencia="&amp;ENCODEURL(E1872)&amp;"&amp;lat="&amp;IZQUIERDA(SUBSTITUTE(F1872," ",""),ENCONTRAR(",",SUBSTITUTE(F1872," ",""))-1)&amp;"&amp;lng="&amp;DERECHA(SUBSTITUTE(F1872," ",""),LARGO(SUBSTITUTE(F1872," ",""))-ENCONTRAR(",",SUBSTITUTE(F1872," ",""))),"")</f>
        <v/>
      </c>
    </row>
    <row r="1873" ht="15.75" customHeight="1" s="10">
      <c r="A1873" s="8">
        <f>CONCAT("AD507-",TEXT(ROW()-2,"0000"))</f>
        <v/>
      </c>
      <c r="C1873" s="8" t="n"/>
      <c r="F1873" s="8" t="n"/>
      <c r="G1873" s="8">
        <f>IF(F1873&lt;&gt;"",HYPERLINK("https://www.google.com/maps/search/?api=1&amp;query="&amp;SUBSTITUTE(F1873," ",""),"🗺 Google Maps"),"")</f>
        <v/>
      </c>
      <c r="H1873" s="8">
        <f>IF(F1873&lt;&gt;"",HYPERLINK("https://waze.com/ul?ll="&amp;SUBSTITUTE(F1873," ","")&amp;"&amp;navigate=yes","🚗 Waze"),"")</f>
        <v/>
      </c>
      <c r="I1873" s="8">
        <f>IF(F1873&lt;&gt;"",HYPERLINK("https://m.uber.com/ul/?action=setPickup&amp;pickup=my_location&amp;dropoff[latitude]="&amp;LEFT(SUBSTITUTE(F1873," ",""),FIND(",",SUBSTITUTE(F1873," ",""))-1)&amp;"&amp;dropoff[longitude]="&amp;MID(SUBSTITUTE(F1873," ",""),FIND(",",SUBSTITUTE(F1873," ",""))+1,99),"🚕 Uber"),"")</f>
        <v/>
      </c>
      <c r="J1873" s="8">
        <f>IF(F1873&lt;&gt;"","https://api.qrserver.com/v1/create-qr-code/?size=200x200&amp;data="&amp;ENCODEURL("https://www.google.com/maps/search/?api=1&amp;query="&amp;SUBSTITUTE(F1873," ","")),"")</f>
        <v/>
      </c>
      <c r="K1873" s="8">
        <f>IF(C1873&lt;&gt;"",HYPERLINK("https://wa.me/507"&amp;REGEXREPLACE(C1873,"[^0-9]","")&amp;"?text="&amp;ENCODEURL("Ya llegue. Codigo: "&amp;A1873&amp;". Ubicacion: "&amp;"https://www.google.com/maps/search/?api=1&amp;query="&amp;SUBSTITUTE(F1873," ","")),"📲 Avisar al cliente"),"")</f>
        <v/>
      </c>
      <c r="L1873" s="8">
        <f>IF(C1873&lt;&gt;"","https://api.qrserver.com/v1/create-qr-code/?size=200x200&amp;data="&amp;ENCODEURL("https://wa.me/507"&amp;REGEXREPLACE(C1873,"[^0-9]","")&amp;"?text="&amp;ENCODEURL("Ya llegue. Codigo: "&amp;A1873&amp;". Ubicacion: "&amp;"https://www.google.com/maps/search/?api=1&amp;query="&amp;SUBSTITUTE(F1873," ",""))),"")</f>
        <v/>
      </c>
      <c r="M1873" s="8">
        <f>IF(B1873&lt;&gt;"",TODAY(),"")</f>
        <v/>
      </c>
      <c r="N1873" s="8">
        <f>IF(F1873&lt;&gt;"",IFERROR(IF(AND(REGEXMATCH(SUBSTITUTE(TRIM(F1873)," ",""),"^-?\d+(\.\d+)?,-?\d+(\.\d+)?$"),VALUE(REGEXEXTRACT(SUBSTITUTE(TRIM(F1873)," ",""),"^-?\d+(\.\d+)?"))&gt;=-90,VALUE(REGEXEXTRACT(SUBSTITUTE(TRIM(F1873)," ",""),"^-?\d+(\.\d+)?"))&lt;=90,VALUE(REGEXEXTRACT(SUBSTITUTE(TRIM(F1873)," ",""),"-?\d+(\.\d+)?$"))&gt;=-180,VALUE(REGEXEXTRACT(SUBSTITUTE(TRIM(F1873)," ",""),"-?\d+(\.\d+)?$"))&lt;=180),"OK","REVISAR"),"REVISAR"),"")</f>
        <v/>
      </c>
      <c r="O1873">
        <f>IF(A1873&lt;&gt;"","https://direcciones507.github.io/direcciones507/panel.html?codigo="&amp;A1873&amp;"&amp;nombre="&amp;ENCODEURL(B1873)&amp;"&amp;telefono="&amp;SUBSTITUTE(C1873,"-","")&amp;"&amp;referencia="&amp;ENCODEURL(E1873)&amp;"&amp;lat="&amp;IZQUIERDA(SUBSTITUTE(F1873," ",""),ENCONTRAR(",",SUBSTITUTE(F1873," ",""))-1)&amp;"&amp;lng="&amp;DERECHA(SUBSTITUTE(F1873," ",""),LARGO(SUBSTITUTE(F1873," ",""))-ENCONTRAR(",",SUBSTITUTE(F1873," ",""))),"")</f>
        <v/>
      </c>
    </row>
    <row r="1874" ht="15.75" customHeight="1" s="10">
      <c r="A1874" s="8">
        <f>CONCAT("AD507-",TEXT(ROW()-2,"0000"))</f>
        <v/>
      </c>
      <c r="C1874" s="8" t="n"/>
      <c r="F1874" s="8" t="n"/>
      <c r="G1874" s="8">
        <f>IF(F1874&lt;&gt;"",HYPERLINK("https://www.google.com/maps/search/?api=1&amp;query="&amp;SUBSTITUTE(F1874," ",""),"🗺 Google Maps"),"")</f>
        <v/>
      </c>
      <c r="H1874" s="8">
        <f>IF(F1874&lt;&gt;"",HYPERLINK("https://waze.com/ul?ll="&amp;SUBSTITUTE(F1874," ","")&amp;"&amp;navigate=yes","🚗 Waze"),"")</f>
        <v/>
      </c>
      <c r="I1874" s="8">
        <f>IF(F1874&lt;&gt;"",HYPERLINK("https://m.uber.com/ul/?action=setPickup&amp;pickup=my_location&amp;dropoff[latitude]="&amp;LEFT(SUBSTITUTE(F1874," ",""),FIND(",",SUBSTITUTE(F1874," ",""))-1)&amp;"&amp;dropoff[longitude]="&amp;MID(SUBSTITUTE(F1874," ",""),FIND(",",SUBSTITUTE(F1874," ",""))+1,99),"🚕 Uber"),"")</f>
        <v/>
      </c>
      <c r="J1874" s="8">
        <f>IF(F1874&lt;&gt;"","https://api.qrserver.com/v1/create-qr-code/?size=200x200&amp;data="&amp;ENCODEURL("https://www.google.com/maps/search/?api=1&amp;query="&amp;SUBSTITUTE(F1874," ","")),"")</f>
        <v/>
      </c>
      <c r="K1874" s="8">
        <f>IF(C1874&lt;&gt;"",HYPERLINK("https://wa.me/507"&amp;REGEXREPLACE(C1874,"[^0-9]","")&amp;"?text="&amp;ENCODEURL("Ya llegue. Codigo: "&amp;A1874&amp;". Ubicacion: "&amp;"https://www.google.com/maps/search/?api=1&amp;query="&amp;SUBSTITUTE(F1874," ","")),"📲 Avisar al cliente"),"")</f>
        <v/>
      </c>
      <c r="L1874" s="8">
        <f>IF(C1874&lt;&gt;"","https://api.qrserver.com/v1/create-qr-code/?size=200x200&amp;data="&amp;ENCODEURL("https://wa.me/507"&amp;REGEXREPLACE(C1874,"[^0-9]","")&amp;"?text="&amp;ENCODEURL("Ya llegue. Codigo: "&amp;A1874&amp;". Ubicacion: "&amp;"https://www.google.com/maps/search/?api=1&amp;query="&amp;SUBSTITUTE(F1874," ",""))),"")</f>
        <v/>
      </c>
      <c r="M1874" s="8">
        <f>IF(B1874&lt;&gt;"",TODAY(),"")</f>
        <v/>
      </c>
      <c r="N1874" s="8">
        <f>IF(F1874&lt;&gt;"",IFERROR(IF(AND(REGEXMATCH(SUBSTITUTE(TRIM(F1874)," ",""),"^-?\d+(\.\d+)?,-?\d+(\.\d+)?$"),VALUE(REGEXEXTRACT(SUBSTITUTE(TRIM(F1874)," ",""),"^-?\d+(\.\d+)?"))&gt;=-90,VALUE(REGEXEXTRACT(SUBSTITUTE(TRIM(F1874)," ",""),"^-?\d+(\.\d+)?"))&lt;=90,VALUE(REGEXEXTRACT(SUBSTITUTE(TRIM(F1874)," ",""),"-?\d+(\.\d+)?$"))&gt;=-180,VALUE(REGEXEXTRACT(SUBSTITUTE(TRIM(F1874)," ",""),"-?\d+(\.\d+)?$"))&lt;=180),"OK","REVISAR"),"REVISAR"),"")</f>
        <v/>
      </c>
      <c r="O1874">
        <f>IF(A1874&lt;&gt;"","https://direcciones507.github.io/direcciones507/panel.html?codigo="&amp;A1874&amp;"&amp;nombre="&amp;ENCODEURL(B1874)&amp;"&amp;telefono="&amp;SUBSTITUTE(C1874,"-","")&amp;"&amp;referencia="&amp;ENCODEURL(E1874)&amp;"&amp;lat="&amp;IZQUIERDA(SUBSTITUTE(F1874," ",""),ENCONTRAR(",",SUBSTITUTE(F1874," ",""))-1)&amp;"&amp;lng="&amp;DERECHA(SUBSTITUTE(F1874," ",""),LARGO(SUBSTITUTE(F1874," ",""))-ENCONTRAR(",",SUBSTITUTE(F1874," ",""))),"")</f>
        <v/>
      </c>
    </row>
    <row r="1875" ht="15.75" customHeight="1" s="10">
      <c r="A1875" s="8">
        <f>CONCAT("AD507-",TEXT(ROW()-2,"0000"))</f>
        <v/>
      </c>
      <c r="C1875" s="8" t="n"/>
      <c r="F1875" s="8" t="n"/>
      <c r="G1875" s="8">
        <f>IF(F1875&lt;&gt;"",HYPERLINK("https://www.google.com/maps/search/?api=1&amp;query="&amp;SUBSTITUTE(F1875," ",""),"🗺 Google Maps"),"")</f>
        <v/>
      </c>
      <c r="H1875" s="8">
        <f>IF(F1875&lt;&gt;"",HYPERLINK("https://waze.com/ul?ll="&amp;SUBSTITUTE(F1875," ","")&amp;"&amp;navigate=yes","🚗 Waze"),"")</f>
        <v/>
      </c>
      <c r="I1875" s="8">
        <f>IF(F1875&lt;&gt;"",HYPERLINK("https://m.uber.com/ul/?action=setPickup&amp;pickup=my_location&amp;dropoff[latitude]="&amp;LEFT(SUBSTITUTE(F1875," ",""),FIND(",",SUBSTITUTE(F1875," ",""))-1)&amp;"&amp;dropoff[longitude]="&amp;MID(SUBSTITUTE(F1875," ",""),FIND(",",SUBSTITUTE(F1875," ",""))+1,99),"🚕 Uber"),"")</f>
        <v/>
      </c>
      <c r="J1875" s="8">
        <f>IF(F1875&lt;&gt;"","https://api.qrserver.com/v1/create-qr-code/?size=200x200&amp;data="&amp;ENCODEURL("https://www.google.com/maps/search/?api=1&amp;query="&amp;SUBSTITUTE(F1875," ","")),"")</f>
        <v/>
      </c>
      <c r="K1875" s="8">
        <f>IF(C1875&lt;&gt;"",HYPERLINK("https://wa.me/507"&amp;REGEXREPLACE(C1875,"[^0-9]","")&amp;"?text="&amp;ENCODEURL("Ya llegue. Codigo: "&amp;A1875&amp;". Ubicacion: "&amp;"https://www.google.com/maps/search/?api=1&amp;query="&amp;SUBSTITUTE(F1875," ","")),"📲 Avisar al cliente"),"")</f>
        <v/>
      </c>
      <c r="L1875" s="8">
        <f>IF(C1875&lt;&gt;"","https://api.qrserver.com/v1/create-qr-code/?size=200x200&amp;data="&amp;ENCODEURL("https://wa.me/507"&amp;REGEXREPLACE(C1875,"[^0-9]","")&amp;"?text="&amp;ENCODEURL("Ya llegue. Codigo: "&amp;A1875&amp;". Ubicacion: "&amp;"https://www.google.com/maps/search/?api=1&amp;query="&amp;SUBSTITUTE(F1875," ",""))),"")</f>
        <v/>
      </c>
      <c r="M1875" s="8">
        <f>IF(B1875&lt;&gt;"",TODAY(),"")</f>
        <v/>
      </c>
      <c r="N1875" s="8">
        <f>IF(F1875&lt;&gt;"",IFERROR(IF(AND(REGEXMATCH(SUBSTITUTE(TRIM(F1875)," ",""),"^-?\d+(\.\d+)?,-?\d+(\.\d+)?$"),VALUE(REGEXEXTRACT(SUBSTITUTE(TRIM(F1875)," ",""),"^-?\d+(\.\d+)?"))&gt;=-90,VALUE(REGEXEXTRACT(SUBSTITUTE(TRIM(F1875)," ",""),"^-?\d+(\.\d+)?"))&lt;=90,VALUE(REGEXEXTRACT(SUBSTITUTE(TRIM(F1875)," ",""),"-?\d+(\.\d+)?$"))&gt;=-180,VALUE(REGEXEXTRACT(SUBSTITUTE(TRIM(F1875)," ",""),"-?\d+(\.\d+)?$"))&lt;=180),"OK","REVISAR"),"REVISAR"),"")</f>
        <v/>
      </c>
      <c r="O1875">
        <f>IF(A1875&lt;&gt;"","https://direcciones507.github.io/direcciones507/panel.html?codigo="&amp;A1875&amp;"&amp;nombre="&amp;ENCODEURL(B1875)&amp;"&amp;telefono="&amp;SUBSTITUTE(C1875,"-","")&amp;"&amp;referencia="&amp;ENCODEURL(E1875)&amp;"&amp;lat="&amp;IZQUIERDA(SUBSTITUTE(F1875," ",""),ENCONTRAR(",",SUBSTITUTE(F1875," ",""))-1)&amp;"&amp;lng="&amp;DERECHA(SUBSTITUTE(F1875," ",""),LARGO(SUBSTITUTE(F1875," ",""))-ENCONTRAR(",",SUBSTITUTE(F1875," ",""))),"")</f>
        <v/>
      </c>
    </row>
    <row r="1876" ht="15.75" customHeight="1" s="10">
      <c r="A1876" s="8">
        <f>CONCAT("AD507-",TEXT(ROW()-2,"0000"))</f>
        <v/>
      </c>
      <c r="C1876" s="8" t="n"/>
      <c r="F1876" s="8" t="n"/>
      <c r="G1876" s="8">
        <f>IF(F1876&lt;&gt;"",HYPERLINK("https://www.google.com/maps/search/?api=1&amp;query="&amp;SUBSTITUTE(F1876," ",""),"🗺 Google Maps"),"")</f>
        <v/>
      </c>
      <c r="H1876" s="8">
        <f>IF(F1876&lt;&gt;"",HYPERLINK("https://waze.com/ul?ll="&amp;SUBSTITUTE(F1876," ","")&amp;"&amp;navigate=yes","🚗 Waze"),"")</f>
        <v/>
      </c>
      <c r="I1876" s="8">
        <f>IF(F1876&lt;&gt;"",HYPERLINK("https://m.uber.com/ul/?action=setPickup&amp;pickup=my_location&amp;dropoff[latitude]="&amp;LEFT(SUBSTITUTE(F1876," ",""),FIND(",",SUBSTITUTE(F1876," ",""))-1)&amp;"&amp;dropoff[longitude]="&amp;MID(SUBSTITUTE(F1876," ",""),FIND(",",SUBSTITUTE(F1876," ",""))+1,99),"🚕 Uber"),"")</f>
        <v/>
      </c>
      <c r="J1876" s="8">
        <f>IF(F1876&lt;&gt;"","https://api.qrserver.com/v1/create-qr-code/?size=200x200&amp;data="&amp;ENCODEURL("https://www.google.com/maps/search/?api=1&amp;query="&amp;SUBSTITUTE(F1876," ","")),"")</f>
        <v/>
      </c>
      <c r="K1876" s="8">
        <f>IF(C1876&lt;&gt;"",HYPERLINK("https://wa.me/507"&amp;REGEXREPLACE(C1876,"[^0-9]","")&amp;"?text="&amp;ENCODEURL("Ya llegue. Codigo: "&amp;A1876&amp;". Ubicacion: "&amp;"https://www.google.com/maps/search/?api=1&amp;query="&amp;SUBSTITUTE(F1876," ","")),"📲 Avisar al cliente"),"")</f>
        <v/>
      </c>
      <c r="L1876" s="8">
        <f>IF(C1876&lt;&gt;"","https://api.qrserver.com/v1/create-qr-code/?size=200x200&amp;data="&amp;ENCODEURL("https://wa.me/507"&amp;REGEXREPLACE(C1876,"[^0-9]","")&amp;"?text="&amp;ENCODEURL("Ya llegue. Codigo: "&amp;A1876&amp;". Ubicacion: "&amp;"https://www.google.com/maps/search/?api=1&amp;query="&amp;SUBSTITUTE(F1876," ",""))),"")</f>
        <v/>
      </c>
      <c r="M1876" s="8">
        <f>IF(B1876&lt;&gt;"",TODAY(),"")</f>
        <v/>
      </c>
      <c r="N1876" s="8">
        <f>IF(F1876&lt;&gt;"",IFERROR(IF(AND(REGEXMATCH(SUBSTITUTE(TRIM(F1876)," ",""),"^-?\d+(\.\d+)?,-?\d+(\.\d+)?$"),VALUE(REGEXEXTRACT(SUBSTITUTE(TRIM(F1876)," ",""),"^-?\d+(\.\d+)?"))&gt;=-90,VALUE(REGEXEXTRACT(SUBSTITUTE(TRIM(F1876)," ",""),"^-?\d+(\.\d+)?"))&lt;=90,VALUE(REGEXEXTRACT(SUBSTITUTE(TRIM(F1876)," ",""),"-?\d+(\.\d+)?$"))&gt;=-180,VALUE(REGEXEXTRACT(SUBSTITUTE(TRIM(F1876)," ",""),"-?\d+(\.\d+)?$"))&lt;=180),"OK","REVISAR"),"REVISAR"),"")</f>
        <v/>
      </c>
      <c r="O1876">
        <f>IF(A1876&lt;&gt;"","https://direcciones507.github.io/direcciones507/panel.html?codigo="&amp;A1876&amp;"&amp;nombre="&amp;ENCODEURL(B1876)&amp;"&amp;telefono="&amp;SUBSTITUTE(C1876,"-","")&amp;"&amp;referencia="&amp;ENCODEURL(E1876)&amp;"&amp;lat="&amp;IZQUIERDA(SUBSTITUTE(F1876," ",""),ENCONTRAR(",",SUBSTITUTE(F1876," ",""))-1)&amp;"&amp;lng="&amp;DERECHA(SUBSTITUTE(F1876," ",""),LARGO(SUBSTITUTE(F1876," ",""))-ENCONTRAR(",",SUBSTITUTE(F1876," ",""))),"")</f>
        <v/>
      </c>
    </row>
    <row r="1877" ht="15.75" customHeight="1" s="10">
      <c r="A1877" s="8">
        <f>CONCAT("AD507-",TEXT(ROW()-2,"0000"))</f>
        <v/>
      </c>
      <c r="C1877" s="8" t="n"/>
      <c r="F1877" s="8" t="n"/>
      <c r="G1877" s="8">
        <f>IF(F1877&lt;&gt;"",HYPERLINK("https://www.google.com/maps/search/?api=1&amp;query="&amp;SUBSTITUTE(F1877," ",""),"🗺 Google Maps"),"")</f>
        <v/>
      </c>
      <c r="H1877" s="8">
        <f>IF(F1877&lt;&gt;"",HYPERLINK("https://waze.com/ul?ll="&amp;SUBSTITUTE(F1877," ","")&amp;"&amp;navigate=yes","🚗 Waze"),"")</f>
        <v/>
      </c>
      <c r="I1877" s="8">
        <f>IF(F1877&lt;&gt;"",HYPERLINK("https://m.uber.com/ul/?action=setPickup&amp;pickup=my_location&amp;dropoff[latitude]="&amp;LEFT(SUBSTITUTE(F1877," ",""),FIND(",",SUBSTITUTE(F1877," ",""))-1)&amp;"&amp;dropoff[longitude]="&amp;MID(SUBSTITUTE(F1877," ",""),FIND(",",SUBSTITUTE(F1877," ",""))+1,99),"🚕 Uber"),"")</f>
        <v/>
      </c>
      <c r="J1877" s="8">
        <f>IF(F1877&lt;&gt;"","https://api.qrserver.com/v1/create-qr-code/?size=200x200&amp;data="&amp;ENCODEURL("https://www.google.com/maps/search/?api=1&amp;query="&amp;SUBSTITUTE(F1877," ","")),"")</f>
        <v/>
      </c>
      <c r="K1877" s="8">
        <f>IF(C1877&lt;&gt;"",HYPERLINK("https://wa.me/507"&amp;REGEXREPLACE(C1877,"[^0-9]","")&amp;"?text="&amp;ENCODEURL("Ya llegue. Codigo: "&amp;A1877&amp;". Ubicacion: "&amp;"https://www.google.com/maps/search/?api=1&amp;query="&amp;SUBSTITUTE(F1877," ","")),"📲 Avisar al cliente"),"")</f>
        <v/>
      </c>
      <c r="L1877" s="8">
        <f>IF(C1877&lt;&gt;"","https://api.qrserver.com/v1/create-qr-code/?size=200x200&amp;data="&amp;ENCODEURL("https://wa.me/507"&amp;REGEXREPLACE(C1877,"[^0-9]","")&amp;"?text="&amp;ENCODEURL("Ya llegue. Codigo: "&amp;A1877&amp;". Ubicacion: "&amp;"https://www.google.com/maps/search/?api=1&amp;query="&amp;SUBSTITUTE(F1877," ",""))),"")</f>
        <v/>
      </c>
      <c r="M1877" s="8">
        <f>IF(B1877&lt;&gt;"",TODAY(),"")</f>
        <v/>
      </c>
      <c r="N1877" s="8">
        <f>IF(F1877&lt;&gt;"",IFERROR(IF(AND(REGEXMATCH(SUBSTITUTE(TRIM(F1877)," ",""),"^-?\d+(\.\d+)?,-?\d+(\.\d+)?$"),VALUE(REGEXEXTRACT(SUBSTITUTE(TRIM(F1877)," ",""),"^-?\d+(\.\d+)?"))&gt;=-90,VALUE(REGEXEXTRACT(SUBSTITUTE(TRIM(F1877)," ",""),"^-?\d+(\.\d+)?"))&lt;=90,VALUE(REGEXEXTRACT(SUBSTITUTE(TRIM(F1877)," ",""),"-?\d+(\.\d+)?$"))&gt;=-180,VALUE(REGEXEXTRACT(SUBSTITUTE(TRIM(F1877)," ",""),"-?\d+(\.\d+)?$"))&lt;=180),"OK","REVISAR"),"REVISAR"),"")</f>
        <v/>
      </c>
      <c r="O1877">
        <f>IF(A1877&lt;&gt;"","https://direcciones507.github.io/direcciones507/panel.html?codigo="&amp;A1877&amp;"&amp;nombre="&amp;ENCODEURL(B1877)&amp;"&amp;telefono="&amp;SUBSTITUTE(C1877,"-","")&amp;"&amp;referencia="&amp;ENCODEURL(E1877)&amp;"&amp;lat="&amp;IZQUIERDA(SUBSTITUTE(F1877," ",""),ENCONTRAR(",",SUBSTITUTE(F1877," ",""))-1)&amp;"&amp;lng="&amp;DERECHA(SUBSTITUTE(F1877," ",""),LARGO(SUBSTITUTE(F1877," ",""))-ENCONTRAR(",",SUBSTITUTE(F1877," ",""))),"")</f>
        <v/>
      </c>
    </row>
    <row r="1878" ht="15.75" customHeight="1" s="10">
      <c r="A1878" s="8">
        <f>CONCAT("AD507-",TEXT(ROW()-2,"0000"))</f>
        <v/>
      </c>
      <c r="C1878" s="8" t="n"/>
      <c r="F1878" s="8" t="n"/>
      <c r="G1878" s="8">
        <f>IF(F1878&lt;&gt;"",HYPERLINK("https://www.google.com/maps/search/?api=1&amp;query="&amp;SUBSTITUTE(F1878," ",""),"🗺 Google Maps"),"")</f>
        <v/>
      </c>
      <c r="H1878" s="8">
        <f>IF(F1878&lt;&gt;"",HYPERLINK("https://waze.com/ul?ll="&amp;SUBSTITUTE(F1878," ","")&amp;"&amp;navigate=yes","🚗 Waze"),"")</f>
        <v/>
      </c>
      <c r="I1878" s="8">
        <f>IF(F1878&lt;&gt;"",HYPERLINK("https://m.uber.com/ul/?action=setPickup&amp;pickup=my_location&amp;dropoff[latitude]="&amp;LEFT(SUBSTITUTE(F1878," ",""),FIND(",",SUBSTITUTE(F1878," ",""))-1)&amp;"&amp;dropoff[longitude]="&amp;MID(SUBSTITUTE(F1878," ",""),FIND(",",SUBSTITUTE(F1878," ",""))+1,99),"🚕 Uber"),"")</f>
        <v/>
      </c>
      <c r="J1878" s="8">
        <f>IF(F1878&lt;&gt;"","https://api.qrserver.com/v1/create-qr-code/?size=200x200&amp;data="&amp;ENCODEURL("https://www.google.com/maps/search/?api=1&amp;query="&amp;SUBSTITUTE(F1878," ","")),"")</f>
        <v/>
      </c>
      <c r="K1878" s="8">
        <f>IF(C1878&lt;&gt;"",HYPERLINK("https://wa.me/507"&amp;REGEXREPLACE(C1878,"[^0-9]","")&amp;"?text="&amp;ENCODEURL("Ya llegue. Codigo: "&amp;A1878&amp;". Ubicacion: "&amp;"https://www.google.com/maps/search/?api=1&amp;query="&amp;SUBSTITUTE(F1878," ","")),"📲 Avisar al cliente"),"")</f>
        <v/>
      </c>
      <c r="L1878" s="8">
        <f>IF(C1878&lt;&gt;"","https://api.qrserver.com/v1/create-qr-code/?size=200x200&amp;data="&amp;ENCODEURL("https://wa.me/507"&amp;REGEXREPLACE(C1878,"[^0-9]","")&amp;"?text="&amp;ENCODEURL("Ya llegue. Codigo: "&amp;A1878&amp;". Ubicacion: "&amp;"https://www.google.com/maps/search/?api=1&amp;query="&amp;SUBSTITUTE(F1878," ",""))),"")</f>
        <v/>
      </c>
      <c r="M1878" s="8">
        <f>IF(B1878&lt;&gt;"",TODAY(),"")</f>
        <v/>
      </c>
      <c r="N1878" s="8">
        <f>IF(F1878&lt;&gt;"",IFERROR(IF(AND(REGEXMATCH(SUBSTITUTE(TRIM(F1878)," ",""),"^-?\d+(\.\d+)?,-?\d+(\.\d+)?$"),VALUE(REGEXEXTRACT(SUBSTITUTE(TRIM(F1878)," ",""),"^-?\d+(\.\d+)?"))&gt;=-90,VALUE(REGEXEXTRACT(SUBSTITUTE(TRIM(F1878)," ",""),"^-?\d+(\.\d+)?"))&lt;=90,VALUE(REGEXEXTRACT(SUBSTITUTE(TRIM(F1878)," ",""),"-?\d+(\.\d+)?$"))&gt;=-180,VALUE(REGEXEXTRACT(SUBSTITUTE(TRIM(F1878)," ",""),"-?\d+(\.\d+)?$"))&lt;=180),"OK","REVISAR"),"REVISAR"),"")</f>
        <v/>
      </c>
      <c r="O1878">
        <f>IF(A1878&lt;&gt;"","https://direcciones507.github.io/direcciones507/panel.html?codigo="&amp;A1878&amp;"&amp;nombre="&amp;ENCODEURL(B1878)&amp;"&amp;telefono="&amp;SUBSTITUTE(C1878,"-","")&amp;"&amp;referencia="&amp;ENCODEURL(E1878)&amp;"&amp;lat="&amp;IZQUIERDA(SUBSTITUTE(F1878," ",""),ENCONTRAR(",",SUBSTITUTE(F1878," ",""))-1)&amp;"&amp;lng="&amp;DERECHA(SUBSTITUTE(F1878," ",""),LARGO(SUBSTITUTE(F1878," ",""))-ENCONTRAR(",",SUBSTITUTE(F1878," ",""))),"")</f>
        <v/>
      </c>
    </row>
    <row r="1879" ht="15.75" customHeight="1" s="10">
      <c r="A1879" s="8">
        <f>CONCAT("AD507-",TEXT(ROW()-2,"0000"))</f>
        <v/>
      </c>
      <c r="C1879" s="8" t="n"/>
      <c r="F1879" s="8" t="n"/>
      <c r="G1879" s="8">
        <f>IF(F1879&lt;&gt;"",HYPERLINK("https://www.google.com/maps/search/?api=1&amp;query="&amp;SUBSTITUTE(F1879," ",""),"🗺 Google Maps"),"")</f>
        <v/>
      </c>
      <c r="H1879" s="8">
        <f>IF(F1879&lt;&gt;"",HYPERLINK("https://waze.com/ul?ll="&amp;SUBSTITUTE(F1879," ","")&amp;"&amp;navigate=yes","🚗 Waze"),"")</f>
        <v/>
      </c>
      <c r="I1879" s="8">
        <f>IF(F1879&lt;&gt;"",HYPERLINK("https://m.uber.com/ul/?action=setPickup&amp;pickup=my_location&amp;dropoff[latitude]="&amp;LEFT(SUBSTITUTE(F1879," ",""),FIND(",",SUBSTITUTE(F1879," ",""))-1)&amp;"&amp;dropoff[longitude]="&amp;MID(SUBSTITUTE(F1879," ",""),FIND(",",SUBSTITUTE(F1879," ",""))+1,99),"🚕 Uber"),"")</f>
        <v/>
      </c>
      <c r="J1879" s="8">
        <f>IF(F1879&lt;&gt;"","https://api.qrserver.com/v1/create-qr-code/?size=200x200&amp;data="&amp;ENCODEURL("https://www.google.com/maps/search/?api=1&amp;query="&amp;SUBSTITUTE(F1879," ","")),"")</f>
        <v/>
      </c>
      <c r="K1879" s="8">
        <f>IF(C1879&lt;&gt;"",HYPERLINK("https://wa.me/507"&amp;REGEXREPLACE(C1879,"[^0-9]","")&amp;"?text="&amp;ENCODEURL("Ya llegue. Codigo: "&amp;A1879&amp;". Ubicacion: "&amp;"https://www.google.com/maps/search/?api=1&amp;query="&amp;SUBSTITUTE(F1879," ","")),"📲 Avisar al cliente"),"")</f>
        <v/>
      </c>
      <c r="L1879" s="8">
        <f>IF(C1879&lt;&gt;"","https://api.qrserver.com/v1/create-qr-code/?size=200x200&amp;data="&amp;ENCODEURL("https://wa.me/507"&amp;REGEXREPLACE(C1879,"[^0-9]","")&amp;"?text="&amp;ENCODEURL("Ya llegue. Codigo: "&amp;A1879&amp;". Ubicacion: "&amp;"https://www.google.com/maps/search/?api=1&amp;query="&amp;SUBSTITUTE(F1879," ",""))),"")</f>
        <v/>
      </c>
      <c r="M1879" s="8">
        <f>IF(B1879&lt;&gt;"",TODAY(),"")</f>
        <v/>
      </c>
      <c r="N1879" s="8">
        <f>IF(F1879&lt;&gt;"",IFERROR(IF(AND(REGEXMATCH(SUBSTITUTE(TRIM(F1879)," ",""),"^-?\d+(\.\d+)?,-?\d+(\.\d+)?$"),VALUE(REGEXEXTRACT(SUBSTITUTE(TRIM(F1879)," ",""),"^-?\d+(\.\d+)?"))&gt;=-90,VALUE(REGEXEXTRACT(SUBSTITUTE(TRIM(F1879)," ",""),"^-?\d+(\.\d+)?"))&lt;=90,VALUE(REGEXEXTRACT(SUBSTITUTE(TRIM(F1879)," ",""),"-?\d+(\.\d+)?$"))&gt;=-180,VALUE(REGEXEXTRACT(SUBSTITUTE(TRIM(F1879)," ",""),"-?\d+(\.\d+)?$"))&lt;=180),"OK","REVISAR"),"REVISAR"),"")</f>
        <v/>
      </c>
      <c r="O1879">
        <f>IF(A1879&lt;&gt;"","https://direcciones507.github.io/direcciones507/panel.html?codigo="&amp;A1879&amp;"&amp;nombre="&amp;ENCODEURL(B1879)&amp;"&amp;telefono="&amp;SUBSTITUTE(C1879,"-","")&amp;"&amp;referencia="&amp;ENCODEURL(E1879)&amp;"&amp;lat="&amp;IZQUIERDA(SUBSTITUTE(F1879," ",""),ENCONTRAR(",",SUBSTITUTE(F1879," ",""))-1)&amp;"&amp;lng="&amp;DERECHA(SUBSTITUTE(F1879," ",""),LARGO(SUBSTITUTE(F1879," ",""))-ENCONTRAR(",",SUBSTITUTE(F1879," ",""))),"")</f>
        <v/>
      </c>
    </row>
    <row r="1880" ht="15.75" customHeight="1" s="10">
      <c r="A1880" s="8">
        <f>CONCAT("AD507-",TEXT(ROW()-2,"0000"))</f>
        <v/>
      </c>
      <c r="C1880" s="8" t="n"/>
      <c r="F1880" s="8" t="n"/>
      <c r="G1880" s="8">
        <f>IF(F1880&lt;&gt;"",HYPERLINK("https://www.google.com/maps/search/?api=1&amp;query="&amp;SUBSTITUTE(F1880," ",""),"🗺 Google Maps"),"")</f>
        <v/>
      </c>
      <c r="H1880" s="8">
        <f>IF(F1880&lt;&gt;"",HYPERLINK("https://waze.com/ul?ll="&amp;SUBSTITUTE(F1880," ","")&amp;"&amp;navigate=yes","🚗 Waze"),"")</f>
        <v/>
      </c>
      <c r="I1880" s="8">
        <f>IF(F1880&lt;&gt;"",HYPERLINK("https://m.uber.com/ul/?action=setPickup&amp;pickup=my_location&amp;dropoff[latitude]="&amp;LEFT(SUBSTITUTE(F1880," ",""),FIND(",",SUBSTITUTE(F1880," ",""))-1)&amp;"&amp;dropoff[longitude]="&amp;MID(SUBSTITUTE(F1880," ",""),FIND(",",SUBSTITUTE(F1880," ",""))+1,99),"🚕 Uber"),"")</f>
        <v/>
      </c>
      <c r="J1880" s="8">
        <f>IF(F1880&lt;&gt;"","https://api.qrserver.com/v1/create-qr-code/?size=200x200&amp;data="&amp;ENCODEURL("https://www.google.com/maps/search/?api=1&amp;query="&amp;SUBSTITUTE(F1880," ","")),"")</f>
        <v/>
      </c>
      <c r="K1880" s="8">
        <f>IF(C1880&lt;&gt;"",HYPERLINK("https://wa.me/507"&amp;REGEXREPLACE(C1880,"[^0-9]","")&amp;"?text="&amp;ENCODEURL("Ya llegue. Codigo: "&amp;A1880&amp;". Ubicacion: "&amp;"https://www.google.com/maps/search/?api=1&amp;query="&amp;SUBSTITUTE(F1880," ","")),"📲 Avisar al cliente"),"")</f>
        <v/>
      </c>
      <c r="L1880" s="8">
        <f>IF(C1880&lt;&gt;"","https://api.qrserver.com/v1/create-qr-code/?size=200x200&amp;data="&amp;ENCODEURL("https://wa.me/507"&amp;REGEXREPLACE(C1880,"[^0-9]","")&amp;"?text="&amp;ENCODEURL("Ya llegue. Codigo: "&amp;A1880&amp;". Ubicacion: "&amp;"https://www.google.com/maps/search/?api=1&amp;query="&amp;SUBSTITUTE(F1880," ",""))),"")</f>
        <v/>
      </c>
      <c r="M1880" s="8">
        <f>IF(B1880&lt;&gt;"",TODAY(),"")</f>
        <v/>
      </c>
      <c r="N1880" s="8">
        <f>IF(F1880&lt;&gt;"",IFERROR(IF(AND(REGEXMATCH(SUBSTITUTE(TRIM(F1880)," ",""),"^-?\d+(\.\d+)?,-?\d+(\.\d+)?$"),VALUE(REGEXEXTRACT(SUBSTITUTE(TRIM(F1880)," ",""),"^-?\d+(\.\d+)?"))&gt;=-90,VALUE(REGEXEXTRACT(SUBSTITUTE(TRIM(F1880)," ",""),"^-?\d+(\.\d+)?"))&lt;=90,VALUE(REGEXEXTRACT(SUBSTITUTE(TRIM(F1880)," ",""),"-?\d+(\.\d+)?$"))&gt;=-180,VALUE(REGEXEXTRACT(SUBSTITUTE(TRIM(F1880)," ",""),"-?\d+(\.\d+)?$"))&lt;=180),"OK","REVISAR"),"REVISAR"),"")</f>
        <v/>
      </c>
      <c r="O1880">
        <f>IF(A1880&lt;&gt;"","https://direcciones507.github.io/direcciones507/panel.html?codigo="&amp;A1880&amp;"&amp;nombre="&amp;ENCODEURL(B1880)&amp;"&amp;telefono="&amp;SUBSTITUTE(C1880,"-","")&amp;"&amp;referencia="&amp;ENCODEURL(E1880)&amp;"&amp;lat="&amp;IZQUIERDA(SUBSTITUTE(F1880," ",""),ENCONTRAR(",",SUBSTITUTE(F1880," ",""))-1)&amp;"&amp;lng="&amp;DERECHA(SUBSTITUTE(F1880," ",""),LARGO(SUBSTITUTE(F1880," ",""))-ENCONTRAR(",",SUBSTITUTE(F1880," ",""))),"")</f>
        <v/>
      </c>
    </row>
    <row r="1881" ht="15.75" customHeight="1" s="10">
      <c r="A1881" s="8">
        <f>CONCAT("AD507-",TEXT(ROW()-2,"0000"))</f>
        <v/>
      </c>
      <c r="C1881" s="8" t="n"/>
      <c r="F1881" s="8" t="n"/>
      <c r="G1881" s="8">
        <f>IF(F1881&lt;&gt;"",HYPERLINK("https://www.google.com/maps/search/?api=1&amp;query="&amp;SUBSTITUTE(F1881," ",""),"🗺 Google Maps"),"")</f>
        <v/>
      </c>
      <c r="H1881" s="8">
        <f>IF(F1881&lt;&gt;"",HYPERLINK("https://waze.com/ul?ll="&amp;SUBSTITUTE(F1881," ","")&amp;"&amp;navigate=yes","🚗 Waze"),"")</f>
        <v/>
      </c>
      <c r="I1881" s="8">
        <f>IF(F1881&lt;&gt;"",HYPERLINK("https://m.uber.com/ul/?action=setPickup&amp;pickup=my_location&amp;dropoff[latitude]="&amp;LEFT(SUBSTITUTE(F1881," ",""),FIND(",",SUBSTITUTE(F1881," ",""))-1)&amp;"&amp;dropoff[longitude]="&amp;MID(SUBSTITUTE(F1881," ",""),FIND(",",SUBSTITUTE(F1881," ",""))+1,99),"🚕 Uber"),"")</f>
        <v/>
      </c>
      <c r="J1881" s="8">
        <f>IF(F1881&lt;&gt;"","https://api.qrserver.com/v1/create-qr-code/?size=200x200&amp;data="&amp;ENCODEURL("https://www.google.com/maps/search/?api=1&amp;query="&amp;SUBSTITUTE(F1881," ","")),"")</f>
        <v/>
      </c>
      <c r="K1881" s="8">
        <f>IF(C1881&lt;&gt;"",HYPERLINK("https://wa.me/507"&amp;REGEXREPLACE(C1881,"[^0-9]","")&amp;"?text="&amp;ENCODEURL("Ya llegue. Codigo: "&amp;A1881&amp;". Ubicacion: "&amp;"https://www.google.com/maps/search/?api=1&amp;query="&amp;SUBSTITUTE(F1881," ","")),"📲 Avisar al cliente"),"")</f>
        <v/>
      </c>
      <c r="L1881" s="8">
        <f>IF(C1881&lt;&gt;"","https://api.qrserver.com/v1/create-qr-code/?size=200x200&amp;data="&amp;ENCODEURL("https://wa.me/507"&amp;REGEXREPLACE(C1881,"[^0-9]","")&amp;"?text="&amp;ENCODEURL("Ya llegue. Codigo: "&amp;A1881&amp;". Ubicacion: "&amp;"https://www.google.com/maps/search/?api=1&amp;query="&amp;SUBSTITUTE(F1881," ",""))),"")</f>
        <v/>
      </c>
      <c r="M1881" s="8">
        <f>IF(B1881&lt;&gt;"",TODAY(),"")</f>
        <v/>
      </c>
      <c r="N1881" s="8">
        <f>IF(F1881&lt;&gt;"",IFERROR(IF(AND(REGEXMATCH(SUBSTITUTE(TRIM(F1881)," ",""),"^-?\d+(\.\d+)?,-?\d+(\.\d+)?$"),VALUE(REGEXEXTRACT(SUBSTITUTE(TRIM(F1881)," ",""),"^-?\d+(\.\d+)?"))&gt;=-90,VALUE(REGEXEXTRACT(SUBSTITUTE(TRIM(F1881)," ",""),"^-?\d+(\.\d+)?"))&lt;=90,VALUE(REGEXEXTRACT(SUBSTITUTE(TRIM(F1881)," ",""),"-?\d+(\.\d+)?$"))&gt;=-180,VALUE(REGEXEXTRACT(SUBSTITUTE(TRIM(F1881)," ",""),"-?\d+(\.\d+)?$"))&lt;=180),"OK","REVISAR"),"REVISAR"),"")</f>
        <v/>
      </c>
      <c r="O1881">
        <f>IF(A1881&lt;&gt;"","https://direcciones507.github.io/direcciones507/panel.html?codigo="&amp;A1881&amp;"&amp;nombre="&amp;ENCODEURL(B1881)&amp;"&amp;telefono="&amp;SUBSTITUTE(C1881,"-","")&amp;"&amp;referencia="&amp;ENCODEURL(E1881)&amp;"&amp;lat="&amp;IZQUIERDA(SUBSTITUTE(F1881," ",""),ENCONTRAR(",",SUBSTITUTE(F1881," ",""))-1)&amp;"&amp;lng="&amp;DERECHA(SUBSTITUTE(F1881," ",""),LARGO(SUBSTITUTE(F1881," ",""))-ENCONTRAR(",",SUBSTITUTE(F1881," ",""))),"")</f>
        <v/>
      </c>
    </row>
    <row r="1882" ht="15.75" customHeight="1" s="10">
      <c r="A1882" s="8">
        <f>CONCAT("AD507-",TEXT(ROW()-2,"0000"))</f>
        <v/>
      </c>
      <c r="C1882" s="8" t="n"/>
      <c r="F1882" s="8" t="n"/>
      <c r="G1882" s="8">
        <f>IF(F1882&lt;&gt;"",HYPERLINK("https://www.google.com/maps/search/?api=1&amp;query="&amp;SUBSTITUTE(F1882," ",""),"🗺 Google Maps"),"")</f>
        <v/>
      </c>
      <c r="H1882" s="8">
        <f>IF(F1882&lt;&gt;"",HYPERLINK("https://waze.com/ul?ll="&amp;SUBSTITUTE(F1882," ","")&amp;"&amp;navigate=yes","🚗 Waze"),"")</f>
        <v/>
      </c>
      <c r="I1882" s="8">
        <f>IF(F1882&lt;&gt;"",HYPERLINK("https://m.uber.com/ul/?action=setPickup&amp;pickup=my_location&amp;dropoff[latitude]="&amp;LEFT(SUBSTITUTE(F1882," ",""),FIND(",",SUBSTITUTE(F1882," ",""))-1)&amp;"&amp;dropoff[longitude]="&amp;MID(SUBSTITUTE(F1882," ",""),FIND(",",SUBSTITUTE(F1882," ",""))+1,99),"🚕 Uber"),"")</f>
        <v/>
      </c>
      <c r="J1882" s="8">
        <f>IF(F1882&lt;&gt;"","https://api.qrserver.com/v1/create-qr-code/?size=200x200&amp;data="&amp;ENCODEURL("https://www.google.com/maps/search/?api=1&amp;query="&amp;SUBSTITUTE(F1882," ","")),"")</f>
        <v/>
      </c>
      <c r="K1882" s="8">
        <f>IF(C1882&lt;&gt;"",HYPERLINK("https://wa.me/507"&amp;REGEXREPLACE(C1882,"[^0-9]","")&amp;"?text="&amp;ENCODEURL("Ya llegue. Codigo: "&amp;A1882&amp;". Ubicacion: "&amp;"https://www.google.com/maps/search/?api=1&amp;query="&amp;SUBSTITUTE(F1882," ","")),"📲 Avisar al cliente"),"")</f>
        <v/>
      </c>
      <c r="L1882" s="8">
        <f>IF(C1882&lt;&gt;"","https://api.qrserver.com/v1/create-qr-code/?size=200x200&amp;data="&amp;ENCODEURL("https://wa.me/507"&amp;REGEXREPLACE(C1882,"[^0-9]","")&amp;"?text="&amp;ENCODEURL("Ya llegue. Codigo: "&amp;A1882&amp;". Ubicacion: "&amp;"https://www.google.com/maps/search/?api=1&amp;query="&amp;SUBSTITUTE(F1882," ",""))),"")</f>
        <v/>
      </c>
      <c r="M1882" s="8">
        <f>IF(B1882&lt;&gt;"",TODAY(),"")</f>
        <v/>
      </c>
      <c r="N1882" s="8">
        <f>IF(F1882&lt;&gt;"",IFERROR(IF(AND(REGEXMATCH(SUBSTITUTE(TRIM(F1882)," ",""),"^-?\d+(\.\d+)?,-?\d+(\.\d+)?$"),VALUE(REGEXEXTRACT(SUBSTITUTE(TRIM(F1882)," ",""),"^-?\d+(\.\d+)?"))&gt;=-90,VALUE(REGEXEXTRACT(SUBSTITUTE(TRIM(F1882)," ",""),"^-?\d+(\.\d+)?"))&lt;=90,VALUE(REGEXEXTRACT(SUBSTITUTE(TRIM(F1882)," ",""),"-?\d+(\.\d+)?$"))&gt;=-180,VALUE(REGEXEXTRACT(SUBSTITUTE(TRIM(F1882)," ",""),"-?\d+(\.\d+)?$"))&lt;=180),"OK","REVISAR"),"REVISAR"),"")</f>
        <v/>
      </c>
      <c r="O1882">
        <f>IF(A1882&lt;&gt;"","https://direcciones507.github.io/direcciones507/panel.html?codigo="&amp;A1882&amp;"&amp;nombre="&amp;ENCODEURL(B1882)&amp;"&amp;telefono="&amp;SUBSTITUTE(C1882,"-","")&amp;"&amp;referencia="&amp;ENCODEURL(E1882)&amp;"&amp;lat="&amp;IZQUIERDA(SUBSTITUTE(F1882," ",""),ENCONTRAR(",",SUBSTITUTE(F1882," ",""))-1)&amp;"&amp;lng="&amp;DERECHA(SUBSTITUTE(F1882," ",""),LARGO(SUBSTITUTE(F1882," ",""))-ENCONTRAR(",",SUBSTITUTE(F1882," ",""))),"")</f>
        <v/>
      </c>
    </row>
    <row r="1883" ht="15.75" customHeight="1" s="10">
      <c r="A1883" s="8">
        <f>CONCAT("AD507-",TEXT(ROW()-2,"0000"))</f>
        <v/>
      </c>
      <c r="C1883" s="8" t="n"/>
      <c r="F1883" s="8" t="n"/>
      <c r="G1883" s="8">
        <f>IF(F1883&lt;&gt;"",HYPERLINK("https://www.google.com/maps/search/?api=1&amp;query="&amp;SUBSTITUTE(F1883," ",""),"🗺 Google Maps"),"")</f>
        <v/>
      </c>
      <c r="H1883" s="8">
        <f>IF(F1883&lt;&gt;"",HYPERLINK("https://waze.com/ul?ll="&amp;SUBSTITUTE(F1883," ","")&amp;"&amp;navigate=yes","🚗 Waze"),"")</f>
        <v/>
      </c>
      <c r="I1883" s="8">
        <f>IF(F1883&lt;&gt;"",HYPERLINK("https://m.uber.com/ul/?action=setPickup&amp;pickup=my_location&amp;dropoff[latitude]="&amp;LEFT(SUBSTITUTE(F1883," ",""),FIND(",",SUBSTITUTE(F1883," ",""))-1)&amp;"&amp;dropoff[longitude]="&amp;MID(SUBSTITUTE(F1883," ",""),FIND(",",SUBSTITUTE(F1883," ",""))+1,99),"🚕 Uber"),"")</f>
        <v/>
      </c>
      <c r="J1883" s="8">
        <f>IF(F1883&lt;&gt;"","https://api.qrserver.com/v1/create-qr-code/?size=200x200&amp;data="&amp;ENCODEURL("https://www.google.com/maps/search/?api=1&amp;query="&amp;SUBSTITUTE(F1883," ","")),"")</f>
        <v/>
      </c>
      <c r="K1883" s="8">
        <f>IF(C1883&lt;&gt;"",HYPERLINK("https://wa.me/507"&amp;REGEXREPLACE(C1883,"[^0-9]","")&amp;"?text="&amp;ENCODEURL("Ya llegue. Codigo: "&amp;A1883&amp;". Ubicacion: "&amp;"https://www.google.com/maps/search/?api=1&amp;query="&amp;SUBSTITUTE(F1883," ","")),"📲 Avisar al cliente"),"")</f>
        <v/>
      </c>
      <c r="L1883" s="8">
        <f>IF(C1883&lt;&gt;"","https://api.qrserver.com/v1/create-qr-code/?size=200x200&amp;data="&amp;ENCODEURL("https://wa.me/507"&amp;REGEXREPLACE(C1883,"[^0-9]","")&amp;"?text="&amp;ENCODEURL("Ya llegue. Codigo: "&amp;A1883&amp;". Ubicacion: "&amp;"https://www.google.com/maps/search/?api=1&amp;query="&amp;SUBSTITUTE(F1883," ",""))),"")</f>
        <v/>
      </c>
      <c r="M1883" s="8">
        <f>IF(B1883&lt;&gt;"",TODAY(),"")</f>
        <v/>
      </c>
      <c r="N1883" s="8">
        <f>IF(F1883&lt;&gt;"",IFERROR(IF(AND(REGEXMATCH(SUBSTITUTE(TRIM(F1883)," ",""),"^-?\d+(\.\d+)?,-?\d+(\.\d+)?$"),VALUE(REGEXEXTRACT(SUBSTITUTE(TRIM(F1883)," ",""),"^-?\d+(\.\d+)?"))&gt;=-90,VALUE(REGEXEXTRACT(SUBSTITUTE(TRIM(F1883)," ",""),"^-?\d+(\.\d+)?"))&lt;=90,VALUE(REGEXEXTRACT(SUBSTITUTE(TRIM(F1883)," ",""),"-?\d+(\.\d+)?$"))&gt;=-180,VALUE(REGEXEXTRACT(SUBSTITUTE(TRIM(F1883)," ",""),"-?\d+(\.\d+)?$"))&lt;=180),"OK","REVISAR"),"REVISAR"),"")</f>
        <v/>
      </c>
      <c r="O1883">
        <f>IF(A1883&lt;&gt;"","https://direcciones507.github.io/direcciones507/panel.html?codigo="&amp;A1883&amp;"&amp;nombre="&amp;ENCODEURL(B1883)&amp;"&amp;telefono="&amp;SUBSTITUTE(C1883,"-","")&amp;"&amp;referencia="&amp;ENCODEURL(E1883)&amp;"&amp;lat="&amp;IZQUIERDA(SUBSTITUTE(F1883," ",""),ENCONTRAR(",",SUBSTITUTE(F1883," ",""))-1)&amp;"&amp;lng="&amp;DERECHA(SUBSTITUTE(F1883," ",""),LARGO(SUBSTITUTE(F1883," ",""))-ENCONTRAR(",",SUBSTITUTE(F1883," ",""))),"")</f>
        <v/>
      </c>
    </row>
    <row r="1884" ht="15.75" customHeight="1" s="10">
      <c r="A1884" s="8">
        <f>CONCAT("AD507-",TEXT(ROW()-2,"0000"))</f>
        <v/>
      </c>
      <c r="C1884" s="8" t="n"/>
      <c r="F1884" s="8" t="n"/>
      <c r="G1884" s="8">
        <f>IF(F1884&lt;&gt;"",HYPERLINK("https://www.google.com/maps/search/?api=1&amp;query="&amp;SUBSTITUTE(F1884," ",""),"🗺 Google Maps"),"")</f>
        <v/>
      </c>
      <c r="H1884" s="8">
        <f>IF(F1884&lt;&gt;"",HYPERLINK("https://waze.com/ul?ll="&amp;SUBSTITUTE(F1884," ","")&amp;"&amp;navigate=yes","🚗 Waze"),"")</f>
        <v/>
      </c>
      <c r="I1884" s="8">
        <f>IF(F1884&lt;&gt;"",HYPERLINK("https://m.uber.com/ul/?action=setPickup&amp;pickup=my_location&amp;dropoff[latitude]="&amp;LEFT(SUBSTITUTE(F1884," ",""),FIND(",",SUBSTITUTE(F1884," ",""))-1)&amp;"&amp;dropoff[longitude]="&amp;MID(SUBSTITUTE(F1884," ",""),FIND(",",SUBSTITUTE(F1884," ",""))+1,99),"🚕 Uber"),"")</f>
        <v/>
      </c>
      <c r="J1884" s="8">
        <f>IF(F1884&lt;&gt;"","https://api.qrserver.com/v1/create-qr-code/?size=200x200&amp;data="&amp;ENCODEURL("https://www.google.com/maps/search/?api=1&amp;query="&amp;SUBSTITUTE(F1884," ","")),"")</f>
        <v/>
      </c>
      <c r="K1884" s="8">
        <f>IF(C1884&lt;&gt;"",HYPERLINK("https://wa.me/507"&amp;REGEXREPLACE(C1884,"[^0-9]","")&amp;"?text="&amp;ENCODEURL("Ya llegue. Codigo: "&amp;A1884&amp;". Ubicacion: "&amp;"https://www.google.com/maps/search/?api=1&amp;query="&amp;SUBSTITUTE(F1884," ","")),"📲 Avisar al cliente"),"")</f>
        <v/>
      </c>
      <c r="L1884" s="8">
        <f>IF(C1884&lt;&gt;"","https://api.qrserver.com/v1/create-qr-code/?size=200x200&amp;data="&amp;ENCODEURL("https://wa.me/507"&amp;REGEXREPLACE(C1884,"[^0-9]","")&amp;"?text="&amp;ENCODEURL("Ya llegue. Codigo: "&amp;A1884&amp;". Ubicacion: "&amp;"https://www.google.com/maps/search/?api=1&amp;query="&amp;SUBSTITUTE(F1884," ",""))),"")</f>
        <v/>
      </c>
      <c r="M1884" s="8">
        <f>IF(B1884&lt;&gt;"",TODAY(),"")</f>
        <v/>
      </c>
      <c r="N1884" s="8">
        <f>IF(F1884&lt;&gt;"",IFERROR(IF(AND(REGEXMATCH(SUBSTITUTE(TRIM(F1884)," ",""),"^-?\d+(\.\d+)?,-?\d+(\.\d+)?$"),VALUE(REGEXEXTRACT(SUBSTITUTE(TRIM(F1884)," ",""),"^-?\d+(\.\d+)?"))&gt;=-90,VALUE(REGEXEXTRACT(SUBSTITUTE(TRIM(F1884)," ",""),"^-?\d+(\.\d+)?"))&lt;=90,VALUE(REGEXEXTRACT(SUBSTITUTE(TRIM(F1884)," ",""),"-?\d+(\.\d+)?$"))&gt;=-180,VALUE(REGEXEXTRACT(SUBSTITUTE(TRIM(F1884)," ",""),"-?\d+(\.\d+)?$"))&lt;=180),"OK","REVISAR"),"REVISAR"),"")</f>
        <v/>
      </c>
      <c r="O1884">
        <f>IF(A1884&lt;&gt;"","https://direcciones507.github.io/direcciones507/panel.html?codigo="&amp;A1884&amp;"&amp;nombre="&amp;ENCODEURL(B1884)&amp;"&amp;telefono="&amp;SUBSTITUTE(C1884,"-","")&amp;"&amp;referencia="&amp;ENCODEURL(E1884)&amp;"&amp;lat="&amp;IZQUIERDA(SUBSTITUTE(F1884," ",""),ENCONTRAR(",",SUBSTITUTE(F1884," ",""))-1)&amp;"&amp;lng="&amp;DERECHA(SUBSTITUTE(F1884," ",""),LARGO(SUBSTITUTE(F1884," ",""))-ENCONTRAR(",",SUBSTITUTE(F1884," ",""))),"")</f>
        <v/>
      </c>
    </row>
    <row r="1885" ht="15.75" customHeight="1" s="10">
      <c r="A1885" s="8">
        <f>CONCAT("AD507-",TEXT(ROW()-2,"0000"))</f>
        <v/>
      </c>
      <c r="C1885" s="8" t="n"/>
      <c r="F1885" s="8" t="n"/>
      <c r="G1885" s="8">
        <f>IF(F1885&lt;&gt;"",HYPERLINK("https://www.google.com/maps/search/?api=1&amp;query="&amp;SUBSTITUTE(F1885," ",""),"🗺 Google Maps"),"")</f>
        <v/>
      </c>
      <c r="H1885" s="8">
        <f>IF(F1885&lt;&gt;"",HYPERLINK("https://waze.com/ul?ll="&amp;SUBSTITUTE(F1885," ","")&amp;"&amp;navigate=yes","🚗 Waze"),"")</f>
        <v/>
      </c>
      <c r="I1885" s="8">
        <f>IF(F1885&lt;&gt;"",HYPERLINK("https://m.uber.com/ul/?action=setPickup&amp;pickup=my_location&amp;dropoff[latitude]="&amp;LEFT(SUBSTITUTE(F1885," ",""),FIND(",",SUBSTITUTE(F1885," ",""))-1)&amp;"&amp;dropoff[longitude]="&amp;MID(SUBSTITUTE(F1885," ",""),FIND(",",SUBSTITUTE(F1885," ",""))+1,99),"🚕 Uber"),"")</f>
        <v/>
      </c>
      <c r="J1885" s="8">
        <f>IF(F1885&lt;&gt;"","https://api.qrserver.com/v1/create-qr-code/?size=200x200&amp;data="&amp;ENCODEURL("https://www.google.com/maps/search/?api=1&amp;query="&amp;SUBSTITUTE(F1885," ","")),"")</f>
        <v/>
      </c>
      <c r="K1885" s="8">
        <f>IF(C1885&lt;&gt;"",HYPERLINK("https://wa.me/507"&amp;REGEXREPLACE(C1885,"[^0-9]","")&amp;"?text="&amp;ENCODEURL("Ya llegue. Codigo: "&amp;A1885&amp;". Ubicacion: "&amp;"https://www.google.com/maps/search/?api=1&amp;query="&amp;SUBSTITUTE(F1885," ","")),"📲 Avisar al cliente"),"")</f>
        <v/>
      </c>
      <c r="L1885" s="8">
        <f>IF(C1885&lt;&gt;"","https://api.qrserver.com/v1/create-qr-code/?size=200x200&amp;data="&amp;ENCODEURL("https://wa.me/507"&amp;REGEXREPLACE(C1885,"[^0-9]","")&amp;"?text="&amp;ENCODEURL("Ya llegue. Codigo: "&amp;A1885&amp;". Ubicacion: "&amp;"https://www.google.com/maps/search/?api=1&amp;query="&amp;SUBSTITUTE(F1885," ",""))),"")</f>
        <v/>
      </c>
      <c r="M1885" s="8">
        <f>IF(B1885&lt;&gt;"",TODAY(),"")</f>
        <v/>
      </c>
      <c r="N1885" s="8">
        <f>IF(F1885&lt;&gt;"",IFERROR(IF(AND(REGEXMATCH(SUBSTITUTE(TRIM(F1885)," ",""),"^-?\d+(\.\d+)?,-?\d+(\.\d+)?$"),VALUE(REGEXEXTRACT(SUBSTITUTE(TRIM(F1885)," ",""),"^-?\d+(\.\d+)?"))&gt;=-90,VALUE(REGEXEXTRACT(SUBSTITUTE(TRIM(F1885)," ",""),"^-?\d+(\.\d+)?"))&lt;=90,VALUE(REGEXEXTRACT(SUBSTITUTE(TRIM(F1885)," ",""),"-?\d+(\.\d+)?$"))&gt;=-180,VALUE(REGEXEXTRACT(SUBSTITUTE(TRIM(F1885)," ",""),"-?\d+(\.\d+)?$"))&lt;=180),"OK","REVISAR"),"REVISAR"),"")</f>
        <v/>
      </c>
      <c r="O1885">
        <f>IF(A1885&lt;&gt;"","https://direcciones507.github.io/direcciones507/panel.html?codigo="&amp;A1885&amp;"&amp;nombre="&amp;ENCODEURL(B1885)&amp;"&amp;telefono="&amp;SUBSTITUTE(C1885,"-","")&amp;"&amp;referencia="&amp;ENCODEURL(E1885)&amp;"&amp;lat="&amp;IZQUIERDA(SUBSTITUTE(F1885," ",""),ENCONTRAR(",",SUBSTITUTE(F1885," ",""))-1)&amp;"&amp;lng="&amp;DERECHA(SUBSTITUTE(F1885," ",""),LARGO(SUBSTITUTE(F1885," ",""))-ENCONTRAR(",",SUBSTITUTE(F1885," ",""))),"")</f>
        <v/>
      </c>
    </row>
    <row r="1886" ht="15.75" customHeight="1" s="10">
      <c r="A1886" s="8">
        <f>CONCAT("AD507-",TEXT(ROW()-2,"0000"))</f>
        <v/>
      </c>
      <c r="C1886" s="8" t="n"/>
      <c r="F1886" s="8" t="n"/>
      <c r="G1886" s="8">
        <f>IF(F1886&lt;&gt;"",HYPERLINK("https://www.google.com/maps/search/?api=1&amp;query="&amp;SUBSTITUTE(F1886," ",""),"🗺 Google Maps"),"")</f>
        <v/>
      </c>
      <c r="H1886" s="8">
        <f>IF(F1886&lt;&gt;"",HYPERLINK("https://waze.com/ul?ll="&amp;SUBSTITUTE(F1886," ","")&amp;"&amp;navigate=yes","🚗 Waze"),"")</f>
        <v/>
      </c>
      <c r="I1886" s="8">
        <f>IF(F1886&lt;&gt;"",HYPERLINK("https://m.uber.com/ul/?action=setPickup&amp;pickup=my_location&amp;dropoff[latitude]="&amp;LEFT(SUBSTITUTE(F1886," ",""),FIND(",",SUBSTITUTE(F1886," ",""))-1)&amp;"&amp;dropoff[longitude]="&amp;MID(SUBSTITUTE(F1886," ",""),FIND(",",SUBSTITUTE(F1886," ",""))+1,99),"🚕 Uber"),"")</f>
        <v/>
      </c>
      <c r="J1886" s="8">
        <f>IF(F1886&lt;&gt;"","https://api.qrserver.com/v1/create-qr-code/?size=200x200&amp;data="&amp;ENCODEURL("https://www.google.com/maps/search/?api=1&amp;query="&amp;SUBSTITUTE(F1886," ","")),"")</f>
        <v/>
      </c>
      <c r="K1886" s="8">
        <f>IF(C1886&lt;&gt;"",HYPERLINK("https://wa.me/507"&amp;REGEXREPLACE(C1886,"[^0-9]","")&amp;"?text="&amp;ENCODEURL("Ya llegue. Codigo: "&amp;A1886&amp;". Ubicacion: "&amp;"https://www.google.com/maps/search/?api=1&amp;query="&amp;SUBSTITUTE(F1886," ","")),"📲 Avisar al cliente"),"")</f>
        <v/>
      </c>
      <c r="L1886" s="8">
        <f>IF(C1886&lt;&gt;"","https://api.qrserver.com/v1/create-qr-code/?size=200x200&amp;data="&amp;ENCODEURL("https://wa.me/507"&amp;REGEXREPLACE(C1886,"[^0-9]","")&amp;"?text="&amp;ENCODEURL("Ya llegue. Codigo: "&amp;A1886&amp;". Ubicacion: "&amp;"https://www.google.com/maps/search/?api=1&amp;query="&amp;SUBSTITUTE(F1886," ",""))),"")</f>
        <v/>
      </c>
      <c r="M1886" s="8">
        <f>IF(B1886&lt;&gt;"",TODAY(),"")</f>
        <v/>
      </c>
      <c r="N1886" s="8">
        <f>IF(F1886&lt;&gt;"",IFERROR(IF(AND(REGEXMATCH(SUBSTITUTE(TRIM(F1886)," ",""),"^-?\d+(\.\d+)?,-?\d+(\.\d+)?$"),VALUE(REGEXEXTRACT(SUBSTITUTE(TRIM(F1886)," ",""),"^-?\d+(\.\d+)?"))&gt;=-90,VALUE(REGEXEXTRACT(SUBSTITUTE(TRIM(F1886)," ",""),"^-?\d+(\.\d+)?"))&lt;=90,VALUE(REGEXEXTRACT(SUBSTITUTE(TRIM(F1886)," ",""),"-?\d+(\.\d+)?$"))&gt;=-180,VALUE(REGEXEXTRACT(SUBSTITUTE(TRIM(F1886)," ",""),"-?\d+(\.\d+)?$"))&lt;=180),"OK","REVISAR"),"REVISAR"),"")</f>
        <v/>
      </c>
      <c r="O1886">
        <f>IF(A1886&lt;&gt;"","https://direcciones507.github.io/direcciones507/panel.html?codigo="&amp;A1886&amp;"&amp;nombre="&amp;ENCODEURL(B1886)&amp;"&amp;telefono="&amp;SUBSTITUTE(C1886,"-","")&amp;"&amp;referencia="&amp;ENCODEURL(E1886)&amp;"&amp;lat="&amp;IZQUIERDA(SUBSTITUTE(F1886," ",""),ENCONTRAR(",",SUBSTITUTE(F1886," ",""))-1)&amp;"&amp;lng="&amp;DERECHA(SUBSTITUTE(F1886," ",""),LARGO(SUBSTITUTE(F1886," ",""))-ENCONTRAR(",",SUBSTITUTE(F1886," ",""))),"")</f>
        <v/>
      </c>
    </row>
    <row r="1887" ht="15.75" customHeight="1" s="10">
      <c r="A1887" s="8">
        <f>CONCAT("AD507-",TEXT(ROW()-2,"0000"))</f>
        <v/>
      </c>
      <c r="C1887" s="8" t="n"/>
      <c r="F1887" s="8" t="n"/>
      <c r="G1887" s="8">
        <f>IF(F1887&lt;&gt;"",HYPERLINK("https://www.google.com/maps/search/?api=1&amp;query="&amp;SUBSTITUTE(F1887," ",""),"🗺 Google Maps"),"")</f>
        <v/>
      </c>
      <c r="H1887" s="8">
        <f>IF(F1887&lt;&gt;"",HYPERLINK("https://waze.com/ul?ll="&amp;SUBSTITUTE(F1887," ","")&amp;"&amp;navigate=yes","🚗 Waze"),"")</f>
        <v/>
      </c>
      <c r="I1887" s="8">
        <f>IF(F1887&lt;&gt;"",HYPERLINK("https://m.uber.com/ul/?action=setPickup&amp;pickup=my_location&amp;dropoff[latitude]="&amp;LEFT(SUBSTITUTE(F1887," ",""),FIND(",",SUBSTITUTE(F1887," ",""))-1)&amp;"&amp;dropoff[longitude]="&amp;MID(SUBSTITUTE(F1887," ",""),FIND(",",SUBSTITUTE(F1887," ",""))+1,99),"🚕 Uber"),"")</f>
        <v/>
      </c>
      <c r="J1887" s="8">
        <f>IF(F1887&lt;&gt;"","https://api.qrserver.com/v1/create-qr-code/?size=200x200&amp;data="&amp;ENCODEURL("https://www.google.com/maps/search/?api=1&amp;query="&amp;SUBSTITUTE(F1887," ","")),"")</f>
        <v/>
      </c>
      <c r="K1887" s="8">
        <f>IF(C1887&lt;&gt;"",HYPERLINK("https://wa.me/507"&amp;REGEXREPLACE(C1887,"[^0-9]","")&amp;"?text="&amp;ENCODEURL("Ya llegue. Codigo: "&amp;A1887&amp;". Ubicacion: "&amp;"https://www.google.com/maps/search/?api=1&amp;query="&amp;SUBSTITUTE(F1887," ","")),"📲 Avisar al cliente"),"")</f>
        <v/>
      </c>
      <c r="L1887" s="8">
        <f>IF(C1887&lt;&gt;"","https://api.qrserver.com/v1/create-qr-code/?size=200x200&amp;data="&amp;ENCODEURL("https://wa.me/507"&amp;REGEXREPLACE(C1887,"[^0-9]","")&amp;"?text="&amp;ENCODEURL("Ya llegue. Codigo: "&amp;A1887&amp;". Ubicacion: "&amp;"https://www.google.com/maps/search/?api=1&amp;query="&amp;SUBSTITUTE(F1887," ",""))),"")</f>
        <v/>
      </c>
      <c r="M1887" s="8">
        <f>IF(B1887&lt;&gt;"",TODAY(),"")</f>
        <v/>
      </c>
      <c r="N1887" s="8">
        <f>IF(F1887&lt;&gt;"",IFERROR(IF(AND(REGEXMATCH(SUBSTITUTE(TRIM(F1887)," ",""),"^-?\d+(\.\d+)?,-?\d+(\.\d+)?$"),VALUE(REGEXEXTRACT(SUBSTITUTE(TRIM(F1887)," ",""),"^-?\d+(\.\d+)?"))&gt;=-90,VALUE(REGEXEXTRACT(SUBSTITUTE(TRIM(F1887)," ",""),"^-?\d+(\.\d+)?"))&lt;=90,VALUE(REGEXEXTRACT(SUBSTITUTE(TRIM(F1887)," ",""),"-?\d+(\.\d+)?$"))&gt;=-180,VALUE(REGEXEXTRACT(SUBSTITUTE(TRIM(F1887)," ",""),"-?\d+(\.\d+)?$"))&lt;=180),"OK","REVISAR"),"REVISAR"),"")</f>
        <v/>
      </c>
      <c r="O1887">
        <f>IF(A1887&lt;&gt;"","https://direcciones507.github.io/direcciones507/panel.html?codigo="&amp;A1887&amp;"&amp;nombre="&amp;ENCODEURL(B1887)&amp;"&amp;telefono="&amp;SUBSTITUTE(C1887,"-","")&amp;"&amp;referencia="&amp;ENCODEURL(E1887)&amp;"&amp;lat="&amp;IZQUIERDA(SUBSTITUTE(F1887," ",""),ENCONTRAR(",",SUBSTITUTE(F1887," ",""))-1)&amp;"&amp;lng="&amp;DERECHA(SUBSTITUTE(F1887," ",""),LARGO(SUBSTITUTE(F1887," ",""))-ENCONTRAR(",",SUBSTITUTE(F1887," ",""))),"")</f>
        <v/>
      </c>
    </row>
    <row r="1888" ht="15.75" customHeight="1" s="10">
      <c r="A1888" s="8">
        <f>CONCAT("AD507-",TEXT(ROW()-2,"0000"))</f>
        <v/>
      </c>
      <c r="C1888" s="8" t="n"/>
      <c r="F1888" s="8" t="n"/>
      <c r="G1888" s="8">
        <f>IF(F1888&lt;&gt;"",HYPERLINK("https://www.google.com/maps/search/?api=1&amp;query="&amp;SUBSTITUTE(F1888," ",""),"🗺 Google Maps"),"")</f>
        <v/>
      </c>
      <c r="H1888" s="8">
        <f>IF(F1888&lt;&gt;"",HYPERLINK("https://waze.com/ul?ll="&amp;SUBSTITUTE(F1888," ","")&amp;"&amp;navigate=yes","🚗 Waze"),"")</f>
        <v/>
      </c>
      <c r="I1888" s="8">
        <f>IF(F1888&lt;&gt;"",HYPERLINK("https://m.uber.com/ul/?action=setPickup&amp;pickup=my_location&amp;dropoff[latitude]="&amp;LEFT(SUBSTITUTE(F1888," ",""),FIND(",",SUBSTITUTE(F1888," ",""))-1)&amp;"&amp;dropoff[longitude]="&amp;MID(SUBSTITUTE(F1888," ",""),FIND(",",SUBSTITUTE(F1888," ",""))+1,99),"🚕 Uber"),"")</f>
        <v/>
      </c>
      <c r="J1888" s="8">
        <f>IF(F1888&lt;&gt;"","https://api.qrserver.com/v1/create-qr-code/?size=200x200&amp;data="&amp;ENCODEURL("https://www.google.com/maps/search/?api=1&amp;query="&amp;SUBSTITUTE(F1888," ","")),"")</f>
        <v/>
      </c>
      <c r="K1888" s="8">
        <f>IF(C1888&lt;&gt;"",HYPERLINK("https://wa.me/507"&amp;REGEXREPLACE(C1888,"[^0-9]","")&amp;"?text="&amp;ENCODEURL("Ya llegue. Codigo: "&amp;A1888&amp;". Ubicacion: "&amp;"https://www.google.com/maps/search/?api=1&amp;query="&amp;SUBSTITUTE(F1888," ","")),"📲 Avisar al cliente"),"")</f>
        <v/>
      </c>
      <c r="L1888" s="8">
        <f>IF(C1888&lt;&gt;"","https://api.qrserver.com/v1/create-qr-code/?size=200x200&amp;data="&amp;ENCODEURL("https://wa.me/507"&amp;REGEXREPLACE(C1888,"[^0-9]","")&amp;"?text="&amp;ENCODEURL("Ya llegue. Codigo: "&amp;A1888&amp;". Ubicacion: "&amp;"https://www.google.com/maps/search/?api=1&amp;query="&amp;SUBSTITUTE(F1888," ",""))),"")</f>
        <v/>
      </c>
      <c r="M1888" s="8">
        <f>IF(B1888&lt;&gt;"",TODAY(),"")</f>
        <v/>
      </c>
      <c r="N1888" s="8">
        <f>IF(F1888&lt;&gt;"",IFERROR(IF(AND(REGEXMATCH(SUBSTITUTE(TRIM(F1888)," ",""),"^-?\d+(\.\d+)?,-?\d+(\.\d+)?$"),VALUE(REGEXEXTRACT(SUBSTITUTE(TRIM(F1888)," ",""),"^-?\d+(\.\d+)?"))&gt;=-90,VALUE(REGEXEXTRACT(SUBSTITUTE(TRIM(F1888)," ",""),"^-?\d+(\.\d+)?"))&lt;=90,VALUE(REGEXEXTRACT(SUBSTITUTE(TRIM(F1888)," ",""),"-?\d+(\.\d+)?$"))&gt;=-180,VALUE(REGEXEXTRACT(SUBSTITUTE(TRIM(F1888)," ",""),"-?\d+(\.\d+)?$"))&lt;=180),"OK","REVISAR"),"REVISAR"),"")</f>
        <v/>
      </c>
      <c r="O1888">
        <f>IF(A1888&lt;&gt;"","https://direcciones507.github.io/direcciones507/panel.html?codigo="&amp;A1888&amp;"&amp;nombre="&amp;ENCODEURL(B1888)&amp;"&amp;telefono="&amp;SUBSTITUTE(C1888,"-","")&amp;"&amp;referencia="&amp;ENCODEURL(E1888)&amp;"&amp;lat="&amp;IZQUIERDA(SUBSTITUTE(F1888," ",""),ENCONTRAR(",",SUBSTITUTE(F1888," ",""))-1)&amp;"&amp;lng="&amp;DERECHA(SUBSTITUTE(F1888," ",""),LARGO(SUBSTITUTE(F1888," ",""))-ENCONTRAR(",",SUBSTITUTE(F1888," ",""))),"")</f>
        <v/>
      </c>
    </row>
    <row r="1889" ht="15.75" customHeight="1" s="10">
      <c r="A1889" s="8">
        <f>CONCAT("AD507-",TEXT(ROW()-2,"0000"))</f>
        <v/>
      </c>
      <c r="C1889" s="8" t="n"/>
      <c r="F1889" s="8" t="n"/>
      <c r="G1889" s="8">
        <f>IF(F1889&lt;&gt;"",HYPERLINK("https://www.google.com/maps/search/?api=1&amp;query="&amp;SUBSTITUTE(F1889," ",""),"🗺 Google Maps"),"")</f>
        <v/>
      </c>
      <c r="H1889" s="8">
        <f>IF(F1889&lt;&gt;"",HYPERLINK("https://waze.com/ul?ll="&amp;SUBSTITUTE(F1889," ","")&amp;"&amp;navigate=yes","🚗 Waze"),"")</f>
        <v/>
      </c>
      <c r="I1889" s="8">
        <f>IF(F1889&lt;&gt;"",HYPERLINK("https://m.uber.com/ul/?action=setPickup&amp;pickup=my_location&amp;dropoff[latitude]="&amp;LEFT(SUBSTITUTE(F1889," ",""),FIND(",",SUBSTITUTE(F1889," ",""))-1)&amp;"&amp;dropoff[longitude]="&amp;MID(SUBSTITUTE(F1889," ",""),FIND(",",SUBSTITUTE(F1889," ",""))+1,99),"🚕 Uber"),"")</f>
        <v/>
      </c>
      <c r="J1889" s="8">
        <f>IF(F1889&lt;&gt;"","https://api.qrserver.com/v1/create-qr-code/?size=200x200&amp;data="&amp;ENCODEURL("https://www.google.com/maps/search/?api=1&amp;query="&amp;SUBSTITUTE(F1889," ","")),"")</f>
        <v/>
      </c>
      <c r="K1889" s="8">
        <f>IF(C1889&lt;&gt;"",HYPERLINK("https://wa.me/507"&amp;REGEXREPLACE(C1889,"[^0-9]","")&amp;"?text="&amp;ENCODEURL("Ya llegue. Codigo: "&amp;A1889&amp;". Ubicacion: "&amp;"https://www.google.com/maps/search/?api=1&amp;query="&amp;SUBSTITUTE(F1889," ","")),"📲 Avisar al cliente"),"")</f>
        <v/>
      </c>
      <c r="L1889" s="8">
        <f>IF(C1889&lt;&gt;"","https://api.qrserver.com/v1/create-qr-code/?size=200x200&amp;data="&amp;ENCODEURL("https://wa.me/507"&amp;REGEXREPLACE(C1889,"[^0-9]","")&amp;"?text="&amp;ENCODEURL("Ya llegue. Codigo: "&amp;A1889&amp;". Ubicacion: "&amp;"https://www.google.com/maps/search/?api=1&amp;query="&amp;SUBSTITUTE(F1889," ",""))),"")</f>
        <v/>
      </c>
      <c r="M1889" s="8">
        <f>IF(B1889&lt;&gt;"",TODAY(),"")</f>
        <v/>
      </c>
      <c r="N1889" s="8">
        <f>IF(F1889&lt;&gt;"",IFERROR(IF(AND(REGEXMATCH(SUBSTITUTE(TRIM(F1889)," ",""),"^-?\d+(\.\d+)?,-?\d+(\.\d+)?$"),VALUE(REGEXEXTRACT(SUBSTITUTE(TRIM(F1889)," ",""),"^-?\d+(\.\d+)?"))&gt;=-90,VALUE(REGEXEXTRACT(SUBSTITUTE(TRIM(F1889)," ",""),"^-?\d+(\.\d+)?"))&lt;=90,VALUE(REGEXEXTRACT(SUBSTITUTE(TRIM(F1889)," ",""),"-?\d+(\.\d+)?$"))&gt;=-180,VALUE(REGEXEXTRACT(SUBSTITUTE(TRIM(F1889)," ",""),"-?\d+(\.\d+)?$"))&lt;=180),"OK","REVISAR"),"REVISAR"),"")</f>
        <v/>
      </c>
      <c r="O1889">
        <f>IF(A1889&lt;&gt;"","https://direcciones507.github.io/direcciones507/panel.html?codigo="&amp;A1889&amp;"&amp;nombre="&amp;ENCODEURL(B1889)&amp;"&amp;telefono="&amp;SUBSTITUTE(C1889,"-","")&amp;"&amp;referencia="&amp;ENCODEURL(E1889)&amp;"&amp;lat="&amp;IZQUIERDA(SUBSTITUTE(F1889," ",""),ENCONTRAR(",",SUBSTITUTE(F1889," ",""))-1)&amp;"&amp;lng="&amp;DERECHA(SUBSTITUTE(F1889," ",""),LARGO(SUBSTITUTE(F1889," ",""))-ENCONTRAR(",",SUBSTITUTE(F1889," ",""))),"")</f>
        <v/>
      </c>
    </row>
    <row r="1890" ht="15.75" customHeight="1" s="10">
      <c r="A1890" s="8">
        <f>CONCAT("AD507-",TEXT(ROW()-2,"0000"))</f>
        <v/>
      </c>
      <c r="C1890" s="8" t="n"/>
      <c r="F1890" s="8" t="n"/>
      <c r="G1890" s="8">
        <f>IF(F1890&lt;&gt;"",HYPERLINK("https://www.google.com/maps/search/?api=1&amp;query="&amp;SUBSTITUTE(F1890," ",""),"🗺 Google Maps"),"")</f>
        <v/>
      </c>
      <c r="H1890" s="8">
        <f>IF(F1890&lt;&gt;"",HYPERLINK("https://waze.com/ul?ll="&amp;SUBSTITUTE(F1890," ","")&amp;"&amp;navigate=yes","🚗 Waze"),"")</f>
        <v/>
      </c>
      <c r="I1890" s="8">
        <f>IF(F1890&lt;&gt;"",HYPERLINK("https://m.uber.com/ul/?action=setPickup&amp;pickup=my_location&amp;dropoff[latitude]="&amp;LEFT(SUBSTITUTE(F1890," ",""),FIND(",",SUBSTITUTE(F1890," ",""))-1)&amp;"&amp;dropoff[longitude]="&amp;MID(SUBSTITUTE(F1890," ",""),FIND(",",SUBSTITUTE(F1890," ",""))+1,99),"🚕 Uber"),"")</f>
        <v/>
      </c>
      <c r="J1890" s="8">
        <f>IF(F1890&lt;&gt;"","https://api.qrserver.com/v1/create-qr-code/?size=200x200&amp;data="&amp;ENCODEURL("https://www.google.com/maps/search/?api=1&amp;query="&amp;SUBSTITUTE(F1890," ","")),"")</f>
        <v/>
      </c>
      <c r="K1890" s="8">
        <f>IF(C1890&lt;&gt;"",HYPERLINK("https://wa.me/507"&amp;REGEXREPLACE(C1890,"[^0-9]","")&amp;"?text="&amp;ENCODEURL("Ya llegue. Codigo: "&amp;A1890&amp;". Ubicacion: "&amp;"https://www.google.com/maps/search/?api=1&amp;query="&amp;SUBSTITUTE(F1890," ","")),"📲 Avisar al cliente"),"")</f>
        <v/>
      </c>
      <c r="L1890" s="8">
        <f>IF(C1890&lt;&gt;"","https://api.qrserver.com/v1/create-qr-code/?size=200x200&amp;data="&amp;ENCODEURL("https://wa.me/507"&amp;REGEXREPLACE(C1890,"[^0-9]","")&amp;"?text="&amp;ENCODEURL("Ya llegue. Codigo: "&amp;A1890&amp;". Ubicacion: "&amp;"https://www.google.com/maps/search/?api=1&amp;query="&amp;SUBSTITUTE(F1890," ",""))),"")</f>
        <v/>
      </c>
      <c r="M1890" s="8">
        <f>IF(B1890&lt;&gt;"",TODAY(),"")</f>
        <v/>
      </c>
      <c r="N1890" s="8">
        <f>IF(F1890&lt;&gt;"",IFERROR(IF(AND(REGEXMATCH(SUBSTITUTE(TRIM(F1890)," ",""),"^-?\d+(\.\d+)?,-?\d+(\.\d+)?$"),VALUE(REGEXEXTRACT(SUBSTITUTE(TRIM(F1890)," ",""),"^-?\d+(\.\d+)?"))&gt;=-90,VALUE(REGEXEXTRACT(SUBSTITUTE(TRIM(F1890)," ",""),"^-?\d+(\.\d+)?"))&lt;=90,VALUE(REGEXEXTRACT(SUBSTITUTE(TRIM(F1890)," ",""),"-?\d+(\.\d+)?$"))&gt;=-180,VALUE(REGEXEXTRACT(SUBSTITUTE(TRIM(F1890)," ",""),"-?\d+(\.\d+)?$"))&lt;=180),"OK","REVISAR"),"REVISAR"),"")</f>
        <v/>
      </c>
      <c r="O1890">
        <f>IF(A1890&lt;&gt;"","https://direcciones507.github.io/direcciones507/panel.html?codigo="&amp;A1890&amp;"&amp;nombre="&amp;ENCODEURL(B1890)&amp;"&amp;telefono="&amp;SUBSTITUTE(C1890,"-","")&amp;"&amp;referencia="&amp;ENCODEURL(E1890)&amp;"&amp;lat="&amp;IZQUIERDA(SUBSTITUTE(F1890," ",""),ENCONTRAR(",",SUBSTITUTE(F1890," ",""))-1)&amp;"&amp;lng="&amp;DERECHA(SUBSTITUTE(F1890," ",""),LARGO(SUBSTITUTE(F1890," ",""))-ENCONTRAR(",",SUBSTITUTE(F1890," ",""))),"")</f>
        <v/>
      </c>
    </row>
    <row r="1891" ht="15.75" customHeight="1" s="10">
      <c r="A1891" s="8">
        <f>CONCAT("AD507-",TEXT(ROW()-2,"0000"))</f>
        <v/>
      </c>
      <c r="C1891" s="8" t="n"/>
      <c r="F1891" s="8" t="n"/>
      <c r="G1891" s="8">
        <f>IF(F1891&lt;&gt;"",HYPERLINK("https://www.google.com/maps/search/?api=1&amp;query="&amp;SUBSTITUTE(F1891," ",""),"🗺 Google Maps"),"")</f>
        <v/>
      </c>
      <c r="H1891" s="8">
        <f>IF(F1891&lt;&gt;"",HYPERLINK("https://waze.com/ul?ll="&amp;SUBSTITUTE(F1891," ","")&amp;"&amp;navigate=yes","🚗 Waze"),"")</f>
        <v/>
      </c>
      <c r="I1891" s="8">
        <f>IF(F1891&lt;&gt;"",HYPERLINK("https://m.uber.com/ul/?action=setPickup&amp;pickup=my_location&amp;dropoff[latitude]="&amp;LEFT(SUBSTITUTE(F1891," ",""),FIND(",",SUBSTITUTE(F1891," ",""))-1)&amp;"&amp;dropoff[longitude]="&amp;MID(SUBSTITUTE(F1891," ",""),FIND(",",SUBSTITUTE(F1891," ",""))+1,99),"🚕 Uber"),"")</f>
        <v/>
      </c>
      <c r="J1891" s="8">
        <f>IF(F1891&lt;&gt;"","https://api.qrserver.com/v1/create-qr-code/?size=200x200&amp;data="&amp;ENCODEURL("https://www.google.com/maps/search/?api=1&amp;query="&amp;SUBSTITUTE(F1891," ","")),"")</f>
        <v/>
      </c>
      <c r="K1891" s="8">
        <f>IF(C1891&lt;&gt;"",HYPERLINK("https://wa.me/507"&amp;REGEXREPLACE(C1891,"[^0-9]","")&amp;"?text="&amp;ENCODEURL("Ya llegue. Codigo: "&amp;A1891&amp;". Ubicacion: "&amp;"https://www.google.com/maps/search/?api=1&amp;query="&amp;SUBSTITUTE(F1891," ","")),"📲 Avisar al cliente"),"")</f>
        <v/>
      </c>
      <c r="L1891" s="8">
        <f>IF(C1891&lt;&gt;"","https://api.qrserver.com/v1/create-qr-code/?size=200x200&amp;data="&amp;ENCODEURL("https://wa.me/507"&amp;REGEXREPLACE(C1891,"[^0-9]","")&amp;"?text="&amp;ENCODEURL("Ya llegue. Codigo: "&amp;A1891&amp;". Ubicacion: "&amp;"https://www.google.com/maps/search/?api=1&amp;query="&amp;SUBSTITUTE(F1891," ",""))),"")</f>
        <v/>
      </c>
      <c r="M1891" s="8">
        <f>IF(B1891&lt;&gt;"",TODAY(),"")</f>
        <v/>
      </c>
      <c r="N1891" s="8">
        <f>IF(F1891&lt;&gt;"",IFERROR(IF(AND(REGEXMATCH(SUBSTITUTE(TRIM(F1891)," ",""),"^-?\d+(\.\d+)?,-?\d+(\.\d+)?$"),VALUE(REGEXEXTRACT(SUBSTITUTE(TRIM(F1891)," ",""),"^-?\d+(\.\d+)?"))&gt;=-90,VALUE(REGEXEXTRACT(SUBSTITUTE(TRIM(F1891)," ",""),"^-?\d+(\.\d+)?"))&lt;=90,VALUE(REGEXEXTRACT(SUBSTITUTE(TRIM(F1891)," ",""),"-?\d+(\.\d+)?$"))&gt;=-180,VALUE(REGEXEXTRACT(SUBSTITUTE(TRIM(F1891)," ",""),"-?\d+(\.\d+)?$"))&lt;=180),"OK","REVISAR"),"REVISAR"),"")</f>
        <v/>
      </c>
      <c r="O1891">
        <f>IF(A1891&lt;&gt;"","https://direcciones507.github.io/direcciones507/panel.html?codigo="&amp;A1891&amp;"&amp;nombre="&amp;ENCODEURL(B1891)&amp;"&amp;telefono="&amp;SUBSTITUTE(C1891,"-","")&amp;"&amp;referencia="&amp;ENCODEURL(E1891)&amp;"&amp;lat="&amp;IZQUIERDA(SUBSTITUTE(F1891," ",""),ENCONTRAR(",",SUBSTITUTE(F1891," ",""))-1)&amp;"&amp;lng="&amp;DERECHA(SUBSTITUTE(F1891," ",""),LARGO(SUBSTITUTE(F1891," ",""))-ENCONTRAR(",",SUBSTITUTE(F1891," ",""))),"")</f>
        <v/>
      </c>
    </row>
    <row r="1892" ht="15.75" customHeight="1" s="10">
      <c r="A1892" s="8">
        <f>CONCAT("AD507-",TEXT(ROW()-2,"0000"))</f>
        <v/>
      </c>
      <c r="C1892" s="8" t="n"/>
      <c r="F1892" s="8" t="n"/>
      <c r="G1892" s="8">
        <f>IF(F1892&lt;&gt;"",HYPERLINK("https://www.google.com/maps/search/?api=1&amp;query="&amp;SUBSTITUTE(F1892," ",""),"🗺 Google Maps"),"")</f>
        <v/>
      </c>
      <c r="H1892" s="8">
        <f>IF(F1892&lt;&gt;"",HYPERLINK("https://waze.com/ul?ll="&amp;SUBSTITUTE(F1892," ","")&amp;"&amp;navigate=yes","🚗 Waze"),"")</f>
        <v/>
      </c>
      <c r="I1892" s="8">
        <f>IF(F1892&lt;&gt;"",HYPERLINK("https://m.uber.com/ul/?action=setPickup&amp;pickup=my_location&amp;dropoff[latitude]="&amp;LEFT(SUBSTITUTE(F1892," ",""),FIND(",",SUBSTITUTE(F1892," ",""))-1)&amp;"&amp;dropoff[longitude]="&amp;MID(SUBSTITUTE(F1892," ",""),FIND(",",SUBSTITUTE(F1892," ",""))+1,99),"🚕 Uber"),"")</f>
        <v/>
      </c>
      <c r="J1892" s="8">
        <f>IF(F1892&lt;&gt;"","https://api.qrserver.com/v1/create-qr-code/?size=200x200&amp;data="&amp;ENCODEURL("https://www.google.com/maps/search/?api=1&amp;query="&amp;SUBSTITUTE(F1892," ","")),"")</f>
        <v/>
      </c>
      <c r="K1892" s="8">
        <f>IF(C1892&lt;&gt;"",HYPERLINK("https://wa.me/507"&amp;REGEXREPLACE(C1892,"[^0-9]","")&amp;"?text="&amp;ENCODEURL("Ya llegue. Codigo: "&amp;A1892&amp;". Ubicacion: "&amp;"https://www.google.com/maps/search/?api=1&amp;query="&amp;SUBSTITUTE(F1892," ","")),"📲 Avisar al cliente"),"")</f>
        <v/>
      </c>
      <c r="L1892" s="8">
        <f>IF(C1892&lt;&gt;"","https://api.qrserver.com/v1/create-qr-code/?size=200x200&amp;data="&amp;ENCODEURL("https://wa.me/507"&amp;REGEXREPLACE(C1892,"[^0-9]","")&amp;"?text="&amp;ENCODEURL("Ya llegue. Codigo: "&amp;A1892&amp;". Ubicacion: "&amp;"https://www.google.com/maps/search/?api=1&amp;query="&amp;SUBSTITUTE(F1892," ",""))),"")</f>
        <v/>
      </c>
      <c r="M1892" s="8">
        <f>IF(B1892&lt;&gt;"",TODAY(),"")</f>
        <v/>
      </c>
      <c r="N1892" s="8">
        <f>IF(F1892&lt;&gt;"",IFERROR(IF(AND(REGEXMATCH(SUBSTITUTE(TRIM(F1892)," ",""),"^-?\d+(\.\d+)?,-?\d+(\.\d+)?$"),VALUE(REGEXEXTRACT(SUBSTITUTE(TRIM(F1892)," ",""),"^-?\d+(\.\d+)?"))&gt;=-90,VALUE(REGEXEXTRACT(SUBSTITUTE(TRIM(F1892)," ",""),"^-?\d+(\.\d+)?"))&lt;=90,VALUE(REGEXEXTRACT(SUBSTITUTE(TRIM(F1892)," ",""),"-?\d+(\.\d+)?$"))&gt;=-180,VALUE(REGEXEXTRACT(SUBSTITUTE(TRIM(F1892)," ",""),"-?\d+(\.\d+)?$"))&lt;=180),"OK","REVISAR"),"REVISAR"),"")</f>
        <v/>
      </c>
      <c r="O1892">
        <f>IF(A1892&lt;&gt;"","https://direcciones507.github.io/direcciones507/panel.html?codigo="&amp;A1892&amp;"&amp;nombre="&amp;ENCODEURL(B1892)&amp;"&amp;telefono="&amp;SUBSTITUTE(C1892,"-","")&amp;"&amp;referencia="&amp;ENCODEURL(E1892)&amp;"&amp;lat="&amp;IZQUIERDA(SUBSTITUTE(F1892," ",""),ENCONTRAR(",",SUBSTITUTE(F1892," ",""))-1)&amp;"&amp;lng="&amp;DERECHA(SUBSTITUTE(F1892," ",""),LARGO(SUBSTITUTE(F1892," ",""))-ENCONTRAR(",",SUBSTITUTE(F1892," ",""))),"")</f>
        <v/>
      </c>
    </row>
    <row r="1893" ht="15.75" customHeight="1" s="10">
      <c r="A1893" s="8">
        <f>CONCAT("AD507-",TEXT(ROW()-2,"0000"))</f>
        <v/>
      </c>
      <c r="C1893" s="8" t="n"/>
      <c r="F1893" s="8" t="n"/>
      <c r="G1893" s="8">
        <f>IF(F1893&lt;&gt;"",HYPERLINK("https://www.google.com/maps/search/?api=1&amp;query="&amp;SUBSTITUTE(F1893," ",""),"🗺 Google Maps"),"")</f>
        <v/>
      </c>
      <c r="H1893" s="8">
        <f>IF(F1893&lt;&gt;"",HYPERLINK("https://waze.com/ul?ll="&amp;SUBSTITUTE(F1893," ","")&amp;"&amp;navigate=yes","🚗 Waze"),"")</f>
        <v/>
      </c>
      <c r="I1893" s="8">
        <f>IF(F1893&lt;&gt;"",HYPERLINK("https://m.uber.com/ul/?action=setPickup&amp;pickup=my_location&amp;dropoff[latitude]="&amp;LEFT(SUBSTITUTE(F1893," ",""),FIND(",",SUBSTITUTE(F1893," ",""))-1)&amp;"&amp;dropoff[longitude]="&amp;MID(SUBSTITUTE(F1893," ",""),FIND(",",SUBSTITUTE(F1893," ",""))+1,99),"🚕 Uber"),"")</f>
        <v/>
      </c>
      <c r="J1893" s="8">
        <f>IF(F1893&lt;&gt;"","https://api.qrserver.com/v1/create-qr-code/?size=200x200&amp;data="&amp;ENCODEURL("https://www.google.com/maps/search/?api=1&amp;query="&amp;SUBSTITUTE(F1893," ","")),"")</f>
        <v/>
      </c>
      <c r="K1893" s="8">
        <f>IF(C1893&lt;&gt;"",HYPERLINK("https://wa.me/507"&amp;REGEXREPLACE(C1893,"[^0-9]","")&amp;"?text="&amp;ENCODEURL("Ya llegue. Codigo: "&amp;A1893&amp;". Ubicacion: "&amp;"https://www.google.com/maps/search/?api=1&amp;query="&amp;SUBSTITUTE(F1893," ","")),"📲 Avisar al cliente"),"")</f>
        <v/>
      </c>
      <c r="L1893" s="8">
        <f>IF(C1893&lt;&gt;"","https://api.qrserver.com/v1/create-qr-code/?size=200x200&amp;data="&amp;ENCODEURL("https://wa.me/507"&amp;REGEXREPLACE(C1893,"[^0-9]","")&amp;"?text="&amp;ENCODEURL("Ya llegue. Codigo: "&amp;A1893&amp;". Ubicacion: "&amp;"https://www.google.com/maps/search/?api=1&amp;query="&amp;SUBSTITUTE(F1893," ",""))),"")</f>
        <v/>
      </c>
      <c r="M1893" s="8">
        <f>IF(B1893&lt;&gt;"",TODAY(),"")</f>
        <v/>
      </c>
      <c r="N1893" s="8">
        <f>IF(F1893&lt;&gt;"",IFERROR(IF(AND(REGEXMATCH(SUBSTITUTE(TRIM(F1893)," ",""),"^-?\d+(\.\d+)?,-?\d+(\.\d+)?$"),VALUE(REGEXEXTRACT(SUBSTITUTE(TRIM(F1893)," ",""),"^-?\d+(\.\d+)?"))&gt;=-90,VALUE(REGEXEXTRACT(SUBSTITUTE(TRIM(F1893)," ",""),"^-?\d+(\.\d+)?"))&lt;=90,VALUE(REGEXEXTRACT(SUBSTITUTE(TRIM(F1893)," ",""),"-?\d+(\.\d+)?$"))&gt;=-180,VALUE(REGEXEXTRACT(SUBSTITUTE(TRIM(F1893)," ",""),"-?\d+(\.\d+)?$"))&lt;=180),"OK","REVISAR"),"REVISAR"),"")</f>
        <v/>
      </c>
      <c r="O1893">
        <f>IF(A1893&lt;&gt;"","https://direcciones507.github.io/direcciones507/panel.html?codigo="&amp;A1893&amp;"&amp;nombre="&amp;ENCODEURL(B1893)&amp;"&amp;telefono="&amp;SUBSTITUTE(C1893,"-","")&amp;"&amp;referencia="&amp;ENCODEURL(E1893)&amp;"&amp;lat="&amp;IZQUIERDA(SUBSTITUTE(F1893," ",""),ENCONTRAR(",",SUBSTITUTE(F1893," ",""))-1)&amp;"&amp;lng="&amp;DERECHA(SUBSTITUTE(F1893," ",""),LARGO(SUBSTITUTE(F1893," ",""))-ENCONTRAR(",",SUBSTITUTE(F1893," ",""))),"")</f>
        <v/>
      </c>
    </row>
    <row r="1894" ht="15.75" customHeight="1" s="10">
      <c r="A1894" s="8">
        <f>CONCAT("AD507-",TEXT(ROW()-2,"0000"))</f>
        <v/>
      </c>
      <c r="C1894" s="8" t="n"/>
      <c r="F1894" s="8" t="n"/>
      <c r="G1894" s="8">
        <f>IF(F1894&lt;&gt;"",HYPERLINK("https://www.google.com/maps/search/?api=1&amp;query="&amp;SUBSTITUTE(F1894," ",""),"🗺 Google Maps"),"")</f>
        <v/>
      </c>
      <c r="H1894" s="8">
        <f>IF(F1894&lt;&gt;"",HYPERLINK("https://waze.com/ul?ll="&amp;SUBSTITUTE(F1894," ","")&amp;"&amp;navigate=yes","🚗 Waze"),"")</f>
        <v/>
      </c>
      <c r="I1894" s="8">
        <f>IF(F1894&lt;&gt;"",HYPERLINK("https://m.uber.com/ul/?action=setPickup&amp;pickup=my_location&amp;dropoff[latitude]="&amp;LEFT(SUBSTITUTE(F1894," ",""),FIND(",",SUBSTITUTE(F1894," ",""))-1)&amp;"&amp;dropoff[longitude]="&amp;MID(SUBSTITUTE(F1894," ",""),FIND(",",SUBSTITUTE(F1894," ",""))+1,99),"🚕 Uber"),"")</f>
        <v/>
      </c>
      <c r="J1894" s="8">
        <f>IF(F1894&lt;&gt;"","https://api.qrserver.com/v1/create-qr-code/?size=200x200&amp;data="&amp;ENCODEURL("https://www.google.com/maps/search/?api=1&amp;query="&amp;SUBSTITUTE(F1894," ","")),"")</f>
        <v/>
      </c>
      <c r="K1894" s="8">
        <f>IF(C1894&lt;&gt;"",HYPERLINK("https://wa.me/507"&amp;REGEXREPLACE(C1894,"[^0-9]","")&amp;"?text="&amp;ENCODEURL("Ya llegue. Codigo: "&amp;A1894&amp;". Ubicacion: "&amp;"https://www.google.com/maps/search/?api=1&amp;query="&amp;SUBSTITUTE(F1894," ","")),"📲 Avisar al cliente"),"")</f>
        <v/>
      </c>
      <c r="L1894" s="8">
        <f>IF(C1894&lt;&gt;"","https://api.qrserver.com/v1/create-qr-code/?size=200x200&amp;data="&amp;ENCODEURL("https://wa.me/507"&amp;REGEXREPLACE(C1894,"[^0-9]","")&amp;"?text="&amp;ENCODEURL("Ya llegue. Codigo: "&amp;A1894&amp;". Ubicacion: "&amp;"https://www.google.com/maps/search/?api=1&amp;query="&amp;SUBSTITUTE(F1894," ",""))),"")</f>
        <v/>
      </c>
      <c r="M1894" s="8">
        <f>IF(B1894&lt;&gt;"",TODAY(),"")</f>
        <v/>
      </c>
      <c r="N1894" s="8">
        <f>IF(F1894&lt;&gt;"",IFERROR(IF(AND(REGEXMATCH(SUBSTITUTE(TRIM(F1894)," ",""),"^-?\d+(\.\d+)?,-?\d+(\.\d+)?$"),VALUE(REGEXEXTRACT(SUBSTITUTE(TRIM(F1894)," ",""),"^-?\d+(\.\d+)?"))&gt;=-90,VALUE(REGEXEXTRACT(SUBSTITUTE(TRIM(F1894)," ",""),"^-?\d+(\.\d+)?"))&lt;=90,VALUE(REGEXEXTRACT(SUBSTITUTE(TRIM(F1894)," ",""),"-?\d+(\.\d+)?$"))&gt;=-180,VALUE(REGEXEXTRACT(SUBSTITUTE(TRIM(F1894)," ",""),"-?\d+(\.\d+)?$"))&lt;=180),"OK","REVISAR"),"REVISAR"),"")</f>
        <v/>
      </c>
      <c r="O1894">
        <f>IF(A1894&lt;&gt;"","https://direcciones507.github.io/direcciones507/panel.html?codigo="&amp;A1894&amp;"&amp;nombre="&amp;ENCODEURL(B1894)&amp;"&amp;telefono="&amp;SUBSTITUTE(C1894,"-","")&amp;"&amp;referencia="&amp;ENCODEURL(E1894)&amp;"&amp;lat="&amp;IZQUIERDA(SUBSTITUTE(F1894," ",""),ENCONTRAR(",",SUBSTITUTE(F1894," ",""))-1)&amp;"&amp;lng="&amp;DERECHA(SUBSTITUTE(F1894," ",""),LARGO(SUBSTITUTE(F1894," ",""))-ENCONTRAR(",",SUBSTITUTE(F1894," ",""))),"")</f>
        <v/>
      </c>
    </row>
    <row r="1895" ht="15.75" customHeight="1" s="10">
      <c r="A1895" s="8">
        <f>CONCAT("AD507-",TEXT(ROW()-2,"0000"))</f>
        <v/>
      </c>
      <c r="C1895" s="8" t="n"/>
      <c r="F1895" s="8" t="n"/>
      <c r="G1895" s="8">
        <f>IF(F1895&lt;&gt;"",HYPERLINK("https://www.google.com/maps/search/?api=1&amp;query="&amp;SUBSTITUTE(F1895," ",""),"🗺 Google Maps"),"")</f>
        <v/>
      </c>
      <c r="H1895" s="8">
        <f>IF(F1895&lt;&gt;"",HYPERLINK("https://waze.com/ul?ll="&amp;SUBSTITUTE(F1895," ","")&amp;"&amp;navigate=yes","🚗 Waze"),"")</f>
        <v/>
      </c>
      <c r="I1895" s="8">
        <f>IF(F1895&lt;&gt;"",HYPERLINK("https://m.uber.com/ul/?action=setPickup&amp;pickup=my_location&amp;dropoff[latitude]="&amp;LEFT(SUBSTITUTE(F1895," ",""),FIND(",",SUBSTITUTE(F1895," ",""))-1)&amp;"&amp;dropoff[longitude]="&amp;MID(SUBSTITUTE(F1895," ",""),FIND(",",SUBSTITUTE(F1895," ",""))+1,99),"🚕 Uber"),"")</f>
        <v/>
      </c>
      <c r="J1895" s="8">
        <f>IF(F1895&lt;&gt;"","https://api.qrserver.com/v1/create-qr-code/?size=200x200&amp;data="&amp;ENCODEURL("https://www.google.com/maps/search/?api=1&amp;query="&amp;SUBSTITUTE(F1895," ","")),"")</f>
        <v/>
      </c>
      <c r="K1895" s="8">
        <f>IF(C1895&lt;&gt;"",HYPERLINK("https://wa.me/507"&amp;REGEXREPLACE(C1895,"[^0-9]","")&amp;"?text="&amp;ENCODEURL("Ya llegue. Codigo: "&amp;A1895&amp;". Ubicacion: "&amp;"https://www.google.com/maps/search/?api=1&amp;query="&amp;SUBSTITUTE(F1895," ","")),"📲 Avisar al cliente"),"")</f>
        <v/>
      </c>
      <c r="L1895" s="8">
        <f>IF(C1895&lt;&gt;"","https://api.qrserver.com/v1/create-qr-code/?size=200x200&amp;data="&amp;ENCODEURL("https://wa.me/507"&amp;REGEXREPLACE(C1895,"[^0-9]","")&amp;"?text="&amp;ENCODEURL("Ya llegue. Codigo: "&amp;A1895&amp;". Ubicacion: "&amp;"https://www.google.com/maps/search/?api=1&amp;query="&amp;SUBSTITUTE(F1895," ",""))),"")</f>
        <v/>
      </c>
      <c r="M1895" s="8">
        <f>IF(B1895&lt;&gt;"",TODAY(),"")</f>
        <v/>
      </c>
      <c r="N1895" s="8">
        <f>IF(F1895&lt;&gt;"",IFERROR(IF(AND(REGEXMATCH(SUBSTITUTE(TRIM(F1895)," ",""),"^-?\d+(\.\d+)?,-?\d+(\.\d+)?$"),VALUE(REGEXEXTRACT(SUBSTITUTE(TRIM(F1895)," ",""),"^-?\d+(\.\d+)?"))&gt;=-90,VALUE(REGEXEXTRACT(SUBSTITUTE(TRIM(F1895)," ",""),"^-?\d+(\.\d+)?"))&lt;=90,VALUE(REGEXEXTRACT(SUBSTITUTE(TRIM(F1895)," ",""),"-?\d+(\.\d+)?$"))&gt;=-180,VALUE(REGEXEXTRACT(SUBSTITUTE(TRIM(F1895)," ",""),"-?\d+(\.\d+)?$"))&lt;=180),"OK","REVISAR"),"REVISAR"),"")</f>
        <v/>
      </c>
      <c r="O1895">
        <f>IF(A1895&lt;&gt;"","https://direcciones507.github.io/direcciones507/panel.html?codigo="&amp;A1895&amp;"&amp;nombre="&amp;ENCODEURL(B1895)&amp;"&amp;telefono="&amp;SUBSTITUTE(C1895,"-","")&amp;"&amp;referencia="&amp;ENCODEURL(E1895)&amp;"&amp;lat="&amp;IZQUIERDA(SUBSTITUTE(F1895," ",""),ENCONTRAR(",",SUBSTITUTE(F1895," ",""))-1)&amp;"&amp;lng="&amp;DERECHA(SUBSTITUTE(F1895," ",""),LARGO(SUBSTITUTE(F1895," ",""))-ENCONTRAR(",",SUBSTITUTE(F1895," ",""))),"")</f>
        <v/>
      </c>
    </row>
    <row r="1896" ht="15.75" customHeight="1" s="10">
      <c r="A1896" s="8">
        <f>CONCAT("AD507-",TEXT(ROW()-2,"0000"))</f>
        <v/>
      </c>
      <c r="C1896" s="8" t="n"/>
      <c r="F1896" s="8" t="n"/>
      <c r="G1896" s="8">
        <f>IF(F1896&lt;&gt;"",HYPERLINK("https://www.google.com/maps/search/?api=1&amp;query="&amp;SUBSTITUTE(F1896," ",""),"🗺 Google Maps"),"")</f>
        <v/>
      </c>
      <c r="H1896" s="8">
        <f>IF(F1896&lt;&gt;"",HYPERLINK("https://waze.com/ul?ll="&amp;SUBSTITUTE(F1896," ","")&amp;"&amp;navigate=yes","🚗 Waze"),"")</f>
        <v/>
      </c>
      <c r="I1896" s="8">
        <f>IF(F1896&lt;&gt;"",HYPERLINK("https://m.uber.com/ul/?action=setPickup&amp;pickup=my_location&amp;dropoff[latitude]="&amp;LEFT(SUBSTITUTE(F1896," ",""),FIND(",",SUBSTITUTE(F1896," ",""))-1)&amp;"&amp;dropoff[longitude]="&amp;MID(SUBSTITUTE(F1896," ",""),FIND(",",SUBSTITUTE(F1896," ",""))+1,99),"🚕 Uber"),"")</f>
        <v/>
      </c>
      <c r="J1896" s="8">
        <f>IF(F1896&lt;&gt;"","https://api.qrserver.com/v1/create-qr-code/?size=200x200&amp;data="&amp;ENCODEURL("https://www.google.com/maps/search/?api=1&amp;query="&amp;SUBSTITUTE(F1896," ","")),"")</f>
        <v/>
      </c>
      <c r="K1896" s="8">
        <f>IF(C1896&lt;&gt;"",HYPERLINK("https://wa.me/507"&amp;REGEXREPLACE(C1896,"[^0-9]","")&amp;"?text="&amp;ENCODEURL("Ya llegue. Codigo: "&amp;A1896&amp;". Ubicacion: "&amp;"https://www.google.com/maps/search/?api=1&amp;query="&amp;SUBSTITUTE(F1896," ","")),"📲 Avisar al cliente"),"")</f>
        <v/>
      </c>
      <c r="L1896" s="8">
        <f>IF(C1896&lt;&gt;"","https://api.qrserver.com/v1/create-qr-code/?size=200x200&amp;data="&amp;ENCODEURL("https://wa.me/507"&amp;REGEXREPLACE(C1896,"[^0-9]","")&amp;"?text="&amp;ENCODEURL("Ya llegue. Codigo: "&amp;A1896&amp;". Ubicacion: "&amp;"https://www.google.com/maps/search/?api=1&amp;query="&amp;SUBSTITUTE(F1896," ",""))),"")</f>
        <v/>
      </c>
      <c r="M1896" s="8">
        <f>IF(B1896&lt;&gt;"",TODAY(),"")</f>
        <v/>
      </c>
      <c r="N1896" s="8">
        <f>IF(F1896&lt;&gt;"",IFERROR(IF(AND(REGEXMATCH(SUBSTITUTE(TRIM(F1896)," ",""),"^-?\d+(\.\d+)?,-?\d+(\.\d+)?$"),VALUE(REGEXEXTRACT(SUBSTITUTE(TRIM(F1896)," ",""),"^-?\d+(\.\d+)?"))&gt;=-90,VALUE(REGEXEXTRACT(SUBSTITUTE(TRIM(F1896)," ",""),"^-?\d+(\.\d+)?"))&lt;=90,VALUE(REGEXEXTRACT(SUBSTITUTE(TRIM(F1896)," ",""),"-?\d+(\.\d+)?$"))&gt;=-180,VALUE(REGEXEXTRACT(SUBSTITUTE(TRIM(F1896)," ",""),"-?\d+(\.\d+)?$"))&lt;=180),"OK","REVISAR"),"REVISAR"),"")</f>
        <v/>
      </c>
      <c r="O1896">
        <f>IF(A1896&lt;&gt;"","https://direcciones507.github.io/direcciones507/panel.html?codigo="&amp;A1896&amp;"&amp;nombre="&amp;ENCODEURL(B1896)&amp;"&amp;telefono="&amp;SUBSTITUTE(C1896,"-","")&amp;"&amp;referencia="&amp;ENCODEURL(E1896)&amp;"&amp;lat="&amp;IZQUIERDA(SUBSTITUTE(F1896," ",""),ENCONTRAR(",",SUBSTITUTE(F1896," ",""))-1)&amp;"&amp;lng="&amp;DERECHA(SUBSTITUTE(F1896," ",""),LARGO(SUBSTITUTE(F1896," ",""))-ENCONTRAR(",",SUBSTITUTE(F1896," ",""))),"")</f>
        <v/>
      </c>
    </row>
    <row r="1897" ht="15.75" customHeight="1" s="10">
      <c r="A1897" s="8">
        <f>CONCAT("AD507-",TEXT(ROW()-2,"0000"))</f>
        <v/>
      </c>
      <c r="C1897" s="8" t="n"/>
      <c r="F1897" s="8" t="n"/>
      <c r="G1897" s="8">
        <f>IF(F1897&lt;&gt;"",HYPERLINK("https://www.google.com/maps/search/?api=1&amp;query="&amp;SUBSTITUTE(F1897," ",""),"🗺 Google Maps"),"")</f>
        <v/>
      </c>
      <c r="H1897" s="8">
        <f>IF(F1897&lt;&gt;"",HYPERLINK("https://waze.com/ul?ll="&amp;SUBSTITUTE(F1897," ","")&amp;"&amp;navigate=yes","🚗 Waze"),"")</f>
        <v/>
      </c>
      <c r="I1897" s="8">
        <f>IF(F1897&lt;&gt;"",HYPERLINK("https://m.uber.com/ul/?action=setPickup&amp;pickup=my_location&amp;dropoff[latitude]="&amp;LEFT(SUBSTITUTE(F1897," ",""),FIND(",",SUBSTITUTE(F1897," ",""))-1)&amp;"&amp;dropoff[longitude]="&amp;MID(SUBSTITUTE(F1897," ",""),FIND(",",SUBSTITUTE(F1897," ",""))+1,99),"🚕 Uber"),"")</f>
        <v/>
      </c>
      <c r="J1897" s="8">
        <f>IF(F1897&lt;&gt;"","https://api.qrserver.com/v1/create-qr-code/?size=200x200&amp;data="&amp;ENCODEURL("https://www.google.com/maps/search/?api=1&amp;query="&amp;SUBSTITUTE(F1897," ","")),"")</f>
        <v/>
      </c>
      <c r="K1897" s="8">
        <f>IF(C1897&lt;&gt;"",HYPERLINK("https://wa.me/507"&amp;REGEXREPLACE(C1897,"[^0-9]","")&amp;"?text="&amp;ENCODEURL("Ya llegue. Codigo: "&amp;A1897&amp;". Ubicacion: "&amp;"https://www.google.com/maps/search/?api=1&amp;query="&amp;SUBSTITUTE(F1897," ","")),"📲 Avisar al cliente"),"")</f>
        <v/>
      </c>
      <c r="L1897" s="8">
        <f>IF(C1897&lt;&gt;"","https://api.qrserver.com/v1/create-qr-code/?size=200x200&amp;data="&amp;ENCODEURL("https://wa.me/507"&amp;REGEXREPLACE(C1897,"[^0-9]","")&amp;"?text="&amp;ENCODEURL("Ya llegue. Codigo: "&amp;A1897&amp;". Ubicacion: "&amp;"https://www.google.com/maps/search/?api=1&amp;query="&amp;SUBSTITUTE(F1897," ",""))),"")</f>
        <v/>
      </c>
      <c r="M1897" s="8">
        <f>IF(B1897&lt;&gt;"",TODAY(),"")</f>
        <v/>
      </c>
      <c r="N1897" s="8">
        <f>IF(F1897&lt;&gt;"",IFERROR(IF(AND(REGEXMATCH(SUBSTITUTE(TRIM(F1897)," ",""),"^-?\d+(\.\d+)?,-?\d+(\.\d+)?$"),VALUE(REGEXEXTRACT(SUBSTITUTE(TRIM(F1897)," ",""),"^-?\d+(\.\d+)?"))&gt;=-90,VALUE(REGEXEXTRACT(SUBSTITUTE(TRIM(F1897)," ",""),"^-?\d+(\.\d+)?"))&lt;=90,VALUE(REGEXEXTRACT(SUBSTITUTE(TRIM(F1897)," ",""),"-?\d+(\.\d+)?$"))&gt;=-180,VALUE(REGEXEXTRACT(SUBSTITUTE(TRIM(F1897)," ",""),"-?\d+(\.\d+)?$"))&lt;=180),"OK","REVISAR"),"REVISAR"),"")</f>
        <v/>
      </c>
      <c r="O1897">
        <f>IF(A1897&lt;&gt;"","https://direcciones507.github.io/direcciones507/panel.html?codigo="&amp;A1897&amp;"&amp;nombre="&amp;ENCODEURL(B1897)&amp;"&amp;telefono="&amp;SUBSTITUTE(C1897,"-","")&amp;"&amp;referencia="&amp;ENCODEURL(E1897)&amp;"&amp;lat="&amp;IZQUIERDA(SUBSTITUTE(F1897," ",""),ENCONTRAR(",",SUBSTITUTE(F1897," ",""))-1)&amp;"&amp;lng="&amp;DERECHA(SUBSTITUTE(F1897," ",""),LARGO(SUBSTITUTE(F1897," ",""))-ENCONTRAR(",",SUBSTITUTE(F1897," ",""))),"")</f>
        <v/>
      </c>
    </row>
    <row r="1898" ht="15.75" customHeight="1" s="10">
      <c r="A1898" s="8">
        <f>CONCAT("AD507-",TEXT(ROW()-2,"0000"))</f>
        <v/>
      </c>
      <c r="C1898" s="8" t="n"/>
      <c r="F1898" s="8" t="n"/>
      <c r="G1898" s="8">
        <f>IF(F1898&lt;&gt;"",HYPERLINK("https://www.google.com/maps/search/?api=1&amp;query="&amp;SUBSTITUTE(F1898," ",""),"🗺 Google Maps"),"")</f>
        <v/>
      </c>
      <c r="H1898" s="8">
        <f>IF(F1898&lt;&gt;"",HYPERLINK("https://waze.com/ul?ll="&amp;SUBSTITUTE(F1898," ","")&amp;"&amp;navigate=yes","🚗 Waze"),"")</f>
        <v/>
      </c>
      <c r="I1898" s="8">
        <f>IF(F1898&lt;&gt;"",HYPERLINK("https://m.uber.com/ul/?action=setPickup&amp;pickup=my_location&amp;dropoff[latitude]="&amp;LEFT(SUBSTITUTE(F1898," ",""),FIND(",",SUBSTITUTE(F1898," ",""))-1)&amp;"&amp;dropoff[longitude]="&amp;MID(SUBSTITUTE(F1898," ",""),FIND(",",SUBSTITUTE(F1898," ",""))+1,99),"🚕 Uber"),"")</f>
        <v/>
      </c>
      <c r="J1898" s="8">
        <f>IF(F1898&lt;&gt;"","https://api.qrserver.com/v1/create-qr-code/?size=200x200&amp;data="&amp;ENCODEURL("https://www.google.com/maps/search/?api=1&amp;query="&amp;SUBSTITUTE(F1898," ","")),"")</f>
        <v/>
      </c>
      <c r="K1898" s="8">
        <f>IF(C1898&lt;&gt;"",HYPERLINK("https://wa.me/507"&amp;REGEXREPLACE(C1898,"[^0-9]","")&amp;"?text="&amp;ENCODEURL("Ya llegue. Codigo: "&amp;A1898&amp;". Ubicacion: "&amp;"https://www.google.com/maps/search/?api=1&amp;query="&amp;SUBSTITUTE(F1898," ","")),"📲 Avisar al cliente"),"")</f>
        <v/>
      </c>
      <c r="L1898" s="8">
        <f>IF(C1898&lt;&gt;"","https://api.qrserver.com/v1/create-qr-code/?size=200x200&amp;data="&amp;ENCODEURL("https://wa.me/507"&amp;REGEXREPLACE(C1898,"[^0-9]","")&amp;"?text="&amp;ENCODEURL("Ya llegue. Codigo: "&amp;A1898&amp;". Ubicacion: "&amp;"https://www.google.com/maps/search/?api=1&amp;query="&amp;SUBSTITUTE(F1898," ",""))),"")</f>
        <v/>
      </c>
      <c r="M1898" s="8">
        <f>IF(B1898&lt;&gt;"",TODAY(),"")</f>
        <v/>
      </c>
      <c r="N1898" s="8">
        <f>IF(F1898&lt;&gt;"",IFERROR(IF(AND(REGEXMATCH(SUBSTITUTE(TRIM(F1898)," ",""),"^-?\d+(\.\d+)?,-?\d+(\.\d+)?$"),VALUE(REGEXEXTRACT(SUBSTITUTE(TRIM(F1898)," ",""),"^-?\d+(\.\d+)?"))&gt;=-90,VALUE(REGEXEXTRACT(SUBSTITUTE(TRIM(F1898)," ",""),"^-?\d+(\.\d+)?"))&lt;=90,VALUE(REGEXEXTRACT(SUBSTITUTE(TRIM(F1898)," ",""),"-?\d+(\.\d+)?$"))&gt;=-180,VALUE(REGEXEXTRACT(SUBSTITUTE(TRIM(F1898)," ",""),"-?\d+(\.\d+)?$"))&lt;=180),"OK","REVISAR"),"REVISAR"),"")</f>
        <v/>
      </c>
      <c r="O1898">
        <f>IF(A1898&lt;&gt;"","https://direcciones507.github.io/direcciones507/panel.html?codigo="&amp;A1898&amp;"&amp;nombre="&amp;ENCODEURL(B1898)&amp;"&amp;telefono="&amp;SUBSTITUTE(C1898,"-","")&amp;"&amp;referencia="&amp;ENCODEURL(E1898)&amp;"&amp;lat="&amp;IZQUIERDA(SUBSTITUTE(F1898," ",""),ENCONTRAR(",",SUBSTITUTE(F1898," ",""))-1)&amp;"&amp;lng="&amp;DERECHA(SUBSTITUTE(F1898," ",""),LARGO(SUBSTITUTE(F1898," ",""))-ENCONTRAR(",",SUBSTITUTE(F1898," ",""))),"")</f>
        <v/>
      </c>
    </row>
    <row r="1899" ht="15.75" customHeight="1" s="10">
      <c r="A1899" s="8">
        <f>CONCAT("AD507-",TEXT(ROW()-2,"0000"))</f>
        <v/>
      </c>
      <c r="C1899" s="8" t="n"/>
      <c r="F1899" s="8" t="n"/>
      <c r="G1899" s="8">
        <f>IF(F1899&lt;&gt;"",HYPERLINK("https://www.google.com/maps/search/?api=1&amp;query="&amp;SUBSTITUTE(F1899," ",""),"🗺 Google Maps"),"")</f>
        <v/>
      </c>
      <c r="H1899" s="8">
        <f>IF(F1899&lt;&gt;"",HYPERLINK("https://waze.com/ul?ll="&amp;SUBSTITUTE(F1899," ","")&amp;"&amp;navigate=yes","🚗 Waze"),"")</f>
        <v/>
      </c>
      <c r="I1899" s="8">
        <f>IF(F1899&lt;&gt;"",HYPERLINK("https://m.uber.com/ul/?action=setPickup&amp;pickup=my_location&amp;dropoff[latitude]="&amp;LEFT(SUBSTITUTE(F1899," ",""),FIND(",",SUBSTITUTE(F1899," ",""))-1)&amp;"&amp;dropoff[longitude]="&amp;MID(SUBSTITUTE(F1899," ",""),FIND(",",SUBSTITUTE(F1899," ",""))+1,99),"🚕 Uber"),"")</f>
        <v/>
      </c>
      <c r="J1899" s="8">
        <f>IF(F1899&lt;&gt;"","https://api.qrserver.com/v1/create-qr-code/?size=200x200&amp;data="&amp;ENCODEURL("https://www.google.com/maps/search/?api=1&amp;query="&amp;SUBSTITUTE(F1899," ","")),"")</f>
        <v/>
      </c>
      <c r="K1899" s="8">
        <f>IF(C1899&lt;&gt;"",HYPERLINK("https://wa.me/507"&amp;REGEXREPLACE(C1899,"[^0-9]","")&amp;"?text="&amp;ENCODEURL("Ya llegue. Codigo: "&amp;A1899&amp;". Ubicacion: "&amp;"https://www.google.com/maps/search/?api=1&amp;query="&amp;SUBSTITUTE(F1899," ","")),"📲 Avisar al cliente"),"")</f>
        <v/>
      </c>
      <c r="L1899" s="8">
        <f>IF(C1899&lt;&gt;"","https://api.qrserver.com/v1/create-qr-code/?size=200x200&amp;data="&amp;ENCODEURL("https://wa.me/507"&amp;REGEXREPLACE(C1899,"[^0-9]","")&amp;"?text="&amp;ENCODEURL("Ya llegue. Codigo: "&amp;A1899&amp;". Ubicacion: "&amp;"https://www.google.com/maps/search/?api=1&amp;query="&amp;SUBSTITUTE(F1899," ",""))),"")</f>
        <v/>
      </c>
      <c r="M1899" s="8">
        <f>IF(B1899&lt;&gt;"",TODAY(),"")</f>
        <v/>
      </c>
      <c r="N1899" s="8">
        <f>IF(F1899&lt;&gt;"",IFERROR(IF(AND(REGEXMATCH(SUBSTITUTE(TRIM(F1899)," ",""),"^-?\d+(\.\d+)?,-?\d+(\.\d+)?$"),VALUE(REGEXEXTRACT(SUBSTITUTE(TRIM(F1899)," ",""),"^-?\d+(\.\d+)?"))&gt;=-90,VALUE(REGEXEXTRACT(SUBSTITUTE(TRIM(F1899)," ",""),"^-?\d+(\.\d+)?"))&lt;=90,VALUE(REGEXEXTRACT(SUBSTITUTE(TRIM(F1899)," ",""),"-?\d+(\.\d+)?$"))&gt;=-180,VALUE(REGEXEXTRACT(SUBSTITUTE(TRIM(F1899)," ",""),"-?\d+(\.\d+)?$"))&lt;=180),"OK","REVISAR"),"REVISAR"),"")</f>
        <v/>
      </c>
      <c r="O1899">
        <f>IF(A1899&lt;&gt;"","https://direcciones507.github.io/direcciones507/panel.html?codigo="&amp;A1899&amp;"&amp;nombre="&amp;ENCODEURL(B1899)&amp;"&amp;telefono="&amp;SUBSTITUTE(C1899,"-","")&amp;"&amp;referencia="&amp;ENCODEURL(E1899)&amp;"&amp;lat="&amp;IZQUIERDA(SUBSTITUTE(F1899," ",""),ENCONTRAR(",",SUBSTITUTE(F1899," ",""))-1)&amp;"&amp;lng="&amp;DERECHA(SUBSTITUTE(F1899," ",""),LARGO(SUBSTITUTE(F1899," ",""))-ENCONTRAR(",",SUBSTITUTE(F1899," ",""))),"")</f>
        <v/>
      </c>
    </row>
    <row r="1900" ht="15.75" customHeight="1" s="10">
      <c r="A1900" s="8">
        <f>CONCAT("AD507-",TEXT(ROW()-2,"0000"))</f>
        <v/>
      </c>
      <c r="C1900" s="8" t="n"/>
      <c r="F1900" s="8" t="n"/>
      <c r="G1900" s="8">
        <f>IF(F1900&lt;&gt;"",HYPERLINK("https://www.google.com/maps/search/?api=1&amp;query="&amp;SUBSTITUTE(F1900," ",""),"🗺 Google Maps"),"")</f>
        <v/>
      </c>
      <c r="H1900" s="8">
        <f>IF(F1900&lt;&gt;"",HYPERLINK("https://waze.com/ul?ll="&amp;SUBSTITUTE(F1900," ","")&amp;"&amp;navigate=yes","🚗 Waze"),"")</f>
        <v/>
      </c>
      <c r="I1900" s="8">
        <f>IF(F1900&lt;&gt;"",HYPERLINK("https://m.uber.com/ul/?action=setPickup&amp;pickup=my_location&amp;dropoff[latitude]="&amp;LEFT(SUBSTITUTE(F1900," ",""),FIND(",",SUBSTITUTE(F1900," ",""))-1)&amp;"&amp;dropoff[longitude]="&amp;MID(SUBSTITUTE(F1900," ",""),FIND(",",SUBSTITUTE(F1900," ",""))+1,99),"🚕 Uber"),"")</f>
        <v/>
      </c>
      <c r="J1900" s="8">
        <f>IF(F1900&lt;&gt;"","https://api.qrserver.com/v1/create-qr-code/?size=200x200&amp;data="&amp;ENCODEURL("https://www.google.com/maps/search/?api=1&amp;query="&amp;SUBSTITUTE(F1900," ","")),"")</f>
        <v/>
      </c>
      <c r="K1900" s="8">
        <f>IF(C1900&lt;&gt;"",HYPERLINK("https://wa.me/507"&amp;REGEXREPLACE(C1900,"[^0-9]","")&amp;"?text="&amp;ENCODEURL("Ya llegue. Codigo: "&amp;A1900&amp;". Ubicacion: "&amp;"https://www.google.com/maps/search/?api=1&amp;query="&amp;SUBSTITUTE(F1900," ","")),"📲 Avisar al cliente"),"")</f>
        <v/>
      </c>
      <c r="L1900" s="8">
        <f>IF(C1900&lt;&gt;"","https://api.qrserver.com/v1/create-qr-code/?size=200x200&amp;data="&amp;ENCODEURL("https://wa.me/507"&amp;REGEXREPLACE(C1900,"[^0-9]","")&amp;"?text="&amp;ENCODEURL("Ya llegue. Codigo: "&amp;A1900&amp;". Ubicacion: "&amp;"https://www.google.com/maps/search/?api=1&amp;query="&amp;SUBSTITUTE(F1900," ",""))),"")</f>
        <v/>
      </c>
      <c r="M1900" s="8">
        <f>IF(B1900&lt;&gt;"",TODAY(),"")</f>
        <v/>
      </c>
      <c r="N1900" s="8">
        <f>IF(F1900&lt;&gt;"",IFERROR(IF(AND(REGEXMATCH(SUBSTITUTE(TRIM(F1900)," ",""),"^-?\d+(\.\d+)?,-?\d+(\.\d+)?$"),VALUE(REGEXEXTRACT(SUBSTITUTE(TRIM(F1900)," ",""),"^-?\d+(\.\d+)?"))&gt;=-90,VALUE(REGEXEXTRACT(SUBSTITUTE(TRIM(F1900)," ",""),"^-?\d+(\.\d+)?"))&lt;=90,VALUE(REGEXEXTRACT(SUBSTITUTE(TRIM(F1900)," ",""),"-?\d+(\.\d+)?$"))&gt;=-180,VALUE(REGEXEXTRACT(SUBSTITUTE(TRIM(F1900)," ",""),"-?\d+(\.\d+)?$"))&lt;=180),"OK","REVISAR"),"REVISAR"),"")</f>
        <v/>
      </c>
      <c r="O1900">
        <f>IF(A1900&lt;&gt;"","https://direcciones507.github.io/direcciones507/panel.html?codigo="&amp;A1900&amp;"&amp;nombre="&amp;ENCODEURL(B1900)&amp;"&amp;telefono="&amp;SUBSTITUTE(C1900,"-","")&amp;"&amp;referencia="&amp;ENCODEURL(E1900)&amp;"&amp;lat="&amp;IZQUIERDA(SUBSTITUTE(F1900," ",""),ENCONTRAR(",",SUBSTITUTE(F1900," ",""))-1)&amp;"&amp;lng="&amp;DERECHA(SUBSTITUTE(F1900," ",""),LARGO(SUBSTITUTE(F1900," ",""))-ENCONTRAR(",",SUBSTITUTE(F1900," ",""))),"")</f>
        <v/>
      </c>
    </row>
    <row r="1901" ht="15.75" customHeight="1" s="10">
      <c r="A1901" s="8">
        <f>CONCAT("AD507-",TEXT(ROW()-2,"0000"))</f>
        <v/>
      </c>
      <c r="C1901" s="8" t="n"/>
      <c r="F1901" s="8" t="n"/>
      <c r="G1901" s="8">
        <f>IF(F1901&lt;&gt;"",HYPERLINK("https://www.google.com/maps/search/?api=1&amp;query="&amp;SUBSTITUTE(F1901," ",""),"🗺 Google Maps"),"")</f>
        <v/>
      </c>
      <c r="H1901" s="8">
        <f>IF(F1901&lt;&gt;"",HYPERLINK("https://waze.com/ul?ll="&amp;SUBSTITUTE(F1901," ","")&amp;"&amp;navigate=yes","🚗 Waze"),"")</f>
        <v/>
      </c>
      <c r="I1901" s="8">
        <f>IF(F1901&lt;&gt;"",HYPERLINK("https://m.uber.com/ul/?action=setPickup&amp;pickup=my_location&amp;dropoff[latitude]="&amp;LEFT(SUBSTITUTE(F1901," ",""),FIND(",",SUBSTITUTE(F1901," ",""))-1)&amp;"&amp;dropoff[longitude]="&amp;MID(SUBSTITUTE(F1901," ",""),FIND(",",SUBSTITUTE(F1901," ",""))+1,99),"🚕 Uber"),"")</f>
        <v/>
      </c>
      <c r="J1901" s="8">
        <f>IF(F1901&lt;&gt;"","https://api.qrserver.com/v1/create-qr-code/?size=200x200&amp;data="&amp;ENCODEURL("https://www.google.com/maps/search/?api=1&amp;query="&amp;SUBSTITUTE(F1901," ","")),"")</f>
        <v/>
      </c>
      <c r="K1901" s="8">
        <f>IF(C1901&lt;&gt;"",HYPERLINK("https://wa.me/507"&amp;REGEXREPLACE(C1901,"[^0-9]","")&amp;"?text="&amp;ENCODEURL("Ya llegue. Codigo: "&amp;A1901&amp;". Ubicacion: "&amp;"https://www.google.com/maps/search/?api=1&amp;query="&amp;SUBSTITUTE(F1901," ","")),"📲 Avisar al cliente"),"")</f>
        <v/>
      </c>
      <c r="L1901" s="8">
        <f>IF(C1901&lt;&gt;"","https://api.qrserver.com/v1/create-qr-code/?size=200x200&amp;data="&amp;ENCODEURL("https://wa.me/507"&amp;REGEXREPLACE(C1901,"[^0-9]","")&amp;"?text="&amp;ENCODEURL("Ya llegue. Codigo: "&amp;A1901&amp;". Ubicacion: "&amp;"https://www.google.com/maps/search/?api=1&amp;query="&amp;SUBSTITUTE(F1901," ",""))),"")</f>
        <v/>
      </c>
      <c r="M1901" s="8">
        <f>IF(B1901&lt;&gt;"",TODAY(),"")</f>
        <v/>
      </c>
      <c r="N1901" s="8">
        <f>IF(F1901&lt;&gt;"",IFERROR(IF(AND(REGEXMATCH(SUBSTITUTE(TRIM(F1901)," ",""),"^-?\d+(\.\d+)?,-?\d+(\.\d+)?$"),VALUE(REGEXEXTRACT(SUBSTITUTE(TRIM(F1901)," ",""),"^-?\d+(\.\d+)?"))&gt;=-90,VALUE(REGEXEXTRACT(SUBSTITUTE(TRIM(F1901)," ",""),"^-?\d+(\.\d+)?"))&lt;=90,VALUE(REGEXEXTRACT(SUBSTITUTE(TRIM(F1901)," ",""),"-?\d+(\.\d+)?$"))&gt;=-180,VALUE(REGEXEXTRACT(SUBSTITUTE(TRIM(F1901)," ",""),"-?\d+(\.\d+)?$"))&lt;=180),"OK","REVISAR"),"REVISAR"),"")</f>
        <v/>
      </c>
      <c r="O1901">
        <f>IF(A1901&lt;&gt;"","https://direcciones507.github.io/direcciones507/panel.html?codigo="&amp;A1901&amp;"&amp;nombre="&amp;ENCODEURL(B1901)&amp;"&amp;telefono="&amp;SUBSTITUTE(C1901,"-","")&amp;"&amp;referencia="&amp;ENCODEURL(E1901)&amp;"&amp;lat="&amp;IZQUIERDA(SUBSTITUTE(F1901," ",""),ENCONTRAR(",",SUBSTITUTE(F1901," ",""))-1)&amp;"&amp;lng="&amp;DERECHA(SUBSTITUTE(F1901," ",""),LARGO(SUBSTITUTE(F1901," ",""))-ENCONTRAR(",",SUBSTITUTE(F1901," ",""))),"")</f>
        <v/>
      </c>
    </row>
    <row r="1902" ht="15.75" customHeight="1" s="10">
      <c r="A1902" s="8">
        <f>CONCAT("AD507-",TEXT(ROW()-2,"0000"))</f>
        <v/>
      </c>
      <c r="C1902" s="8" t="n"/>
      <c r="F1902" s="8" t="n"/>
      <c r="G1902" s="8">
        <f>IF(F1902&lt;&gt;"",HYPERLINK("https://www.google.com/maps/search/?api=1&amp;query="&amp;SUBSTITUTE(F1902," ",""),"🗺 Google Maps"),"")</f>
        <v/>
      </c>
      <c r="H1902" s="8">
        <f>IF(F1902&lt;&gt;"",HYPERLINK("https://waze.com/ul?ll="&amp;SUBSTITUTE(F1902," ","")&amp;"&amp;navigate=yes","🚗 Waze"),"")</f>
        <v/>
      </c>
      <c r="I1902" s="8">
        <f>IF(F1902&lt;&gt;"",HYPERLINK("https://m.uber.com/ul/?action=setPickup&amp;pickup=my_location&amp;dropoff[latitude]="&amp;LEFT(SUBSTITUTE(F1902," ",""),FIND(",",SUBSTITUTE(F1902," ",""))-1)&amp;"&amp;dropoff[longitude]="&amp;MID(SUBSTITUTE(F1902," ",""),FIND(",",SUBSTITUTE(F1902," ",""))+1,99),"🚕 Uber"),"")</f>
        <v/>
      </c>
      <c r="J1902" s="8">
        <f>IF(F1902&lt;&gt;"","https://api.qrserver.com/v1/create-qr-code/?size=200x200&amp;data="&amp;ENCODEURL("https://www.google.com/maps/search/?api=1&amp;query="&amp;SUBSTITUTE(F1902," ","")),"")</f>
        <v/>
      </c>
      <c r="K1902" s="8">
        <f>IF(C1902&lt;&gt;"",HYPERLINK("https://wa.me/507"&amp;REGEXREPLACE(C1902,"[^0-9]","")&amp;"?text="&amp;ENCODEURL("Ya llegue. Codigo: "&amp;A1902&amp;". Ubicacion: "&amp;"https://www.google.com/maps/search/?api=1&amp;query="&amp;SUBSTITUTE(F1902," ","")),"📲 Avisar al cliente"),"")</f>
        <v/>
      </c>
      <c r="L1902" s="8">
        <f>IF(C1902&lt;&gt;"","https://api.qrserver.com/v1/create-qr-code/?size=200x200&amp;data="&amp;ENCODEURL("https://wa.me/507"&amp;REGEXREPLACE(C1902,"[^0-9]","")&amp;"?text="&amp;ENCODEURL("Ya llegue. Codigo: "&amp;A1902&amp;". Ubicacion: "&amp;"https://www.google.com/maps/search/?api=1&amp;query="&amp;SUBSTITUTE(F1902," ",""))),"")</f>
        <v/>
      </c>
      <c r="M1902" s="8">
        <f>IF(B1902&lt;&gt;"",TODAY(),"")</f>
        <v/>
      </c>
      <c r="N1902" s="8">
        <f>IF(F1902&lt;&gt;"",IFERROR(IF(AND(REGEXMATCH(SUBSTITUTE(TRIM(F1902)," ",""),"^-?\d+(\.\d+)?,-?\d+(\.\d+)?$"),VALUE(REGEXEXTRACT(SUBSTITUTE(TRIM(F1902)," ",""),"^-?\d+(\.\d+)?"))&gt;=-90,VALUE(REGEXEXTRACT(SUBSTITUTE(TRIM(F1902)," ",""),"^-?\d+(\.\d+)?"))&lt;=90,VALUE(REGEXEXTRACT(SUBSTITUTE(TRIM(F1902)," ",""),"-?\d+(\.\d+)?$"))&gt;=-180,VALUE(REGEXEXTRACT(SUBSTITUTE(TRIM(F1902)," ",""),"-?\d+(\.\d+)?$"))&lt;=180),"OK","REVISAR"),"REVISAR"),"")</f>
        <v/>
      </c>
      <c r="O1902">
        <f>IF(A1902&lt;&gt;"","https://direcciones507.github.io/direcciones507/panel.html?codigo="&amp;A1902&amp;"&amp;nombre="&amp;ENCODEURL(B1902)&amp;"&amp;telefono="&amp;SUBSTITUTE(C1902,"-","")&amp;"&amp;referencia="&amp;ENCODEURL(E1902)&amp;"&amp;lat="&amp;IZQUIERDA(SUBSTITUTE(F1902," ",""),ENCONTRAR(",",SUBSTITUTE(F1902," ",""))-1)&amp;"&amp;lng="&amp;DERECHA(SUBSTITUTE(F1902," ",""),LARGO(SUBSTITUTE(F1902," ",""))-ENCONTRAR(",",SUBSTITUTE(F1902," ",""))),"")</f>
        <v/>
      </c>
    </row>
    <row r="1903" ht="15.75" customHeight="1" s="10">
      <c r="A1903" s="8">
        <f>CONCAT("AD507-",TEXT(ROW()-2,"0000"))</f>
        <v/>
      </c>
      <c r="C1903" s="8" t="n"/>
      <c r="F1903" s="8" t="n"/>
      <c r="G1903" s="8">
        <f>IF(F1903&lt;&gt;"",HYPERLINK("https://www.google.com/maps/search/?api=1&amp;query="&amp;SUBSTITUTE(F1903," ",""),"🗺 Google Maps"),"")</f>
        <v/>
      </c>
      <c r="H1903" s="8">
        <f>IF(F1903&lt;&gt;"",HYPERLINK("https://waze.com/ul?ll="&amp;SUBSTITUTE(F1903," ","")&amp;"&amp;navigate=yes","🚗 Waze"),"")</f>
        <v/>
      </c>
      <c r="I1903" s="8">
        <f>IF(F1903&lt;&gt;"",HYPERLINK("https://m.uber.com/ul/?action=setPickup&amp;pickup=my_location&amp;dropoff[latitude]="&amp;LEFT(SUBSTITUTE(F1903," ",""),FIND(",",SUBSTITUTE(F1903," ",""))-1)&amp;"&amp;dropoff[longitude]="&amp;MID(SUBSTITUTE(F1903," ",""),FIND(",",SUBSTITUTE(F1903," ",""))+1,99),"🚕 Uber"),"")</f>
        <v/>
      </c>
      <c r="J1903" s="8">
        <f>IF(F1903&lt;&gt;"","https://api.qrserver.com/v1/create-qr-code/?size=200x200&amp;data="&amp;ENCODEURL("https://www.google.com/maps/search/?api=1&amp;query="&amp;SUBSTITUTE(F1903," ","")),"")</f>
        <v/>
      </c>
      <c r="K1903" s="8">
        <f>IF(C1903&lt;&gt;"",HYPERLINK("https://wa.me/507"&amp;REGEXREPLACE(C1903,"[^0-9]","")&amp;"?text="&amp;ENCODEURL("Ya llegue. Codigo: "&amp;A1903&amp;". Ubicacion: "&amp;"https://www.google.com/maps/search/?api=1&amp;query="&amp;SUBSTITUTE(F1903," ","")),"📲 Avisar al cliente"),"")</f>
        <v/>
      </c>
      <c r="L1903" s="8">
        <f>IF(C1903&lt;&gt;"","https://api.qrserver.com/v1/create-qr-code/?size=200x200&amp;data="&amp;ENCODEURL("https://wa.me/507"&amp;REGEXREPLACE(C1903,"[^0-9]","")&amp;"?text="&amp;ENCODEURL("Ya llegue. Codigo: "&amp;A1903&amp;". Ubicacion: "&amp;"https://www.google.com/maps/search/?api=1&amp;query="&amp;SUBSTITUTE(F1903," ",""))),"")</f>
        <v/>
      </c>
      <c r="M1903" s="8">
        <f>IF(B1903&lt;&gt;"",TODAY(),"")</f>
        <v/>
      </c>
      <c r="N1903" s="8">
        <f>IF(F1903&lt;&gt;"",IFERROR(IF(AND(REGEXMATCH(SUBSTITUTE(TRIM(F1903)," ",""),"^-?\d+(\.\d+)?,-?\d+(\.\d+)?$"),VALUE(REGEXEXTRACT(SUBSTITUTE(TRIM(F1903)," ",""),"^-?\d+(\.\d+)?"))&gt;=-90,VALUE(REGEXEXTRACT(SUBSTITUTE(TRIM(F1903)," ",""),"^-?\d+(\.\d+)?"))&lt;=90,VALUE(REGEXEXTRACT(SUBSTITUTE(TRIM(F1903)," ",""),"-?\d+(\.\d+)?$"))&gt;=-180,VALUE(REGEXEXTRACT(SUBSTITUTE(TRIM(F1903)," ",""),"-?\d+(\.\d+)?$"))&lt;=180),"OK","REVISAR"),"REVISAR"),"")</f>
        <v/>
      </c>
      <c r="O1903">
        <f>IF(A1903&lt;&gt;"","https://direcciones507.github.io/direcciones507/panel.html?codigo="&amp;A1903&amp;"&amp;nombre="&amp;ENCODEURL(B1903)&amp;"&amp;telefono="&amp;SUBSTITUTE(C1903,"-","")&amp;"&amp;referencia="&amp;ENCODEURL(E1903)&amp;"&amp;lat="&amp;IZQUIERDA(SUBSTITUTE(F1903," ",""),ENCONTRAR(",",SUBSTITUTE(F1903," ",""))-1)&amp;"&amp;lng="&amp;DERECHA(SUBSTITUTE(F1903," ",""),LARGO(SUBSTITUTE(F1903," ",""))-ENCONTRAR(",",SUBSTITUTE(F1903," ",""))),"")</f>
        <v/>
      </c>
    </row>
    <row r="1904" ht="15.75" customHeight="1" s="10">
      <c r="A1904" s="8">
        <f>CONCAT("AD507-",TEXT(ROW()-2,"0000"))</f>
        <v/>
      </c>
      <c r="C1904" s="8" t="n"/>
      <c r="F1904" s="8" t="n"/>
      <c r="G1904" s="8">
        <f>IF(F1904&lt;&gt;"",HYPERLINK("https://www.google.com/maps/search/?api=1&amp;query="&amp;SUBSTITUTE(F1904," ",""),"🗺 Google Maps"),"")</f>
        <v/>
      </c>
      <c r="H1904" s="8">
        <f>IF(F1904&lt;&gt;"",HYPERLINK("https://waze.com/ul?ll="&amp;SUBSTITUTE(F1904," ","")&amp;"&amp;navigate=yes","🚗 Waze"),"")</f>
        <v/>
      </c>
      <c r="I1904" s="8">
        <f>IF(F1904&lt;&gt;"",HYPERLINK("https://m.uber.com/ul/?action=setPickup&amp;pickup=my_location&amp;dropoff[latitude]="&amp;LEFT(SUBSTITUTE(F1904," ",""),FIND(",",SUBSTITUTE(F1904," ",""))-1)&amp;"&amp;dropoff[longitude]="&amp;MID(SUBSTITUTE(F1904," ",""),FIND(",",SUBSTITUTE(F1904," ",""))+1,99),"🚕 Uber"),"")</f>
        <v/>
      </c>
      <c r="J1904" s="8">
        <f>IF(F1904&lt;&gt;"","https://api.qrserver.com/v1/create-qr-code/?size=200x200&amp;data="&amp;ENCODEURL("https://www.google.com/maps/search/?api=1&amp;query="&amp;SUBSTITUTE(F1904," ","")),"")</f>
        <v/>
      </c>
      <c r="K1904" s="8">
        <f>IF(C1904&lt;&gt;"",HYPERLINK("https://wa.me/507"&amp;REGEXREPLACE(C1904,"[^0-9]","")&amp;"?text="&amp;ENCODEURL("Ya llegue. Codigo: "&amp;A1904&amp;". Ubicacion: "&amp;"https://www.google.com/maps/search/?api=1&amp;query="&amp;SUBSTITUTE(F1904," ","")),"📲 Avisar al cliente"),"")</f>
        <v/>
      </c>
      <c r="L1904" s="8">
        <f>IF(C1904&lt;&gt;"","https://api.qrserver.com/v1/create-qr-code/?size=200x200&amp;data="&amp;ENCODEURL("https://wa.me/507"&amp;REGEXREPLACE(C1904,"[^0-9]","")&amp;"?text="&amp;ENCODEURL("Ya llegue. Codigo: "&amp;A1904&amp;". Ubicacion: "&amp;"https://www.google.com/maps/search/?api=1&amp;query="&amp;SUBSTITUTE(F1904," ",""))),"")</f>
        <v/>
      </c>
      <c r="M1904" s="8">
        <f>IF(B1904&lt;&gt;"",TODAY(),"")</f>
        <v/>
      </c>
      <c r="N1904" s="8">
        <f>IF(F1904&lt;&gt;"",IFERROR(IF(AND(REGEXMATCH(SUBSTITUTE(TRIM(F1904)," ",""),"^-?\d+(\.\d+)?,-?\d+(\.\d+)?$"),VALUE(REGEXEXTRACT(SUBSTITUTE(TRIM(F1904)," ",""),"^-?\d+(\.\d+)?"))&gt;=-90,VALUE(REGEXEXTRACT(SUBSTITUTE(TRIM(F1904)," ",""),"^-?\d+(\.\d+)?"))&lt;=90,VALUE(REGEXEXTRACT(SUBSTITUTE(TRIM(F1904)," ",""),"-?\d+(\.\d+)?$"))&gt;=-180,VALUE(REGEXEXTRACT(SUBSTITUTE(TRIM(F1904)," ",""),"-?\d+(\.\d+)?$"))&lt;=180),"OK","REVISAR"),"REVISAR"),"")</f>
        <v/>
      </c>
      <c r="O1904">
        <f>IF(A1904&lt;&gt;"","https://direcciones507.github.io/direcciones507/panel.html?codigo="&amp;A1904&amp;"&amp;nombre="&amp;ENCODEURL(B1904)&amp;"&amp;telefono="&amp;SUBSTITUTE(C1904,"-","")&amp;"&amp;referencia="&amp;ENCODEURL(E1904)&amp;"&amp;lat="&amp;IZQUIERDA(SUBSTITUTE(F1904," ",""),ENCONTRAR(",",SUBSTITUTE(F1904," ",""))-1)&amp;"&amp;lng="&amp;DERECHA(SUBSTITUTE(F1904," ",""),LARGO(SUBSTITUTE(F1904," ",""))-ENCONTRAR(",",SUBSTITUTE(F1904," ",""))),"")</f>
        <v/>
      </c>
    </row>
    <row r="1905" ht="15.75" customHeight="1" s="10">
      <c r="A1905" s="8">
        <f>CONCAT("AD507-",TEXT(ROW()-2,"0000"))</f>
        <v/>
      </c>
      <c r="C1905" s="8" t="n"/>
      <c r="F1905" s="8" t="n"/>
      <c r="G1905" s="8">
        <f>IF(F1905&lt;&gt;"",HYPERLINK("https://www.google.com/maps/search/?api=1&amp;query="&amp;SUBSTITUTE(F1905," ",""),"🗺 Google Maps"),"")</f>
        <v/>
      </c>
      <c r="H1905" s="8">
        <f>IF(F1905&lt;&gt;"",HYPERLINK("https://waze.com/ul?ll="&amp;SUBSTITUTE(F1905," ","")&amp;"&amp;navigate=yes","🚗 Waze"),"")</f>
        <v/>
      </c>
      <c r="I1905" s="8">
        <f>IF(F1905&lt;&gt;"",HYPERLINK("https://m.uber.com/ul/?action=setPickup&amp;pickup=my_location&amp;dropoff[latitude]="&amp;LEFT(SUBSTITUTE(F1905," ",""),FIND(",",SUBSTITUTE(F1905," ",""))-1)&amp;"&amp;dropoff[longitude]="&amp;MID(SUBSTITUTE(F1905," ",""),FIND(",",SUBSTITUTE(F1905," ",""))+1,99),"🚕 Uber"),"")</f>
        <v/>
      </c>
      <c r="J1905" s="8">
        <f>IF(F1905&lt;&gt;"","https://api.qrserver.com/v1/create-qr-code/?size=200x200&amp;data="&amp;ENCODEURL("https://www.google.com/maps/search/?api=1&amp;query="&amp;SUBSTITUTE(F1905," ","")),"")</f>
        <v/>
      </c>
      <c r="K1905" s="8">
        <f>IF(C1905&lt;&gt;"",HYPERLINK("https://wa.me/507"&amp;REGEXREPLACE(C1905,"[^0-9]","")&amp;"?text="&amp;ENCODEURL("Ya llegue. Codigo: "&amp;A1905&amp;". Ubicacion: "&amp;"https://www.google.com/maps/search/?api=1&amp;query="&amp;SUBSTITUTE(F1905," ","")),"📲 Avisar al cliente"),"")</f>
        <v/>
      </c>
      <c r="L1905" s="8">
        <f>IF(C1905&lt;&gt;"","https://api.qrserver.com/v1/create-qr-code/?size=200x200&amp;data="&amp;ENCODEURL("https://wa.me/507"&amp;REGEXREPLACE(C1905,"[^0-9]","")&amp;"?text="&amp;ENCODEURL("Ya llegue. Codigo: "&amp;A1905&amp;". Ubicacion: "&amp;"https://www.google.com/maps/search/?api=1&amp;query="&amp;SUBSTITUTE(F1905," ",""))),"")</f>
        <v/>
      </c>
      <c r="M1905" s="8">
        <f>IF(B1905&lt;&gt;"",TODAY(),"")</f>
        <v/>
      </c>
      <c r="N1905" s="8">
        <f>IF(F1905&lt;&gt;"",IFERROR(IF(AND(REGEXMATCH(SUBSTITUTE(TRIM(F1905)," ",""),"^-?\d+(\.\d+)?,-?\d+(\.\d+)?$"),VALUE(REGEXEXTRACT(SUBSTITUTE(TRIM(F1905)," ",""),"^-?\d+(\.\d+)?"))&gt;=-90,VALUE(REGEXEXTRACT(SUBSTITUTE(TRIM(F1905)," ",""),"^-?\d+(\.\d+)?"))&lt;=90,VALUE(REGEXEXTRACT(SUBSTITUTE(TRIM(F1905)," ",""),"-?\d+(\.\d+)?$"))&gt;=-180,VALUE(REGEXEXTRACT(SUBSTITUTE(TRIM(F1905)," ",""),"-?\d+(\.\d+)?$"))&lt;=180),"OK","REVISAR"),"REVISAR"),"")</f>
        <v/>
      </c>
      <c r="O1905">
        <f>IF(A1905&lt;&gt;"","https://direcciones507.github.io/direcciones507/panel.html?codigo="&amp;A1905&amp;"&amp;nombre="&amp;ENCODEURL(B1905)&amp;"&amp;telefono="&amp;SUBSTITUTE(C1905,"-","")&amp;"&amp;referencia="&amp;ENCODEURL(E1905)&amp;"&amp;lat="&amp;IZQUIERDA(SUBSTITUTE(F1905," ",""),ENCONTRAR(",",SUBSTITUTE(F1905," ",""))-1)&amp;"&amp;lng="&amp;DERECHA(SUBSTITUTE(F1905," ",""),LARGO(SUBSTITUTE(F1905," ",""))-ENCONTRAR(",",SUBSTITUTE(F1905," ",""))),"")</f>
        <v/>
      </c>
    </row>
    <row r="1906" ht="15.75" customHeight="1" s="10">
      <c r="A1906" s="8">
        <f>CONCAT("AD507-",TEXT(ROW()-2,"0000"))</f>
        <v/>
      </c>
      <c r="C1906" s="8" t="n"/>
      <c r="F1906" s="8" t="n"/>
      <c r="G1906" s="8">
        <f>IF(F1906&lt;&gt;"",HYPERLINK("https://www.google.com/maps/search/?api=1&amp;query="&amp;SUBSTITUTE(F1906," ",""),"🗺 Google Maps"),"")</f>
        <v/>
      </c>
      <c r="H1906" s="8">
        <f>IF(F1906&lt;&gt;"",HYPERLINK("https://waze.com/ul?ll="&amp;SUBSTITUTE(F1906," ","")&amp;"&amp;navigate=yes","🚗 Waze"),"")</f>
        <v/>
      </c>
      <c r="I1906" s="8">
        <f>IF(F1906&lt;&gt;"",HYPERLINK("https://m.uber.com/ul/?action=setPickup&amp;pickup=my_location&amp;dropoff[latitude]="&amp;LEFT(SUBSTITUTE(F1906," ",""),FIND(",",SUBSTITUTE(F1906," ",""))-1)&amp;"&amp;dropoff[longitude]="&amp;MID(SUBSTITUTE(F1906," ",""),FIND(",",SUBSTITUTE(F1906," ",""))+1,99),"🚕 Uber"),"")</f>
        <v/>
      </c>
      <c r="J1906" s="8">
        <f>IF(F1906&lt;&gt;"","https://api.qrserver.com/v1/create-qr-code/?size=200x200&amp;data="&amp;ENCODEURL("https://www.google.com/maps/search/?api=1&amp;query="&amp;SUBSTITUTE(F1906," ","")),"")</f>
        <v/>
      </c>
      <c r="K1906" s="8">
        <f>IF(C1906&lt;&gt;"",HYPERLINK("https://wa.me/507"&amp;REGEXREPLACE(C1906,"[^0-9]","")&amp;"?text="&amp;ENCODEURL("Ya llegue. Codigo: "&amp;A1906&amp;". Ubicacion: "&amp;"https://www.google.com/maps/search/?api=1&amp;query="&amp;SUBSTITUTE(F1906," ","")),"📲 Avisar al cliente"),"")</f>
        <v/>
      </c>
      <c r="L1906" s="8">
        <f>IF(C1906&lt;&gt;"","https://api.qrserver.com/v1/create-qr-code/?size=200x200&amp;data="&amp;ENCODEURL("https://wa.me/507"&amp;REGEXREPLACE(C1906,"[^0-9]","")&amp;"?text="&amp;ENCODEURL("Ya llegue. Codigo: "&amp;A1906&amp;". Ubicacion: "&amp;"https://www.google.com/maps/search/?api=1&amp;query="&amp;SUBSTITUTE(F1906," ",""))),"")</f>
        <v/>
      </c>
      <c r="M1906" s="8">
        <f>IF(B1906&lt;&gt;"",TODAY(),"")</f>
        <v/>
      </c>
      <c r="N1906" s="8">
        <f>IF(F1906&lt;&gt;"",IFERROR(IF(AND(REGEXMATCH(SUBSTITUTE(TRIM(F1906)," ",""),"^-?\d+(\.\d+)?,-?\d+(\.\d+)?$"),VALUE(REGEXEXTRACT(SUBSTITUTE(TRIM(F1906)," ",""),"^-?\d+(\.\d+)?"))&gt;=-90,VALUE(REGEXEXTRACT(SUBSTITUTE(TRIM(F1906)," ",""),"^-?\d+(\.\d+)?"))&lt;=90,VALUE(REGEXEXTRACT(SUBSTITUTE(TRIM(F1906)," ",""),"-?\d+(\.\d+)?$"))&gt;=-180,VALUE(REGEXEXTRACT(SUBSTITUTE(TRIM(F1906)," ",""),"-?\d+(\.\d+)?$"))&lt;=180),"OK","REVISAR"),"REVISAR"),"")</f>
        <v/>
      </c>
      <c r="O1906">
        <f>IF(A1906&lt;&gt;"","https://direcciones507.github.io/direcciones507/panel.html?codigo="&amp;A1906&amp;"&amp;nombre="&amp;ENCODEURL(B1906)&amp;"&amp;telefono="&amp;SUBSTITUTE(C1906,"-","")&amp;"&amp;referencia="&amp;ENCODEURL(E1906)&amp;"&amp;lat="&amp;IZQUIERDA(SUBSTITUTE(F1906," ",""),ENCONTRAR(",",SUBSTITUTE(F1906," ",""))-1)&amp;"&amp;lng="&amp;DERECHA(SUBSTITUTE(F1906," ",""),LARGO(SUBSTITUTE(F1906," ",""))-ENCONTRAR(",",SUBSTITUTE(F1906," ",""))),"")</f>
        <v/>
      </c>
    </row>
    <row r="1907" ht="15.75" customHeight="1" s="10">
      <c r="A1907" s="8">
        <f>CONCAT("AD507-",TEXT(ROW()-2,"0000"))</f>
        <v/>
      </c>
      <c r="C1907" s="8" t="n"/>
      <c r="F1907" s="8" t="n"/>
      <c r="G1907" s="8">
        <f>IF(F1907&lt;&gt;"",HYPERLINK("https://www.google.com/maps/search/?api=1&amp;query="&amp;SUBSTITUTE(F1907," ",""),"🗺 Google Maps"),"")</f>
        <v/>
      </c>
      <c r="H1907" s="8">
        <f>IF(F1907&lt;&gt;"",HYPERLINK("https://waze.com/ul?ll="&amp;SUBSTITUTE(F1907," ","")&amp;"&amp;navigate=yes","🚗 Waze"),"")</f>
        <v/>
      </c>
      <c r="I1907" s="8">
        <f>IF(F1907&lt;&gt;"",HYPERLINK("https://m.uber.com/ul/?action=setPickup&amp;pickup=my_location&amp;dropoff[latitude]="&amp;LEFT(SUBSTITUTE(F1907," ",""),FIND(",",SUBSTITUTE(F1907," ",""))-1)&amp;"&amp;dropoff[longitude]="&amp;MID(SUBSTITUTE(F1907," ",""),FIND(",",SUBSTITUTE(F1907," ",""))+1,99),"🚕 Uber"),"")</f>
        <v/>
      </c>
      <c r="J1907" s="8">
        <f>IF(F1907&lt;&gt;"","https://api.qrserver.com/v1/create-qr-code/?size=200x200&amp;data="&amp;ENCODEURL("https://www.google.com/maps/search/?api=1&amp;query="&amp;SUBSTITUTE(F1907," ","")),"")</f>
        <v/>
      </c>
      <c r="K1907" s="8">
        <f>IF(C1907&lt;&gt;"",HYPERLINK("https://wa.me/507"&amp;REGEXREPLACE(C1907,"[^0-9]","")&amp;"?text="&amp;ENCODEURL("Ya llegue. Codigo: "&amp;A1907&amp;". Ubicacion: "&amp;"https://www.google.com/maps/search/?api=1&amp;query="&amp;SUBSTITUTE(F1907," ","")),"📲 Avisar al cliente"),"")</f>
        <v/>
      </c>
      <c r="L1907" s="8">
        <f>IF(C1907&lt;&gt;"","https://api.qrserver.com/v1/create-qr-code/?size=200x200&amp;data="&amp;ENCODEURL("https://wa.me/507"&amp;REGEXREPLACE(C1907,"[^0-9]","")&amp;"?text="&amp;ENCODEURL("Ya llegue. Codigo: "&amp;A1907&amp;". Ubicacion: "&amp;"https://www.google.com/maps/search/?api=1&amp;query="&amp;SUBSTITUTE(F1907," ",""))),"")</f>
        <v/>
      </c>
      <c r="M1907" s="8">
        <f>IF(B1907&lt;&gt;"",TODAY(),"")</f>
        <v/>
      </c>
      <c r="N1907" s="8">
        <f>IF(F1907&lt;&gt;"",IFERROR(IF(AND(REGEXMATCH(SUBSTITUTE(TRIM(F1907)," ",""),"^-?\d+(\.\d+)?,-?\d+(\.\d+)?$"),VALUE(REGEXEXTRACT(SUBSTITUTE(TRIM(F1907)," ",""),"^-?\d+(\.\d+)?"))&gt;=-90,VALUE(REGEXEXTRACT(SUBSTITUTE(TRIM(F1907)," ",""),"^-?\d+(\.\d+)?"))&lt;=90,VALUE(REGEXEXTRACT(SUBSTITUTE(TRIM(F1907)," ",""),"-?\d+(\.\d+)?$"))&gt;=-180,VALUE(REGEXEXTRACT(SUBSTITUTE(TRIM(F1907)," ",""),"-?\d+(\.\d+)?$"))&lt;=180),"OK","REVISAR"),"REVISAR"),"")</f>
        <v/>
      </c>
      <c r="O1907">
        <f>IF(A1907&lt;&gt;"","https://direcciones507.github.io/direcciones507/panel.html?codigo="&amp;A1907&amp;"&amp;nombre="&amp;ENCODEURL(B1907)&amp;"&amp;telefono="&amp;SUBSTITUTE(C1907,"-","")&amp;"&amp;referencia="&amp;ENCODEURL(E1907)&amp;"&amp;lat="&amp;IZQUIERDA(SUBSTITUTE(F1907," ",""),ENCONTRAR(",",SUBSTITUTE(F1907," ",""))-1)&amp;"&amp;lng="&amp;DERECHA(SUBSTITUTE(F1907," ",""),LARGO(SUBSTITUTE(F1907," ",""))-ENCONTRAR(",",SUBSTITUTE(F1907," ",""))),"")</f>
        <v/>
      </c>
    </row>
    <row r="1908" ht="15.75" customHeight="1" s="10">
      <c r="A1908" s="8">
        <f>CONCAT("AD507-",TEXT(ROW()-2,"0000"))</f>
        <v/>
      </c>
      <c r="C1908" s="8" t="n"/>
      <c r="F1908" s="8" t="n"/>
      <c r="G1908" s="8">
        <f>IF(F1908&lt;&gt;"",HYPERLINK("https://www.google.com/maps/search/?api=1&amp;query="&amp;SUBSTITUTE(F1908," ",""),"🗺 Google Maps"),"")</f>
        <v/>
      </c>
      <c r="H1908" s="8">
        <f>IF(F1908&lt;&gt;"",HYPERLINK("https://waze.com/ul?ll="&amp;SUBSTITUTE(F1908," ","")&amp;"&amp;navigate=yes","🚗 Waze"),"")</f>
        <v/>
      </c>
      <c r="I1908" s="8">
        <f>IF(F1908&lt;&gt;"",HYPERLINK("https://m.uber.com/ul/?action=setPickup&amp;pickup=my_location&amp;dropoff[latitude]="&amp;LEFT(SUBSTITUTE(F1908," ",""),FIND(",",SUBSTITUTE(F1908," ",""))-1)&amp;"&amp;dropoff[longitude]="&amp;MID(SUBSTITUTE(F1908," ",""),FIND(",",SUBSTITUTE(F1908," ",""))+1,99),"🚕 Uber"),"")</f>
        <v/>
      </c>
      <c r="J1908" s="8">
        <f>IF(F1908&lt;&gt;"","https://api.qrserver.com/v1/create-qr-code/?size=200x200&amp;data="&amp;ENCODEURL("https://www.google.com/maps/search/?api=1&amp;query="&amp;SUBSTITUTE(F1908," ","")),"")</f>
        <v/>
      </c>
      <c r="K1908" s="8">
        <f>IF(C1908&lt;&gt;"",HYPERLINK("https://wa.me/507"&amp;REGEXREPLACE(C1908,"[^0-9]","")&amp;"?text="&amp;ENCODEURL("Ya llegue. Codigo: "&amp;A1908&amp;". Ubicacion: "&amp;"https://www.google.com/maps/search/?api=1&amp;query="&amp;SUBSTITUTE(F1908," ","")),"📲 Avisar al cliente"),"")</f>
        <v/>
      </c>
      <c r="L1908" s="8">
        <f>IF(C1908&lt;&gt;"","https://api.qrserver.com/v1/create-qr-code/?size=200x200&amp;data="&amp;ENCODEURL("https://wa.me/507"&amp;REGEXREPLACE(C1908,"[^0-9]","")&amp;"?text="&amp;ENCODEURL("Ya llegue. Codigo: "&amp;A1908&amp;". Ubicacion: "&amp;"https://www.google.com/maps/search/?api=1&amp;query="&amp;SUBSTITUTE(F1908," ",""))),"")</f>
        <v/>
      </c>
      <c r="M1908" s="8">
        <f>IF(B1908&lt;&gt;"",TODAY(),"")</f>
        <v/>
      </c>
      <c r="N1908" s="8">
        <f>IF(F1908&lt;&gt;"",IFERROR(IF(AND(REGEXMATCH(SUBSTITUTE(TRIM(F1908)," ",""),"^-?\d+(\.\d+)?,-?\d+(\.\d+)?$"),VALUE(REGEXEXTRACT(SUBSTITUTE(TRIM(F1908)," ",""),"^-?\d+(\.\d+)?"))&gt;=-90,VALUE(REGEXEXTRACT(SUBSTITUTE(TRIM(F1908)," ",""),"^-?\d+(\.\d+)?"))&lt;=90,VALUE(REGEXEXTRACT(SUBSTITUTE(TRIM(F1908)," ",""),"-?\d+(\.\d+)?$"))&gt;=-180,VALUE(REGEXEXTRACT(SUBSTITUTE(TRIM(F1908)," ",""),"-?\d+(\.\d+)?$"))&lt;=180),"OK","REVISAR"),"REVISAR"),"")</f>
        <v/>
      </c>
      <c r="O1908">
        <f>IF(A1908&lt;&gt;"","https://direcciones507.github.io/direcciones507/panel.html?codigo="&amp;A1908&amp;"&amp;nombre="&amp;ENCODEURL(B1908)&amp;"&amp;telefono="&amp;SUBSTITUTE(C1908,"-","")&amp;"&amp;referencia="&amp;ENCODEURL(E1908)&amp;"&amp;lat="&amp;IZQUIERDA(SUBSTITUTE(F1908," ",""),ENCONTRAR(",",SUBSTITUTE(F1908," ",""))-1)&amp;"&amp;lng="&amp;DERECHA(SUBSTITUTE(F1908," ",""),LARGO(SUBSTITUTE(F1908," ",""))-ENCONTRAR(",",SUBSTITUTE(F1908," ",""))),"")</f>
        <v/>
      </c>
    </row>
    <row r="1909" ht="15.75" customHeight="1" s="10">
      <c r="A1909" s="8">
        <f>CONCAT("AD507-",TEXT(ROW()-2,"0000"))</f>
        <v/>
      </c>
      <c r="C1909" s="8" t="n"/>
      <c r="F1909" s="8" t="n"/>
      <c r="G1909" s="8">
        <f>IF(F1909&lt;&gt;"",HYPERLINK("https://www.google.com/maps/search/?api=1&amp;query="&amp;SUBSTITUTE(F1909," ",""),"🗺 Google Maps"),"")</f>
        <v/>
      </c>
      <c r="H1909" s="8">
        <f>IF(F1909&lt;&gt;"",HYPERLINK("https://waze.com/ul?ll="&amp;SUBSTITUTE(F1909," ","")&amp;"&amp;navigate=yes","🚗 Waze"),"")</f>
        <v/>
      </c>
      <c r="I1909" s="8">
        <f>IF(F1909&lt;&gt;"",HYPERLINK("https://m.uber.com/ul/?action=setPickup&amp;pickup=my_location&amp;dropoff[latitude]="&amp;LEFT(SUBSTITUTE(F1909," ",""),FIND(",",SUBSTITUTE(F1909," ",""))-1)&amp;"&amp;dropoff[longitude]="&amp;MID(SUBSTITUTE(F1909," ",""),FIND(",",SUBSTITUTE(F1909," ",""))+1,99),"🚕 Uber"),"")</f>
        <v/>
      </c>
      <c r="J1909" s="8">
        <f>IF(F1909&lt;&gt;"","https://api.qrserver.com/v1/create-qr-code/?size=200x200&amp;data="&amp;ENCODEURL("https://www.google.com/maps/search/?api=1&amp;query="&amp;SUBSTITUTE(F1909," ","")),"")</f>
        <v/>
      </c>
      <c r="K1909" s="8">
        <f>IF(C1909&lt;&gt;"",HYPERLINK("https://wa.me/507"&amp;REGEXREPLACE(C1909,"[^0-9]","")&amp;"?text="&amp;ENCODEURL("Ya llegue. Codigo: "&amp;A1909&amp;". Ubicacion: "&amp;"https://www.google.com/maps/search/?api=1&amp;query="&amp;SUBSTITUTE(F1909," ","")),"📲 Avisar al cliente"),"")</f>
        <v/>
      </c>
      <c r="L1909" s="8">
        <f>IF(C1909&lt;&gt;"","https://api.qrserver.com/v1/create-qr-code/?size=200x200&amp;data="&amp;ENCODEURL("https://wa.me/507"&amp;REGEXREPLACE(C1909,"[^0-9]","")&amp;"?text="&amp;ENCODEURL("Ya llegue. Codigo: "&amp;A1909&amp;". Ubicacion: "&amp;"https://www.google.com/maps/search/?api=1&amp;query="&amp;SUBSTITUTE(F1909," ",""))),"")</f>
        <v/>
      </c>
      <c r="M1909" s="8">
        <f>IF(B1909&lt;&gt;"",TODAY(),"")</f>
        <v/>
      </c>
      <c r="N1909" s="8">
        <f>IF(F1909&lt;&gt;"",IFERROR(IF(AND(REGEXMATCH(SUBSTITUTE(TRIM(F1909)," ",""),"^-?\d+(\.\d+)?,-?\d+(\.\d+)?$"),VALUE(REGEXEXTRACT(SUBSTITUTE(TRIM(F1909)," ",""),"^-?\d+(\.\d+)?"))&gt;=-90,VALUE(REGEXEXTRACT(SUBSTITUTE(TRIM(F1909)," ",""),"^-?\d+(\.\d+)?"))&lt;=90,VALUE(REGEXEXTRACT(SUBSTITUTE(TRIM(F1909)," ",""),"-?\d+(\.\d+)?$"))&gt;=-180,VALUE(REGEXEXTRACT(SUBSTITUTE(TRIM(F1909)," ",""),"-?\d+(\.\d+)?$"))&lt;=180),"OK","REVISAR"),"REVISAR"),"")</f>
        <v/>
      </c>
      <c r="O1909">
        <f>IF(A1909&lt;&gt;"","https://direcciones507.github.io/direcciones507/panel.html?codigo="&amp;A1909&amp;"&amp;nombre="&amp;ENCODEURL(B1909)&amp;"&amp;telefono="&amp;SUBSTITUTE(C1909,"-","")&amp;"&amp;referencia="&amp;ENCODEURL(E1909)&amp;"&amp;lat="&amp;IZQUIERDA(SUBSTITUTE(F1909," ",""),ENCONTRAR(",",SUBSTITUTE(F1909," ",""))-1)&amp;"&amp;lng="&amp;DERECHA(SUBSTITUTE(F1909," ",""),LARGO(SUBSTITUTE(F1909," ",""))-ENCONTRAR(",",SUBSTITUTE(F1909," ",""))),"")</f>
        <v/>
      </c>
    </row>
    <row r="1910" ht="15.75" customHeight="1" s="10">
      <c r="A1910" s="8">
        <f>CONCAT("AD507-",TEXT(ROW()-2,"0000"))</f>
        <v/>
      </c>
      <c r="C1910" s="8" t="n"/>
      <c r="F1910" s="8" t="n"/>
      <c r="G1910" s="8">
        <f>IF(F1910&lt;&gt;"",HYPERLINK("https://www.google.com/maps/search/?api=1&amp;query="&amp;SUBSTITUTE(F1910," ",""),"🗺 Google Maps"),"")</f>
        <v/>
      </c>
      <c r="H1910" s="8">
        <f>IF(F1910&lt;&gt;"",HYPERLINK("https://waze.com/ul?ll="&amp;SUBSTITUTE(F1910," ","")&amp;"&amp;navigate=yes","🚗 Waze"),"")</f>
        <v/>
      </c>
      <c r="I1910" s="8">
        <f>IF(F1910&lt;&gt;"",HYPERLINK("https://m.uber.com/ul/?action=setPickup&amp;pickup=my_location&amp;dropoff[latitude]="&amp;LEFT(SUBSTITUTE(F1910," ",""),FIND(",",SUBSTITUTE(F1910," ",""))-1)&amp;"&amp;dropoff[longitude]="&amp;MID(SUBSTITUTE(F1910," ",""),FIND(",",SUBSTITUTE(F1910," ",""))+1,99),"🚕 Uber"),"")</f>
        <v/>
      </c>
      <c r="J1910" s="8">
        <f>IF(F1910&lt;&gt;"","https://api.qrserver.com/v1/create-qr-code/?size=200x200&amp;data="&amp;ENCODEURL("https://www.google.com/maps/search/?api=1&amp;query="&amp;SUBSTITUTE(F1910," ","")),"")</f>
        <v/>
      </c>
      <c r="K1910" s="8">
        <f>IF(C1910&lt;&gt;"",HYPERLINK("https://wa.me/507"&amp;REGEXREPLACE(C1910,"[^0-9]","")&amp;"?text="&amp;ENCODEURL("Ya llegue. Codigo: "&amp;A1910&amp;". Ubicacion: "&amp;"https://www.google.com/maps/search/?api=1&amp;query="&amp;SUBSTITUTE(F1910," ","")),"📲 Avisar al cliente"),"")</f>
        <v/>
      </c>
      <c r="L1910" s="8">
        <f>IF(C1910&lt;&gt;"","https://api.qrserver.com/v1/create-qr-code/?size=200x200&amp;data="&amp;ENCODEURL("https://wa.me/507"&amp;REGEXREPLACE(C1910,"[^0-9]","")&amp;"?text="&amp;ENCODEURL("Ya llegue. Codigo: "&amp;A1910&amp;". Ubicacion: "&amp;"https://www.google.com/maps/search/?api=1&amp;query="&amp;SUBSTITUTE(F1910," ",""))),"")</f>
        <v/>
      </c>
      <c r="M1910" s="8">
        <f>IF(B1910&lt;&gt;"",TODAY(),"")</f>
        <v/>
      </c>
      <c r="N1910" s="8">
        <f>IF(F1910&lt;&gt;"",IFERROR(IF(AND(REGEXMATCH(SUBSTITUTE(TRIM(F1910)," ",""),"^-?\d+(\.\d+)?,-?\d+(\.\d+)?$"),VALUE(REGEXEXTRACT(SUBSTITUTE(TRIM(F1910)," ",""),"^-?\d+(\.\d+)?"))&gt;=-90,VALUE(REGEXEXTRACT(SUBSTITUTE(TRIM(F1910)," ",""),"^-?\d+(\.\d+)?"))&lt;=90,VALUE(REGEXEXTRACT(SUBSTITUTE(TRIM(F1910)," ",""),"-?\d+(\.\d+)?$"))&gt;=-180,VALUE(REGEXEXTRACT(SUBSTITUTE(TRIM(F1910)," ",""),"-?\d+(\.\d+)?$"))&lt;=180),"OK","REVISAR"),"REVISAR"),"")</f>
        <v/>
      </c>
      <c r="O1910">
        <f>IF(A1910&lt;&gt;"","https://direcciones507.github.io/direcciones507/panel.html?codigo="&amp;A1910&amp;"&amp;nombre="&amp;ENCODEURL(B1910)&amp;"&amp;telefono="&amp;SUBSTITUTE(C1910,"-","")&amp;"&amp;referencia="&amp;ENCODEURL(E1910)&amp;"&amp;lat="&amp;IZQUIERDA(SUBSTITUTE(F1910," ",""),ENCONTRAR(",",SUBSTITUTE(F1910," ",""))-1)&amp;"&amp;lng="&amp;DERECHA(SUBSTITUTE(F1910," ",""),LARGO(SUBSTITUTE(F1910," ",""))-ENCONTRAR(",",SUBSTITUTE(F1910," ",""))),"")</f>
        <v/>
      </c>
    </row>
    <row r="1911" ht="15.75" customHeight="1" s="10">
      <c r="A1911" s="8">
        <f>CONCAT("AD507-",TEXT(ROW()-2,"0000"))</f>
        <v/>
      </c>
      <c r="C1911" s="8" t="n"/>
      <c r="F1911" s="8" t="n"/>
      <c r="G1911" s="8">
        <f>IF(F1911&lt;&gt;"",HYPERLINK("https://www.google.com/maps/search/?api=1&amp;query="&amp;SUBSTITUTE(F1911," ",""),"🗺 Google Maps"),"")</f>
        <v/>
      </c>
      <c r="H1911" s="8">
        <f>IF(F1911&lt;&gt;"",HYPERLINK("https://waze.com/ul?ll="&amp;SUBSTITUTE(F1911," ","")&amp;"&amp;navigate=yes","🚗 Waze"),"")</f>
        <v/>
      </c>
      <c r="I1911" s="8">
        <f>IF(F1911&lt;&gt;"",HYPERLINK("https://m.uber.com/ul/?action=setPickup&amp;pickup=my_location&amp;dropoff[latitude]="&amp;LEFT(SUBSTITUTE(F1911," ",""),FIND(",",SUBSTITUTE(F1911," ",""))-1)&amp;"&amp;dropoff[longitude]="&amp;MID(SUBSTITUTE(F1911," ",""),FIND(",",SUBSTITUTE(F1911," ",""))+1,99),"🚕 Uber"),"")</f>
        <v/>
      </c>
      <c r="J1911" s="8">
        <f>IF(F1911&lt;&gt;"","https://api.qrserver.com/v1/create-qr-code/?size=200x200&amp;data="&amp;ENCODEURL("https://www.google.com/maps/search/?api=1&amp;query="&amp;SUBSTITUTE(F1911," ","")),"")</f>
        <v/>
      </c>
      <c r="K1911" s="8">
        <f>IF(C1911&lt;&gt;"",HYPERLINK("https://wa.me/507"&amp;REGEXREPLACE(C1911,"[^0-9]","")&amp;"?text="&amp;ENCODEURL("Ya llegue. Codigo: "&amp;A1911&amp;". Ubicacion: "&amp;"https://www.google.com/maps/search/?api=1&amp;query="&amp;SUBSTITUTE(F1911," ","")),"📲 Avisar al cliente"),"")</f>
        <v/>
      </c>
      <c r="L1911" s="8">
        <f>IF(C1911&lt;&gt;"","https://api.qrserver.com/v1/create-qr-code/?size=200x200&amp;data="&amp;ENCODEURL("https://wa.me/507"&amp;REGEXREPLACE(C1911,"[^0-9]","")&amp;"?text="&amp;ENCODEURL("Ya llegue. Codigo: "&amp;A1911&amp;". Ubicacion: "&amp;"https://www.google.com/maps/search/?api=1&amp;query="&amp;SUBSTITUTE(F1911," ",""))),"")</f>
        <v/>
      </c>
      <c r="M1911" s="8">
        <f>IF(B1911&lt;&gt;"",TODAY(),"")</f>
        <v/>
      </c>
      <c r="N1911" s="8">
        <f>IF(F1911&lt;&gt;"",IFERROR(IF(AND(REGEXMATCH(SUBSTITUTE(TRIM(F1911)," ",""),"^-?\d+(\.\d+)?,-?\d+(\.\d+)?$"),VALUE(REGEXEXTRACT(SUBSTITUTE(TRIM(F1911)," ",""),"^-?\d+(\.\d+)?"))&gt;=-90,VALUE(REGEXEXTRACT(SUBSTITUTE(TRIM(F1911)," ",""),"^-?\d+(\.\d+)?"))&lt;=90,VALUE(REGEXEXTRACT(SUBSTITUTE(TRIM(F1911)," ",""),"-?\d+(\.\d+)?$"))&gt;=-180,VALUE(REGEXEXTRACT(SUBSTITUTE(TRIM(F1911)," ",""),"-?\d+(\.\d+)?$"))&lt;=180),"OK","REVISAR"),"REVISAR"),"")</f>
        <v/>
      </c>
      <c r="O1911">
        <f>IF(A1911&lt;&gt;"","https://direcciones507.github.io/direcciones507/panel.html?codigo="&amp;A1911&amp;"&amp;nombre="&amp;ENCODEURL(B1911)&amp;"&amp;telefono="&amp;SUBSTITUTE(C1911,"-","")&amp;"&amp;referencia="&amp;ENCODEURL(E1911)&amp;"&amp;lat="&amp;IZQUIERDA(SUBSTITUTE(F1911," ",""),ENCONTRAR(",",SUBSTITUTE(F1911," ",""))-1)&amp;"&amp;lng="&amp;DERECHA(SUBSTITUTE(F1911," ",""),LARGO(SUBSTITUTE(F1911," ",""))-ENCONTRAR(",",SUBSTITUTE(F1911," ",""))),"")</f>
        <v/>
      </c>
    </row>
    <row r="1912" ht="15.75" customHeight="1" s="10">
      <c r="A1912" s="8">
        <f>CONCAT("AD507-",TEXT(ROW()-2,"0000"))</f>
        <v/>
      </c>
      <c r="C1912" s="8" t="n"/>
      <c r="F1912" s="8" t="n"/>
      <c r="G1912" s="8">
        <f>IF(F1912&lt;&gt;"",HYPERLINK("https://www.google.com/maps/search/?api=1&amp;query="&amp;SUBSTITUTE(F1912," ",""),"🗺 Google Maps"),"")</f>
        <v/>
      </c>
      <c r="H1912" s="8">
        <f>IF(F1912&lt;&gt;"",HYPERLINK("https://waze.com/ul?ll="&amp;SUBSTITUTE(F1912," ","")&amp;"&amp;navigate=yes","🚗 Waze"),"")</f>
        <v/>
      </c>
      <c r="I1912" s="8">
        <f>IF(F1912&lt;&gt;"",HYPERLINK("https://m.uber.com/ul/?action=setPickup&amp;pickup=my_location&amp;dropoff[latitude]="&amp;LEFT(SUBSTITUTE(F1912," ",""),FIND(",",SUBSTITUTE(F1912," ",""))-1)&amp;"&amp;dropoff[longitude]="&amp;MID(SUBSTITUTE(F1912," ",""),FIND(",",SUBSTITUTE(F1912," ",""))+1,99),"🚕 Uber"),"")</f>
        <v/>
      </c>
      <c r="J1912" s="8">
        <f>IF(F1912&lt;&gt;"","https://api.qrserver.com/v1/create-qr-code/?size=200x200&amp;data="&amp;ENCODEURL("https://www.google.com/maps/search/?api=1&amp;query="&amp;SUBSTITUTE(F1912," ","")),"")</f>
        <v/>
      </c>
      <c r="K1912" s="8">
        <f>IF(C1912&lt;&gt;"",HYPERLINK("https://wa.me/507"&amp;REGEXREPLACE(C1912,"[^0-9]","")&amp;"?text="&amp;ENCODEURL("Ya llegue. Codigo: "&amp;A1912&amp;". Ubicacion: "&amp;"https://www.google.com/maps/search/?api=1&amp;query="&amp;SUBSTITUTE(F1912," ","")),"📲 Avisar al cliente"),"")</f>
        <v/>
      </c>
      <c r="L1912" s="8">
        <f>IF(C1912&lt;&gt;"","https://api.qrserver.com/v1/create-qr-code/?size=200x200&amp;data="&amp;ENCODEURL("https://wa.me/507"&amp;REGEXREPLACE(C1912,"[^0-9]","")&amp;"?text="&amp;ENCODEURL("Ya llegue. Codigo: "&amp;A1912&amp;". Ubicacion: "&amp;"https://www.google.com/maps/search/?api=1&amp;query="&amp;SUBSTITUTE(F1912," ",""))),"")</f>
        <v/>
      </c>
      <c r="M1912" s="8">
        <f>IF(B1912&lt;&gt;"",TODAY(),"")</f>
        <v/>
      </c>
      <c r="N1912" s="8">
        <f>IF(F1912&lt;&gt;"",IFERROR(IF(AND(REGEXMATCH(SUBSTITUTE(TRIM(F1912)," ",""),"^-?\d+(\.\d+)?,-?\d+(\.\d+)?$"),VALUE(REGEXEXTRACT(SUBSTITUTE(TRIM(F1912)," ",""),"^-?\d+(\.\d+)?"))&gt;=-90,VALUE(REGEXEXTRACT(SUBSTITUTE(TRIM(F1912)," ",""),"^-?\d+(\.\d+)?"))&lt;=90,VALUE(REGEXEXTRACT(SUBSTITUTE(TRIM(F1912)," ",""),"-?\d+(\.\d+)?$"))&gt;=-180,VALUE(REGEXEXTRACT(SUBSTITUTE(TRIM(F1912)," ",""),"-?\d+(\.\d+)?$"))&lt;=180),"OK","REVISAR"),"REVISAR"),"")</f>
        <v/>
      </c>
      <c r="O1912">
        <f>IF(A1912&lt;&gt;"","https://direcciones507.github.io/direcciones507/panel.html?codigo="&amp;A1912&amp;"&amp;nombre="&amp;ENCODEURL(B1912)&amp;"&amp;telefono="&amp;SUBSTITUTE(C1912,"-","")&amp;"&amp;referencia="&amp;ENCODEURL(E1912)&amp;"&amp;lat="&amp;IZQUIERDA(SUBSTITUTE(F1912," ",""),ENCONTRAR(",",SUBSTITUTE(F1912," ",""))-1)&amp;"&amp;lng="&amp;DERECHA(SUBSTITUTE(F1912," ",""),LARGO(SUBSTITUTE(F1912," ",""))-ENCONTRAR(",",SUBSTITUTE(F1912," ",""))),"")</f>
        <v/>
      </c>
    </row>
    <row r="1913" ht="15.75" customHeight="1" s="10">
      <c r="A1913" s="8">
        <f>CONCAT("AD507-",TEXT(ROW()-2,"0000"))</f>
        <v/>
      </c>
      <c r="C1913" s="8" t="n"/>
      <c r="F1913" s="8" t="n"/>
      <c r="G1913" s="8">
        <f>IF(F1913&lt;&gt;"",HYPERLINK("https://www.google.com/maps/search/?api=1&amp;query="&amp;SUBSTITUTE(F1913," ",""),"🗺 Google Maps"),"")</f>
        <v/>
      </c>
      <c r="H1913" s="8">
        <f>IF(F1913&lt;&gt;"",HYPERLINK("https://waze.com/ul?ll="&amp;SUBSTITUTE(F1913," ","")&amp;"&amp;navigate=yes","🚗 Waze"),"")</f>
        <v/>
      </c>
      <c r="I1913" s="8">
        <f>IF(F1913&lt;&gt;"",HYPERLINK("https://m.uber.com/ul/?action=setPickup&amp;pickup=my_location&amp;dropoff[latitude]="&amp;LEFT(SUBSTITUTE(F1913," ",""),FIND(",",SUBSTITUTE(F1913," ",""))-1)&amp;"&amp;dropoff[longitude]="&amp;MID(SUBSTITUTE(F1913," ",""),FIND(",",SUBSTITUTE(F1913," ",""))+1,99),"🚕 Uber"),"")</f>
        <v/>
      </c>
      <c r="J1913" s="8">
        <f>IF(F1913&lt;&gt;"","https://api.qrserver.com/v1/create-qr-code/?size=200x200&amp;data="&amp;ENCODEURL("https://www.google.com/maps/search/?api=1&amp;query="&amp;SUBSTITUTE(F1913," ","")),"")</f>
        <v/>
      </c>
      <c r="K1913" s="8">
        <f>IF(C1913&lt;&gt;"",HYPERLINK("https://wa.me/507"&amp;REGEXREPLACE(C1913,"[^0-9]","")&amp;"?text="&amp;ENCODEURL("Ya llegue. Codigo: "&amp;A1913&amp;". Ubicacion: "&amp;"https://www.google.com/maps/search/?api=1&amp;query="&amp;SUBSTITUTE(F1913," ","")),"📲 Avisar al cliente"),"")</f>
        <v/>
      </c>
      <c r="L1913" s="8">
        <f>IF(C1913&lt;&gt;"","https://api.qrserver.com/v1/create-qr-code/?size=200x200&amp;data="&amp;ENCODEURL("https://wa.me/507"&amp;REGEXREPLACE(C1913,"[^0-9]","")&amp;"?text="&amp;ENCODEURL("Ya llegue. Codigo: "&amp;A1913&amp;". Ubicacion: "&amp;"https://www.google.com/maps/search/?api=1&amp;query="&amp;SUBSTITUTE(F1913," ",""))),"")</f>
        <v/>
      </c>
      <c r="M1913" s="8">
        <f>IF(B1913&lt;&gt;"",TODAY(),"")</f>
        <v/>
      </c>
      <c r="N1913" s="8">
        <f>IF(F1913&lt;&gt;"",IFERROR(IF(AND(REGEXMATCH(SUBSTITUTE(TRIM(F1913)," ",""),"^-?\d+(\.\d+)?,-?\d+(\.\d+)?$"),VALUE(REGEXEXTRACT(SUBSTITUTE(TRIM(F1913)," ",""),"^-?\d+(\.\d+)?"))&gt;=-90,VALUE(REGEXEXTRACT(SUBSTITUTE(TRIM(F1913)," ",""),"^-?\d+(\.\d+)?"))&lt;=90,VALUE(REGEXEXTRACT(SUBSTITUTE(TRIM(F1913)," ",""),"-?\d+(\.\d+)?$"))&gt;=-180,VALUE(REGEXEXTRACT(SUBSTITUTE(TRIM(F1913)," ",""),"-?\d+(\.\d+)?$"))&lt;=180),"OK","REVISAR"),"REVISAR"),"")</f>
        <v/>
      </c>
      <c r="O1913">
        <f>IF(A1913&lt;&gt;"","https://direcciones507.github.io/direcciones507/panel.html?codigo="&amp;A1913&amp;"&amp;nombre="&amp;ENCODEURL(B1913)&amp;"&amp;telefono="&amp;SUBSTITUTE(C1913,"-","")&amp;"&amp;referencia="&amp;ENCODEURL(E1913)&amp;"&amp;lat="&amp;IZQUIERDA(SUBSTITUTE(F1913," ",""),ENCONTRAR(",",SUBSTITUTE(F1913," ",""))-1)&amp;"&amp;lng="&amp;DERECHA(SUBSTITUTE(F1913," ",""),LARGO(SUBSTITUTE(F1913," ",""))-ENCONTRAR(",",SUBSTITUTE(F1913," ",""))),"")</f>
        <v/>
      </c>
    </row>
    <row r="1914" ht="15.75" customHeight="1" s="10">
      <c r="A1914" s="8">
        <f>CONCAT("AD507-",TEXT(ROW()-2,"0000"))</f>
        <v/>
      </c>
      <c r="C1914" s="8" t="n"/>
      <c r="F1914" s="8" t="n"/>
      <c r="G1914" s="8">
        <f>IF(F1914&lt;&gt;"",HYPERLINK("https://www.google.com/maps/search/?api=1&amp;query="&amp;SUBSTITUTE(F1914," ",""),"🗺 Google Maps"),"")</f>
        <v/>
      </c>
      <c r="H1914" s="8">
        <f>IF(F1914&lt;&gt;"",HYPERLINK("https://waze.com/ul?ll="&amp;SUBSTITUTE(F1914," ","")&amp;"&amp;navigate=yes","🚗 Waze"),"")</f>
        <v/>
      </c>
      <c r="I1914" s="8">
        <f>IF(F1914&lt;&gt;"",HYPERLINK("https://m.uber.com/ul/?action=setPickup&amp;pickup=my_location&amp;dropoff[latitude]="&amp;LEFT(SUBSTITUTE(F1914," ",""),FIND(",",SUBSTITUTE(F1914," ",""))-1)&amp;"&amp;dropoff[longitude]="&amp;MID(SUBSTITUTE(F1914," ",""),FIND(",",SUBSTITUTE(F1914," ",""))+1,99),"🚕 Uber"),"")</f>
        <v/>
      </c>
      <c r="J1914" s="8">
        <f>IF(F1914&lt;&gt;"","https://api.qrserver.com/v1/create-qr-code/?size=200x200&amp;data="&amp;ENCODEURL("https://www.google.com/maps/search/?api=1&amp;query="&amp;SUBSTITUTE(F1914," ","")),"")</f>
        <v/>
      </c>
      <c r="K1914" s="8">
        <f>IF(C1914&lt;&gt;"",HYPERLINK("https://wa.me/507"&amp;REGEXREPLACE(C1914,"[^0-9]","")&amp;"?text="&amp;ENCODEURL("Ya llegue. Codigo: "&amp;A1914&amp;". Ubicacion: "&amp;"https://www.google.com/maps/search/?api=1&amp;query="&amp;SUBSTITUTE(F1914," ","")),"📲 Avisar al cliente"),"")</f>
        <v/>
      </c>
      <c r="L1914" s="8">
        <f>IF(C1914&lt;&gt;"","https://api.qrserver.com/v1/create-qr-code/?size=200x200&amp;data="&amp;ENCODEURL("https://wa.me/507"&amp;REGEXREPLACE(C1914,"[^0-9]","")&amp;"?text="&amp;ENCODEURL("Ya llegue. Codigo: "&amp;A1914&amp;". Ubicacion: "&amp;"https://www.google.com/maps/search/?api=1&amp;query="&amp;SUBSTITUTE(F1914," ",""))),"")</f>
        <v/>
      </c>
      <c r="M1914" s="8">
        <f>IF(B1914&lt;&gt;"",TODAY(),"")</f>
        <v/>
      </c>
      <c r="N1914" s="8">
        <f>IF(F1914&lt;&gt;"",IFERROR(IF(AND(REGEXMATCH(SUBSTITUTE(TRIM(F1914)," ",""),"^-?\d+(\.\d+)?,-?\d+(\.\d+)?$"),VALUE(REGEXEXTRACT(SUBSTITUTE(TRIM(F1914)," ",""),"^-?\d+(\.\d+)?"))&gt;=-90,VALUE(REGEXEXTRACT(SUBSTITUTE(TRIM(F1914)," ",""),"^-?\d+(\.\d+)?"))&lt;=90,VALUE(REGEXEXTRACT(SUBSTITUTE(TRIM(F1914)," ",""),"-?\d+(\.\d+)?$"))&gt;=-180,VALUE(REGEXEXTRACT(SUBSTITUTE(TRIM(F1914)," ",""),"-?\d+(\.\d+)?$"))&lt;=180),"OK","REVISAR"),"REVISAR"),"")</f>
        <v/>
      </c>
      <c r="O1914">
        <f>IF(A1914&lt;&gt;"","https://direcciones507.github.io/direcciones507/panel.html?codigo="&amp;A1914&amp;"&amp;nombre="&amp;ENCODEURL(B1914)&amp;"&amp;telefono="&amp;SUBSTITUTE(C1914,"-","")&amp;"&amp;referencia="&amp;ENCODEURL(E1914)&amp;"&amp;lat="&amp;IZQUIERDA(SUBSTITUTE(F1914," ",""),ENCONTRAR(",",SUBSTITUTE(F1914," ",""))-1)&amp;"&amp;lng="&amp;DERECHA(SUBSTITUTE(F1914," ",""),LARGO(SUBSTITUTE(F1914," ",""))-ENCONTRAR(",",SUBSTITUTE(F1914," ",""))),"")</f>
        <v/>
      </c>
    </row>
    <row r="1915" ht="15.75" customHeight="1" s="10">
      <c r="A1915" s="8">
        <f>CONCAT("AD507-",TEXT(ROW()-2,"0000"))</f>
        <v/>
      </c>
      <c r="C1915" s="8" t="n"/>
      <c r="F1915" s="8" t="n"/>
      <c r="G1915" s="8">
        <f>IF(F1915&lt;&gt;"",HYPERLINK("https://www.google.com/maps/search/?api=1&amp;query="&amp;SUBSTITUTE(F1915," ",""),"🗺 Google Maps"),"")</f>
        <v/>
      </c>
      <c r="H1915" s="8">
        <f>IF(F1915&lt;&gt;"",HYPERLINK("https://waze.com/ul?ll="&amp;SUBSTITUTE(F1915," ","")&amp;"&amp;navigate=yes","🚗 Waze"),"")</f>
        <v/>
      </c>
      <c r="I1915" s="8">
        <f>IF(F1915&lt;&gt;"",HYPERLINK("https://m.uber.com/ul/?action=setPickup&amp;pickup=my_location&amp;dropoff[latitude]="&amp;LEFT(SUBSTITUTE(F1915," ",""),FIND(",",SUBSTITUTE(F1915," ",""))-1)&amp;"&amp;dropoff[longitude]="&amp;MID(SUBSTITUTE(F1915," ",""),FIND(",",SUBSTITUTE(F1915," ",""))+1,99),"🚕 Uber"),"")</f>
        <v/>
      </c>
      <c r="J1915" s="8">
        <f>IF(F1915&lt;&gt;"","https://api.qrserver.com/v1/create-qr-code/?size=200x200&amp;data="&amp;ENCODEURL("https://www.google.com/maps/search/?api=1&amp;query="&amp;SUBSTITUTE(F1915," ","")),"")</f>
        <v/>
      </c>
      <c r="K1915" s="8">
        <f>IF(C1915&lt;&gt;"",HYPERLINK("https://wa.me/507"&amp;REGEXREPLACE(C1915,"[^0-9]","")&amp;"?text="&amp;ENCODEURL("Ya llegue. Codigo: "&amp;A1915&amp;". Ubicacion: "&amp;"https://www.google.com/maps/search/?api=1&amp;query="&amp;SUBSTITUTE(F1915," ","")),"📲 Avisar al cliente"),"")</f>
        <v/>
      </c>
      <c r="L1915" s="8">
        <f>IF(C1915&lt;&gt;"","https://api.qrserver.com/v1/create-qr-code/?size=200x200&amp;data="&amp;ENCODEURL("https://wa.me/507"&amp;REGEXREPLACE(C1915,"[^0-9]","")&amp;"?text="&amp;ENCODEURL("Ya llegue. Codigo: "&amp;A1915&amp;". Ubicacion: "&amp;"https://www.google.com/maps/search/?api=1&amp;query="&amp;SUBSTITUTE(F1915," ",""))),"")</f>
        <v/>
      </c>
      <c r="M1915" s="8">
        <f>IF(B1915&lt;&gt;"",TODAY(),"")</f>
        <v/>
      </c>
      <c r="N1915" s="8">
        <f>IF(F1915&lt;&gt;"",IFERROR(IF(AND(REGEXMATCH(SUBSTITUTE(TRIM(F1915)," ",""),"^-?\d+(\.\d+)?,-?\d+(\.\d+)?$"),VALUE(REGEXEXTRACT(SUBSTITUTE(TRIM(F1915)," ",""),"^-?\d+(\.\d+)?"))&gt;=-90,VALUE(REGEXEXTRACT(SUBSTITUTE(TRIM(F1915)," ",""),"^-?\d+(\.\d+)?"))&lt;=90,VALUE(REGEXEXTRACT(SUBSTITUTE(TRIM(F1915)," ",""),"-?\d+(\.\d+)?$"))&gt;=-180,VALUE(REGEXEXTRACT(SUBSTITUTE(TRIM(F1915)," ",""),"-?\d+(\.\d+)?$"))&lt;=180),"OK","REVISAR"),"REVISAR"),"")</f>
        <v/>
      </c>
      <c r="O1915">
        <f>IF(A1915&lt;&gt;"","https://direcciones507.github.io/direcciones507/panel.html?codigo="&amp;A1915&amp;"&amp;nombre="&amp;ENCODEURL(B1915)&amp;"&amp;telefono="&amp;SUBSTITUTE(C1915,"-","")&amp;"&amp;referencia="&amp;ENCODEURL(E1915)&amp;"&amp;lat="&amp;IZQUIERDA(SUBSTITUTE(F1915," ",""),ENCONTRAR(",",SUBSTITUTE(F1915," ",""))-1)&amp;"&amp;lng="&amp;DERECHA(SUBSTITUTE(F1915," ",""),LARGO(SUBSTITUTE(F1915," ",""))-ENCONTRAR(",",SUBSTITUTE(F1915," ",""))),"")</f>
        <v/>
      </c>
    </row>
    <row r="1916" ht="15.75" customHeight="1" s="10">
      <c r="A1916" s="8">
        <f>CONCAT("AD507-",TEXT(ROW()-2,"0000"))</f>
        <v/>
      </c>
      <c r="C1916" s="8" t="n"/>
      <c r="F1916" s="8" t="n"/>
      <c r="G1916" s="8">
        <f>IF(F1916&lt;&gt;"",HYPERLINK("https://www.google.com/maps/search/?api=1&amp;query="&amp;SUBSTITUTE(F1916," ",""),"🗺 Google Maps"),"")</f>
        <v/>
      </c>
      <c r="H1916" s="8">
        <f>IF(F1916&lt;&gt;"",HYPERLINK("https://waze.com/ul?ll="&amp;SUBSTITUTE(F1916," ","")&amp;"&amp;navigate=yes","🚗 Waze"),"")</f>
        <v/>
      </c>
      <c r="I1916" s="8">
        <f>IF(F1916&lt;&gt;"",HYPERLINK("https://m.uber.com/ul/?action=setPickup&amp;pickup=my_location&amp;dropoff[latitude]="&amp;LEFT(SUBSTITUTE(F1916," ",""),FIND(",",SUBSTITUTE(F1916," ",""))-1)&amp;"&amp;dropoff[longitude]="&amp;MID(SUBSTITUTE(F1916," ",""),FIND(",",SUBSTITUTE(F1916," ",""))+1,99),"🚕 Uber"),"")</f>
        <v/>
      </c>
      <c r="J1916" s="8">
        <f>IF(F1916&lt;&gt;"","https://api.qrserver.com/v1/create-qr-code/?size=200x200&amp;data="&amp;ENCODEURL("https://www.google.com/maps/search/?api=1&amp;query="&amp;SUBSTITUTE(F1916," ","")),"")</f>
        <v/>
      </c>
      <c r="K1916" s="8">
        <f>IF(C1916&lt;&gt;"",HYPERLINK("https://wa.me/507"&amp;REGEXREPLACE(C1916,"[^0-9]","")&amp;"?text="&amp;ENCODEURL("Ya llegue. Codigo: "&amp;A1916&amp;". Ubicacion: "&amp;"https://www.google.com/maps/search/?api=1&amp;query="&amp;SUBSTITUTE(F1916," ","")),"📲 Avisar al cliente"),"")</f>
        <v/>
      </c>
      <c r="L1916" s="8">
        <f>IF(C1916&lt;&gt;"","https://api.qrserver.com/v1/create-qr-code/?size=200x200&amp;data="&amp;ENCODEURL("https://wa.me/507"&amp;REGEXREPLACE(C1916,"[^0-9]","")&amp;"?text="&amp;ENCODEURL("Ya llegue. Codigo: "&amp;A1916&amp;". Ubicacion: "&amp;"https://www.google.com/maps/search/?api=1&amp;query="&amp;SUBSTITUTE(F1916," ",""))),"")</f>
        <v/>
      </c>
      <c r="M1916" s="8">
        <f>IF(B1916&lt;&gt;"",TODAY(),"")</f>
        <v/>
      </c>
      <c r="N1916" s="8">
        <f>IF(F1916&lt;&gt;"",IFERROR(IF(AND(REGEXMATCH(SUBSTITUTE(TRIM(F1916)," ",""),"^-?\d+(\.\d+)?,-?\d+(\.\d+)?$"),VALUE(REGEXEXTRACT(SUBSTITUTE(TRIM(F1916)," ",""),"^-?\d+(\.\d+)?"))&gt;=-90,VALUE(REGEXEXTRACT(SUBSTITUTE(TRIM(F1916)," ",""),"^-?\d+(\.\d+)?"))&lt;=90,VALUE(REGEXEXTRACT(SUBSTITUTE(TRIM(F1916)," ",""),"-?\d+(\.\d+)?$"))&gt;=-180,VALUE(REGEXEXTRACT(SUBSTITUTE(TRIM(F1916)," ",""),"-?\d+(\.\d+)?$"))&lt;=180),"OK","REVISAR"),"REVISAR"),"")</f>
        <v/>
      </c>
      <c r="O1916">
        <f>IF(A1916&lt;&gt;"","https://direcciones507.github.io/direcciones507/panel.html?codigo="&amp;A1916&amp;"&amp;nombre="&amp;ENCODEURL(B1916)&amp;"&amp;telefono="&amp;SUBSTITUTE(C1916,"-","")&amp;"&amp;referencia="&amp;ENCODEURL(E1916)&amp;"&amp;lat="&amp;IZQUIERDA(SUBSTITUTE(F1916," ",""),ENCONTRAR(",",SUBSTITUTE(F1916," ",""))-1)&amp;"&amp;lng="&amp;DERECHA(SUBSTITUTE(F1916," ",""),LARGO(SUBSTITUTE(F1916," ",""))-ENCONTRAR(",",SUBSTITUTE(F1916," ",""))),"")</f>
        <v/>
      </c>
    </row>
    <row r="1917" ht="15.75" customHeight="1" s="10">
      <c r="A1917" s="8">
        <f>CONCAT("AD507-",TEXT(ROW()-2,"0000"))</f>
        <v/>
      </c>
      <c r="C1917" s="8" t="n"/>
      <c r="F1917" s="8" t="n"/>
      <c r="G1917" s="8">
        <f>IF(F1917&lt;&gt;"",HYPERLINK("https://www.google.com/maps/search/?api=1&amp;query="&amp;SUBSTITUTE(F1917," ",""),"🗺 Google Maps"),"")</f>
        <v/>
      </c>
      <c r="H1917" s="8">
        <f>IF(F1917&lt;&gt;"",HYPERLINK("https://waze.com/ul?ll="&amp;SUBSTITUTE(F1917," ","")&amp;"&amp;navigate=yes","🚗 Waze"),"")</f>
        <v/>
      </c>
      <c r="I1917" s="8">
        <f>IF(F1917&lt;&gt;"",HYPERLINK("https://m.uber.com/ul/?action=setPickup&amp;pickup=my_location&amp;dropoff[latitude]="&amp;LEFT(SUBSTITUTE(F1917," ",""),FIND(",",SUBSTITUTE(F1917," ",""))-1)&amp;"&amp;dropoff[longitude]="&amp;MID(SUBSTITUTE(F1917," ",""),FIND(",",SUBSTITUTE(F1917," ",""))+1,99),"🚕 Uber"),"")</f>
        <v/>
      </c>
      <c r="J1917" s="8">
        <f>IF(F1917&lt;&gt;"","https://api.qrserver.com/v1/create-qr-code/?size=200x200&amp;data="&amp;ENCODEURL("https://www.google.com/maps/search/?api=1&amp;query="&amp;SUBSTITUTE(F1917," ","")),"")</f>
        <v/>
      </c>
      <c r="K1917" s="8">
        <f>IF(C1917&lt;&gt;"",HYPERLINK("https://wa.me/507"&amp;REGEXREPLACE(C1917,"[^0-9]","")&amp;"?text="&amp;ENCODEURL("Ya llegue. Codigo: "&amp;A1917&amp;". Ubicacion: "&amp;"https://www.google.com/maps/search/?api=1&amp;query="&amp;SUBSTITUTE(F1917," ","")),"📲 Avisar al cliente"),"")</f>
        <v/>
      </c>
      <c r="L1917" s="8">
        <f>IF(C1917&lt;&gt;"","https://api.qrserver.com/v1/create-qr-code/?size=200x200&amp;data="&amp;ENCODEURL("https://wa.me/507"&amp;REGEXREPLACE(C1917,"[^0-9]","")&amp;"?text="&amp;ENCODEURL("Ya llegue. Codigo: "&amp;A1917&amp;". Ubicacion: "&amp;"https://www.google.com/maps/search/?api=1&amp;query="&amp;SUBSTITUTE(F1917," ",""))),"")</f>
        <v/>
      </c>
      <c r="M1917" s="8">
        <f>IF(B1917&lt;&gt;"",TODAY(),"")</f>
        <v/>
      </c>
      <c r="N1917" s="8">
        <f>IF(F1917&lt;&gt;"",IFERROR(IF(AND(REGEXMATCH(SUBSTITUTE(TRIM(F1917)," ",""),"^-?\d+(\.\d+)?,-?\d+(\.\d+)?$"),VALUE(REGEXEXTRACT(SUBSTITUTE(TRIM(F1917)," ",""),"^-?\d+(\.\d+)?"))&gt;=-90,VALUE(REGEXEXTRACT(SUBSTITUTE(TRIM(F1917)," ",""),"^-?\d+(\.\d+)?"))&lt;=90,VALUE(REGEXEXTRACT(SUBSTITUTE(TRIM(F1917)," ",""),"-?\d+(\.\d+)?$"))&gt;=-180,VALUE(REGEXEXTRACT(SUBSTITUTE(TRIM(F1917)," ",""),"-?\d+(\.\d+)?$"))&lt;=180),"OK","REVISAR"),"REVISAR"),"")</f>
        <v/>
      </c>
      <c r="O1917">
        <f>IF(A1917&lt;&gt;"","https://direcciones507.github.io/direcciones507/panel.html?codigo="&amp;A1917&amp;"&amp;nombre="&amp;ENCODEURL(B1917)&amp;"&amp;telefono="&amp;SUBSTITUTE(C1917,"-","")&amp;"&amp;referencia="&amp;ENCODEURL(E1917)&amp;"&amp;lat="&amp;IZQUIERDA(SUBSTITUTE(F1917," ",""),ENCONTRAR(",",SUBSTITUTE(F1917," ",""))-1)&amp;"&amp;lng="&amp;DERECHA(SUBSTITUTE(F1917," ",""),LARGO(SUBSTITUTE(F1917," ",""))-ENCONTRAR(",",SUBSTITUTE(F1917," ",""))),"")</f>
        <v/>
      </c>
    </row>
    <row r="1918" ht="15.75" customHeight="1" s="10">
      <c r="A1918" s="8">
        <f>CONCAT("AD507-",TEXT(ROW()-2,"0000"))</f>
        <v/>
      </c>
      <c r="C1918" s="8" t="n"/>
      <c r="F1918" s="8" t="n"/>
      <c r="G1918" s="8">
        <f>IF(F1918&lt;&gt;"",HYPERLINK("https://www.google.com/maps/search/?api=1&amp;query="&amp;SUBSTITUTE(F1918," ",""),"🗺 Google Maps"),"")</f>
        <v/>
      </c>
      <c r="H1918" s="8">
        <f>IF(F1918&lt;&gt;"",HYPERLINK("https://waze.com/ul?ll="&amp;SUBSTITUTE(F1918," ","")&amp;"&amp;navigate=yes","🚗 Waze"),"")</f>
        <v/>
      </c>
      <c r="I1918" s="8">
        <f>IF(F1918&lt;&gt;"",HYPERLINK("https://m.uber.com/ul/?action=setPickup&amp;pickup=my_location&amp;dropoff[latitude]="&amp;LEFT(SUBSTITUTE(F1918," ",""),FIND(",",SUBSTITUTE(F1918," ",""))-1)&amp;"&amp;dropoff[longitude]="&amp;MID(SUBSTITUTE(F1918," ",""),FIND(",",SUBSTITUTE(F1918," ",""))+1,99),"🚕 Uber"),"")</f>
        <v/>
      </c>
      <c r="J1918" s="8">
        <f>IF(F1918&lt;&gt;"","https://api.qrserver.com/v1/create-qr-code/?size=200x200&amp;data="&amp;ENCODEURL("https://www.google.com/maps/search/?api=1&amp;query="&amp;SUBSTITUTE(F1918," ","")),"")</f>
        <v/>
      </c>
      <c r="K1918" s="8">
        <f>IF(C1918&lt;&gt;"",HYPERLINK("https://wa.me/507"&amp;REGEXREPLACE(C1918,"[^0-9]","")&amp;"?text="&amp;ENCODEURL("Ya llegue. Codigo: "&amp;A1918&amp;". Ubicacion: "&amp;"https://www.google.com/maps/search/?api=1&amp;query="&amp;SUBSTITUTE(F1918," ","")),"📲 Avisar al cliente"),"")</f>
        <v/>
      </c>
      <c r="L1918" s="8">
        <f>IF(C1918&lt;&gt;"","https://api.qrserver.com/v1/create-qr-code/?size=200x200&amp;data="&amp;ENCODEURL("https://wa.me/507"&amp;REGEXREPLACE(C1918,"[^0-9]","")&amp;"?text="&amp;ENCODEURL("Ya llegue. Codigo: "&amp;A1918&amp;". Ubicacion: "&amp;"https://www.google.com/maps/search/?api=1&amp;query="&amp;SUBSTITUTE(F1918," ",""))),"")</f>
        <v/>
      </c>
      <c r="M1918" s="8">
        <f>IF(B1918&lt;&gt;"",TODAY(),"")</f>
        <v/>
      </c>
      <c r="N1918" s="8">
        <f>IF(F1918&lt;&gt;"",IFERROR(IF(AND(REGEXMATCH(SUBSTITUTE(TRIM(F1918)," ",""),"^-?\d+(\.\d+)?,-?\d+(\.\d+)?$"),VALUE(REGEXEXTRACT(SUBSTITUTE(TRIM(F1918)," ",""),"^-?\d+(\.\d+)?"))&gt;=-90,VALUE(REGEXEXTRACT(SUBSTITUTE(TRIM(F1918)," ",""),"^-?\d+(\.\d+)?"))&lt;=90,VALUE(REGEXEXTRACT(SUBSTITUTE(TRIM(F1918)," ",""),"-?\d+(\.\d+)?$"))&gt;=-180,VALUE(REGEXEXTRACT(SUBSTITUTE(TRIM(F1918)," ",""),"-?\d+(\.\d+)?$"))&lt;=180),"OK","REVISAR"),"REVISAR"),"")</f>
        <v/>
      </c>
      <c r="O1918">
        <f>IF(A1918&lt;&gt;"","https://direcciones507.github.io/direcciones507/panel.html?codigo="&amp;A1918&amp;"&amp;nombre="&amp;ENCODEURL(B1918)&amp;"&amp;telefono="&amp;SUBSTITUTE(C1918,"-","")&amp;"&amp;referencia="&amp;ENCODEURL(E1918)&amp;"&amp;lat="&amp;IZQUIERDA(SUBSTITUTE(F1918," ",""),ENCONTRAR(",",SUBSTITUTE(F1918," ",""))-1)&amp;"&amp;lng="&amp;DERECHA(SUBSTITUTE(F1918," ",""),LARGO(SUBSTITUTE(F1918," ",""))-ENCONTRAR(",",SUBSTITUTE(F1918," ",""))),"")</f>
        <v/>
      </c>
    </row>
    <row r="1919" ht="15.75" customHeight="1" s="10">
      <c r="A1919" s="8">
        <f>CONCAT("AD507-",TEXT(ROW()-2,"0000"))</f>
        <v/>
      </c>
      <c r="C1919" s="8" t="n"/>
      <c r="F1919" s="8" t="n"/>
      <c r="G1919" s="8">
        <f>IF(F1919&lt;&gt;"",HYPERLINK("https://www.google.com/maps/search/?api=1&amp;query="&amp;SUBSTITUTE(F1919," ",""),"🗺 Google Maps"),"")</f>
        <v/>
      </c>
      <c r="H1919" s="8">
        <f>IF(F1919&lt;&gt;"",HYPERLINK("https://waze.com/ul?ll="&amp;SUBSTITUTE(F1919," ","")&amp;"&amp;navigate=yes","🚗 Waze"),"")</f>
        <v/>
      </c>
      <c r="I1919" s="8">
        <f>IF(F1919&lt;&gt;"",HYPERLINK("https://m.uber.com/ul/?action=setPickup&amp;pickup=my_location&amp;dropoff[latitude]="&amp;LEFT(SUBSTITUTE(F1919," ",""),FIND(",",SUBSTITUTE(F1919," ",""))-1)&amp;"&amp;dropoff[longitude]="&amp;MID(SUBSTITUTE(F1919," ",""),FIND(",",SUBSTITUTE(F1919," ",""))+1,99),"🚕 Uber"),"")</f>
        <v/>
      </c>
      <c r="J1919" s="8">
        <f>IF(F1919&lt;&gt;"","https://api.qrserver.com/v1/create-qr-code/?size=200x200&amp;data="&amp;ENCODEURL("https://www.google.com/maps/search/?api=1&amp;query="&amp;SUBSTITUTE(F1919," ","")),"")</f>
        <v/>
      </c>
      <c r="K1919" s="8">
        <f>IF(C1919&lt;&gt;"",HYPERLINK("https://wa.me/507"&amp;REGEXREPLACE(C1919,"[^0-9]","")&amp;"?text="&amp;ENCODEURL("Ya llegue. Codigo: "&amp;A1919&amp;". Ubicacion: "&amp;"https://www.google.com/maps/search/?api=1&amp;query="&amp;SUBSTITUTE(F1919," ","")),"📲 Avisar al cliente"),"")</f>
        <v/>
      </c>
      <c r="L1919" s="8">
        <f>IF(C1919&lt;&gt;"","https://api.qrserver.com/v1/create-qr-code/?size=200x200&amp;data="&amp;ENCODEURL("https://wa.me/507"&amp;REGEXREPLACE(C1919,"[^0-9]","")&amp;"?text="&amp;ENCODEURL("Ya llegue. Codigo: "&amp;A1919&amp;". Ubicacion: "&amp;"https://www.google.com/maps/search/?api=1&amp;query="&amp;SUBSTITUTE(F1919," ",""))),"")</f>
        <v/>
      </c>
      <c r="M1919" s="8">
        <f>IF(B1919&lt;&gt;"",TODAY(),"")</f>
        <v/>
      </c>
      <c r="N1919" s="8">
        <f>IF(F1919&lt;&gt;"",IFERROR(IF(AND(REGEXMATCH(SUBSTITUTE(TRIM(F1919)," ",""),"^-?\d+(\.\d+)?,-?\d+(\.\d+)?$"),VALUE(REGEXEXTRACT(SUBSTITUTE(TRIM(F1919)," ",""),"^-?\d+(\.\d+)?"))&gt;=-90,VALUE(REGEXEXTRACT(SUBSTITUTE(TRIM(F1919)," ",""),"^-?\d+(\.\d+)?"))&lt;=90,VALUE(REGEXEXTRACT(SUBSTITUTE(TRIM(F1919)," ",""),"-?\d+(\.\d+)?$"))&gt;=-180,VALUE(REGEXEXTRACT(SUBSTITUTE(TRIM(F1919)," ",""),"-?\d+(\.\d+)?$"))&lt;=180),"OK","REVISAR"),"REVISAR"),"")</f>
        <v/>
      </c>
      <c r="O1919">
        <f>IF(A1919&lt;&gt;"","https://direcciones507.github.io/direcciones507/panel.html?codigo="&amp;A1919&amp;"&amp;nombre="&amp;ENCODEURL(B1919)&amp;"&amp;telefono="&amp;SUBSTITUTE(C1919,"-","")&amp;"&amp;referencia="&amp;ENCODEURL(E1919)&amp;"&amp;lat="&amp;IZQUIERDA(SUBSTITUTE(F1919," ",""),ENCONTRAR(",",SUBSTITUTE(F1919," ",""))-1)&amp;"&amp;lng="&amp;DERECHA(SUBSTITUTE(F1919," ",""),LARGO(SUBSTITUTE(F1919," ",""))-ENCONTRAR(",",SUBSTITUTE(F1919," ",""))),"")</f>
        <v/>
      </c>
    </row>
    <row r="1920" ht="15.75" customHeight="1" s="10">
      <c r="A1920" s="8">
        <f>CONCAT("AD507-",TEXT(ROW()-2,"0000"))</f>
        <v/>
      </c>
      <c r="C1920" s="8" t="n"/>
      <c r="F1920" s="8" t="n"/>
      <c r="G1920" s="8">
        <f>IF(F1920&lt;&gt;"",HYPERLINK("https://www.google.com/maps/search/?api=1&amp;query="&amp;SUBSTITUTE(F1920," ",""),"🗺 Google Maps"),"")</f>
        <v/>
      </c>
      <c r="H1920" s="8">
        <f>IF(F1920&lt;&gt;"",HYPERLINK("https://waze.com/ul?ll="&amp;SUBSTITUTE(F1920," ","")&amp;"&amp;navigate=yes","🚗 Waze"),"")</f>
        <v/>
      </c>
      <c r="I1920" s="8">
        <f>IF(F1920&lt;&gt;"",HYPERLINK("https://m.uber.com/ul/?action=setPickup&amp;pickup=my_location&amp;dropoff[latitude]="&amp;LEFT(SUBSTITUTE(F1920," ",""),FIND(",",SUBSTITUTE(F1920," ",""))-1)&amp;"&amp;dropoff[longitude]="&amp;MID(SUBSTITUTE(F1920," ",""),FIND(",",SUBSTITUTE(F1920," ",""))+1,99),"🚕 Uber"),"")</f>
        <v/>
      </c>
      <c r="J1920" s="8">
        <f>IF(F1920&lt;&gt;"","https://api.qrserver.com/v1/create-qr-code/?size=200x200&amp;data="&amp;ENCODEURL("https://www.google.com/maps/search/?api=1&amp;query="&amp;SUBSTITUTE(F1920," ","")),"")</f>
        <v/>
      </c>
      <c r="K1920" s="8">
        <f>IF(C1920&lt;&gt;"",HYPERLINK("https://wa.me/507"&amp;REGEXREPLACE(C1920,"[^0-9]","")&amp;"?text="&amp;ENCODEURL("Ya llegue. Codigo: "&amp;A1920&amp;". Ubicacion: "&amp;"https://www.google.com/maps/search/?api=1&amp;query="&amp;SUBSTITUTE(F1920," ","")),"📲 Avisar al cliente"),"")</f>
        <v/>
      </c>
      <c r="L1920" s="8">
        <f>IF(C1920&lt;&gt;"","https://api.qrserver.com/v1/create-qr-code/?size=200x200&amp;data="&amp;ENCODEURL("https://wa.me/507"&amp;REGEXREPLACE(C1920,"[^0-9]","")&amp;"?text="&amp;ENCODEURL("Ya llegue. Codigo: "&amp;A1920&amp;". Ubicacion: "&amp;"https://www.google.com/maps/search/?api=1&amp;query="&amp;SUBSTITUTE(F1920," ",""))),"")</f>
        <v/>
      </c>
      <c r="M1920" s="8">
        <f>IF(B1920&lt;&gt;"",TODAY(),"")</f>
        <v/>
      </c>
      <c r="N1920" s="8">
        <f>IF(F1920&lt;&gt;"",IFERROR(IF(AND(REGEXMATCH(SUBSTITUTE(TRIM(F1920)," ",""),"^-?\d+(\.\d+)?,-?\d+(\.\d+)?$"),VALUE(REGEXEXTRACT(SUBSTITUTE(TRIM(F1920)," ",""),"^-?\d+(\.\d+)?"))&gt;=-90,VALUE(REGEXEXTRACT(SUBSTITUTE(TRIM(F1920)," ",""),"^-?\d+(\.\d+)?"))&lt;=90,VALUE(REGEXEXTRACT(SUBSTITUTE(TRIM(F1920)," ",""),"-?\d+(\.\d+)?$"))&gt;=-180,VALUE(REGEXEXTRACT(SUBSTITUTE(TRIM(F1920)," ",""),"-?\d+(\.\d+)?$"))&lt;=180),"OK","REVISAR"),"REVISAR"),"")</f>
        <v/>
      </c>
      <c r="O1920">
        <f>IF(A1920&lt;&gt;"","https://direcciones507.github.io/direcciones507/panel.html?codigo="&amp;A1920&amp;"&amp;nombre="&amp;ENCODEURL(B1920)&amp;"&amp;telefono="&amp;SUBSTITUTE(C1920,"-","")&amp;"&amp;referencia="&amp;ENCODEURL(E1920)&amp;"&amp;lat="&amp;IZQUIERDA(SUBSTITUTE(F1920," ",""),ENCONTRAR(",",SUBSTITUTE(F1920," ",""))-1)&amp;"&amp;lng="&amp;DERECHA(SUBSTITUTE(F1920," ",""),LARGO(SUBSTITUTE(F1920," ",""))-ENCONTRAR(",",SUBSTITUTE(F1920," ",""))),"")</f>
        <v/>
      </c>
    </row>
    <row r="1921" ht="15.75" customHeight="1" s="10">
      <c r="A1921" s="8">
        <f>CONCAT("AD507-",TEXT(ROW()-2,"0000"))</f>
        <v/>
      </c>
      <c r="C1921" s="8" t="n"/>
      <c r="F1921" s="8" t="n"/>
      <c r="G1921" s="8">
        <f>IF(F1921&lt;&gt;"",HYPERLINK("https://www.google.com/maps/search/?api=1&amp;query="&amp;SUBSTITUTE(F1921," ",""),"🗺 Google Maps"),"")</f>
        <v/>
      </c>
      <c r="H1921" s="8">
        <f>IF(F1921&lt;&gt;"",HYPERLINK("https://waze.com/ul?ll="&amp;SUBSTITUTE(F1921," ","")&amp;"&amp;navigate=yes","🚗 Waze"),"")</f>
        <v/>
      </c>
      <c r="I1921" s="8">
        <f>IF(F1921&lt;&gt;"",HYPERLINK("https://m.uber.com/ul/?action=setPickup&amp;pickup=my_location&amp;dropoff[latitude]="&amp;LEFT(SUBSTITUTE(F1921," ",""),FIND(",",SUBSTITUTE(F1921," ",""))-1)&amp;"&amp;dropoff[longitude]="&amp;MID(SUBSTITUTE(F1921," ",""),FIND(",",SUBSTITUTE(F1921," ",""))+1,99),"🚕 Uber"),"")</f>
        <v/>
      </c>
      <c r="J1921" s="8">
        <f>IF(F1921&lt;&gt;"","https://api.qrserver.com/v1/create-qr-code/?size=200x200&amp;data="&amp;ENCODEURL("https://www.google.com/maps/search/?api=1&amp;query="&amp;SUBSTITUTE(F1921," ","")),"")</f>
        <v/>
      </c>
      <c r="K1921" s="8">
        <f>IF(C1921&lt;&gt;"",HYPERLINK("https://wa.me/507"&amp;REGEXREPLACE(C1921,"[^0-9]","")&amp;"?text="&amp;ENCODEURL("Ya llegue. Codigo: "&amp;A1921&amp;". Ubicacion: "&amp;"https://www.google.com/maps/search/?api=1&amp;query="&amp;SUBSTITUTE(F1921," ","")),"📲 Avisar al cliente"),"")</f>
        <v/>
      </c>
      <c r="L1921" s="8">
        <f>IF(C1921&lt;&gt;"","https://api.qrserver.com/v1/create-qr-code/?size=200x200&amp;data="&amp;ENCODEURL("https://wa.me/507"&amp;REGEXREPLACE(C1921,"[^0-9]","")&amp;"?text="&amp;ENCODEURL("Ya llegue. Codigo: "&amp;A1921&amp;". Ubicacion: "&amp;"https://www.google.com/maps/search/?api=1&amp;query="&amp;SUBSTITUTE(F1921," ",""))),"")</f>
        <v/>
      </c>
      <c r="M1921" s="8">
        <f>IF(B1921&lt;&gt;"",TODAY(),"")</f>
        <v/>
      </c>
      <c r="N1921" s="8">
        <f>IF(F1921&lt;&gt;"",IFERROR(IF(AND(REGEXMATCH(SUBSTITUTE(TRIM(F1921)," ",""),"^-?\d+(\.\d+)?,-?\d+(\.\d+)?$"),VALUE(REGEXEXTRACT(SUBSTITUTE(TRIM(F1921)," ",""),"^-?\d+(\.\d+)?"))&gt;=-90,VALUE(REGEXEXTRACT(SUBSTITUTE(TRIM(F1921)," ",""),"^-?\d+(\.\d+)?"))&lt;=90,VALUE(REGEXEXTRACT(SUBSTITUTE(TRIM(F1921)," ",""),"-?\d+(\.\d+)?$"))&gt;=-180,VALUE(REGEXEXTRACT(SUBSTITUTE(TRIM(F1921)," ",""),"-?\d+(\.\d+)?$"))&lt;=180),"OK","REVISAR"),"REVISAR"),"")</f>
        <v/>
      </c>
      <c r="O1921">
        <f>IF(A1921&lt;&gt;"","https://direcciones507.github.io/direcciones507/panel.html?codigo="&amp;A1921&amp;"&amp;nombre="&amp;ENCODEURL(B1921)&amp;"&amp;telefono="&amp;SUBSTITUTE(C1921,"-","")&amp;"&amp;referencia="&amp;ENCODEURL(E1921)&amp;"&amp;lat="&amp;IZQUIERDA(SUBSTITUTE(F1921," ",""),ENCONTRAR(",",SUBSTITUTE(F1921," ",""))-1)&amp;"&amp;lng="&amp;DERECHA(SUBSTITUTE(F1921," ",""),LARGO(SUBSTITUTE(F1921," ",""))-ENCONTRAR(",",SUBSTITUTE(F1921," ",""))),"")</f>
        <v/>
      </c>
    </row>
    <row r="1922" ht="15.75" customHeight="1" s="10">
      <c r="A1922" s="8">
        <f>CONCAT("AD507-",TEXT(ROW()-2,"0000"))</f>
        <v/>
      </c>
      <c r="C1922" s="8" t="n"/>
      <c r="F1922" s="8" t="n"/>
      <c r="G1922" s="8">
        <f>IF(F1922&lt;&gt;"",HYPERLINK("https://www.google.com/maps/search/?api=1&amp;query="&amp;SUBSTITUTE(F1922," ",""),"🗺 Google Maps"),"")</f>
        <v/>
      </c>
      <c r="H1922" s="8">
        <f>IF(F1922&lt;&gt;"",HYPERLINK("https://waze.com/ul?ll="&amp;SUBSTITUTE(F1922," ","")&amp;"&amp;navigate=yes","🚗 Waze"),"")</f>
        <v/>
      </c>
      <c r="I1922" s="8">
        <f>IF(F1922&lt;&gt;"",HYPERLINK("https://m.uber.com/ul/?action=setPickup&amp;pickup=my_location&amp;dropoff[latitude]="&amp;LEFT(SUBSTITUTE(F1922," ",""),FIND(",",SUBSTITUTE(F1922," ",""))-1)&amp;"&amp;dropoff[longitude]="&amp;MID(SUBSTITUTE(F1922," ",""),FIND(",",SUBSTITUTE(F1922," ",""))+1,99),"🚕 Uber"),"")</f>
        <v/>
      </c>
      <c r="J1922" s="8">
        <f>IF(F1922&lt;&gt;"","https://api.qrserver.com/v1/create-qr-code/?size=200x200&amp;data="&amp;ENCODEURL("https://www.google.com/maps/search/?api=1&amp;query="&amp;SUBSTITUTE(F1922," ","")),"")</f>
        <v/>
      </c>
      <c r="K1922" s="8">
        <f>IF(C1922&lt;&gt;"",HYPERLINK("https://wa.me/507"&amp;REGEXREPLACE(C1922,"[^0-9]","")&amp;"?text="&amp;ENCODEURL("Ya llegue. Codigo: "&amp;A1922&amp;". Ubicacion: "&amp;"https://www.google.com/maps/search/?api=1&amp;query="&amp;SUBSTITUTE(F1922," ","")),"📲 Avisar al cliente"),"")</f>
        <v/>
      </c>
      <c r="L1922" s="8">
        <f>IF(C1922&lt;&gt;"","https://api.qrserver.com/v1/create-qr-code/?size=200x200&amp;data="&amp;ENCODEURL("https://wa.me/507"&amp;REGEXREPLACE(C1922,"[^0-9]","")&amp;"?text="&amp;ENCODEURL("Ya llegue. Codigo: "&amp;A1922&amp;". Ubicacion: "&amp;"https://www.google.com/maps/search/?api=1&amp;query="&amp;SUBSTITUTE(F1922," ",""))),"")</f>
        <v/>
      </c>
      <c r="M1922" s="8">
        <f>IF(B1922&lt;&gt;"",TODAY(),"")</f>
        <v/>
      </c>
      <c r="N1922" s="8">
        <f>IF(F1922&lt;&gt;"",IFERROR(IF(AND(REGEXMATCH(SUBSTITUTE(TRIM(F1922)," ",""),"^-?\d+(\.\d+)?,-?\d+(\.\d+)?$"),VALUE(REGEXEXTRACT(SUBSTITUTE(TRIM(F1922)," ",""),"^-?\d+(\.\d+)?"))&gt;=-90,VALUE(REGEXEXTRACT(SUBSTITUTE(TRIM(F1922)," ",""),"^-?\d+(\.\d+)?"))&lt;=90,VALUE(REGEXEXTRACT(SUBSTITUTE(TRIM(F1922)," ",""),"-?\d+(\.\d+)?$"))&gt;=-180,VALUE(REGEXEXTRACT(SUBSTITUTE(TRIM(F1922)," ",""),"-?\d+(\.\d+)?$"))&lt;=180),"OK","REVISAR"),"REVISAR"),"")</f>
        <v/>
      </c>
      <c r="O1922">
        <f>IF(A1922&lt;&gt;"","https://direcciones507.github.io/direcciones507/panel.html?codigo="&amp;A1922&amp;"&amp;nombre="&amp;ENCODEURL(B1922)&amp;"&amp;telefono="&amp;SUBSTITUTE(C1922,"-","")&amp;"&amp;referencia="&amp;ENCODEURL(E1922)&amp;"&amp;lat="&amp;IZQUIERDA(SUBSTITUTE(F1922," ",""),ENCONTRAR(",",SUBSTITUTE(F1922," ",""))-1)&amp;"&amp;lng="&amp;DERECHA(SUBSTITUTE(F1922," ",""),LARGO(SUBSTITUTE(F1922," ",""))-ENCONTRAR(",",SUBSTITUTE(F1922," ",""))),"")</f>
        <v/>
      </c>
    </row>
    <row r="1923" ht="15.75" customHeight="1" s="10">
      <c r="A1923" s="8">
        <f>CONCAT("AD507-",TEXT(ROW()-2,"0000"))</f>
        <v/>
      </c>
      <c r="C1923" s="8" t="n"/>
      <c r="F1923" s="8" t="n"/>
      <c r="G1923" s="8">
        <f>IF(F1923&lt;&gt;"",HYPERLINK("https://www.google.com/maps/search/?api=1&amp;query="&amp;SUBSTITUTE(F1923," ",""),"🗺 Google Maps"),"")</f>
        <v/>
      </c>
      <c r="H1923" s="8">
        <f>IF(F1923&lt;&gt;"",HYPERLINK("https://waze.com/ul?ll="&amp;SUBSTITUTE(F1923," ","")&amp;"&amp;navigate=yes","🚗 Waze"),"")</f>
        <v/>
      </c>
      <c r="I1923" s="8">
        <f>IF(F1923&lt;&gt;"",HYPERLINK("https://m.uber.com/ul/?action=setPickup&amp;pickup=my_location&amp;dropoff[latitude]="&amp;LEFT(SUBSTITUTE(F1923," ",""),FIND(",",SUBSTITUTE(F1923," ",""))-1)&amp;"&amp;dropoff[longitude]="&amp;MID(SUBSTITUTE(F1923," ",""),FIND(",",SUBSTITUTE(F1923," ",""))+1,99),"🚕 Uber"),"")</f>
        <v/>
      </c>
      <c r="J1923" s="8">
        <f>IF(F1923&lt;&gt;"","https://api.qrserver.com/v1/create-qr-code/?size=200x200&amp;data="&amp;ENCODEURL("https://www.google.com/maps/search/?api=1&amp;query="&amp;SUBSTITUTE(F1923," ","")),"")</f>
        <v/>
      </c>
      <c r="K1923" s="8">
        <f>IF(C1923&lt;&gt;"",HYPERLINK("https://wa.me/507"&amp;REGEXREPLACE(C1923,"[^0-9]","")&amp;"?text="&amp;ENCODEURL("Ya llegue. Codigo: "&amp;A1923&amp;". Ubicacion: "&amp;"https://www.google.com/maps/search/?api=1&amp;query="&amp;SUBSTITUTE(F1923," ","")),"📲 Avisar al cliente"),"")</f>
        <v/>
      </c>
      <c r="L1923" s="8">
        <f>IF(C1923&lt;&gt;"","https://api.qrserver.com/v1/create-qr-code/?size=200x200&amp;data="&amp;ENCODEURL("https://wa.me/507"&amp;REGEXREPLACE(C1923,"[^0-9]","")&amp;"?text="&amp;ENCODEURL("Ya llegue. Codigo: "&amp;A1923&amp;". Ubicacion: "&amp;"https://www.google.com/maps/search/?api=1&amp;query="&amp;SUBSTITUTE(F1923," ",""))),"")</f>
        <v/>
      </c>
      <c r="M1923" s="8">
        <f>IF(B1923&lt;&gt;"",TODAY(),"")</f>
        <v/>
      </c>
      <c r="N1923" s="8">
        <f>IF(F1923&lt;&gt;"",IFERROR(IF(AND(REGEXMATCH(SUBSTITUTE(TRIM(F1923)," ",""),"^-?\d+(\.\d+)?,-?\d+(\.\d+)?$"),VALUE(REGEXEXTRACT(SUBSTITUTE(TRIM(F1923)," ",""),"^-?\d+(\.\d+)?"))&gt;=-90,VALUE(REGEXEXTRACT(SUBSTITUTE(TRIM(F1923)," ",""),"^-?\d+(\.\d+)?"))&lt;=90,VALUE(REGEXEXTRACT(SUBSTITUTE(TRIM(F1923)," ",""),"-?\d+(\.\d+)?$"))&gt;=-180,VALUE(REGEXEXTRACT(SUBSTITUTE(TRIM(F1923)," ",""),"-?\d+(\.\d+)?$"))&lt;=180),"OK","REVISAR"),"REVISAR"),"")</f>
        <v/>
      </c>
      <c r="O1923">
        <f>IF(A1923&lt;&gt;"","https://direcciones507.github.io/direcciones507/panel.html?codigo="&amp;A1923&amp;"&amp;nombre="&amp;ENCODEURL(B1923)&amp;"&amp;telefono="&amp;SUBSTITUTE(C1923,"-","")&amp;"&amp;referencia="&amp;ENCODEURL(E1923)&amp;"&amp;lat="&amp;IZQUIERDA(SUBSTITUTE(F1923," ",""),ENCONTRAR(",",SUBSTITUTE(F1923," ",""))-1)&amp;"&amp;lng="&amp;DERECHA(SUBSTITUTE(F1923," ",""),LARGO(SUBSTITUTE(F1923," ",""))-ENCONTRAR(",",SUBSTITUTE(F1923," ",""))),"")</f>
        <v/>
      </c>
    </row>
    <row r="1924" ht="15.75" customHeight="1" s="10">
      <c r="A1924" s="8">
        <f>CONCAT("AD507-",TEXT(ROW()-2,"0000"))</f>
        <v/>
      </c>
      <c r="C1924" s="8" t="n"/>
      <c r="F1924" s="8" t="n"/>
      <c r="G1924" s="8">
        <f>IF(F1924&lt;&gt;"",HYPERLINK("https://www.google.com/maps/search/?api=1&amp;query="&amp;SUBSTITUTE(F1924," ",""),"🗺 Google Maps"),"")</f>
        <v/>
      </c>
      <c r="H1924" s="8">
        <f>IF(F1924&lt;&gt;"",HYPERLINK("https://waze.com/ul?ll="&amp;SUBSTITUTE(F1924," ","")&amp;"&amp;navigate=yes","🚗 Waze"),"")</f>
        <v/>
      </c>
      <c r="I1924" s="8">
        <f>IF(F1924&lt;&gt;"",HYPERLINK("https://m.uber.com/ul/?action=setPickup&amp;pickup=my_location&amp;dropoff[latitude]="&amp;LEFT(SUBSTITUTE(F1924," ",""),FIND(",",SUBSTITUTE(F1924," ",""))-1)&amp;"&amp;dropoff[longitude]="&amp;MID(SUBSTITUTE(F1924," ",""),FIND(",",SUBSTITUTE(F1924," ",""))+1,99),"🚕 Uber"),"")</f>
        <v/>
      </c>
      <c r="J1924" s="8">
        <f>IF(F1924&lt;&gt;"","https://api.qrserver.com/v1/create-qr-code/?size=200x200&amp;data="&amp;ENCODEURL("https://www.google.com/maps/search/?api=1&amp;query="&amp;SUBSTITUTE(F1924," ","")),"")</f>
        <v/>
      </c>
      <c r="K1924" s="8">
        <f>IF(C1924&lt;&gt;"",HYPERLINK("https://wa.me/507"&amp;REGEXREPLACE(C1924,"[^0-9]","")&amp;"?text="&amp;ENCODEURL("Ya llegue. Codigo: "&amp;A1924&amp;". Ubicacion: "&amp;"https://www.google.com/maps/search/?api=1&amp;query="&amp;SUBSTITUTE(F1924," ","")),"📲 Avisar al cliente"),"")</f>
        <v/>
      </c>
      <c r="L1924" s="8">
        <f>IF(C1924&lt;&gt;"","https://api.qrserver.com/v1/create-qr-code/?size=200x200&amp;data="&amp;ENCODEURL("https://wa.me/507"&amp;REGEXREPLACE(C1924,"[^0-9]","")&amp;"?text="&amp;ENCODEURL("Ya llegue. Codigo: "&amp;A1924&amp;". Ubicacion: "&amp;"https://www.google.com/maps/search/?api=1&amp;query="&amp;SUBSTITUTE(F1924," ",""))),"")</f>
        <v/>
      </c>
      <c r="M1924" s="8">
        <f>IF(B1924&lt;&gt;"",TODAY(),"")</f>
        <v/>
      </c>
      <c r="N1924" s="8">
        <f>IF(F1924&lt;&gt;"",IFERROR(IF(AND(REGEXMATCH(SUBSTITUTE(TRIM(F1924)," ",""),"^-?\d+(\.\d+)?,-?\d+(\.\d+)?$"),VALUE(REGEXEXTRACT(SUBSTITUTE(TRIM(F1924)," ",""),"^-?\d+(\.\d+)?"))&gt;=-90,VALUE(REGEXEXTRACT(SUBSTITUTE(TRIM(F1924)," ",""),"^-?\d+(\.\d+)?"))&lt;=90,VALUE(REGEXEXTRACT(SUBSTITUTE(TRIM(F1924)," ",""),"-?\d+(\.\d+)?$"))&gt;=-180,VALUE(REGEXEXTRACT(SUBSTITUTE(TRIM(F1924)," ",""),"-?\d+(\.\d+)?$"))&lt;=180),"OK","REVISAR"),"REVISAR"),"")</f>
        <v/>
      </c>
      <c r="O1924">
        <f>IF(A1924&lt;&gt;"","https://direcciones507.github.io/direcciones507/panel.html?codigo="&amp;A1924&amp;"&amp;nombre="&amp;ENCODEURL(B1924)&amp;"&amp;telefono="&amp;SUBSTITUTE(C1924,"-","")&amp;"&amp;referencia="&amp;ENCODEURL(E1924)&amp;"&amp;lat="&amp;IZQUIERDA(SUBSTITUTE(F1924," ",""),ENCONTRAR(",",SUBSTITUTE(F1924," ",""))-1)&amp;"&amp;lng="&amp;DERECHA(SUBSTITUTE(F1924," ",""),LARGO(SUBSTITUTE(F1924," ",""))-ENCONTRAR(",",SUBSTITUTE(F1924," ",""))),"")</f>
        <v/>
      </c>
    </row>
    <row r="1925" ht="15.75" customHeight="1" s="10">
      <c r="A1925" s="8">
        <f>CONCAT("AD507-",TEXT(ROW()-2,"0000"))</f>
        <v/>
      </c>
      <c r="C1925" s="8" t="n"/>
      <c r="F1925" s="8" t="n"/>
      <c r="G1925" s="8">
        <f>IF(F1925&lt;&gt;"",HYPERLINK("https://www.google.com/maps/search/?api=1&amp;query="&amp;SUBSTITUTE(F1925," ",""),"🗺 Google Maps"),"")</f>
        <v/>
      </c>
      <c r="H1925" s="8">
        <f>IF(F1925&lt;&gt;"",HYPERLINK("https://waze.com/ul?ll="&amp;SUBSTITUTE(F1925," ","")&amp;"&amp;navigate=yes","🚗 Waze"),"")</f>
        <v/>
      </c>
      <c r="I1925" s="8">
        <f>IF(F1925&lt;&gt;"",HYPERLINK("https://m.uber.com/ul/?action=setPickup&amp;pickup=my_location&amp;dropoff[latitude]="&amp;LEFT(SUBSTITUTE(F1925," ",""),FIND(",",SUBSTITUTE(F1925," ",""))-1)&amp;"&amp;dropoff[longitude]="&amp;MID(SUBSTITUTE(F1925," ",""),FIND(",",SUBSTITUTE(F1925," ",""))+1,99),"🚕 Uber"),"")</f>
        <v/>
      </c>
      <c r="J1925" s="8">
        <f>IF(F1925&lt;&gt;"","https://api.qrserver.com/v1/create-qr-code/?size=200x200&amp;data="&amp;ENCODEURL("https://www.google.com/maps/search/?api=1&amp;query="&amp;SUBSTITUTE(F1925," ","")),"")</f>
        <v/>
      </c>
      <c r="K1925" s="8">
        <f>IF(C1925&lt;&gt;"",HYPERLINK("https://wa.me/507"&amp;REGEXREPLACE(C1925,"[^0-9]","")&amp;"?text="&amp;ENCODEURL("Ya llegue. Codigo: "&amp;A1925&amp;". Ubicacion: "&amp;"https://www.google.com/maps/search/?api=1&amp;query="&amp;SUBSTITUTE(F1925," ","")),"📲 Avisar al cliente"),"")</f>
        <v/>
      </c>
      <c r="L1925" s="8">
        <f>IF(C1925&lt;&gt;"","https://api.qrserver.com/v1/create-qr-code/?size=200x200&amp;data="&amp;ENCODEURL("https://wa.me/507"&amp;REGEXREPLACE(C1925,"[^0-9]","")&amp;"?text="&amp;ENCODEURL("Ya llegue. Codigo: "&amp;A1925&amp;". Ubicacion: "&amp;"https://www.google.com/maps/search/?api=1&amp;query="&amp;SUBSTITUTE(F1925," ",""))),"")</f>
        <v/>
      </c>
      <c r="M1925" s="8">
        <f>IF(B1925&lt;&gt;"",TODAY(),"")</f>
        <v/>
      </c>
      <c r="N1925" s="8">
        <f>IF(F1925&lt;&gt;"",IFERROR(IF(AND(REGEXMATCH(SUBSTITUTE(TRIM(F1925)," ",""),"^-?\d+(\.\d+)?,-?\d+(\.\d+)?$"),VALUE(REGEXEXTRACT(SUBSTITUTE(TRIM(F1925)," ",""),"^-?\d+(\.\d+)?"))&gt;=-90,VALUE(REGEXEXTRACT(SUBSTITUTE(TRIM(F1925)," ",""),"^-?\d+(\.\d+)?"))&lt;=90,VALUE(REGEXEXTRACT(SUBSTITUTE(TRIM(F1925)," ",""),"-?\d+(\.\d+)?$"))&gt;=-180,VALUE(REGEXEXTRACT(SUBSTITUTE(TRIM(F1925)," ",""),"-?\d+(\.\d+)?$"))&lt;=180),"OK","REVISAR"),"REVISAR"),"")</f>
        <v/>
      </c>
      <c r="O1925">
        <f>IF(A1925&lt;&gt;"","https://direcciones507.github.io/direcciones507/panel.html?codigo="&amp;A1925&amp;"&amp;nombre="&amp;ENCODEURL(B1925)&amp;"&amp;telefono="&amp;SUBSTITUTE(C1925,"-","")&amp;"&amp;referencia="&amp;ENCODEURL(E1925)&amp;"&amp;lat="&amp;IZQUIERDA(SUBSTITUTE(F1925," ",""),ENCONTRAR(",",SUBSTITUTE(F1925," ",""))-1)&amp;"&amp;lng="&amp;DERECHA(SUBSTITUTE(F1925," ",""),LARGO(SUBSTITUTE(F1925," ",""))-ENCONTRAR(",",SUBSTITUTE(F1925," ",""))),"")</f>
        <v/>
      </c>
    </row>
    <row r="1926" ht="15.75" customHeight="1" s="10">
      <c r="A1926" s="8">
        <f>CONCAT("AD507-",TEXT(ROW()-2,"0000"))</f>
        <v/>
      </c>
      <c r="C1926" s="8" t="n"/>
      <c r="F1926" s="8" t="n"/>
      <c r="G1926" s="8">
        <f>IF(F1926&lt;&gt;"",HYPERLINK("https://www.google.com/maps/search/?api=1&amp;query="&amp;SUBSTITUTE(F1926," ",""),"🗺 Google Maps"),"")</f>
        <v/>
      </c>
      <c r="H1926" s="8">
        <f>IF(F1926&lt;&gt;"",HYPERLINK("https://waze.com/ul?ll="&amp;SUBSTITUTE(F1926," ","")&amp;"&amp;navigate=yes","🚗 Waze"),"")</f>
        <v/>
      </c>
      <c r="I1926" s="8">
        <f>IF(F1926&lt;&gt;"",HYPERLINK("https://m.uber.com/ul/?action=setPickup&amp;pickup=my_location&amp;dropoff[latitude]="&amp;LEFT(SUBSTITUTE(F1926," ",""),FIND(",",SUBSTITUTE(F1926," ",""))-1)&amp;"&amp;dropoff[longitude]="&amp;MID(SUBSTITUTE(F1926," ",""),FIND(",",SUBSTITUTE(F1926," ",""))+1,99),"🚕 Uber"),"")</f>
        <v/>
      </c>
      <c r="J1926" s="8">
        <f>IF(F1926&lt;&gt;"","https://api.qrserver.com/v1/create-qr-code/?size=200x200&amp;data="&amp;ENCODEURL("https://www.google.com/maps/search/?api=1&amp;query="&amp;SUBSTITUTE(F1926," ","")),"")</f>
        <v/>
      </c>
      <c r="K1926" s="8">
        <f>IF(C1926&lt;&gt;"",HYPERLINK("https://wa.me/507"&amp;REGEXREPLACE(C1926,"[^0-9]","")&amp;"?text="&amp;ENCODEURL("Ya llegue. Codigo: "&amp;A1926&amp;". Ubicacion: "&amp;"https://www.google.com/maps/search/?api=1&amp;query="&amp;SUBSTITUTE(F1926," ","")),"📲 Avisar al cliente"),"")</f>
        <v/>
      </c>
      <c r="L1926" s="8">
        <f>IF(C1926&lt;&gt;"","https://api.qrserver.com/v1/create-qr-code/?size=200x200&amp;data="&amp;ENCODEURL("https://wa.me/507"&amp;REGEXREPLACE(C1926,"[^0-9]","")&amp;"?text="&amp;ENCODEURL("Ya llegue. Codigo: "&amp;A1926&amp;". Ubicacion: "&amp;"https://www.google.com/maps/search/?api=1&amp;query="&amp;SUBSTITUTE(F1926," ",""))),"")</f>
        <v/>
      </c>
      <c r="M1926" s="8">
        <f>IF(B1926&lt;&gt;"",TODAY(),"")</f>
        <v/>
      </c>
      <c r="N1926" s="8">
        <f>IF(F1926&lt;&gt;"",IFERROR(IF(AND(REGEXMATCH(SUBSTITUTE(TRIM(F1926)," ",""),"^-?\d+(\.\d+)?,-?\d+(\.\d+)?$"),VALUE(REGEXEXTRACT(SUBSTITUTE(TRIM(F1926)," ",""),"^-?\d+(\.\d+)?"))&gt;=-90,VALUE(REGEXEXTRACT(SUBSTITUTE(TRIM(F1926)," ",""),"^-?\d+(\.\d+)?"))&lt;=90,VALUE(REGEXEXTRACT(SUBSTITUTE(TRIM(F1926)," ",""),"-?\d+(\.\d+)?$"))&gt;=-180,VALUE(REGEXEXTRACT(SUBSTITUTE(TRIM(F1926)," ",""),"-?\d+(\.\d+)?$"))&lt;=180),"OK","REVISAR"),"REVISAR"),"")</f>
        <v/>
      </c>
      <c r="O1926">
        <f>IF(A1926&lt;&gt;"","https://direcciones507.github.io/direcciones507/panel.html?codigo="&amp;A1926&amp;"&amp;nombre="&amp;ENCODEURL(B1926)&amp;"&amp;telefono="&amp;SUBSTITUTE(C1926,"-","")&amp;"&amp;referencia="&amp;ENCODEURL(E1926)&amp;"&amp;lat="&amp;IZQUIERDA(SUBSTITUTE(F1926," ",""),ENCONTRAR(",",SUBSTITUTE(F1926," ",""))-1)&amp;"&amp;lng="&amp;DERECHA(SUBSTITUTE(F1926," ",""),LARGO(SUBSTITUTE(F1926," ",""))-ENCONTRAR(",",SUBSTITUTE(F1926," ",""))),"")</f>
        <v/>
      </c>
    </row>
    <row r="1927" ht="15.75" customHeight="1" s="10">
      <c r="A1927" s="8">
        <f>CONCAT("AD507-",TEXT(ROW()-2,"0000"))</f>
        <v/>
      </c>
      <c r="C1927" s="8" t="n"/>
      <c r="F1927" s="8" t="n"/>
      <c r="G1927" s="8">
        <f>IF(F1927&lt;&gt;"",HYPERLINK("https://www.google.com/maps/search/?api=1&amp;query="&amp;SUBSTITUTE(F1927," ",""),"🗺 Google Maps"),"")</f>
        <v/>
      </c>
      <c r="H1927" s="8">
        <f>IF(F1927&lt;&gt;"",HYPERLINK("https://waze.com/ul?ll="&amp;SUBSTITUTE(F1927," ","")&amp;"&amp;navigate=yes","🚗 Waze"),"")</f>
        <v/>
      </c>
      <c r="I1927" s="8">
        <f>IF(F1927&lt;&gt;"",HYPERLINK("https://m.uber.com/ul/?action=setPickup&amp;pickup=my_location&amp;dropoff[latitude]="&amp;LEFT(SUBSTITUTE(F1927," ",""),FIND(",",SUBSTITUTE(F1927," ",""))-1)&amp;"&amp;dropoff[longitude]="&amp;MID(SUBSTITUTE(F1927," ",""),FIND(",",SUBSTITUTE(F1927," ",""))+1,99),"🚕 Uber"),"")</f>
        <v/>
      </c>
      <c r="J1927" s="8">
        <f>IF(F1927&lt;&gt;"","https://api.qrserver.com/v1/create-qr-code/?size=200x200&amp;data="&amp;ENCODEURL("https://www.google.com/maps/search/?api=1&amp;query="&amp;SUBSTITUTE(F1927," ","")),"")</f>
        <v/>
      </c>
      <c r="K1927" s="8">
        <f>IF(C1927&lt;&gt;"",HYPERLINK("https://wa.me/507"&amp;REGEXREPLACE(C1927,"[^0-9]","")&amp;"?text="&amp;ENCODEURL("Ya llegue. Codigo: "&amp;A1927&amp;". Ubicacion: "&amp;"https://www.google.com/maps/search/?api=1&amp;query="&amp;SUBSTITUTE(F1927," ","")),"📲 Avisar al cliente"),"")</f>
        <v/>
      </c>
      <c r="L1927" s="8">
        <f>IF(C1927&lt;&gt;"","https://api.qrserver.com/v1/create-qr-code/?size=200x200&amp;data="&amp;ENCODEURL("https://wa.me/507"&amp;REGEXREPLACE(C1927,"[^0-9]","")&amp;"?text="&amp;ENCODEURL("Ya llegue. Codigo: "&amp;A1927&amp;". Ubicacion: "&amp;"https://www.google.com/maps/search/?api=1&amp;query="&amp;SUBSTITUTE(F1927," ",""))),"")</f>
        <v/>
      </c>
      <c r="M1927" s="8">
        <f>IF(B1927&lt;&gt;"",TODAY(),"")</f>
        <v/>
      </c>
      <c r="N1927" s="8">
        <f>IF(F1927&lt;&gt;"",IFERROR(IF(AND(REGEXMATCH(SUBSTITUTE(TRIM(F1927)," ",""),"^-?\d+(\.\d+)?,-?\d+(\.\d+)?$"),VALUE(REGEXEXTRACT(SUBSTITUTE(TRIM(F1927)," ",""),"^-?\d+(\.\d+)?"))&gt;=-90,VALUE(REGEXEXTRACT(SUBSTITUTE(TRIM(F1927)," ",""),"^-?\d+(\.\d+)?"))&lt;=90,VALUE(REGEXEXTRACT(SUBSTITUTE(TRIM(F1927)," ",""),"-?\d+(\.\d+)?$"))&gt;=-180,VALUE(REGEXEXTRACT(SUBSTITUTE(TRIM(F1927)," ",""),"-?\d+(\.\d+)?$"))&lt;=180),"OK","REVISAR"),"REVISAR"),"")</f>
        <v/>
      </c>
      <c r="O1927">
        <f>IF(A1927&lt;&gt;"","https://direcciones507.github.io/direcciones507/panel.html?codigo="&amp;A1927&amp;"&amp;nombre="&amp;ENCODEURL(B1927)&amp;"&amp;telefono="&amp;SUBSTITUTE(C1927,"-","")&amp;"&amp;referencia="&amp;ENCODEURL(E1927)&amp;"&amp;lat="&amp;IZQUIERDA(SUBSTITUTE(F1927," ",""),ENCONTRAR(",",SUBSTITUTE(F1927," ",""))-1)&amp;"&amp;lng="&amp;DERECHA(SUBSTITUTE(F1927," ",""),LARGO(SUBSTITUTE(F1927," ",""))-ENCONTRAR(",",SUBSTITUTE(F1927," ",""))),"")</f>
        <v/>
      </c>
    </row>
    <row r="1928" ht="15.75" customHeight="1" s="10">
      <c r="A1928" s="8">
        <f>CONCAT("AD507-",TEXT(ROW()-2,"0000"))</f>
        <v/>
      </c>
      <c r="C1928" s="8" t="n"/>
      <c r="F1928" s="8" t="n"/>
      <c r="G1928" s="8">
        <f>IF(F1928&lt;&gt;"",HYPERLINK("https://www.google.com/maps/search/?api=1&amp;query="&amp;SUBSTITUTE(F1928," ",""),"🗺 Google Maps"),"")</f>
        <v/>
      </c>
      <c r="H1928" s="8">
        <f>IF(F1928&lt;&gt;"",HYPERLINK("https://waze.com/ul?ll="&amp;SUBSTITUTE(F1928," ","")&amp;"&amp;navigate=yes","🚗 Waze"),"")</f>
        <v/>
      </c>
      <c r="I1928" s="8">
        <f>IF(F1928&lt;&gt;"",HYPERLINK("https://m.uber.com/ul/?action=setPickup&amp;pickup=my_location&amp;dropoff[latitude]="&amp;LEFT(SUBSTITUTE(F1928," ",""),FIND(",",SUBSTITUTE(F1928," ",""))-1)&amp;"&amp;dropoff[longitude]="&amp;MID(SUBSTITUTE(F1928," ",""),FIND(",",SUBSTITUTE(F1928," ",""))+1,99),"🚕 Uber"),"")</f>
        <v/>
      </c>
      <c r="J1928" s="8">
        <f>IF(F1928&lt;&gt;"","https://api.qrserver.com/v1/create-qr-code/?size=200x200&amp;data="&amp;ENCODEURL("https://www.google.com/maps/search/?api=1&amp;query="&amp;SUBSTITUTE(F1928," ","")),"")</f>
        <v/>
      </c>
      <c r="K1928" s="8">
        <f>IF(C1928&lt;&gt;"",HYPERLINK("https://wa.me/507"&amp;REGEXREPLACE(C1928,"[^0-9]","")&amp;"?text="&amp;ENCODEURL("Ya llegue. Codigo: "&amp;A1928&amp;". Ubicacion: "&amp;"https://www.google.com/maps/search/?api=1&amp;query="&amp;SUBSTITUTE(F1928," ","")),"📲 Avisar al cliente"),"")</f>
        <v/>
      </c>
      <c r="L1928" s="8">
        <f>IF(C1928&lt;&gt;"","https://api.qrserver.com/v1/create-qr-code/?size=200x200&amp;data="&amp;ENCODEURL("https://wa.me/507"&amp;REGEXREPLACE(C1928,"[^0-9]","")&amp;"?text="&amp;ENCODEURL("Ya llegue. Codigo: "&amp;A1928&amp;". Ubicacion: "&amp;"https://www.google.com/maps/search/?api=1&amp;query="&amp;SUBSTITUTE(F1928," ",""))),"")</f>
        <v/>
      </c>
      <c r="M1928" s="8">
        <f>IF(B1928&lt;&gt;"",TODAY(),"")</f>
        <v/>
      </c>
      <c r="N1928" s="8">
        <f>IF(F1928&lt;&gt;"",IFERROR(IF(AND(REGEXMATCH(SUBSTITUTE(TRIM(F1928)," ",""),"^-?\d+(\.\d+)?,-?\d+(\.\d+)?$"),VALUE(REGEXEXTRACT(SUBSTITUTE(TRIM(F1928)," ",""),"^-?\d+(\.\d+)?"))&gt;=-90,VALUE(REGEXEXTRACT(SUBSTITUTE(TRIM(F1928)," ",""),"^-?\d+(\.\d+)?"))&lt;=90,VALUE(REGEXEXTRACT(SUBSTITUTE(TRIM(F1928)," ",""),"-?\d+(\.\d+)?$"))&gt;=-180,VALUE(REGEXEXTRACT(SUBSTITUTE(TRIM(F1928)," ",""),"-?\d+(\.\d+)?$"))&lt;=180),"OK","REVISAR"),"REVISAR"),"")</f>
        <v/>
      </c>
      <c r="O1928">
        <f>IF(A1928&lt;&gt;"","https://direcciones507.github.io/direcciones507/panel.html?codigo="&amp;A1928&amp;"&amp;nombre="&amp;ENCODEURL(B1928)&amp;"&amp;telefono="&amp;SUBSTITUTE(C1928,"-","")&amp;"&amp;referencia="&amp;ENCODEURL(E1928)&amp;"&amp;lat="&amp;IZQUIERDA(SUBSTITUTE(F1928," ",""),ENCONTRAR(",",SUBSTITUTE(F1928," ",""))-1)&amp;"&amp;lng="&amp;DERECHA(SUBSTITUTE(F1928," ",""),LARGO(SUBSTITUTE(F1928," ",""))-ENCONTRAR(",",SUBSTITUTE(F1928," ",""))),"")</f>
        <v/>
      </c>
    </row>
    <row r="1929" ht="15.75" customHeight="1" s="10">
      <c r="A1929" s="8">
        <f>CONCAT("AD507-",TEXT(ROW()-2,"0000"))</f>
        <v/>
      </c>
      <c r="C1929" s="8" t="n"/>
      <c r="F1929" s="8" t="n"/>
      <c r="G1929" s="8">
        <f>IF(F1929&lt;&gt;"",HYPERLINK("https://www.google.com/maps/search/?api=1&amp;query="&amp;SUBSTITUTE(F1929," ",""),"🗺 Google Maps"),"")</f>
        <v/>
      </c>
      <c r="H1929" s="8">
        <f>IF(F1929&lt;&gt;"",HYPERLINK("https://waze.com/ul?ll="&amp;SUBSTITUTE(F1929," ","")&amp;"&amp;navigate=yes","🚗 Waze"),"")</f>
        <v/>
      </c>
      <c r="I1929" s="8">
        <f>IF(F1929&lt;&gt;"",HYPERLINK("https://m.uber.com/ul/?action=setPickup&amp;pickup=my_location&amp;dropoff[latitude]="&amp;LEFT(SUBSTITUTE(F1929," ",""),FIND(",",SUBSTITUTE(F1929," ",""))-1)&amp;"&amp;dropoff[longitude]="&amp;MID(SUBSTITUTE(F1929," ",""),FIND(",",SUBSTITUTE(F1929," ",""))+1,99),"🚕 Uber"),"")</f>
        <v/>
      </c>
      <c r="J1929" s="8">
        <f>IF(F1929&lt;&gt;"","https://api.qrserver.com/v1/create-qr-code/?size=200x200&amp;data="&amp;ENCODEURL("https://www.google.com/maps/search/?api=1&amp;query="&amp;SUBSTITUTE(F1929," ","")),"")</f>
        <v/>
      </c>
      <c r="K1929" s="8">
        <f>IF(C1929&lt;&gt;"",HYPERLINK("https://wa.me/507"&amp;REGEXREPLACE(C1929,"[^0-9]","")&amp;"?text="&amp;ENCODEURL("Ya llegue. Codigo: "&amp;A1929&amp;". Ubicacion: "&amp;"https://www.google.com/maps/search/?api=1&amp;query="&amp;SUBSTITUTE(F1929," ","")),"📲 Avisar al cliente"),"")</f>
        <v/>
      </c>
      <c r="L1929" s="8">
        <f>IF(C1929&lt;&gt;"","https://api.qrserver.com/v1/create-qr-code/?size=200x200&amp;data="&amp;ENCODEURL("https://wa.me/507"&amp;REGEXREPLACE(C1929,"[^0-9]","")&amp;"?text="&amp;ENCODEURL("Ya llegue. Codigo: "&amp;A1929&amp;". Ubicacion: "&amp;"https://www.google.com/maps/search/?api=1&amp;query="&amp;SUBSTITUTE(F1929," ",""))),"")</f>
        <v/>
      </c>
      <c r="M1929" s="8">
        <f>IF(B1929&lt;&gt;"",TODAY(),"")</f>
        <v/>
      </c>
      <c r="N1929" s="8">
        <f>IF(F1929&lt;&gt;"",IFERROR(IF(AND(REGEXMATCH(SUBSTITUTE(TRIM(F1929)," ",""),"^-?\d+(\.\d+)?,-?\d+(\.\d+)?$"),VALUE(REGEXEXTRACT(SUBSTITUTE(TRIM(F1929)," ",""),"^-?\d+(\.\d+)?"))&gt;=-90,VALUE(REGEXEXTRACT(SUBSTITUTE(TRIM(F1929)," ",""),"^-?\d+(\.\d+)?"))&lt;=90,VALUE(REGEXEXTRACT(SUBSTITUTE(TRIM(F1929)," ",""),"-?\d+(\.\d+)?$"))&gt;=-180,VALUE(REGEXEXTRACT(SUBSTITUTE(TRIM(F1929)," ",""),"-?\d+(\.\d+)?$"))&lt;=180),"OK","REVISAR"),"REVISAR"),"")</f>
        <v/>
      </c>
      <c r="O1929">
        <f>IF(A1929&lt;&gt;"","https://direcciones507.github.io/direcciones507/panel.html?codigo="&amp;A1929&amp;"&amp;nombre="&amp;ENCODEURL(B1929)&amp;"&amp;telefono="&amp;SUBSTITUTE(C1929,"-","")&amp;"&amp;referencia="&amp;ENCODEURL(E1929)&amp;"&amp;lat="&amp;IZQUIERDA(SUBSTITUTE(F1929," ",""),ENCONTRAR(",",SUBSTITUTE(F1929," ",""))-1)&amp;"&amp;lng="&amp;DERECHA(SUBSTITUTE(F1929," ",""),LARGO(SUBSTITUTE(F1929," ",""))-ENCONTRAR(",",SUBSTITUTE(F1929," ",""))),"")</f>
        <v/>
      </c>
    </row>
    <row r="1930" ht="15.75" customHeight="1" s="10">
      <c r="A1930" s="8">
        <f>CONCAT("AD507-",TEXT(ROW()-2,"0000"))</f>
        <v/>
      </c>
      <c r="C1930" s="8" t="n"/>
      <c r="F1930" s="8" t="n"/>
      <c r="G1930" s="8">
        <f>IF(F1930&lt;&gt;"",HYPERLINK("https://www.google.com/maps/search/?api=1&amp;query="&amp;SUBSTITUTE(F1930," ",""),"🗺 Google Maps"),"")</f>
        <v/>
      </c>
      <c r="H1930" s="8">
        <f>IF(F1930&lt;&gt;"",HYPERLINK("https://waze.com/ul?ll="&amp;SUBSTITUTE(F1930," ","")&amp;"&amp;navigate=yes","🚗 Waze"),"")</f>
        <v/>
      </c>
      <c r="I1930" s="8">
        <f>IF(F1930&lt;&gt;"",HYPERLINK("https://m.uber.com/ul/?action=setPickup&amp;pickup=my_location&amp;dropoff[latitude]="&amp;LEFT(SUBSTITUTE(F1930," ",""),FIND(",",SUBSTITUTE(F1930," ",""))-1)&amp;"&amp;dropoff[longitude]="&amp;MID(SUBSTITUTE(F1930," ",""),FIND(",",SUBSTITUTE(F1930," ",""))+1,99),"🚕 Uber"),"")</f>
        <v/>
      </c>
      <c r="J1930" s="8">
        <f>IF(F1930&lt;&gt;"","https://api.qrserver.com/v1/create-qr-code/?size=200x200&amp;data="&amp;ENCODEURL("https://www.google.com/maps/search/?api=1&amp;query="&amp;SUBSTITUTE(F1930," ","")),"")</f>
        <v/>
      </c>
      <c r="K1930" s="8">
        <f>IF(C1930&lt;&gt;"",HYPERLINK("https://wa.me/507"&amp;REGEXREPLACE(C1930,"[^0-9]","")&amp;"?text="&amp;ENCODEURL("Ya llegue. Codigo: "&amp;A1930&amp;". Ubicacion: "&amp;"https://www.google.com/maps/search/?api=1&amp;query="&amp;SUBSTITUTE(F1930," ","")),"📲 Avisar al cliente"),"")</f>
        <v/>
      </c>
      <c r="L1930" s="8">
        <f>IF(C1930&lt;&gt;"","https://api.qrserver.com/v1/create-qr-code/?size=200x200&amp;data="&amp;ENCODEURL("https://wa.me/507"&amp;REGEXREPLACE(C1930,"[^0-9]","")&amp;"?text="&amp;ENCODEURL("Ya llegue. Codigo: "&amp;A1930&amp;". Ubicacion: "&amp;"https://www.google.com/maps/search/?api=1&amp;query="&amp;SUBSTITUTE(F1930," ",""))),"")</f>
        <v/>
      </c>
      <c r="M1930" s="8">
        <f>IF(B1930&lt;&gt;"",TODAY(),"")</f>
        <v/>
      </c>
      <c r="N1930" s="8">
        <f>IF(F1930&lt;&gt;"",IFERROR(IF(AND(REGEXMATCH(SUBSTITUTE(TRIM(F1930)," ",""),"^-?\d+(\.\d+)?,-?\d+(\.\d+)?$"),VALUE(REGEXEXTRACT(SUBSTITUTE(TRIM(F1930)," ",""),"^-?\d+(\.\d+)?"))&gt;=-90,VALUE(REGEXEXTRACT(SUBSTITUTE(TRIM(F1930)," ",""),"^-?\d+(\.\d+)?"))&lt;=90,VALUE(REGEXEXTRACT(SUBSTITUTE(TRIM(F1930)," ",""),"-?\d+(\.\d+)?$"))&gt;=-180,VALUE(REGEXEXTRACT(SUBSTITUTE(TRIM(F1930)," ",""),"-?\d+(\.\d+)?$"))&lt;=180),"OK","REVISAR"),"REVISAR"),"")</f>
        <v/>
      </c>
      <c r="O1930">
        <f>IF(A1930&lt;&gt;"","https://direcciones507.github.io/direcciones507/panel.html?codigo="&amp;A1930&amp;"&amp;nombre="&amp;ENCODEURL(B1930)&amp;"&amp;telefono="&amp;SUBSTITUTE(C1930,"-","")&amp;"&amp;referencia="&amp;ENCODEURL(E1930)&amp;"&amp;lat="&amp;IZQUIERDA(SUBSTITUTE(F1930," ",""),ENCONTRAR(",",SUBSTITUTE(F1930," ",""))-1)&amp;"&amp;lng="&amp;DERECHA(SUBSTITUTE(F1930," ",""),LARGO(SUBSTITUTE(F1930," ",""))-ENCONTRAR(",",SUBSTITUTE(F1930," ",""))),"")</f>
        <v/>
      </c>
    </row>
    <row r="1931" ht="15.75" customHeight="1" s="10">
      <c r="A1931" s="8">
        <f>CONCAT("AD507-",TEXT(ROW()-2,"0000"))</f>
        <v/>
      </c>
      <c r="C1931" s="8" t="n"/>
      <c r="F1931" s="8" t="n"/>
      <c r="G1931" s="8">
        <f>IF(F1931&lt;&gt;"",HYPERLINK("https://www.google.com/maps/search/?api=1&amp;query="&amp;SUBSTITUTE(F1931," ",""),"🗺 Google Maps"),"")</f>
        <v/>
      </c>
      <c r="H1931" s="8">
        <f>IF(F1931&lt;&gt;"",HYPERLINK("https://waze.com/ul?ll="&amp;SUBSTITUTE(F1931," ","")&amp;"&amp;navigate=yes","🚗 Waze"),"")</f>
        <v/>
      </c>
      <c r="I1931" s="8">
        <f>IF(F1931&lt;&gt;"",HYPERLINK("https://m.uber.com/ul/?action=setPickup&amp;pickup=my_location&amp;dropoff[latitude]="&amp;LEFT(SUBSTITUTE(F1931," ",""),FIND(",",SUBSTITUTE(F1931," ",""))-1)&amp;"&amp;dropoff[longitude]="&amp;MID(SUBSTITUTE(F1931," ",""),FIND(",",SUBSTITUTE(F1931," ",""))+1,99),"🚕 Uber"),"")</f>
        <v/>
      </c>
      <c r="J1931" s="8">
        <f>IF(F1931&lt;&gt;"","https://api.qrserver.com/v1/create-qr-code/?size=200x200&amp;data="&amp;ENCODEURL("https://www.google.com/maps/search/?api=1&amp;query="&amp;SUBSTITUTE(F1931," ","")),"")</f>
        <v/>
      </c>
      <c r="K1931" s="8">
        <f>IF(C1931&lt;&gt;"",HYPERLINK("https://wa.me/507"&amp;REGEXREPLACE(C1931,"[^0-9]","")&amp;"?text="&amp;ENCODEURL("Ya llegue. Codigo: "&amp;A1931&amp;". Ubicacion: "&amp;"https://www.google.com/maps/search/?api=1&amp;query="&amp;SUBSTITUTE(F1931," ","")),"📲 Avisar al cliente"),"")</f>
        <v/>
      </c>
      <c r="L1931" s="8">
        <f>IF(C1931&lt;&gt;"","https://api.qrserver.com/v1/create-qr-code/?size=200x200&amp;data="&amp;ENCODEURL("https://wa.me/507"&amp;REGEXREPLACE(C1931,"[^0-9]","")&amp;"?text="&amp;ENCODEURL("Ya llegue. Codigo: "&amp;A1931&amp;". Ubicacion: "&amp;"https://www.google.com/maps/search/?api=1&amp;query="&amp;SUBSTITUTE(F1931," ",""))),"")</f>
        <v/>
      </c>
      <c r="M1931" s="8">
        <f>IF(B1931&lt;&gt;"",TODAY(),"")</f>
        <v/>
      </c>
      <c r="N1931" s="8">
        <f>IF(F1931&lt;&gt;"",IFERROR(IF(AND(REGEXMATCH(SUBSTITUTE(TRIM(F1931)," ",""),"^-?\d+(\.\d+)?,-?\d+(\.\d+)?$"),VALUE(REGEXEXTRACT(SUBSTITUTE(TRIM(F1931)," ",""),"^-?\d+(\.\d+)?"))&gt;=-90,VALUE(REGEXEXTRACT(SUBSTITUTE(TRIM(F1931)," ",""),"^-?\d+(\.\d+)?"))&lt;=90,VALUE(REGEXEXTRACT(SUBSTITUTE(TRIM(F1931)," ",""),"-?\d+(\.\d+)?$"))&gt;=-180,VALUE(REGEXEXTRACT(SUBSTITUTE(TRIM(F1931)," ",""),"-?\d+(\.\d+)?$"))&lt;=180),"OK","REVISAR"),"REVISAR"),"")</f>
        <v/>
      </c>
      <c r="O1931">
        <f>IF(A1931&lt;&gt;"","https://direcciones507.github.io/direcciones507/panel.html?codigo="&amp;A1931&amp;"&amp;nombre="&amp;ENCODEURL(B1931)&amp;"&amp;telefono="&amp;SUBSTITUTE(C1931,"-","")&amp;"&amp;referencia="&amp;ENCODEURL(E1931)&amp;"&amp;lat="&amp;IZQUIERDA(SUBSTITUTE(F1931," ",""),ENCONTRAR(",",SUBSTITUTE(F1931," ",""))-1)&amp;"&amp;lng="&amp;DERECHA(SUBSTITUTE(F1931," ",""),LARGO(SUBSTITUTE(F1931," ",""))-ENCONTRAR(",",SUBSTITUTE(F1931," ",""))),"")</f>
        <v/>
      </c>
    </row>
    <row r="1932" ht="15.75" customHeight="1" s="10">
      <c r="A1932" s="8">
        <f>CONCAT("AD507-",TEXT(ROW()-2,"0000"))</f>
        <v/>
      </c>
      <c r="C1932" s="8" t="n"/>
      <c r="F1932" s="8" t="n"/>
      <c r="G1932" s="8">
        <f>IF(F1932&lt;&gt;"",HYPERLINK("https://www.google.com/maps/search/?api=1&amp;query="&amp;SUBSTITUTE(F1932," ",""),"🗺 Google Maps"),"")</f>
        <v/>
      </c>
      <c r="H1932" s="8">
        <f>IF(F1932&lt;&gt;"",HYPERLINK("https://waze.com/ul?ll="&amp;SUBSTITUTE(F1932," ","")&amp;"&amp;navigate=yes","🚗 Waze"),"")</f>
        <v/>
      </c>
      <c r="I1932" s="8">
        <f>IF(F1932&lt;&gt;"",HYPERLINK("https://m.uber.com/ul/?action=setPickup&amp;pickup=my_location&amp;dropoff[latitude]="&amp;LEFT(SUBSTITUTE(F1932," ",""),FIND(",",SUBSTITUTE(F1932," ",""))-1)&amp;"&amp;dropoff[longitude]="&amp;MID(SUBSTITUTE(F1932," ",""),FIND(",",SUBSTITUTE(F1932," ",""))+1,99),"🚕 Uber"),"")</f>
        <v/>
      </c>
      <c r="J1932" s="8">
        <f>IF(F1932&lt;&gt;"","https://api.qrserver.com/v1/create-qr-code/?size=200x200&amp;data="&amp;ENCODEURL("https://www.google.com/maps/search/?api=1&amp;query="&amp;SUBSTITUTE(F1932," ","")),"")</f>
        <v/>
      </c>
      <c r="K1932" s="8">
        <f>IF(C1932&lt;&gt;"",HYPERLINK("https://wa.me/507"&amp;REGEXREPLACE(C1932,"[^0-9]","")&amp;"?text="&amp;ENCODEURL("Ya llegue. Codigo: "&amp;A1932&amp;". Ubicacion: "&amp;"https://www.google.com/maps/search/?api=1&amp;query="&amp;SUBSTITUTE(F1932," ","")),"📲 Avisar al cliente"),"")</f>
        <v/>
      </c>
      <c r="L1932" s="8">
        <f>IF(C1932&lt;&gt;"","https://api.qrserver.com/v1/create-qr-code/?size=200x200&amp;data="&amp;ENCODEURL("https://wa.me/507"&amp;REGEXREPLACE(C1932,"[^0-9]","")&amp;"?text="&amp;ENCODEURL("Ya llegue. Codigo: "&amp;A1932&amp;". Ubicacion: "&amp;"https://www.google.com/maps/search/?api=1&amp;query="&amp;SUBSTITUTE(F1932," ",""))),"")</f>
        <v/>
      </c>
      <c r="M1932" s="8">
        <f>IF(B1932&lt;&gt;"",TODAY(),"")</f>
        <v/>
      </c>
      <c r="N1932" s="8">
        <f>IF(F1932&lt;&gt;"",IFERROR(IF(AND(REGEXMATCH(SUBSTITUTE(TRIM(F1932)," ",""),"^-?\d+(\.\d+)?,-?\d+(\.\d+)?$"),VALUE(REGEXEXTRACT(SUBSTITUTE(TRIM(F1932)," ",""),"^-?\d+(\.\d+)?"))&gt;=-90,VALUE(REGEXEXTRACT(SUBSTITUTE(TRIM(F1932)," ",""),"^-?\d+(\.\d+)?"))&lt;=90,VALUE(REGEXEXTRACT(SUBSTITUTE(TRIM(F1932)," ",""),"-?\d+(\.\d+)?$"))&gt;=-180,VALUE(REGEXEXTRACT(SUBSTITUTE(TRIM(F1932)," ",""),"-?\d+(\.\d+)?$"))&lt;=180),"OK","REVISAR"),"REVISAR"),"")</f>
        <v/>
      </c>
      <c r="O1932">
        <f>IF(A1932&lt;&gt;"","https://direcciones507.github.io/direcciones507/panel.html?codigo="&amp;A1932&amp;"&amp;nombre="&amp;ENCODEURL(B1932)&amp;"&amp;telefono="&amp;SUBSTITUTE(C1932,"-","")&amp;"&amp;referencia="&amp;ENCODEURL(E1932)&amp;"&amp;lat="&amp;IZQUIERDA(SUBSTITUTE(F1932," ",""),ENCONTRAR(",",SUBSTITUTE(F1932," ",""))-1)&amp;"&amp;lng="&amp;DERECHA(SUBSTITUTE(F1932," ",""),LARGO(SUBSTITUTE(F1932," ",""))-ENCONTRAR(",",SUBSTITUTE(F1932," ",""))),"")</f>
        <v/>
      </c>
    </row>
    <row r="1933" ht="15.75" customHeight="1" s="10">
      <c r="A1933" s="8">
        <f>CONCAT("AD507-",TEXT(ROW()-2,"0000"))</f>
        <v/>
      </c>
      <c r="C1933" s="8" t="n"/>
      <c r="F1933" s="8" t="n"/>
      <c r="G1933" s="8">
        <f>IF(F1933&lt;&gt;"",HYPERLINK("https://www.google.com/maps/search/?api=1&amp;query="&amp;SUBSTITUTE(F1933," ",""),"🗺 Google Maps"),"")</f>
        <v/>
      </c>
      <c r="H1933" s="8">
        <f>IF(F1933&lt;&gt;"",HYPERLINK("https://waze.com/ul?ll="&amp;SUBSTITUTE(F1933," ","")&amp;"&amp;navigate=yes","🚗 Waze"),"")</f>
        <v/>
      </c>
      <c r="I1933" s="8">
        <f>IF(F1933&lt;&gt;"",HYPERLINK("https://m.uber.com/ul/?action=setPickup&amp;pickup=my_location&amp;dropoff[latitude]="&amp;LEFT(SUBSTITUTE(F1933," ",""),FIND(",",SUBSTITUTE(F1933," ",""))-1)&amp;"&amp;dropoff[longitude]="&amp;MID(SUBSTITUTE(F1933," ",""),FIND(",",SUBSTITUTE(F1933," ",""))+1,99),"🚕 Uber"),"")</f>
        <v/>
      </c>
      <c r="J1933" s="8">
        <f>IF(F1933&lt;&gt;"","https://api.qrserver.com/v1/create-qr-code/?size=200x200&amp;data="&amp;ENCODEURL("https://www.google.com/maps/search/?api=1&amp;query="&amp;SUBSTITUTE(F1933," ","")),"")</f>
        <v/>
      </c>
      <c r="K1933" s="8">
        <f>IF(C1933&lt;&gt;"",HYPERLINK("https://wa.me/507"&amp;REGEXREPLACE(C1933,"[^0-9]","")&amp;"?text="&amp;ENCODEURL("Ya llegue. Codigo: "&amp;A1933&amp;". Ubicacion: "&amp;"https://www.google.com/maps/search/?api=1&amp;query="&amp;SUBSTITUTE(F1933," ","")),"📲 Avisar al cliente"),"")</f>
        <v/>
      </c>
      <c r="L1933" s="8">
        <f>IF(C1933&lt;&gt;"","https://api.qrserver.com/v1/create-qr-code/?size=200x200&amp;data="&amp;ENCODEURL("https://wa.me/507"&amp;REGEXREPLACE(C1933,"[^0-9]","")&amp;"?text="&amp;ENCODEURL("Ya llegue. Codigo: "&amp;A1933&amp;". Ubicacion: "&amp;"https://www.google.com/maps/search/?api=1&amp;query="&amp;SUBSTITUTE(F1933," ",""))),"")</f>
        <v/>
      </c>
      <c r="M1933" s="8">
        <f>IF(B1933&lt;&gt;"",TODAY(),"")</f>
        <v/>
      </c>
      <c r="N1933" s="8">
        <f>IF(F1933&lt;&gt;"",IFERROR(IF(AND(REGEXMATCH(SUBSTITUTE(TRIM(F1933)," ",""),"^-?\d+(\.\d+)?,-?\d+(\.\d+)?$"),VALUE(REGEXEXTRACT(SUBSTITUTE(TRIM(F1933)," ",""),"^-?\d+(\.\d+)?"))&gt;=-90,VALUE(REGEXEXTRACT(SUBSTITUTE(TRIM(F1933)," ",""),"^-?\d+(\.\d+)?"))&lt;=90,VALUE(REGEXEXTRACT(SUBSTITUTE(TRIM(F1933)," ",""),"-?\d+(\.\d+)?$"))&gt;=-180,VALUE(REGEXEXTRACT(SUBSTITUTE(TRIM(F1933)," ",""),"-?\d+(\.\d+)?$"))&lt;=180),"OK","REVISAR"),"REVISAR"),"")</f>
        <v/>
      </c>
      <c r="O1933">
        <f>IF(A1933&lt;&gt;"","https://direcciones507.github.io/direcciones507/panel.html?codigo="&amp;A1933&amp;"&amp;nombre="&amp;ENCODEURL(B1933)&amp;"&amp;telefono="&amp;SUBSTITUTE(C1933,"-","")&amp;"&amp;referencia="&amp;ENCODEURL(E1933)&amp;"&amp;lat="&amp;IZQUIERDA(SUBSTITUTE(F1933," ",""),ENCONTRAR(",",SUBSTITUTE(F1933," ",""))-1)&amp;"&amp;lng="&amp;DERECHA(SUBSTITUTE(F1933," ",""),LARGO(SUBSTITUTE(F1933," ",""))-ENCONTRAR(",",SUBSTITUTE(F1933," ",""))),"")</f>
        <v/>
      </c>
    </row>
    <row r="1934" ht="15.75" customHeight="1" s="10">
      <c r="A1934" s="8">
        <f>CONCAT("AD507-",TEXT(ROW()-2,"0000"))</f>
        <v/>
      </c>
      <c r="C1934" s="8" t="n"/>
      <c r="F1934" s="8" t="n"/>
      <c r="G1934" s="8">
        <f>IF(F1934&lt;&gt;"",HYPERLINK("https://www.google.com/maps/search/?api=1&amp;query="&amp;SUBSTITUTE(F1934," ",""),"🗺 Google Maps"),"")</f>
        <v/>
      </c>
      <c r="H1934" s="8">
        <f>IF(F1934&lt;&gt;"",HYPERLINK("https://waze.com/ul?ll="&amp;SUBSTITUTE(F1934," ","")&amp;"&amp;navigate=yes","🚗 Waze"),"")</f>
        <v/>
      </c>
      <c r="I1934" s="8">
        <f>IF(F1934&lt;&gt;"",HYPERLINK("https://m.uber.com/ul/?action=setPickup&amp;pickup=my_location&amp;dropoff[latitude]="&amp;LEFT(SUBSTITUTE(F1934," ",""),FIND(",",SUBSTITUTE(F1934," ",""))-1)&amp;"&amp;dropoff[longitude]="&amp;MID(SUBSTITUTE(F1934," ",""),FIND(",",SUBSTITUTE(F1934," ",""))+1,99),"🚕 Uber"),"")</f>
        <v/>
      </c>
      <c r="J1934" s="8">
        <f>IF(F1934&lt;&gt;"","https://api.qrserver.com/v1/create-qr-code/?size=200x200&amp;data="&amp;ENCODEURL("https://www.google.com/maps/search/?api=1&amp;query="&amp;SUBSTITUTE(F1934," ","")),"")</f>
        <v/>
      </c>
      <c r="K1934" s="8">
        <f>IF(C1934&lt;&gt;"",HYPERLINK("https://wa.me/507"&amp;REGEXREPLACE(C1934,"[^0-9]","")&amp;"?text="&amp;ENCODEURL("Ya llegue. Codigo: "&amp;A1934&amp;". Ubicacion: "&amp;"https://www.google.com/maps/search/?api=1&amp;query="&amp;SUBSTITUTE(F1934," ","")),"📲 Avisar al cliente"),"")</f>
        <v/>
      </c>
      <c r="L1934" s="8">
        <f>IF(C1934&lt;&gt;"","https://api.qrserver.com/v1/create-qr-code/?size=200x200&amp;data="&amp;ENCODEURL("https://wa.me/507"&amp;REGEXREPLACE(C1934,"[^0-9]","")&amp;"?text="&amp;ENCODEURL("Ya llegue. Codigo: "&amp;A1934&amp;". Ubicacion: "&amp;"https://www.google.com/maps/search/?api=1&amp;query="&amp;SUBSTITUTE(F1934," ",""))),"")</f>
        <v/>
      </c>
      <c r="M1934" s="8">
        <f>IF(B1934&lt;&gt;"",TODAY(),"")</f>
        <v/>
      </c>
      <c r="N1934" s="8">
        <f>IF(F1934&lt;&gt;"",IFERROR(IF(AND(REGEXMATCH(SUBSTITUTE(TRIM(F1934)," ",""),"^-?\d+(\.\d+)?,-?\d+(\.\d+)?$"),VALUE(REGEXEXTRACT(SUBSTITUTE(TRIM(F1934)," ",""),"^-?\d+(\.\d+)?"))&gt;=-90,VALUE(REGEXEXTRACT(SUBSTITUTE(TRIM(F1934)," ",""),"^-?\d+(\.\d+)?"))&lt;=90,VALUE(REGEXEXTRACT(SUBSTITUTE(TRIM(F1934)," ",""),"-?\d+(\.\d+)?$"))&gt;=-180,VALUE(REGEXEXTRACT(SUBSTITUTE(TRIM(F1934)," ",""),"-?\d+(\.\d+)?$"))&lt;=180),"OK","REVISAR"),"REVISAR"),"")</f>
        <v/>
      </c>
      <c r="O1934">
        <f>IF(A1934&lt;&gt;"","https://direcciones507.github.io/direcciones507/panel.html?codigo="&amp;A1934&amp;"&amp;nombre="&amp;ENCODEURL(B1934)&amp;"&amp;telefono="&amp;SUBSTITUTE(C1934,"-","")&amp;"&amp;referencia="&amp;ENCODEURL(E1934)&amp;"&amp;lat="&amp;IZQUIERDA(SUBSTITUTE(F1934," ",""),ENCONTRAR(",",SUBSTITUTE(F1934," ",""))-1)&amp;"&amp;lng="&amp;DERECHA(SUBSTITUTE(F1934," ",""),LARGO(SUBSTITUTE(F1934," ",""))-ENCONTRAR(",",SUBSTITUTE(F1934," ",""))),"")</f>
        <v/>
      </c>
    </row>
    <row r="1935" ht="15.75" customHeight="1" s="10">
      <c r="A1935" s="8">
        <f>CONCAT("AD507-",TEXT(ROW()-2,"0000"))</f>
        <v/>
      </c>
      <c r="C1935" s="8" t="n"/>
      <c r="F1935" s="8" t="n"/>
      <c r="G1935" s="8">
        <f>IF(F1935&lt;&gt;"",HYPERLINK("https://www.google.com/maps/search/?api=1&amp;query="&amp;SUBSTITUTE(F1935," ",""),"🗺 Google Maps"),"")</f>
        <v/>
      </c>
      <c r="H1935" s="8">
        <f>IF(F1935&lt;&gt;"",HYPERLINK("https://waze.com/ul?ll="&amp;SUBSTITUTE(F1935," ","")&amp;"&amp;navigate=yes","🚗 Waze"),"")</f>
        <v/>
      </c>
      <c r="I1935" s="8">
        <f>IF(F1935&lt;&gt;"",HYPERLINK("https://m.uber.com/ul/?action=setPickup&amp;pickup=my_location&amp;dropoff[latitude]="&amp;LEFT(SUBSTITUTE(F1935," ",""),FIND(",",SUBSTITUTE(F1935," ",""))-1)&amp;"&amp;dropoff[longitude]="&amp;MID(SUBSTITUTE(F1935," ",""),FIND(",",SUBSTITUTE(F1935," ",""))+1,99),"🚕 Uber"),"")</f>
        <v/>
      </c>
      <c r="J1935" s="8">
        <f>IF(F1935&lt;&gt;"","https://api.qrserver.com/v1/create-qr-code/?size=200x200&amp;data="&amp;ENCODEURL("https://www.google.com/maps/search/?api=1&amp;query="&amp;SUBSTITUTE(F1935," ","")),"")</f>
        <v/>
      </c>
      <c r="K1935" s="8">
        <f>IF(C1935&lt;&gt;"",HYPERLINK("https://wa.me/507"&amp;REGEXREPLACE(C1935,"[^0-9]","")&amp;"?text="&amp;ENCODEURL("Ya llegue. Codigo: "&amp;A1935&amp;". Ubicacion: "&amp;"https://www.google.com/maps/search/?api=1&amp;query="&amp;SUBSTITUTE(F1935," ","")),"📲 Avisar al cliente"),"")</f>
        <v/>
      </c>
      <c r="L1935" s="8">
        <f>IF(C1935&lt;&gt;"","https://api.qrserver.com/v1/create-qr-code/?size=200x200&amp;data="&amp;ENCODEURL("https://wa.me/507"&amp;REGEXREPLACE(C1935,"[^0-9]","")&amp;"?text="&amp;ENCODEURL("Ya llegue. Codigo: "&amp;A1935&amp;". Ubicacion: "&amp;"https://www.google.com/maps/search/?api=1&amp;query="&amp;SUBSTITUTE(F1935," ",""))),"")</f>
        <v/>
      </c>
      <c r="M1935" s="8">
        <f>IF(B1935&lt;&gt;"",TODAY(),"")</f>
        <v/>
      </c>
      <c r="N1935" s="8">
        <f>IF(F1935&lt;&gt;"",IFERROR(IF(AND(REGEXMATCH(SUBSTITUTE(TRIM(F1935)," ",""),"^-?\d+(\.\d+)?,-?\d+(\.\d+)?$"),VALUE(REGEXEXTRACT(SUBSTITUTE(TRIM(F1935)," ",""),"^-?\d+(\.\d+)?"))&gt;=-90,VALUE(REGEXEXTRACT(SUBSTITUTE(TRIM(F1935)," ",""),"^-?\d+(\.\d+)?"))&lt;=90,VALUE(REGEXEXTRACT(SUBSTITUTE(TRIM(F1935)," ",""),"-?\d+(\.\d+)?$"))&gt;=-180,VALUE(REGEXEXTRACT(SUBSTITUTE(TRIM(F1935)," ",""),"-?\d+(\.\d+)?$"))&lt;=180),"OK","REVISAR"),"REVISAR"),"")</f>
        <v/>
      </c>
      <c r="O1935">
        <f>IF(A1935&lt;&gt;"","https://direcciones507.github.io/direcciones507/panel.html?codigo="&amp;A1935&amp;"&amp;nombre="&amp;ENCODEURL(B1935)&amp;"&amp;telefono="&amp;SUBSTITUTE(C1935,"-","")&amp;"&amp;referencia="&amp;ENCODEURL(E1935)&amp;"&amp;lat="&amp;IZQUIERDA(SUBSTITUTE(F1935," ",""),ENCONTRAR(",",SUBSTITUTE(F1935," ",""))-1)&amp;"&amp;lng="&amp;DERECHA(SUBSTITUTE(F1935," ",""),LARGO(SUBSTITUTE(F1935," ",""))-ENCONTRAR(",",SUBSTITUTE(F1935," ",""))),"")</f>
        <v/>
      </c>
    </row>
    <row r="1936" ht="15.75" customHeight="1" s="10">
      <c r="A1936" s="8">
        <f>CONCAT("AD507-",TEXT(ROW()-2,"0000"))</f>
        <v/>
      </c>
      <c r="C1936" s="8" t="n"/>
      <c r="F1936" s="8" t="n"/>
      <c r="G1936" s="8">
        <f>IF(F1936&lt;&gt;"",HYPERLINK("https://www.google.com/maps/search/?api=1&amp;query="&amp;SUBSTITUTE(F1936," ",""),"🗺 Google Maps"),"")</f>
        <v/>
      </c>
      <c r="H1936" s="8">
        <f>IF(F1936&lt;&gt;"",HYPERLINK("https://waze.com/ul?ll="&amp;SUBSTITUTE(F1936," ","")&amp;"&amp;navigate=yes","🚗 Waze"),"")</f>
        <v/>
      </c>
      <c r="I1936" s="8">
        <f>IF(F1936&lt;&gt;"",HYPERLINK("https://m.uber.com/ul/?action=setPickup&amp;pickup=my_location&amp;dropoff[latitude]="&amp;LEFT(SUBSTITUTE(F1936," ",""),FIND(",",SUBSTITUTE(F1936," ",""))-1)&amp;"&amp;dropoff[longitude]="&amp;MID(SUBSTITUTE(F1936," ",""),FIND(",",SUBSTITUTE(F1936," ",""))+1,99),"🚕 Uber"),"")</f>
        <v/>
      </c>
      <c r="J1936" s="8">
        <f>IF(F1936&lt;&gt;"","https://api.qrserver.com/v1/create-qr-code/?size=200x200&amp;data="&amp;ENCODEURL("https://www.google.com/maps/search/?api=1&amp;query="&amp;SUBSTITUTE(F1936," ","")),"")</f>
        <v/>
      </c>
      <c r="K1936" s="8">
        <f>IF(C1936&lt;&gt;"",HYPERLINK("https://wa.me/507"&amp;REGEXREPLACE(C1936,"[^0-9]","")&amp;"?text="&amp;ENCODEURL("Ya llegue. Codigo: "&amp;A1936&amp;". Ubicacion: "&amp;"https://www.google.com/maps/search/?api=1&amp;query="&amp;SUBSTITUTE(F1936," ","")),"📲 Avisar al cliente"),"")</f>
        <v/>
      </c>
      <c r="L1936" s="8">
        <f>IF(C1936&lt;&gt;"","https://api.qrserver.com/v1/create-qr-code/?size=200x200&amp;data="&amp;ENCODEURL("https://wa.me/507"&amp;REGEXREPLACE(C1936,"[^0-9]","")&amp;"?text="&amp;ENCODEURL("Ya llegue. Codigo: "&amp;A1936&amp;". Ubicacion: "&amp;"https://www.google.com/maps/search/?api=1&amp;query="&amp;SUBSTITUTE(F1936," ",""))),"")</f>
        <v/>
      </c>
      <c r="M1936" s="8">
        <f>IF(B1936&lt;&gt;"",TODAY(),"")</f>
        <v/>
      </c>
      <c r="N1936" s="8">
        <f>IF(F1936&lt;&gt;"",IFERROR(IF(AND(REGEXMATCH(SUBSTITUTE(TRIM(F1936)," ",""),"^-?\d+(\.\d+)?,-?\d+(\.\d+)?$"),VALUE(REGEXEXTRACT(SUBSTITUTE(TRIM(F1936)," ",""),"^-?\d+(\.\d+)?"))&gt;=-90,VALUE(REGEXEXTRACT(SUBSTITUTE(TRIM(F1936)," ",""),"^-?\d+(\.\d+)?"))&lt;=90,VALUE(REGEXEXTRACT(SUBSTITUTE(TRIM(F1936)," ",""),"-?\d+(\.\d+)?$"))&gt;=-180,VALUE(REGEXEXTRACT(SUBSTITUTE(TRIM(F1936)," ",""),"-?\d+(\.\d+)?$"))&lt;=180),"OK","REVISAR"),"REVISAR"),"")</f>
        <v/>
      </c>
      <c r="O1936">
        <f>IF(A1936&lt;&gt;"","https://direcciones507.github.io/direcciones507/panel.html?codigo="&amp;A1936&amp;"&amp;nombre="&amp;ENCODEURL(B1936)&amp;"&amp;telefono="&amp;SUBSTITUTE(C1936,"-","")&amp;"&amp;referencia="&amp;ENCODEURL(E1936)&amp;"&amp;lat="&amp;IZQUIERDA(SUBSTITUTE(F1936," ",""),ENCONTRAR(",",SUBSTITUTE(F1936," ",""))-1)&amp;"&amp;lng="&amp;DERECHA(SUBSTITUTE(F1936," ",""),LARGO(SUBSTITUTE(F1936," ",""))-ENCONTRAR(",",SUBSTITUTE(F1936," ",""))),"")</f>
        <v/>
      </c>
    </row>
    <row r="1937" ht="15.75" customHeight="1" s="10">
      <c r="A1937" s="8">
        <f>CONCAT("AD507-",TEXT(ROW()-2,"0000"))</f>
        <v/>
      </c>
      <c r="C1937" s="8" t="n"/>
      <c r="F1937" s="8" t="n"/>
      <c r="G1937" s="8">
        <f>IF(F1937&lt;&gt;"",HYPERLINK("https://www.google.com/maps/search/?api=1&amp;query="&amp;SUBSTITUTE(F1937," ",""),"🗺 Google Maps"),"")</f>
        <v/>
      </c>
      <c r="H1937" s="8">
        <f>IF(F1937&lt;&gt;"",HYPERLINK("https://waze.com/ul?ll="&amp;SUBSTITUTE(F1937," ","")&amp;"&amp;navigate=yes","🚗 Waze"),"")</f>
        <v/>
      </c>
      <c r="I1937" s="8">
        <f>IF(F1937&lt;&gt;"",HYPERLINK("https://m.uber.com/ul/?action=setPickup&amp;pickup=my_location&amp;dropoff[latitude]="&amp;LEFT(SUBSTITUTE(F1937," ",""),FIND(",",SUBSTITUTE(F1937," ",""))-1)&amp;"&amp;dropoff[longitude]="&amp;MID(SUBSTITUTE(F1937," ",""),FIND(",",SUBSTITUTE(F1937," ",""))+1,99),"🚕 Uber"),"")</f>
        <v/>
      </c>
      <c r="J1937" s="8">
        <f>IF(F1937&lt;&gt;"","https://api.qrserver.com/v1/create-qr-code/?size=200x200&amp;data="&amp;ENCODEURL("https://www.google.com/maps/search/?api=1&amp;query="&amp;SUBSTITUTE(F1937," ","")),"")</f>
        <v/>
      </c>
      <c r="K1937" s="8">
        <f>IF(C1937&lt;&gt;"",HYPERLINK("https://wa.me/507"&amp;REGEXREPLACE(C1937,"[^0-9]","")&amp;"?text="&amp;ENCODEURL("Ya llegue. Codigo: "&amp;A1937&amp;". Ubicacion: "&amp;"https://www.google.com/maps/search/?api=1&amp;query="&amp;SUBSTITUTE(F1937," ","")),"📲 Avisar al cliente"),"")</f>
        <v/>
      </c>
      <c r="L1937" s="8">
        <f>IF(C1937&lt;&gt;"","https://api.qrserver.com/v1/create-qr-code/?size=200x200&amp;data="&amp;ENCODEURL("https://wa.me/507"&amp;REGEXREPLACE(C1937,"[^0-9]","")&amp;"?text="&amp;ENCODEURL("Ya llegue. Codigo: "&amp;A1937&amp;". Ubicacion: "&amp;"https://www.google.com/maps/search/?api=1&amp;query="&amp;SUBSTITUTE(F1937," ",""))),"")</f>
        <v/>
      </c>
      <c r="M1937" s="8">
        <f>IF(B1937&lt;&gt;"",TODAY(),"")</f>
        <v/>
      </c>
      <c r="N1937" s="8">
        <f>IF(F1937&lt;&gt;"",IFERROR(IF(AND(REGEXMATCH(SUBSTITUTE(TRIM(F1937)," ",""),"^-?\d+(\.\d+)?,-?\d+(\.\d+)?$"),VALUE(REGEXEXTRACT(SUBSTITUTE(TRIM(F1937)," ",""),"^-?\d+(\.\d+)?"))&gt;=-90,VALUE(REGEXEXTRACT(SUBSTITUTE(TRIM(F1937)," ",""),"^-?\d+(\.\d+)?"))&lt;=90,VALUE(REGEXEXTRACT(SUBSTITUTE(TRIM(F1937)," ",""),"-?\d+(\.\d+)?$"))&gt;=-180,VALUE(REGEXEXTRACT(SUBSTITUTE(TRIM(F1937)," ",""),"-?\d+(\.\d+)?$"))&lt;=180),"OK","REVISAR"),"REVISAR"),"")</f>
        <v/>
      </c>
      <c r="O1937">
        <f>IF(A1937&lt;&gt;"","https://direcciones507.github.io/direcciones507/panel.html?codigo="&amp;A1937&amp;"&amp;nombre="&amp;ENCODEURL(B1937)&amp;"&amp;telefono="&amp;SUBSTITUTE(C1937,"-","")&amp;"&amp;referencia="&amp;ENCODEURL(E1937)&amp;"&amp;lat="&amp;IZQUIERDA(SUBSTITUTE(F1937," ",""),ENCONTRAR(",",SUBSTITUTE(F1937," ",""))-1)&amp;"&amp;lng="&amp;DERECHA(SUBSTITUTE(F1937," ",""),LARGO(SUBSTITUTE(F1937," ",""))-ENCONTRAR(",",SUBSTITUTE(F1937," ",""))),"")</f>
        <v/>
      </c>
    </row>
    <row r="1938" ht="15.75" customHeight="1" s="10">
      <c r="A1938" s="8">
        <f>CONCAT("AD507-",TEXT(ROW()-2,"0000"))</f>
        <v/>
      </c>
      <c r="C1938" s="8" t="n"/>
      <c r="F1938" s="8" t="n"/>
      <c r="G1938" s="8">
        <f>IF(F1938&lt;&gt;"",HYPERLINK("https://www.google.com/maps/search/?api=1&amp;query="&amp;SUBSTITUTE(F1938," ",""),"🗺 Google Maps"),"")</f>
        <v/>
      </c>
      <c r="H1938" s="8">
        <f>IF(F1938&lt;&gt;"",HYPERLINK("https://waze.com/ul?ll="&amp;SUBSTITUTE(F1938," ","")&amp;"&amp;navigate=yes","🚗 Waze"),"")</f>
        <v/>
      </c>
      <c r="I1938" s="8">
        <f>IF(F1938&lt;&gt;"",HYPERLINK("https://m.uber.com/ul/?action=setPickup&amp;pickup=my_location&amp;dropoff[latitude]="&amp;LEFT(SUBSTITUTE(F1938," ",""),FIND(",",SUBSTITUTE(F1938," ",""))-1)&amp;"&amp;dropoff[longitude]="&amp;MID(SUBSTITUTE(F1938," ",""),FIND(",",SUBSTITUTE(F1938," ",""))+1,99),"🚕 Uber"),"")</f>
        <v/>
      </c>
      <c r="J1938" s="8">
        <f>IF(F1938&lt;&gt;"","https://api.qrserver.com/v1/create-qr-code/?size=200x200&amp;data="&amp;ENCODEURL("https://www.google.com/maps/search/?api=1&amp;query="&amp;SUBSTITUTE(F1938," ","")),"")</f>
        <v/>
      </c>
      <c r="K1938" s="8">
        <f>IF(C1938&lt;&gt;"",HYPERLINK("https://wa.me/507"&amp;REGEXREPLACE(C1938,"[^0-9]","")&amp;"?text="&amp;ENCODEURL("Ya llegue. Codigo: "&amp;A1938&amp;". Ubicacion: "&amp;"https://www.google.com/maps/search/?api=1&amp;query="&amp;SUBSTITUTE(F1938," ","")),"📲 Avisar al cliente"),"")</f>
        <v/>
      </c>
      <c r="L1938" s="8">
        <f>IF(C1938&lt;&gt;"","https://api.qrserver.com/v1/create-qr-code/?size=200x200&amp;data="&amp;ENCODEURL("https://wa.me/507"&amp;REGEXREPLACE(C1938,"[^0-9]","")&amp;"?text="&amp;ENCODEURL("Ya llegue. Codigo: "&amp;A1938&amp;". Ubicacion: "&amp;"https://www.google.com/maps/search/?api=1&amp;query="&amp;SUBSTITUTE(F1938," ",""))),"")</f>
        <v/>
      </c>
      <c r="M1938" s="8">
        <f>IF(B1938&lt;&gt;"",TODAY(),"")</f>
        <v/>
      </c>
      <c r="N1938" s="8">
        <f>IF(F1938&lt;&gt;"",IFERROR(IF(AND(REGEXMATCH(SUBSTITUTE(TRIM(F1938)," ",""),"^-?\d+(\.\d+)?,-?\d+(\.\d+)?$"),VALUE(REGEXEXTRACT(SUBSTITUTE(TRIM(F1938)," ",""),"^-?\d+(\.\d+)?"))&gt;=-90,VALUE(REGEXEXTRACT(SUBSTITUTE(TRIM(F1938)," ",""),"^-?\d+(\.\d+)?"))&lt;=90,VALUE(REGEXEXTRACT(SUBSTITUTE(TRIM(F1938)," ",""),"-?\d+(\.\d+)?$"))&gt;=-180,VALUE(REGEXEXTRACT(SUBSTITUTE(TRIM(F1938)," ",""),"-?\d+(\.\d+)?$"))&lt;=180),"OK","REVISAR"),"REVISAR"),"")</f>
        <v/>
      </c>
      <c r="O1938">
        <f>IF(A1938&lt;&gt;"","https://direcciones507.github.io/direcciones507/panel.html?codigo="&amp;A1938&amp;"&amp;nombre="&amp;ENCODEURL(B1938)&amp;"&amp;telefono="&amp;SUBSTITUTE(C1938,"-","")&amp;"&amp;referencia="&amp;ENCODEURL(E1938)&amp;"&amp;lat="&amp;IZQUIERDA(SUBSTITUTE(F1938," ",""),ENCONTRAR(",",SUBSTITUTE(F1938," ",""))-1)&amp;"&amp;lng="&amp;DERECHA(SUBSTITUTE(F1938," ",""),LARGO(SUBSTITUTE(F1938," ",""))-ENCONTRAR(",",SUBSTITUTE(F1938," ",""))),"")</f>
        <v/>
      </c>
    </row>
    <row r="1939" ht="15.75" customHeight="1" s="10">
      <c r="A1939" s="8">
        <f>CONCAT("AD507-",TEXT(ROW()-2,"0000"))</f>
        <v/>
      </c>
      <c r="C1939" s="8" t="n"/>
      <c r="F1939" s="8" t="n"/>
      <c r="G1939" s="8">
        <f>IF(F1939&lt;&gt;"",HYPERLINK("https://www.google.com/maps/search/?api=1&amp;query="&amp;SUBSTITUTE(F1939," ",""),"🗺 Google Maps"),"")</f>
        <v/>
      </c>
      <c r="H1939" s="8">
        <f>IF(F1939&lt;&gt;"",HYPERLINK("https://waze.com/ul?ll="&amp;SUBSTITUTE(F1939," ","")&amp;"&amp;navigate=yes","🚗 Waze"),"")</f>
        <v/>
      </c>
      <c r="I1939" s="8">
        <f>IF(F1939&lt;&gt;"",HYPERLINK("https://m.uber.com/ul/?action=setPickup&amp;pickup=my_location&amp;dropoff[latitude]="&amp;LEFT(SUBSTITUTE(F1939," ",""),FIND(",",SUBSTITUTE(F1939," ",""))-1)&amp;"&amp;dropoff[longitude]="&amp;MID(SUBSTITUTE(F1939," ",""),FIND(",",SUBSTITUTE(F1939," ",""))+1,99),"🚕 Uber"),"")</f>
        <v/>
      </c>
      <c r="J1939" s="8">
        <f>IF(F1939&lt;&gt;"","https://api.qrserver.com/v1/create-qr-code/?size=200x200&amp;data="&amp;ENCODEURL("https://www.google.com/maps/search/?api=1&amp;query="&amp;SUBSTITUTE(F1939," ","")),"")</f>
        <v/>
      </c>
      <c r="K1939" s="8">
        <f>IF(C1939&lt;&gt;"",HYPERLINK("https://wa.me/507"&amp;REGEXREPLACE(C1939,"[^0-9]","")&amp;"?text="&amp;ENCODEURL("Ya llegue. Codigo: "&amp;A1939&amp;". Ubicacion: "&amp;"https://www.google.com/maps/search/?api=1&amp;query="&amp;SUBSTITUTE(F1939," ","")),"📲 Avisar al cliente"),"")</f>
        <v/>
      </c>
      <c r="L1939" s="8">
        <f>IF(C1939&lt;&gt;"","https://api.qrserver.com/v1/create-qr-code/?size=200x200&amp;data="&amp;ENCODEURL("https://wa.me/507"&amp;REGEXREPLACE(C1939,"[^0-9]","")&amp;"?text="&amp;ENCODEURL("Ya llegue. Codigo: "&amp;A1939&amp;". Ubicacion: "&amp;"https://www.google.com/maps/search/?api=1&amp;query="&amp;SUBSTITUTE(F1939," ",""))),"")</f>
        <v/>
      </c>
      <c r="M1939" s="8">
        <f>IF(B1939&lt;&gt;"",TODAY(),"")</f>
        <v/>
      </c>
      <c r="N1939" s="8">
        <f>IF(F1939&lt;&gt;"",IFERROR(IF(AND(REGEXMATCH(SUBSTITUTE(TRIM(F1939)," ",""),"^-?\d+(\.\d+)?,-?\d+(\.\d+)?$"),VALUE(REGEXEXTRACT(SUBSTITUTE(TRIM(F1939)," ",""),"^-?\d+(\.\d+)?"))&gt;=-90,VALUE(REGEXEXTRACT(SUBSTITUTE(TRIM(F1939)," ",""),"^-?\d+(\.\d+)?"))&lt;=90,VALUE(REGEXEXTRACT(SUBSTITUTE(TRIM(F1939)," ",""),"-?\d+(\.\d+)?$"))&gt;=-180,VALUE(REGEXEXTRACT(SUBSTITUTE(TRIM(F1939)," ",""),"-?\d+(\.\d+)?$"))&lt;=180),"OK","REVISAR"),"REVISAR"),"")</f>
        <v/>
      </c>
      <c r="O1939">
        <f>IF(A1939&lt;&gt;"","https://direcciones507.github.io/direcciones507/panel.html?codigo="&amp;A1939&amp;"&amp;nombre="&amp;ENCODEURL(B1939)&amp;"&amp;telefono="&amp;SUBSTITUTE(C1939,"-","")&amp;"&amp;referencia="&amp;ENCODEURL(E1939)&amp;"&amp;lat="&amp;IZQUIERDA(SUBSTITUTE(F1939," ",""),ENCONTRAR(",",SUBSTITUTE(F1939," ",""))-1)&amp;"&amp;lng="&amp;DERECHA(SUBSTITUTE(F1939," ",""),LARGO(SUBSTITUTE(F1939," ",""))-ENCONTRAR(",",SUBSTITUTE(F1939," ",""))),"")</f>
        <v/>
      </c>
    </row>
    <row r="1940" ht="15.75" customHeight="1" s="10">
      <c r="A1940" s="8">
        <f>CONCAT("AD507-",TEXT(ROW()-2,"0000"))</f>
        <v/>
      </c>
      <c r="C1940" s="8" t="n"/>
      <c r="F1940" s="8" t="n"/>
      <c r="G1940" s="8">
        <f>IF(F1940&lt;&gt;"",HYPERLINK("https://www.google.com/maps/search/?api=1&amp;query="&amp;SUBSTITUTE(F1940," ",""),"🗺 Google Maps"),"")</f>
        <v/>
      </c>
      <c r="H1940" s="8">
        <f>IF(F1940&lt;&gt;"",HYPERLINK("https://waze.com/ul?ll="&amp;SUBSTITUTE(F1940," ","")&amp;"&amp;navigate=yes","🚗 Waze"),"")</f>
        <v/>
      </c>
      <c r="I1940" s="8">
        <f>IF(F1940&lt;&gt;"",HYPERLINK("https://m.uber.com/ul/?action=setPickup&amp;pickup=my_location&amp;dropoff[latitude]="&amp;LEFT(SUBSTITUTE(F1940," ",""),FIND(",",SUBSTITUTE(F1940," ",""))-1)&amp;"&amp;dropoff[longitude]="&amp;MID(SUBSTITUTE(F1940," ",""),FIND(",",SUBSTITUTE(F1940," ",""))+1,99),"🚕 Uber"),"")</f>
        <v/>
      </c>
      <c r="J1940" s="8">
        <f>IF(F1940&lt;&gt;"","https://api.qrserver.com/v1/create-qr-code/?size=200x200&amp;data="&amp;ENCODEURL("https://www.google.com/maps/search/?api=1&amp;query="&amp;SUBSTITUTE(F1940," ","")),"")</f>
        <v/>
      </c>
      <c r="K1940" s="8">
        <f>IF(C1940&lt;&gt;"",HYPERLINK("https://wa.me/507"&amp;REGEXREPLACE(C1940,"[^0-9]","")&amp;"?text="&amp;ENCODEURL("Ya llegue. Codigo: "&amp;A1940&amp;". Ubicacion: "&amp;"https://www.google.com/maps/search/?api=1&amp;query="&amp;SUBSTITUTE(F1940," ","")),"📲 Avisar al cliente"),"")</f>
        <v/>
      </c>
      <c r="L1940" s="8">
        <f>IF(C1940&lt;&gt;"","https://api.qrserver.com/v1/create-qr-code/?size=200x200&amp;data="&amp;ENCODEURL("https://wa.me/507"&amp;REGEXREPLACE(C1940,"[^0-9]","")&amp;"?text="&amp;ENCODEURL("Ya llegue. Codigo: "&amp;A1940&amp;". Ubicacion: "&amp;"https://www.google.com/maps/search/?api=1&amp;query="&amp;SUBSTITUTE(F1940," ",""))),"")</f>
        <v/>
      </c>
      <c r="M1940" s="8">
        <f>IF(B1940&lt;&gt;"",TODAY(),"")</f>
        <v/>
      </c>
      <c r="N1940" s="8">
        <f>IF(F1940&lt;&gt;"",IFERROR(IF(AND(REGEXMATCH(SUBSTITUTE(TRIM(F1940)," ",""),"^-?\d+(\.\d+)?,-?\d+(\.\d+)?$"),VALUE(REGEXEXTRACT(SUBSTITUTE(TRIM(F1940)," ",""),"^-?\d+(\.\d+)?"))&gt;=-90,VALUE(REGEXEXTRACT(SUBSTITUTE(TRIM(F1940)," ",""),"^-?\d+(\.\d+)?"))&lt;=90,VALUE(REGEXEXTRACT(SUBSTITUTE(TRIM(F1940)," ",""),"-?\d+(\.\d+)?$"))&gt;=-180,VALUE(REGEXEXTRACT(SUBSTITUTE(TRIM(F1940)," ",""),"-?\d+(\.\d+)?$"))&lt;=180),"OK","REVISAR"),"REVISAR"),"")</f>
        <v/>
      </c>
      <c r="O1940">
        <f>IF(A1940&lt;&gt;"","https://direcciones507.github.io/direcciones507/panel.html?codigo="&amp;A1940&amp;"&amp;nombre="&amp;ENCODEURL(B1940)&amp;"&amp;telefono="&amp;SUBSTITUTE(C1940,"-","")&amp;"&amp;referencia="&amp;ENCODEURL(E1940)&amp;"&amp;lat="&amp;IZQUIERDA(SUBSTITUTE(F1940," ",""),ENCONTRAR(",",SUBSTITUTE(F1940," ",""))-1)&amp;"&amp;lng="&amp;DERECHA(SUBSTITUTE(F1940," ",""),LARGO(SUBSTITUTE(F1940," ",""))-ENCONTRAR(",",SUBSTITUTE(F1940," ",""))),"")</f>
        <v/>
      </c>
    </row>
    <row r="1941" ht="15.75" customHeight="1" s="10">
      <c r="A1941" s="8">
        <f>CONCAT("AD507-",TEXT(ROW()-2,"0000"))</f>
        <v/>
      </c>
      <c r="C1941" s="8" t="n"/>
      <c r="F1941" s="8" t="n"/>
      <c r="G1941" s="8">
        <f>IF(F1941&lt;&gt;"",HYPERLINK("https://www.google.com/maps/search/?api=1&amp;query="&amp;SUBSTITUTE(F1941," ",""),"🗺 Google Maps"),"")</f>
        <v/>
      </c>
      <c r="H1941" s="8">
        <f>IF(F1941&lt;&gt;"",HYPERLINK("https://waze.com/ul?ll="&amp;SUBSTITUTE(F1941," ","")&amp;"&amp;navigate=yes","🚗 Waze"),"")</f>
        <v/>
      </c>
      <c r="I1941" s="8">
        <f>IF(F1941&lt;&gt;"",HYPERLINK("https://m.uber.com/ul/?action=setPickup&amp;pickup=my_location&amp;dropoff[latitude]="&amp;LEFT(SUBSTITUTE(F1941," ",""),FIND(",",SUBSTITUTE(F1941," ",""))-1)&amp;"&amp;dropoff[longitude]="&amp;MID(SUBSTITUTE(F1941," ",""),FIND(",",SUBSTITUTE(F1941," ",""))+1,99),"🚕 Uber"),"")</f>
        <v/>
      </c>
      <c r="J1941" s="8">
        <f>IF(F1941&lt;&gt;"","https://api.qrserver.com/v1/create-qr-code/?size=200x200&amp;data="&amp;ENCODEURL("https://www.google.com/maps/search/?api=1&amp;query="&amp;SUBSTITUTE(F1941," ","")),"")</f>
        <v/>
      </c>
      <c r="K1941" s="8">
        <f>IF(C1941&lt;&gt;"",HYPERLINK("https://wa.me/507"&amp;REGEXREPLACE(C1941,"[^0-9]","")&amp;"?text="&amp;ENCODEURL("Ya llegue. Codigo: "&amp;A1941&amp;". Ubicacion: "&amp;"https://www.google.com/maps/search/?api=1&amp;query="&amp;SUBSTITUTE(F1941," ","")),"📲 Avisar al cliente"),"")</f>
        <v/>
      </c>
      <c r="L1941" s="8">
        <f>IF(C1941&lt;&gt;"","https://api.qrserver.com/v1/create-qr-code/?size=200x200&amp;data="&amp;ENCODEURL("https://wa.me/507"&amp;REGEXREPLACE(C1941,"[^0-9]","")&amp;"?text="&amp;ENCODEURL("Ya llegue. Codigo: "&amp;A1941&amp;". Ubicacion: "&amp;"https://www.google.com/maps/search/?api=1&amp;query="&amp;SUBSTITUTE(F1941," ",""))),"")</f>
        <v/>
      </c>
      <c r="M1941" s="8">
        <f>IF(B1941&lt;&gt;"",TODAY(),"")</f>
        <v/>
      </c>
      <c r="N1941" s="8">
        <f>IF(F1941&lt;&gt;"",IFERROR(IF(AND(REGEXMATCH(SUBSTITUTE(TRIM(F1941)," ",""),"^-?\d+(\.\d+)?,-?\d+(\.\d+)?$"),VALUE(REGEXEXTRACT(SUBSTITUTE(TRIM(F1941)," ",""),"^-?\d+(\.\d+)?"))&gt;=-90,VALUE(REGEXEXTRACT(SUBSTITUTE(TRIM(F1941)," ",""),"^-?\d+(\.\d+)?"))&lt;=90,VALUE(REGEXEXTRACT(SUBSTITUTE(TRIM(F1941)," ",""),"-?\d+(\.\d+)?$"))&gt;=-180,VALUE(REGEXEXTRACT(SUBSTITUTE(TRIM(F1941)," ",""),"-?\d+(\.\d+)?$"))&lt;=180),"OK","REVISAR"),"REVISAR"),"")</f>
        <v/>
      </c>
      <c r="O1941">
        <f>IF(A1941&lt;&gt;"","https://direcciones507.github.io/direcciones507/panel.html?codigo="&amp;A1941&amp;"&amp;nombre="&amp;ENCODEURL(B1941)&amp;"&amp;telefono="&amp;SUBSTITUTE(C1941,"-","")&amp;"&amp;referencia="&amp;ENCODEURL(E1941)&amp;"&amp;lat="&amp;IZQUIERDA(SUBSTITUTE(F1941," ",""),ENCONTRAR(",",SUBSTITUTE(F1941," ",""))-1)&amp;"&amp;lng="&amp;DERECHA(SUBSTITUTE(F1941," ",""),LARGO(SUBSTITUTE(F1941," ",""))-ENCONTRAR(",",SUBSTITUTE(F1941," ",""))),"")</f>
        <v/>
      </c>
    </row>
    <row r="1942" ht="15.75" customHeight="1" s="10">
      <c r="A1942" s="8">
        <f>CONCAT("AD507-",TEXT(ROW()-2,"0000"))</f>
        <v/>
      </c>
      <c r="C1942" s="8" t="n"/>
      <c r="F1942" s="8" t="n"/>
      <c r="G1942" s="8">
        <f>IF(F1942&lt;&gt;"",HYPERLINK("https://www.google.com/maps/search/?api=1&amp;query="&amp;SUBSTITUTE(F1942," ",""),"🗺 Google Maps"),"")</f>
        <v/>
      </c>
      <c r="H1942" s="8">
        <f>IF(F1942&lt;&gt;"",HYPERLINK("https://waze.com/ul?ll="&amp;SUBSTITUTE(F1942," ","")&amp;"&amp;navigate=yes","🚗 Waze"),"")</f>
        <v/>
      </c>
      <c r="I1942" s="8">
        <f>IF(F1942&lt;&gt;"",HYPERLINK("https://m.uber.com/ul/?action=setPickup&amp;pickup=my_location&amp;dropoff[latitude]="&amp;LEFT(SUBSTITUTE(F1942," ",""),FIND(",",SUBSTITUTE(F1942," ",""))-1)&amp;"&amp;dropoff[longitude]="&amp;MID(SUBSTITUTE(F1942," ",""),FIND(",",SUBSTITUTE(F1942," ",""))+1,99),"🚕 Uber"),"")</f>
        <v/>
      </c>
      <c r="J1942" s="8">
        <f>IF(F1942&lt;&gt;"","https://api.qrserver.com/v1/create-qr-code/?size=200x200&amp;data="&amp;ENCODEURL("https://www.google.com/maps/search/?api=1&amp;query="&amp;SUBSTITUTE(F1942," ","")),"")</f>
        <v/>
      </c>
      <c r="K1942" s="8">
        <f>IF(C1942&lt;&gt;"",HYPERLINK("https://wa.me/507"&amp;REGEXREPLACE(C1942,"[^0-9]","")&amp;"?text="&amp;ENCODEURL("Ya llegue. Codigo: "&amp;A1942&amp;". Ubicacion: "&amp;"https://www.google.com/maps/search/?api=1&amp;query="&amp;SUBSTITUTE(F1942," ","")),"📲 Avisar al cliente"),"")</f>
        <v/>
      </c>
      <c r="L1942" s="8">
        <f>IF(C1942&lt;&gt;"","https://api.qrserver.com/v1/create-qr-code/?size=200x200&amp;data="&amp;ENCODEURL("https://wa.me/507"&amp;REGEXREPLACE(C1942,"[^0-9]","")&amp;"?text="&amp;ENCODEURL("Ya llegue. Codigo: "&amp;A1942&amp;". Ubicacion: "&amp;"https://www.google.com/maps/search/?api=1&amp;query="&amp;SUBSTITUTE(F1942," ",""))),"")</f>
        <v/>
      </c>
      <c r="M1942" s="8">
        <f>IF(B1942&lt;&gt;"",TODAY(),"")</f>
        <v/>
      </c>
      <c r="N1942" s="8">
        <f>IF(F1942&lt;&gt;"",IFERROR(IF(AND(REGEXMATCH(SUBSTITUTE(TRIM(F1942)," ",""),"^-?\d+(\.\d+)?,-?\d+(\.\d+)?$"),VALUE(REGEXEXTRACT(SUBSTITUTE(TRIM(F1942)," ",""),"^-?\d+(\.\d+)?"))&gt;=-90,VALUE(REGEXEXTRACT(SUBSTITUTE(TRIM(F1942)," ",""),"^-?\d+(\.\d+)?"))&lt;=90,VALUE(REGEXEXTRACT(SUBSTITUTE(TRIM(F1942)," ",""),"-?\d+(\.\d+)?$"))&gt;=-180,VALUE(REGEXEXTRACT(SUBSTITUTE(TRIM(F1942)," ",""),"-?\d+(\.\d+)?$"))&lt;=180),"OK","REVISAR"),"REVISAR"),"")</f>
        <v/>
      </c>
      <c r="O1942">
        <f>IF(A1942&lt;&gt;"","https://direcciones507.github.io/direcciones507/panel.html?codigo="&amp;A1942&amp;"&amp;nombre="&amp;ENCODEURL(B1942)&amp;"&amp;telefono="&amp;SUBSTITUTE(C1942,"-","")&amp;"&amp;referencia="&amp;ENCODEURL(E1942)&amp;"&amp;lat="&amp;IZQUIERDA(SUBSTITUTE(F1942," ",""),ENCONTRAR(",",SUBSTITUTE(F1942," ",""))-1)&amp;"&amp;lng="&amp;DERECHA(SUBSTITUTE(F1942," ",""),LARGO(SUBSTITUTE(F1942," ",""))-ENCONTRAR(",",SUBSTITUTE(F1942," ",""))),"")</f>
        <v/>
      </c>
    </row>
    <row r="1943" ht="15.75" customHeight="1" s="10">
      <c r="A1943" s="8">
        <f>CONCAT("AD507-",TEXT(ROW()-2,"0000"))</f>
        <v/>
      </c>
      <c r="C1943" s="8" t="n"/>
      <c r="F1943" s="8" t="n"/>
      <c r="G1943" s="8">
        <f>IF(F1943&lt;&gt;"",HYPERLINK("https://www.google.com/maps/search/?api=1&amp;query="&amp;SUBSTITUTE(F1943," ",""),"🗺 Google Maps"),"")</f>
        <v/>
      </c>
      <c r="H1943" s="8">
        <f>IF(F1943&lt;&gt;"",HYPERLINK("https://waze.com/ul?ll="&amp;SUBSTITUTE(F1943," ","")&amp;"&amp;navigate=yes","🚗 Waze"),"")</f>
        <v/>
      </c>
      <c r="I1943" s="8">
        <f>IF(F1943&lt;&gt;"",HYPERLINK("https://m.uber.com/ul/?action=setPickup&amp;pickup=my_location&amp;dropoff[latitude]="&amp;LEFT(SUBSTITUTE(F1943," ",""),FIND(",",SUBSTITUTE(F1943," ",""))-1)&amp;"&amp;dropoff[longitude]="&amp;MID(SUBSTITUTE(F1943," ",""),FIND(",",SUBSTITUTE(F1943," ",""))+1,99),"🚕 Uber"),"")</f>
        <v/>
      </c>
      <c r="J1943" s="8">
        <f>IF(F1943&lt;&gt;"","https://api.qrserver.com/v1/create-qr-code/?size=200x200&amp;data="&amp;ENCODEURL("https://www.google.com/maps/search/?api=1&amp;query="&amp;SUBSTITUTE(F1943," ","")),"")</f>
        <v/>
      </c>
      <c r="K1943" s="8">
        <f>IF(C1943&lt;&gt;"",HYPERLINK("https://wa.me/507"&amp;REGEXREPLACE(C1943,"[^0-9]","")&amp;"?text="&amp;ENCODEURL("Ya llegue. Codigo: "&amp;A1943&amp;". Ubicacion: "&amp;"https://www.google.com/maps/search/?api=1&amp;query="&amp;SUBSTITUTE(F1943," ","")),"📲 Avisar al cliente"),"")</f>
        <v/>
      </c>
      <c r="L1943" s="8">
        <f>IF(C1943&lt;&gt;"","https://api.qrserver.com/v1/create-qr-code/?size=200x200&amp;data="&amp;ENCODEURL("https://wa.me/507"&amp;REGEXREPLACE(C1943,"[^0-9]","")&amp;"?text="&amp;ENCODEURL("Ya llegue. Codigo: "&amp;A1943&amp;". Ubicacion: "&amp;"https://www.google.com/maps/search/?api=1&amp;query="&amp;SUBSTITUTE(F1943," ",""))),"")</f>
        <v/>
      </c>
      <c r="M1943" s="8">
        <f>IF(B1943&lt;&gt;"",TODAY(),"")</f>
        <v/>
      </c>
      <c r="N1943" s="8">
        <f>IF(F1943&lt;&gt;"",IFERROR(IF(AND(REGEXMATCH(SUBSTITUTE(TRIM(F1943)," ",""),"^-?\d+(\.\d+)?,-?\d+(\.\d+)?$"),VALUE(REGEXEXTRACT(SUBSTITUTE(TRIM(F1943)," ",""),"^-?\d+(\.\d+)?"))&gt;=-90,VALUE(REGEXEXTRACT(SUBSTITUTE(TRIM(F1943)," ",""),"^-?\d+(\.\d+)?"))&lt;=90,VALUE(REGEXEXTRACT(SUBSTITUTE(TRIM(F1943)," ",""),"-?\d+(\.\d+)?$"))&gt;=-180,VALUE(REGEXEXTRACT(SUBSTITUTE(TRIM(F1943)," ",""),"-?\d+(\.\d+)?$"))&lt;=180),"OK","REVISAR"),"REVISAR"),"")</f>
        <v/>
      </c>
      <c r="O1943">
        <f>IF(A1943&lt;&gt;"","https://direcciones507.github.io/direcciones507/panel.html?codigo="&amp;A1943&amp;"&amp;nombre="&amp;ENCODEURL(B1943)&amp;"&amp;telefono="&amp;SUBSTITUTE(C1943,"-","")&amp;"&amp;referencia="&amp;ENCODEURL(E1943)&amp;"&amp;lat="&amp;IZQUIERDA(SUBSTITUTE(F1943," ",""),ENCONTRAR(",",SUBSTITUTE(F1943," ",""))-1)&amp;"&amp;lng="&amp;DERECHA(SUBSTITUTE(F1943," ",""),LARGO(SUBSTITUTE(F1943," ",""))-ENCONTRAR(",",SUBSTITUTE(F1943," ",""))),"")</f>
        <v/>
      </c>
    </row>
    <row r="1944" ht="15.75" customHeight="1" s="10">
      <c r="A1944" s="8">
        <f>CONCAT("AD507-",TEXT(ROW()-2,"0000"))</f>
        <v/>
      </c>
      <c r="C1944" s="8" t="n"/>
      <c r="F1944" s="8" t="n"/>
      <c r="G1944" s="8">
        <f>IF(F1944&lt;&gt;"",HYPERLINK("https://www.google.com/maps/search/?api=1&amp;query="&amp;SUBSTITUTE(F1944," ",""),"🗺 Google Maps"),"")</f>
        <v/>
      </c>
      <c r="H1944" s="8">
        <f>IF(F1944&lt;&gt;"",HYPERLINK("https://waze.com/ul?ll="&amp;SUBSTITUTE(F1944," ","")&amp;"&amp;navigate=yes","🚗 Waze"),"")</f>
        <v/>
      </c>
      <c r="I1944" s="8">
        <f>IF(F1944&lt;&gt;"",HYPERLINK("https://m.uber.com/ul/?action=setPickup&amp;pickup=my_location&amp;dropoff[latitude]="&amp;LEFT(SUBSTITUTE(F1944," ",""),FIND(",",SUBSTITUTE(F1944," ",""))-1)&amp;"&amp;dropoff[longitude]="&amp;MID(SUBSTITUTE(F1944," ",""),FIND(",",SUBSTITUTE(F1944," ",""))+1,99),"🚕 Uber"),"")</f>
        <v/>
      </c>
      <c r="J1944" s="8">
        <f>IF(F1944&lt;&gt;"","https://api.qrserver.com/v1/create-qr-code/?size=200x200&amp;data="&amp;ENCODEURL("https://www.google.com/maps/search/?api=1&amp;query="&amp;SUBSTITUTE(F1944," ","")),"")</f>
        <v/>
      </c>
      <c r="K1944" s="8">
        <f>IF(C1944&lt;&gt;"",HYPERLINK("https://wa.me/507"&amp;REGEXREPLACE(C1944,"[^0-9]","")&amp;"?text="&amp;ENCODEURL("Ya llegue. Codigo: "&amp;A1944&amp;". Ubicacion: "&amp;"https://www.google.com/maps/search/?api=1&amp;query="&amp;SUBSTITUTE(F1944," ","")),"📲 Avisar al cliente"),"")</f>
        <v/>
      </c>
      <c r="L1944" s="8">
        <f>IF(C1944&lt;&gt;"","https://api.qrserver.com/v1/create-qr-code/?size=200x200&amp;data="&amp;ENCODEURL("https://wa.me/507"&amp;REGEXREPLACE(C1944,"[^0-9]","")&amp;"?text="&amp;ENCODEURL("Ya llegue. Codigo: "&amp;A1944&amp;". Ubicacion: "&amp;"https://www.google.com/maps/search/?api=1&amp;query="&amp;SUBSTITUTE(F1944," ",""))),"")</f>
        <v/>
      </c>
      <c r="M1944" s="8">
        <f>IF(B1944&lt;&gt;"",TODAY(),"")</f>
        <v/>
      </c>
      <c r="N1944" s="8">
        <f>IF(F1944&lt;&gt;"",IFERROR(IF(AND(REGEXMATCH(SUBSTITUTE(TRIM(F1944)," ",""),"^-?\d+(\.\d+)?,-?\d+(\.\d+)?$"),VALUE(REGEXEXTRACT(SUBSTITUTE(TRIM(F1944)," ",""),"^-?\d+(\.\d+)?"))&gt;=-90,VALUE(REGEXEXTRACT(SUBSTITUTE(TRIM(F1944)," ",""),"^-?\d+(\.\d+)?"))&lt;=90,VALUE(REGEXEXTRACT(SUBSTITUTE(TRIM(F1944)," ",""),"-?\d+(\.\d+)?$"))&gt;=-180,VALUE(REGEXEXTRACT(SUBSTITUTE(TRIM(F1944)," ",""),"-?\d+(\.\d+)?$"))&lt;=180),"OK","REVISAR"),"REVISAR"),"")</f>
        <v/>
      </c>
      <c r="O1944">
        <f>IF(A1944&lt;&gt;"","https://direcciones507.github.io/direcciones507/panel.html?codigo="&amp;A1944&amp;"&amp;nombre="&amp;ENCODEURL(B1944)&amp;"&amp;telefono="&amp;SUBSTITUTE(C1944,"-","")&amp;"&amp;referencia="&amp;ENCODEURL(E1944)&amp;"&amp;lat="&amp;IZQUIERDA(SUBSTITUTE(F1944," ",""),ENCONTRAR(",",SUBSTITUTE(F1944," ",""))-1)&amp;"&amp;lng="&amp;DERECHA(SUBSTITUTE(F1944," ",""),LARGO(SUBSTITUTE(F1944," ",""))-ENCONTRAR(",",SUBSTITUTE(F1944," ",""))),"")</f>
        <v/>
      </c>
    </row>
    <row r="1945" ht="15.75" customHeight="1" s="10">
      <c r="A1945" s="8">
        <f>CONCAT("AD507-",TEXT(ROW()-2,"0000"))</f>
        <v/>
      </c>
      <c r="C1945" s="8" t="n"/>
      <c r="F1945" s="8" t="n"/>
      <c r="G1945" s="8">
        <f>IF(F1945&lt;&gt;"",HYPERLINK("https://www.google.com/maps/search/?api=1&amp;query="&amp;SUBSTITUTE(F1945," ",""),"🗺 Google Maps"),"")</f>
        <v/>
      </c>
      <c r="H1945" s="8">
        <f>IF(F1945&lt;&gt;"",HYPERLINK("https://waze.com/ul?ll="&amp;SUBSTITUTE(F1945," ","")&amp;"&amp;navigate=yes","🚗 Waze"),"")</f>
        <v/>
      </c>
      <c r="I1945" s="8">
        <f>IF(F1945&lt;&gt;"",HYPERLINK("https://m.uber.com/ul/?action=setPickup&amp;pickup=my_location&amp;dropoff[latitude]="&amp;LEFT(SUBSTITUTE(F1945," ",""),FIND(",",SUBSTITUTE(F1945," ",""))-1)&amp;"&amp;dropoff[longitude]="&amp;MID(SUBSTITUTE(F1945," ",""),FIND(",",SUBSTITUTE(F1945," ",""))+1,99),"🚕 Uber"),"")</f>
        <v/>
      </c>
      <c r="J1945" s="8">
        <f>IF(F1945&lt;&gt;"","https://api.qrserver.com/v1/create-qr-code/?size=200x200&amp;data="&amp;ENCODEURL("https://www.google.com/maps/search/?api=1&amp;query="&amp;SUBSTITUTE(F1945," ","")),"")</f>
        <v/>
      </c>
      <c r="K1945" s="8">
        <f>IF(C1945&lt;&gt;"",HYPERLINK("https://wa.me/507"&amp;REGEXREPLACE(C1945,"[^0-9]","")&amp;"?text="&amp;ENCODEURL("Ya llegue. Codigo: "&amp;A1945&amp;". Ubicacion: "&amp;"https://www.google.com/maps/search/?api=1&amp;query="&amp;SUBSTITUTE(F1945," ","")),"📲 Avisar al cliente"),"")</f>
        <v/>
      </c>
      <c r="L1945" s="8">
        <f>IF(C1945&lt;&gt;"","https://api.qrserver.com/v1/create-qr-code/?size=200x200&amp;data="&amp;ENCODEURL("https://wa.me/507"&amp;REGEXREPLACE(C1945,"[^0-9]","")&amp;"?text="&amp;ENCODEURL("Ya llegue. Codigo: "&amp;A1945&amp;". Ubicacion: "&amp;"https://www.google.com/maps/search/?api=1&amp;query="&amp;SUBSTITUTE(F1945," ",""))),"")</f>
        <v/>
      </c>
      <c r="M1945" s="8">
        <f>IF(B1945&lt;&gt;"",TODAY(),"")</f>
        <v/>
      </c>
      <c r="N1945" s="8">
        <f>IF(F1945&lt;&gt;"",IFERROR(IF(AND(REGEXMATCH(SUBSTITUTE(TRIM(F1945)," ",""),"^-?\d+(\.\d+)?,-?\d+(\.\d+)?$"),VALUE(REGEXEXTRACT(SUBSTITUTE(TRIM(F1945)," ",""),"^-?\d+(\.\d+)?"))&gt;=-90,VALUE(REGEXEXTRACT(SUBSTITUTE(TRIM(F1945)," ",""),"^-?\d+(\.\d+)?"))&lt;=90,VALUE(REGEXEXTRACT(SUBSTITUTE(TRIM(F1945)," ",""),"-?\d+(\.\d+)?$"))&gt;=-180,VALUE(REGEXEXTRACT(SUBSTITUTE(TRIM(F1945)," ",""),"-?\d+(\.\d+)?$"))&lt;=180),"OK","REVISAR"),"REVISAR"),"")</f>
        <v/>
      </c>
      <c r="O1945">
        <f>IF(A1945&lt;&gt;"","https://direcciones507.github.io/direcciones507/panel.html?codigo="&amp;A1945&amp;"&amp;nombre="&amp;ENCODEURL(B1945)&amp;"&amp;telefono="&amp;SUBSTITUTE(C1945,"-","")&amp;"&amp;referencia="&amp;ENCODEURL(E1945)&amp;"&amp;lat="&amp;IZQUIERDA(SUBSTITUTE(F1945," ",""),ENCONTRAR(",",SUBSTITUTE(F1945," ",""))-1)&amp;"&amp;lng="&amp;DERECHA(SUBSTITUTE(F1945," ",""),LARGO(SUBSTITUTE(F1945," ",""))-ENCONTRAR(",",SUBSTITUTE(F1945," ",""))),"")</f>
        <v/>
      </c>
    </row>
    <row r="1946" ht="15.75" customHeight="1" s="10">
      <c r="A1946" s="8">
        <f>CONCAT("AD507-",TEXT(ROW()-2,"0000"))</f>
        <v/>
      </c>
      <c r="C1946" s="8" t="n"/>
      <c r="F1946" s="8" t="n"/>
      <c r="G1946" s="8">
        <f>IF(F1946&lt;&gt;"",HYPERLINK("https://www.google.com/maps/search/?api=1&amp;query="&amp;SUBSTITUTE(F1946," ",""),"🗺 Google Maps"),"")</f>
        <v/>
      </c>
      <c r="H1946" s="8">
        <f>IF(F1946&lt;&gt;"",HYPERLINK("https://waze.com/ul?ll="&amp;SUBSTITUTE(F1946," ","")&amp;"&amp;navigate=yes","🚗 Waze"),"")</f>
        <v/>
      </c>
      <c r="I1946" s="8">
        <f>IF(F1946&lt;&gt;"",HYPERLINK("https://m.uber.com/ul/?action=setPickup&amp;pickup=my_location&amp;dropoff[latitude]="&amp;LEFT(SUBSTITUTE(F1946," ",""),FIND(",",SUBSTITUTE(F1946," ",""))-1)&amp;"&amp;dropoff[longitude]="&amp;MID(SUBSTITUTE(F1946," ",""),FIND(",",SUBSTITUTE(F1946," ",""))+1,99),"🚕 Uber"),"")</f>
        <v/>
      </c>
      <c r="J1946" s="8">
        <f>IF(F1946&lt;&gt;"","https://api.qrserver.com/v1/create-qr-code/?size=200x200&amp;data="&amp;ENCODEURL("https://www.google.com/maps/search/?api=1&amp;query="&amp;SUBSTITUTE(F1946," ","")),"")</f>
        <v/>
      </c>
      <c r="K1946" s="8">
        <f>IF(C1946&lt;&gt;"",HYPERLINK("https://wa.me/507"&amp;REGEXREPLACE(C1946,"[^0-9]","")&amp;"?text="&amp;ENCODEURL("Ya llegue. Codigo: "&amp;A1946&amp;". Ubicacion: "&amp;"https://www.google.com/maps/search/?api=1&amp;query="&amp;SUBSTITUTE(F1946," ","")),"📲 Avisar al cliente"),"")</f>
        <v/>
      </c>
      <c r="L1946" s="8">
        <f>IF(C1946&lt;&gt;"","https://api.qrserver.com/v1/create-qr-code/?size=200x200&amp;data="&amp;ENCODEURL("https://wa.me/507"&amp;REGEXREPLACE(C1946,"[^0-9]","")&amp;"?text="&amp;ENCODEURL("Ya llegue. Codigo: "&amp;A1946&amp;". Ubicacion: "&amp;"https://www.google.com/maps/search/?api=1&amp;query="&amp;SUBSTITUTE(F1946," ",""))),"")</f>
        <v/>
      </c>
      <c r="M1946" s="8">
        <f>IF(B1946&lt;&gt;"",TODAY(),"")</f>
        <v/>
      </c>
      <c r="N1946" s="8">
        <f>IF(F1946&lt;&gt;"",IFERROR(IF(AND(REGEXMATCH(SUBSTITUTE(TRIM(F1946)," ",""),"^-?\d+(\.\d+)?,-?\d+(\.\d+)?$"),VALUE(REGEXEXTRACT(SUBSTITUTE(TRIM(F1946)," ",""),"^-?\d+(\.\d+)?"))&gt;=-90,VALUE(REGEXEXTRACT(SUBSTITUTE(TRIM(F1946)," ",""),"^-?\d+(\.\d+)?"))&lt;=90,VALUE(REGEXEXTRACT(SUBSTITUTE(TRIM(F1946)," ",""),"-?\d+(\.\d+)?$"))&gt;=-180,VALUE(REGEXEXTRACT(SUBSTITUTE(TRIM(F1946)," ",""),"-?\d+(\.\d+)?$"))&lt;=180),"OK","REVISAR"),"REVISAR"),"")</f>
        <v/>
      </c>
      <c r="O1946">
        <f>IF(A1946&lt;&gt;"","https://direcciones507.github.io/direcciones507/panel.html?codigo="&amp;A1946&amp;"&amp;nombre="&amp;ENCODEURL(B1946)&amp;"&amp;telefono="&amp;SUBSTITUTE(C1946,"-","")&amp;"&amp;referencia="&amp;ENCODEURL(E1946)&amp;"&amp;lat="&amp;IZQUIERDA(SUBSTITUTE(F1946," ",""),ENCONTRAR(",",SUBSTITUTE(F1946," ",""))-1)&amp;"&amp;lng="&amp;DERECHA(SUBSTITUTE(F1946," ",""),LARGO(SUBSTITUTE(F1946," ",""))-ENCONTRAR(",",SUBSTITUTE(F1946," ",""))),"")</f>
        <v/>
      </c>
    </row>
    <row r="1947" ht="15.75" customHeight="1" s="10">
      <c r="A1947" s="8">
        <f>CONCAT("AD507-",TEXT(ROW()-2,"0000"))</f>
        <v/>
      </c>
      <c r="C1947" s="8" t="n"/>
      <c r="F1947" s="8" t="n"/>
      <c r="G1947" s="8">
        <f>IF(F1947&lt;&gt;"",HYPERLINK("https://www.google.com/maps/search/?api=1&amp;query="&amp;SUBSTITUTE(F1947," ",""),"🗺 Google Maps"),"")</f>
        <v/>
      </c>
      <c r="H1947" s="8">
        <f>IF(F1947&lt;&gt;"",HYPERLINK("https://waze.com/ul?ll="&amp;SUBSTITUTE(F1947," ","")&amp;"&amp;navigate=yes","🚗 Waze"),"")</f>
        <v/>
      </c>
      <c r="I1947" s="8">
        <f>IF(F1947&lt;&gt;"",HYPERLINK("https://m.uber.com/ul/?action=setPickup&amp;pickup=my_location&amp;dropoff[latitude]="&amp;LEFT(SUBSTITUTE(F1947," ",""),FIND(",",SUBSTITUTE(F1947," ",""))-1)&amp;"&amp;dropoff[longitude]="&amp;MID(SUBSTITUTE(F1947," ",""),FIND(",",SUBSTITUTE(F1947," ",""))+1,99),"🚕 Uber"),"")</f>
        <v/>
      </c>
      <c r="J1947" s="8">
        <f>IF(F1947&lt;&gt;"","https://api.qrserver.com/v1/create-qr-code/?size=200x200&amp;data="&amp;ENCODEURL("https://www.google.com/maps/search/?api=1&amp;query="&amp;SUBSTITUTE(F1947," ","")),"")</f>
        <v/>
      </c>
      <c r="K1947" s="8">
        <f>IF(C1947&lt;&gt;"",HYPERLINK("https://wa.me/507"&amp;REGEXREPLACE(C1947,"[^0-9]","")&amp;"?text="&amp;ENCODEURL("Ya llegue. Codigo: "&amp;A1947&amp;". Ubicacion: "&amp;"https://www.google.com/maps/search/?api=1&amp;query="&amp;SUBSTITUTE(F1947," ","")),"📲 Avisar al cliente"),"")</f>
        <v/>
      </c>
      <c r="L1947" s="8">
        <f>IF(C1947&lt;&gt;"","https://api.qrserver.com/v1/create-qr-code/?size=200x200&amp;data="&amp;ENCODEURL("https://wa.me/507"&amp;REGEXREPLACE(C1947,"[^0-9]","")&amp;"?text="&amp;ENCODEURL("Ya llegue. Codigo: "&amp;A1947&amp;". Ubicacion: "&amp;"https://www.google.com/maps/search/?api=1&amp;query="&amp;SUBSTITUTE(F1947," ",""))),"")</f>
        <v/>
      </c>
      <c r="M1947" s="8">
        <f>IF(B1947&lt;&gt;"",TODAY(),"")</f>
        <v/>
      </c>
      <c r="N1947" s="8">
        <f>IF(F1947&lt;&gt;"",IFERROR(IF(AND(REGEXMATCH(SUBSTITUTE(TRIM(F1947)," ",""),"^-?\d+(\.\d+)?,-?\d+(\.\d+)?$"),VALUE(REGEXEXTRACT(SUBSTITUTE(TRIM(F1947)," ",""),"^-?\d+(\.\d+)?"))&gt;=-90,VALUE(REGEXEXTRACT(SUBSTITUTE(TRIM(F1947)," ",""),"^-?\d+(\.\d+)?"))&lt;=90,VALUE(REGEXEXTRACT(SUBSTITUTE(TRIM(F1947)," ",""),"-?\d+(\.\d+)?$"))&gt;=-180,VALUE(REGEXEXTRACT(SUBSTITUTE(TRIM(F1947)," ",""),"-?\d+(\.\d+)?$"))&lt;=180),"OK","REVISAR"),"REVISAR"),"")</f>
        <v/>
      </c>
      <c r="O1947">
        <f>IF(A1947&lt;&gt;"","https://direcciones507.github.io/direcciones507/panel.html?codigo="&amp;A1947&amp;"&amp;nombre="&amp;ENCODEURL(B1947)&amp;"&amp;telefono="&amp;SUBSTITUTE(C1947,"-","")&amp;"&amp;referencia="&amp;ENCODEURL(E1947)&amp;"&amp;lat="&amp;IZQUIERDA(SUBSTITUTE(F1947," ",""),ENCONTRAR(",",SUBSTITUTE(F1947," ",""))-1)&amp;"&amp;lng="&amp;DERECHA(SUBSTITUTE(F1947," ",""),LARGO(SUBSTITUTE(F1947," ",""))-ENCONTRAR(",",SUBSTITUTE(F1947," ",""))),"")</f>
        <v/>
      </c>
    </row>
    <row r="1948" ht="15.75" customHeight="1" s="10">
      <c r="A1948" s="8">
        <f>CONCAT("AD507-",TEXT(ROW()-2,"0000"))</f>
        <v/>
      </c>
      <c r="C1948" s="8" t="n"/>
      <c r="F1948" s="8" t="n"/>
      <c r="G1948" s="8">
        <f>IF(F1948&lt;&gt;"",HYPERLINK("https://www.google.com/maps/search/?api=1&amp;query="&amp;SUBSTITUTE(F1948," ",""),"🗺 Google Maps"),"")</f>
        <v/>
      </c>
      <c r="H1948" s="8">
        <f>IF(F1948&lt;&gt;"",HYPERLINK("https://waze.com/ul?ll="&amp;SUBSTITUTE(F1948," ","")&amp;"&amp;navigate=yes","🚗 Waze"),"")</f>
        <v/>
      </c>
      <c r="I1948" s="8">
        <f>IF(F1948&lt;&gt;"",HYPERLINK("https://m.uber.com/ul/?action=setPickup&amp;pickup=my_location&amp;dropoff[latitude]="&amp;LEFT(SUBSTITUTE(F1948," ",""),FIND(",",SUBSTITUTE(F1948," ",""))-1)&amp;"&amp;dropoff[longitude]="&amp;MID(SUBSTITUTE(F1948," ",""),FIND(",",SUBSTITUTE(F1948," ",""))+1,99),"🚕 Uber"),"")</f>
        <v/>
      </c>
      <c r="J1948" s="8">
        <f>IF(F1948&lt;&gt;"","https://api.qrserver.com/v1/create-qr-code/?size=200x200&amp;data="&amp;ENCODEURL("https://www.google.com/maps/search/?api=1&amp;query="&amp;SUBSTITUTE(F1948," ","")),"")</f>
        <v/>
      </c>
      <c r="K1948" s="8">
        <f>IF(C1948&lt;&gt;"",HYPERLINK("https://wa.me/507"&amp;REGEXREPLACE(C1948,"[^0-9]","")&amp;"?text="&amp;ENCODEURL("Ya llegue. Codigo: "&amp;A1948&amp;". Ubicacion: "&amp;"https://www.google.com/maps/search/?api=1&amp;query="&amp;SUBSTITUTE(F1948," ","")),"📲 Avisar al cliente"),"")</f>
        <v/>
      </c>
      <c r="L1948" s="8">
        <f>IF(C1948&lt;&gt;"","https://api.qrserver.com/v1/create-qr-code/?size=200x200&amp;data="&amp;ENCODEURL("https://wa.me/507"&amp;REGEXREPLACE(C1948,"[^0-9]","")&amp;"?text="&amp;ENCODEURL("Ya llegue. Codigo: "&amp;A1948&amp;". Ubicacion: "&amp;"https://www.google.com/maps/search/?api=1&amp;query="&amp;SUBSTITUTE(F1948," ",""))),"")</f>
        <v/>
      </c>
      <c r="M1948" s="8">
        <f>IF(B1948&lt;&gt;"",TODAY(),"")</f>
        <v/>
      </c>
      <c r="N1948" s="8">
        <f>IF(F1948&lt;&gt;"",IFERROR(IF(AND(REGEXMATCH(SUBSTITUTE(TRIM(F1948)," ",""),"^-?\d+(\.\d+)?,-?\d+(\.\d+)?$"),VALUE(REGEXEXTRACT(SUBSTITUTE(TRIM(F1948)," ",""),"^-?\d+(\.\d+)?"))&gt;=-90,VALUE(REGEXEXTRACT(SUBSTITUTE(TRIM(F1948)," ",""),"^-?\d+(\.\d+)?"))&lt;=90,VALUE(REGEXEXTRACT(SUBSTITUTE(TRIM(F1948)," ",""),"-?\d+(\.\d+)?$"))&gt;=-180,VALUE(REGEXEXTRACT(SUBSTITUTE(TRIM(F1948)," ",""),"-?\d+(\.\d+)?$"))&lt;=180),"OK","REVISAR"),"REVISAR"),"")</f>
        <v/>
      </c>
      <c r="O1948">
        <f>IF(A1948&lt;&gt;"","https://direcciones507.github.io/direcciones507/panel.html?codigo="&amp;A1948&amp;"&amp;nombre="&amp;ENCODEURL(B1948)&amp;"&amp;telefono="&amp;SUBSTITUTE(C1948,"-","")&amp;"&amp;referencia="&amp;ENCODEURL(E1948)&amp;"&amp;lat="&amp;IZQUIERDA(SUBSTITUTE(F1948," ",""),ENCONTRAR(",",SUBSTITUTE(F1948," ",""))-1)&amp;"&amp;lng="&amp;DERECHA(SUBSTITUTE(F1948," ",""),LARGO(SUBSTITUTE(F1948," ",""))-ENCONTRAR(",",SUBSTITUTE(F1948," ",""))),"")</f>
        <v/>
      </c>
    </row>
    <row r="1949" ht="15.75" customHeight="1" s="10">
      <c r="A1949" s="8">
        <f>CONCAT("AD507-",TEXT(ROW()-2,"0000"))</f>
        <v/>
      </c>
      <c r="C1949" s="8" t="n"/>
      <c r="F1949" s="8" t="n"/>
      <c r="G1949" s="8">
        <f>IF(F1949&lt;&gt;"",HYPERLINK("https://www.google.com/maps/search/?api=1&amp;query="&amp;SUBSTITUTE(F1949," ",""),"🗺 Google Maps"),"")</f>
        <v/>
      </c>
      <c r="H1949" s="8">
        <f>IF(F1949&lt;&gt;"",HYPERLINK("https://waze.com/ul?ll="&amp;SUBSTITUTE(F1949," ","")&amp;"&amp;navigate=yes","🚗 Waze"),"")</f>
        <v/>
      </c>
      <c r="I1949" s="8">
        <f>IF(F1949&lt;&gt;"",HYPERLINK("https://m.uber.com/ul/?action=setPickup&amp;pickup=my_location&amp;dropoff[latitude]="&amp;LEFT(SUBSTITUTE(F1949," ",""),FIND(",",SUBSTITUTE(F1949," ",""))-1)&amp;"&amp;dropoff[longitude]="&amp;MID(SUBSTITUTE(F1949," ",""),FIND(",",SUBSTITUTE(F1949," ",""))+1,99),"🚕 Uber"),"")</f>
        <v/>
      </c>
      <c r="J1949" s="8">
        <f>IF(F1949&lt;&gt;"","https://api.qrserver.com/v1/create-qr-code/?size=200x200&amp;data="&amp;ENCODEURL("https://www.google.com/maps/search/?api=1&amp;query="&amp;SUBSTITUTE(F1949," ","")),"")</f>
        <v/>
      </c>
      <c r="K1949" s="8">
        <f>IF(C1949&lt;&gt;"",HYPERLINK("https://wa.me/507"&amp;REGEXREPLACE(C1949,"[^0-9]","")&amp;"?text="&amp;ENCODEURL("Ya llegue. Codigo: "&amp;A1949&amp;". Ubicacion: "&amp;"https://www.google.com/maps/search/?api=1&amp;query="&amp;SUBSTITUTE(F1949," ","")),"📲 Avisar al cliente"),"")</f>
        <v/>
      </c>
      <c r="L1949" s="8">
        <f>IF(C1949&lt;&gt;"","https://api.qrserver.com/v1/create-qr-code/?size=200x200&amp;data="&amp;ENCODEURL("https://wa.me/507"&amp;REGEXREPLACE(C1949,"[^0-9]","")&amp;"?text="&amp;ENCODEURL("Ya llegue. Codigo: "&amp;A1949&amp;". Ubicacion: "&amp;"https://www.google.com/maps/search/?api=1&amp;query="&amp;SUBSTITUTE(F1949," ",""))),"")</f>
        <v/>
      </c>
      <c r="M1949" s="8">
        <f>IF(B1949&lt;&gt;"",TODAY(),"")</f>
        <v/>
      </c>
      <c r="N1949" s="8">
        <f>IF(F1949&lt;&gt;"",IFERROR(IF(AND(REGEXMATCH(SUBSTITUTE(TRIM(F1949)," ",""),"^-?\d+(\.\d+)?,-?\d+(\.\d+)?$"),VALUE(REGEXEXTRACT(SUBSTITUTE(TRIM(F1949)," ",""),"^-?\d+(\.\d+)?"))&gt;=-90,VALUE(REGEXEXTRACT(SUBSTITUTE(TRIM(F1949)," ",""),"^-?\d+(\.\d+)?"))&lt;=90,VALUE(REGEXEXTRACT(SUBSTITUTE(TRIM(F1949)," ",""),"-?\d+(\.\d+)?$"))&gt;=-180,VALUE(REGEXEXTRACT(SUBSTITUTE(TRIM(F1949)," ",""),"-?\d+(\.\d+)?$"))&lt;=180),"OK","REVISAR"),"REVISAR"),"")</f>
        <v/>
      </c>
      <c r="O1949">
        <f>IF(A1949&lt;&gt;"","https://direcciones507.github.io/direcciones507/panel.html?codigo="&amp;A1949&amp;"&amp;nombre="&amp;ENCODEURL(B1949)&amp;"&amp;telefono="&amp;SUBSTITUTE(C1949,"-","")&amp;"&amp;referencia="&amp;ENCODEURL(E1949)&amp;"&amp;lat="&amp;IZQUIERDA(SUBSTITUTE(F1949," ",""),ENCONTRAR(",",SUBSTITUTE(F1949," ",""))-1)&amp;"&amp;lng="&amp;DERECHA(SUBSTITUTE(F1949," ",""),LARGO(SUBSTITUTE(F1949," ",""))-ENCONTRAR(",",SUBSTITUTE(F1949," ",""))),"")</f>
        <v/>
      </c>
    </row>
    <row r="1950" ht="15.75" customHeight="1" s="10">
      <c r="A1950" s="8">
        <f>CONCAT("AD507-",TEXT(ROW()-2,"0000"))</f>
        <v/>
      </c>
      <c r="C1950" s="8" t="n"/>
      <c r="F1950" s="8" t="n"/>
      <c r="G1950" s="8">
        <f>IF(F1950&lt;&gt;"",HYPERLINK("https://www.google.com/maps/search/?api=1&amp;query="&amp;SUBSTITUTE(F1950," ",""),"🗺 Google Maps"),"")</f>
        <v/>
      </c>
      <c r="H1950" s="8">
        <f>IF(F1950&lt;&gt;"",HYPERLINK("https://waze.com/ul?ll="&amp;SUBSTITUTE(F1950," ","")&amp;"&amp;navigate=yes","🚗 Waze"),"")</f>
        <v/>
      </c>
      <c r="I1950" s="8">
        <f>IF(F1950&lt;&gt;"",HYPERLINK("https://m.uber.com/ul/?action=setPickup&amp;pickup=my_location&amp;dropoff[latitude]="&amp;LEFT(SUBSTITUTE(F1950," ",""),FIND(",",SUBSTITUTE(F1950," ",""))-1)&amp;"&amp;dropoff[longitude]="&amp;MID(SUBSTITUTE(F1950," ",""),FIND(",",SUBSTITUTE(F1950," ",""))+1,99),"🚕 Uber"),"")</f>
        <v/>
      </c>
      <c r="J1950" s="8">
        <f>IF(F1950&lt;&gt;"","https://api.qrserver.com/v1/create-qr-code/?size=200x200&amp;data="&amp;ENCODEURL("https://www.google.com/maps/search/?api=1&amp;query="&amp;SUBSTITUTE(F1950," ","")),"")</f>
        <v/>
      </c>
      <c r="K1950" s="8">
        <f>IF(C1950&lt;&gt;"",HYPERLINK("https://wa.me/507"&amp;REGEXREPLACE(C1950,"[^0-9]","")&amp;"?text="&amp;ENCODEURL("Ya llegue. Codigo: "&amp;A1950&amp;". Ubicacion: "&amp;"https://www.google.com/maps/search/?api=1&amp;query="&amp;SUBSTITUTE(F1950," ","")),"📲 Avisar al cliente"),"")</f>
        <v/>
      </c>
      <c r="L1950" s="8">
        <f>IF(C1950&lt;&gt;"","https://api.qrserver.com/v1/create-qr-code/?size=200x200&amp;data="&amp;ENCODEURL("https://wa.me/507"&amp;REGEXREPLACE(C1950,"[^0-9]","")&amp;"?text="&amp;ENCODEURL("Ya llegue. Codigo: "&amp;A1950&amp;". Ubicacion: "&amp;"https://www.google.com/maps/search/?api=1&amp;query="&amp;SUBSTITUTE(F1950," ",""))),"")</f>
        <v/>
      </c>
      <c r="M1950" s="8">
        <f>IF(B1950&lt;&gt;"",TODAY(),"")</f>
        <v/>
      </c>
      <c r="N1950" s="8">
        <f>IF(F1950&lt;&gt;"",IFERROR(IF(AND(REGEXMATCH(SUBSTITUTE(TRIM(F1950)," ",""),"^-?\d+(\.\d+)?,-?\d+(\.\d+)?$"),VALUE(REGEXEXTRACT(SUBSTITUTE(TRIM(F1950)," ",""),"^-?\d+(\.\d+)?"))&gt;=-90,VALUE(REGEXEXTRACT(SUBSTITUTE(TRIM(F1950)," ",""),"^-?\d+(\.\d+)?"))&lt;=90,VALUE(REGEXEXTRACT(SUBSTITUTE(TRIM(F1950)," ",""),"-?\d+(\.\d+)?$"))&gt;=-180,VALUE(REGEXEXTRACT(SUBSTITUTE(TRIM(F1950)," ",""),"-?\d+(\.\d+)?$"))&lt;=180),"OK","REVISAR"),"REVISAR"),"")</f>
        <v/>
      </c>
      <c r="O1950">
        <f>IF(A1950&lt;&gt;"","https://direcciones507.github.io/direcciones507/panel.html?codigo="&amp;A1950&amp;"&amp;nombre="&amp;ENCODEURL(B1950)&amp;"&amp;telefono="&amp;SUBSTITUTE(C1950,"-","")&amp;"&amp;referencia="&amp;ENCODEURL(E1950)&amp;"&amp;lat="&amp;IZQUIERDA(SUBSTITUTE(F1950," ",""),ENCONTRAR(",",SUBSTITUTE(F1950," ",""))-1)&amp;"&amp;lng="&amp;DERECHA(SUBSTITUTE(F1950," ",""),LARGO(SUBSTITUTE(F1950," ",""))-ENCONTRAR(",",SUBSTITUTE(F1950," ",""))),"")</f>
        <v/>
      </c>
    </row>
    <row r="1951" ht="15.75" customHeight="1" s="10">
      <c r="A1951" s="8">
        <f>CONCAT("AD507-",TEXT(ROW()-2,"0000"))</f>
        <v/>
      </c>
      <c r="C1951" s="8" t="n"/>
      <c r="F1951" s="8" t="n"/>
      <c r="G1951" s="8">
        <f>IF(F1951&lt;&gt;"",HYPERLINK("https://www.google.com/maps/search/?api=1&amp;query="&amp;SUBSTITUTE(F1951," ",""),"🗺 Google Maps"),"")</f>
        <v/>
      </c>
      <c r="H1951" s="8">
        <f>IF(F1951&lt;&gt;"",HYPERLINK("https://waze.com/ul?ll="&amp;SUBSTITUTE(F1951," ","")&amp;"&amp;navigate=yes","🚗 Waze"),"")</f>
        <v/>
      </c>
      <c r="I1951" s="8">
        <f>IF(F1951&lt;&gt;"",HYPERLINK("https://m.uber.com/ul/?action=setPickup&amp;pickup=my_location&amp;dropoff[latitude]="&amp;LEFT(SUBSTITUTE(F1951," ",""),FIND(",",SUBSTITUTE(F1951," ",""))-1)&amp;"&amp;dropoff[longitude]="&amp;MID(SUBSTITUTE(F1951," ",""),FIND(",",SUBSTITUTE(F1951," ",""))+1,99),"🚕 Uber"),"")</f>
        <v/>
      </c>
      <c r="J1951" s="8">
        <f>IF(F1951&lt;&gt;"","https://api.qrserver.com/v1/create-qr-code/?size=200x200&amp;data="&amp;ENCODEURL("https://www.google.com/maps/search/?api=1&amp;query="&amp;SUBSTITUTE(F1951," ","")),"")</f>
        <v/>
      </c>
      <c r="K1951" s="8">
        <f>IF(C1951&lt;&gt;"",HYPERLINK("https://wa.me/507"&amp;REGEXREPLACE(C1951,"[^0-9]","")&amp;"?text="&amp;ENCODEURL("Ya llegue. Codigo: "&amp;A1951&amp;". Ubicacion: "&amp;"https://www.google.com/maps/search/?api=1&amp;query="&amp;SUBSTITUTE(F1951," ","")),"📲 Avisar al cliente"),"")</f>
        <v/>
      </c>
      <c r="L1951" s="8">
        <f>IF(C1951&lt;&gt;"","https://api.qrserver.com/v1/create-qr-code/?size=200x200&amp;data="&amp;ENCODEURL("https://wa.me/507"&amp;REGEXREPLACE(C1951,"[^0-9]","")&amp;"?text="&amp;ENCODEURL("Ya llegue. Codigo: "&amp;A1951&amp;". Ubicacion: "&amp;"https://www.google.com/maps/search/?api=1&amp;query="&amp;SUBSTITUTE(F1951," ",""))),"")</f>
        <v/>
      </c>
      <c r="M1951" s="8">
        <f>IF(B1951&lt;&gt;"",TODAY(),"")</f>
        <v/>
      </c>
      <c r="N1951" s="8">
        <f>IF(F1951&lt;&gt;"",IFERROR(IF(AND(REGEXMATCH(SUBSTITUTE(TRIM(F1951)," ",""),"^-?\d+(\.\d+)?,-?\d+(\.\d+)?$"),VALUE(REGEXEXTRACT(SUBSTITUTE(TRIM(F1951)," ",""),"^-?\d+(\.\d+)?"))&gt;=-90,VALUE(REGEXEXTRACT(SUBSTITUTE(TRIM(F1951)," ",""),"^-?\d+(\.\d+)?"))&lt;=90,VALUE(REGEXEXTRACT(SUBSTITUTE(TRIM(F1951)," ",""),"-?\d+(\.\d+)?$"))&gt;=-180,VALUE(REGEXEXTRACT(SUBSTITUTE(TRIM(F1951)," ",""),"-?\d+(\.\d+)?$"))&lt;=180),"OK","REVISAR"),"REVISAR"),"")</f>
        <v/>
      </c>
      <c r="O1951">
        <f>IF(A1951&lt;&gt;"","https://direcciones507.github.io/direcciones507/panel.html?codigo="&amp;A1951&amp;"&amp;nombre="&amp;ENCODEURL(B1951)&amp;"&amp;telefono="&amp;SUBSTITUTE(C1951,"-","")&amp;"&amp;referencia="&amp;ENCODEURL(E1951)&amp;"&amp;lat="&amp;IZQUIERDA(SUBSTITUTE(F1951," ",""),ENCONTRAR(",",SUBSTITUTE(F1951," ",""))-1)&amp;"&amp;lng="&amp;DERECHA(SUBSTITUTE(F1951," ",""),LARGO(SUBSTITUTE(F1951," ",""))-ENCONTRAR(",",SUBSTITUTE(F1951," ",""))),"")</f>
        <v/>
      </c>
    </row>
    <row r="1952" ht="15.75" customHeight="1" s="10">
      <c r="A1952" s="8">
        <f>CONCAT("AD507-",TEXT(ROW()-2,"0000"))</f>
        <v/>
      </c>
      <c r="C1952" s="8" t="n"/>
      <c r="F1952" s="8" t="n"/>
      <c r="G1952" s="8">
        <f>IF(F1952&lt;&gt;"",HYPERLINK("https://www.google.com/maps/search/?api=1&amp;query="&amp;SUBSTITUTE(F1952," ",""),"🗺 Google Maps"),"")</f>
        <v/>
      </c>
      <c r="H1952" s="8">
        <f>IF(F1952&lt;&gt;"",HYPERLINK("https://waze.com/ul?ll="&amp;SUBSTITUTE(F1952," ","")&amp;"&amp;navigate=yes","🚗 Waze"),"")</f>
        <v/>
      </c>
      <c r="I1952" s="8">
        <f>IF(F1952&lt;&gt;"",HYPERLINK("https://m.uber.com/ul/?action=setPickup&amp;pickup=my_location&amp;dropoff[latitude]="&amp;LEFT(SUBSTITUTE(F1952," ",""),FIND(",",SUBSTITUTE(F1952," ",""))-1)&amp;"&amp;dropoff[longitude]="&amp;MID(SUBSTITUTE(F1952," ",""),FIND(",",SUBSTITUTE(F1952," ",""))+1,99),"🚕 Uber"),"")</f>
        <v/>
      </c>
      <c r="J1952" s="8">
        <f>IF(F1952&lt;&gt;"","https://api.qrserver.com/v1/create-qr-code/?size=200x200&amp;data="&amp;ENCODEURL("https://www.google.com/maps/search/?api=1&amp;query="&amp;SUBSTITUTE(F1952," ","")),"")</f>
        <v/>
      </c>
      <c r="K1952" s="8">
        <f>IF(C1952&lt;&gt;"",HYPERLINK("https://wa.me/507"&amp;REGEXREPLACE(C1952,"[^0-9]","")&amp;"?text="&amp;ENCODEURL("Ya llegue. Codigo: "&amp;A1952&amp;". Ubicacion: "&amp;"https://www.google.com/maps/search/?api=1&amp;query="&amp;SUBSTITUTE(F1952," ","")),"📲 Avisar al cliente"),"")</f>
        <v/>
      </c>
      <c r="L1952" s="8">
        <f>IF(C1952&lt;&gt;"","https://api.qrserver.com/v1/create-qr-code/?size=200x200&amp;data="&amp;ENCODEURL("https://wa.me/507"&amp;REGEXREPLACE(C1952,"[^0-9]","")&amp;"?text="&amp;ENCODEURL("Ya llegue. Codigo: "&amp;A1952&amp;". Ubicacion: "&amp;"https://www.google.com/maps/search/?api=1&amp;query="&amp;SUBSTITUTE(F1952," ",""))),"")</f>
        <v/>
      </c>
      <c r="M1952" s="8">
        <f>IF(B1952&lt;&gt;"",TODAY(),"")</f>
        <v/>
      </c>
      <c r="N1952" s="8">
        <f>IF(F1952&lt;&gt;"",IFERROR(IF(AND(REGEXMATCH(SUBSTITUTE(TRIM(F1952)," ",""),"^-?\d+(\.\d+)?,-?\d+(\.\d+)?$"),VALUE(REGEXEXTRACT(SUBSTITUTE(TRIM(F1952)," ",""),"^-?\d+(\.\d+)?"))&gt;=-90,VALUE(REGEXEXTRACT(SUBSTITUTE(TRIM(F1952)," ",""),"^-?\d+(\.\d+)?"))&lt;=90,VALUE(REGEXEXTRACT(SUBSTITUTE(TRIM(F1952)," ",""),"-?\d+(\.\d+)?$"))&gt;=-180,VALUE(REGEXEXTRACT(SUBSTITUTE(TRIM(F1952)," ",""),"-?\d+(\.\d+)?$"))&lt;=180),"OK","REVISAR"),"REVISAR"),"")</f>
        <v/>
      </c>
      <c r="O1952">
        <f>IF(A1952&lt;&gt;"","https://direcciones507.github.io/direcciones507/panel.html?codigo="&amp;A1952&amp;"&amp;nombre="&amp;ENCODEURL(B1952)&amp;"&amp;telefono="&amp;SUBSTITUTE(C1952,"-","")&amp;"&amp;referencia="&amp;ENCODEURL(E1952)&amp;"&amp;lat="&amp;IZQUIERDA(SUBSTITUTE(F1952," ",""),ENCONTRAR(",",SUBSTITUTE(F1952," ",""))-1)&amp;"&amp;lng="&amp;DERECHA(SUBSTITUTE(F1952," ",""),LARGO(SUBSTITUTE(F1952," ",""))-ENCONTRAR(",",SUBSTITUTE(F1952," ",""))),"")</f>
        <v/>
      </c>
    </row>
    <row r="1953" ht="15.75" customHeight="1" s="10">
      <c r="A1953" s="8">
        <f>CONCAT("AD507-",TEXT(ROW()-2,"0000"))</f>
        <v/>
      </c>
      <c r="C1953" s="8" t="n"/>
      <c r="F1953" s="8" t="n"/>
      <c r="G1953" s="8">
        <f>IF(F1953&lt;&gt;"",HYPERLINK("https://www.google.com/maps/search/?api=1&amp;query="&amp;SUBSTITUTE(F1953," ",""),"🗺 Google Maps"),"")</f>
        <v/>
      </c>
      <c r="H1953" s="8">
        <f>IF(F1953&lt;&gt;"",HYPERLINK("https://waze.com/ul?ll="&amp;SUBSTITUTE(F1953," ","")&amp;"&amp;navigate=yes","🚗 Waze"),"")</f>
        <v/>
      </c>
      <c r="I1953" s="8">
        <f>IF(F1953&lt;&gt;"",HYPERLINK("https://m.uber.com/ul/?action=setPickup&amp;pickup=my_location&amp;dropoff[latitude]="&amp;LEFT(SUBSTITUTE(F1953," ",""),FIND(",",SUBSTITUTE(F1953," ",""))-1)&amp;"&amp;dropoff[longitude]="&amp;MID(SUBSTITUTE(F1953," ",""),FIND(",",SUBSTITUTE(F1953," ",""))+1,99),"🚕 Uber"),"")</f>
        <v/>
      </c>
      <c r="J1953" s="8">
        <f>IF(F1953&lt;&gt;"","https://api.qrserver.com/v1/create-qr-code/?size=200x200&amp;data="&amp;ENCODEURL("https://www.google.com/maps/search/?api=1&amp;query="&amp;SUBSTITUTE(F1953," ","")),"")</f>
        <v/>
      </c>
      <c r="K1953" s="8">
        <f>IF(C1953&lt;&gt;"",HYPERLINK("https://wa.me/507"&amp;REGEXREPLACE(C1953,"[^0-9]","")&amp;"?text="&amp;ENCODEURL("Ya llegue. Codigo: "&amp;A1953&amp;". Ubicacion: "&amp;"https://www.google.com/maps/search/?api=1&amp;query="&amp;SUBSTITUTE(F1953," ","")),"📲 Avisar al cliente"),"")</f>
        <v/>
      </c>
      <c r="L1953" s="8">
        <f>IF(C1953&lt;&gt;"","https://api.qrserver.com/v1/create-qr-code/?size=200x200&amp;data="&amp;ENCODEURL("https://wa.me/507"&amp;REGEXREPLACE(C1953,"[^0-9]","")&amp;"?text="&amp;ENCODEURL("Ya llegue. Codigo: "&amp;A1953&amp;". Ubicacion: "&amp;"https://www.google.com/maps/search/?api=1&amp;query="&amp;SUBSTITUTE(F1953," ",""))),"")</f>
        <v/>
      </c>
      <c r="M1953" s="8">
        <f>IF(B1953&lt;&gt;"",TODAY(),"")</f>
        <v/>
      </c>
      <c r="N1953" s="8">
        <f>IF(F1953&lt;&gt;"",IFERROR(IF(AND(REGEXMATCH(SUBSTITUTE(TRIM(F1953)," ",""),"^-?\d+(\.\d+)?,-?\d+(\.\d+)?$"),VALUE(REGEXEXTRACT(SUBSTITUTE(TRIM(F1953)," ",""),"^-?\d+(\.\d+)?"))&gt;=-90,VALUE(REGEXEXTRACT(SUBSTITUTE(TRIM(F1953)," ",""),"^-?\d+(\.\d+)?"))&lt;=90,VALUE(REGEXEXTRACT(SUBSTITUTE(TRIM(F1953)," ",""),"-?\d+(\.\d+)?$"))&gt;=-180,VALUE(REGEXEXTRACT(SUBSTITUTE(TRIM(F1953)," ",""),"-?\d+(\.\d+)?$"))&lt;=180),"OK","REVISAR"),"REVISAR"),"")</f>
        <v/>
      </c>
      <c r="O1953">
        <f>IF(A1953&lt;&gt;"","https://direcciones507.github.io/direcciones507/panel.html?codigo="&amp;A1953&amp;"&amp;nombre="&amp;ENCODEURL(B1953)&amp;"&amp;telefono="&amp;SUBSTITUTE(C1953,"-","")&amp;"&amp;referencia="&amp;ENCODEURL(E1953)&amp;"&amp;lat="&amp;IZQUIERDA(SUBSTITUTE(F1953," ",""),ENCONTRAR(",",SUBSTITUTE(F1953," ",""))-1)&amp;"&amp;lng="&amp;DERECHA(SUBSTITUTE(F1953," ",""),LARGO(SUBSTITUTE(F1953," ",""))-ENCONTRAR(",",SUBSTITUTE(F1953," ",""))),"")</f>
        <v/>
      </c>
    </row>
    <row r="1954" ht="15.75" customHeight="1" s="10">
      <c r="A1954" s="8">
        <f>CONCAT("AD507-",TEXT(ROW()-2,"0000"))</f>
        <v/>
      </c>
      <c r="C1954" s="8" t="n"/>
      <c r="F1954" s="8" t="n"/>
      <c r="G1954" s="8">
        <f>IF(F1954&lt;&gt;"",HYPERLINK("https://www.google.com/maps/search/?api=1&amp;query="&amp;SUBSTITUTE(F1954," ",""),"🗺 Google Maps"),"")</f>
        <v/>
      </c>
      <c r="H1954" s="8">
        <f>IF(F1954&lt;&gt;"",HYPERLINK("https://waze.com/ul?ll="&amp;SUBSTITUTE(F1954," ","")&amp;"&amp;navigate=yes","🚗 Waze"),"")</f>
        <v/>
      </c>
      <c r="I1954" s="8">
        <f>IF(F1954&lt;&gt;"",HYPERLINK("https://m.uber.com/ul/?action=setPickup&amp;pickup=my_location&amp;dropoff[latitude]="&amp;LEFT(SUBSTITUTE(F1954," ",""),FIND(",",SUBSTITUTE(F1954," ",""))-1)&amp;"&amp;dropoff[longitude]="&amp;MID(SUBSTITUTE(F1954," ",""),FIND(",",SUBSTITUTE(F1954," ",""))+1,99),"🚕 Uber"),"")</f>
        <v/>
      </c>
      <c r="J1954" s="8">
        <f>IF(F1954&lt;&gt;"","https://api.qrserver.com/v1/create-qr-code/?size=200x200&amp;data="&amp;ENCODEURL("https://www.google.com/maps/search/?api=1&amp;query="&amp;SUBSTITUTE(F1954," ","")),"")</f>
        <v/>
      </c>
      <c r="K1954" s="8">
        <f>IF(C1954&lt;&gt;"",HYPERLINK("https://wa.me/507"&amp;REGEXREPLACE(C1954,"[^0-9]","")&amp;"?text="&amp;ENCODEURL("Ya llegue. Codigo: "&amp;A1954&amp;". Ubicacion: "&amp;"https://www.google.com/maps/search/?api=1&amp;query="&amp;SUBSTITUTE(F1954," ","")),"📲 Avisar al cliente"),"")</f>
        <v/>
      </c>
      <c r="L1954" s="8">
        <f>IF(C1954&lt;&gt;"","https://api.qrserver.com/v1/create-qr-code/?size=200x200&amp;data="&amp;ENCODEURL("https://wa.me/507"&amp;REGEXREPLACE(C1954,"[^0-9]","")&amp;"?text="&amp;ENCODEURL("Ya llegue. Codigo: "&amp;A1954&amp;". Ubicacion: "&amp;"https://www.google.com/maps/search/?api=1&amp;query="&amp;SUBSTITUTE(F1954," ",""))),"")</f>
        <v/>
      </c>
      <c r="M1954" s="8">
        <f>IF(B1954&lt;&gt;"",TODAY(),"")</f>
        <v/>
      </c>
      <c r="N1954" s="8">
        <f>IF(F1954&lt;&gt;"",IFERROR(IF(AND(REGEXMATCH(SUBSTITUTE(TRIM(F1954)," ",""),"^-?\d+(\.\d+)?,-?\d+(\.\d+)?$"),VALUE(REGEXEXTRACT(SUBSTITUTE(TRIM(F1954)," ",""),"^-?\d+(\.\d+)?"))&gt;=-90,VALUE(REGEXEXTRACT(SUBSTITUTE(TRIM(F1954)," ",""),"^-?\d+(\.\d+)?"))&lt;=90,VALUE(REGEXEXTRACT(SUBSTITUTE(TRIM(F1954)," ",""),"-?\d+(\.\d+)?$"))&gt;=-180,VALUE(REGEXEXTRACT(SUBSTITUTE(TRIM(F1954)," ",""),"-?\d+(\.\d+)?$"))&lt;=180),"OK","REVISAR"),"REVISAR"),"")</f>
        <v/>
      </c>
      <c r="O1954">
        <f>IF(A1954&lt;&gt;"","https://direcciones507.github.io/direcciones507/panel.html?codigo="&amp;A1954&amp;"&amp;nombre="&amp;ENCODEURL(B1954)&amp;"&amp;telefono="&amp;SUBSTITUTE(C1954,"-","")&amp;"&amp;referencia="&amp;ENCODEURL(E1954)&amp;"&amp;lat="&amp;IZQUIERDA(SUBSTITUTE(F1954," ",""),ENCONTRAR(",",SUBSTITUTE(F1954," ",""))-1)&amp;"&amp;lng="&amp;DERECHA(SUBSTITUTE(F1954," ",""),LARGO(SUBSTITUTE(F1954," ",""))-ENCONTRAR(",",SUBSTITUTE(F1954," ",""))),"")</f>
        <v/>
      </c>
    </row>
    <row r="1955" ht="15.75" customHeight="1" s="10">
      <c r="A1955" s="8">
        <f>CONCAT("AD507-",TEXT(ROW()-2,"0000"))</f>
        <v/>
      </c>
      <c r="C1955" s="8" t="n"/>
      <c r="F1955" s="8" t="n"/>
      <c r="G1955" s="8">
        <f>IF(F1955&lt;&gt;"",HYPERLINK("https://www.google.com/maps/search/?api=1&amp;query="&amp;SUBSTITUTE(F1955," ",""),"🗺 Google Maps"),"")</f>
        <v/>
      </c>
      <c r="H1955" s="8">
        <f>IF(F1955&lt;&gt;"",HYPERLINK("https://waze.com/ul?ll="&amp;SUBSTITUTE(F1955," ","")&amp;"&amp;navigate=yes","🚗 Waze"),"")</f>
        <v/>
      </c>
      <c r="I1955" s="8">
        <f>IF(F1955&lt;&gt;"",HYPERLINK("https://m.uber.com/ul/?action=setPickup&amp;pickup=my_location&amp;dropoff[latitude]="&amp;LEFT(SUBSTITUTE(F1955," ",""),FIND(",",SUBSTITUTE(F1955," ",""))-1)&amp;"&amp;dropoff[longitude]="&amp;MID(SUBSTITUTE(F1955," ",""),FIND(",",SUBSTITUTE(F1955," ",""))+1,99),"🚕 Uber"),"")</f>
        <v/>
      </c>
      <c r="J1955" s="8">
        <f>IF(F1955&lt;&gt;"","https://api.qrserver.com/v1/create-qr-code/?size=200x200&amp;data="&amp;ENCODEURL("https://www.google.com/maps/search/?api=1&amp;query="&amp;SUBSTITUTE(F1955," ","")),"")</f>
        <v/>
      </c>
      <c r="K1955" s="8">
        <f>IF(C1955&lt;&gt;"",HYPERLINK("https://wa.me/507"&amp;REGEXREPLACE(C1955,"[^0-9]","")&amp;"?text="&amp;ENCODEURL("Ya llegue. Codigo: "&amp;A1955&amp;". Ubicacion: "&amp;"https://www.google.com/maps/search/?api=1&amp;query="&amp;SUBSTITUTE(F1955," ","")),"📲 Avisar al cliente"),"")</f>
        <v/>
      </c>
      <c r="L1955" s="8">
        <f>IF(C1955&lt;&gt;"","https://api.qrserver.com/v1/create-qr-code/?size=200x200&amp;data="&amp;ENCODEURL("https://wa.me/507"&amp;REGEXREPLACE(C1955,"[^0-9]","")&amp;"?text="&amp;ENCODEURL("Ya llegue. Codigo: "&amp;A1955&amp;". Ubicacion: "&amp;"https://www.google.com/maps/search/?api=1&amp;query="&amp;SUBSTITUTE(F1955," ",""))),"")</f>
        <v/>
      </c>
      <c r="M1955" s="8">
        <f>IF(B1955&lt;&gt;"",TODAY(),"")</f>
        <v/>
      </c>
      <c r="N1955" s="8">
        <f>IF(F1955&lt;&gt;"",IFERROR(IF(AND(REGEXMATCH(SUBSTITUTE(TRIM(F1955)," ",""),"^-?\d+(\.\d+)?,-?\d+(\.\d+)?$"),VALUE(REGEXEXTRACT(SUBSTITUTE(TRIM(F1955)," ",""),"^-?\d+(\.\d+)?"))&gt;=-90,VALUE(REGEXEXTRACT(SUBSTITUTE(TRIM(F1955)," ",""),"^-?\d+(\.\d+)?"))&lt;=90,VALUE(REGEXEXTRACT(SUBSTITUTE(TRIM(F1955)," ",""),"-?\d+(\.\d+)?$"))&gt;=-180,VALUE(REGEXEXTRACT(SUBSTITUTE(TRIM(F1955)," ",""),"-?\d+(\.\d+)?$"))&lt;=180),"OK","REVISAR"),"REVISAR"),"")</f>
        <v/>
      </c>
      <c r="O1955">
        <f>IF(A1955&lt;&gt;"","https://direcciones507.github.io/direcciones507/panel.html?codigo="&amp;A1955&amp;"&amp;nombre="&amp;ENCODEURL(B1955)&amp;"&amp;telefono="&amp;SUBSTITUTE(C1955,"-","")&amp;"&amp;referencia="&amp;ENCODEURL(E1955)&amp;"&amp;lat="&amp;IZQUIERDA(SUBSTITUTE(F1955," ",""),ENCONTRAR(",",SUBSTITUTE(F1955," ",""))-1)&amp;"&amp;lng="&amp;DERECHA(SUBSTITUTE(F1955," ",""),LARGO(SUBSTITUTE(F1955," ",""))-ENCONTRAR(",",SUBSTITUTE(F1955," ",""))),"")</f>
        <v/>
      </c>
    </row>
    <row r="1956" ht="15.75" customHeight="1" s="10">
      <c r="A1956" s="8">
        <f>CONCAT("AD507-",TEXT(ROW()-2,"0000"))</f>
        <v/>
      </c>
      <c r="C1956" s="8" t="n"/>
      <c r="F1956" s="8" t="n"/>
      <c r="G1956" s="8">
        <f>IF(F1956&lt;&gt;"",HYPERLINK("https://www.google.com/maps/search/?api=1&amp;query="&amp;SUBSTITUTE(F1956," ",""),"🗺 Google Maps"),"")</f>
        <v/>
      </c>
      <c r="H1956" s="8">
        <f>IF(F1956&lt;&gt;"",HYPERLINK("https://waze.com/ul?ll="&amp;SUBSTITUTE(F1956," ","")&amp;"&amp;navigate=yes","🚗 Waze"),"")</f>
        <v/>
      </c>
      <c r="I1956" s="8">
        <f>IF(F1956&lt;&gt;"",HYPERLINK("https://m.uber.com/ul/?action=setPickup&amp;pickup=my_location&amp;dropoff[latitude]="&amp;LEFT(SUBSTITUTE(F1956," ",""),FIND(",",SUBSTITUTE(F1956," ",""))-1)&amp;"&amp;dropoff[longitude]="&amp;MID(SUBSTITUTE(F1956," ",""),FIND(",",SUBSTITUTE(F1956," ",""))+1,99),"🚕 Uber"),"")</f>
        <v/>
      </c>
      <c r="J1956" s="8">
        <f>IF(F1956&lt;&gt;"","https://api.qrserver.com/v1/create-qr-code/?size=200x200&amp;data="&amp;ENCODEURL("https://www.google.com/maps/search/?api=1&amp;query="&amp;SUBSTITUTE(F1956," ","")),"")</f>
        <v/>
      </c>
      <c r="K1956" s="8">
        <f>IF(C1956&lt;&gt;"",HYPERLINK("https://wa.me/507"&amp;REGEXREPLACE(C1956,"[^0-9]","")&amp;"?text="&amp;ENCODEURL("Ya llegue. Codigo: "&amp;A1956&amp;". Ubicacion: "&amp;"https://www.google.com/maps/search/?api=1&amp;query="&amp;SUBSTITUTE(F1956," ","")),"📲 Avisar al cliente"),"")</f>
        <v/>
      </c>
      <c r="L1956" s="8">
        <f>IF(C1956&lt;&gt;"","https://api.qrserver.com/v1/create-qr-code/?size=200x200&amp;data="&amp;ENCODEURL("https://wa.me/507"&amp;REGEXREPLACE(C1956,"[^0-9]","")&amp;"?text="&amp;ENCODEURL("Ya llegue. Codigo: "&amp;A1956&amp;". Ubicacion: "&amp;"https://www.google.com/maps/search/?api=1&amp;query="&amp;SUBSTITUTE(F1956," ",""))),"")</f>
        <v/>
      </c>
      <c r="M1956" s="8">
        <f>IF(B1956&lt;&gt;"",TODAY(),"")</f>
        <v/>
      </c>
      <c r="N1956" s="8">
        <f>IF(F1956&lt;&gt;"",IFERROR(IF(AND(REGEXMATCH(SUBSTITUTE(TRIM(F1956)," ",""),"^-?\d+(\.\d+)?,-?\d+(\.\d+)?$"),VALUE(REGEXEXTRACT(SUBSTITUTE(TRIM(F1956)," ",""),"^-?\d+(\.\d+)?"))&gt;=-90,VALUE(REGEXEXTRACT(SUBSTITUTE(TRIM(F1956)," ",""),"^-?\d+(\.\d+)?"))&lt;=90,VALUE(REGEXEXTRACT(SUBSTITUTE(TRIM(F1956)," ",""),"-?\d+(\.\d+)?$"))&gt;=-180,VALUE(REGEXEXTRACT(SUBSTITUTE(TRIM(F1956)," ",""),"-?\d+(\.\d+)?$"))&lt;=180),"OK","REVISAR"),"REVISAR"),"")</f>
        <v/>
      </c>
      <c r="O1956">
        <f>IF(A1956&lt;&gt;"","https://direcciones507.github.io/direcciones507/panel.html?codigo="&amp;A1956&amp;"&amp;nombre="&amp;ENCODEURL(B1956)&amp;"&amp;telefono="&amp;SUBSTITUTE(C1956,"-","")&amp;"&amp;referencia="&amp;ENCODEURL(E1956)&amp;"&amp;lat="&amp;IZQUIERDA(SUBSTITUTE(F1956," ",""),ENCONTRAR(",",SUBSTITUTE(F1956," ",""))-1)&amp;"&amp;lng="&amp;DERECHA(SUBSTITUTE(F1956," ",""),LARGO(SUBSTITUTE(F1956," ",""))-ENCONTRAR(",",SUBSTITUTE(F1956," ",""))),"")</f>
        <v/>
      </c>
    </row>
    <row r="1957" ht="15.75" customHeight="1" s="10">
      <c r="A1957" s="8">
        <f>CONCAT("AD507-",TEXT(ROW()-2,"0000"))</f>
        <v/>
      </c>
      <c r="C1957" s="8" t="n"/>
      <c r="F1957" s="8" t="n"/>
      <c r="G1957" s="8">
        <f>IF(F1957&lt;&gt;"",HYPERLINK("https://www.google.com/maps/search/?api=1&amp;query="&amp;SUBSTITUTE(F1957," ",""),"🗺 Google Maps"),"")</f>
        <v/>
      </c>
      <c r="H1957" s="8">
        <f>IF(F1957&lt;&gt;"",HYPERLINK("https://waze.com/ul?ll="&amp;SUBSTITUTE(F1957," ","")&amp;"&amp;navigate=yes","🚗 Waze"),"")</f>
        <v/>
      </c>
      <c r="I1957" s="8">
        <f>IF(F1957&lt;&gt;"",HYPERLINK("https://m.uber.com/ul/?action=setPickup&amp;pickup=my_location&amp;dropoff[latitude]="&amp;LEFT(SUBSTITUTE(F1957," ",""),FIND(",",SUBSTITUTE(F1957," ",""))-1)&amp;"&amp;dropoff[longitude]="&amp;MID(SUBSTITUTE(F1957," ",""),FIND(",",SUBSTITUTE(F1957," ",""))+1,99),"🚕 Uber"),"")</f>
        <v/>
      </c>
      <c r="J1957" s="8">
        <f>IF(F1957&lt;&gt;"","https://api.qrserver.com/v1/create-qr-code/?size=200x200&amp;data="&amp;ENCODEURL("https://www.google.com/maps/search/?api=1&amp;query="&amp;SUBSTITUTE(F1957," ","")),"")</f>
        <v/>
      </c>
      <c r="K1957" s="8">
        <f>IF(C1957&lt;&gt;"",HYPERLINK("https://wa.me/507"&amp;REGEXREPLACE(C1957,"[^0-9]","")&amp;"?text="&amp;ENCODEURL("Ya llegue. Codigo: "&amp;A1957&amp;". Ubicacion: "&amp;"https://www.google.com/maps/search/?api=1&amp;query="&amp;SUBSTITUTE(F1957," ","")),"📲 Avisar al cliente"),"")</f>
        <v/>
      </c>
      <c r="L1957" s="8">
        <f>IF(C1957&lt;&gt;"","https://api.qrserver.com/v1/create-qr-code/?size=200x200&amp;data="&amp;ENCODEURL("https://wa.me/507"&amp;REGEXREPLACE(C1957,"[^0-9]","")&amp;"?text="&amp;ENCODEURL("Ya llegue. Codigo: "&amp;A1957&amp;". Ubicacion: "&amp;"https://www.google.com/maps/search/?api=1&amp;query="&amp;SUBSTITUTE(F1957," ",""))),"")</f>
        <v/>
      </c>
      <c r="M1957" s="8">
        <f>IF(B1957&lt;&gt;"",TODAY(),"")</f>
        <v/>
      </c>
      <c r="N1957" s="8">
        <f>IF(F1957&lt;&gt;"",IFERROR(IF(AND(REGEXMATCH(SUBSTITUTE(TRIM(F1957)," ",""),"^-?\d+(\.\d+)?,-?\d+(\.\d+)?$"),VALUE(REGEXEXTRACT(SUBSTITUTE(TRIM(F1957)," ",""),"^-?\d+(\.\d+)?"))&gt;=-90,VALUE(REGEXEXTRACT(SUBSTITUTE(TRIM(F1957)," ",""),"^-?\d+(\.\d+)?"))&lt;=90,VALUE(REGEXEXTRACT(SUBSTITUTE(TRIM(F1957)," ",""),"-?\d+(\.\d+)?$"))&gt;=-180,VALUE(REGEXEXTRACT(SUBSTITUTE(TRIM(F1957)," ",""),"-?\d+(\.\d+)?$"))&lt;=180),"OK","REVISAR"),"REVISAR"),"")</f>
        <v/>
      </c>
      <c r="O1957">
        <f>IF(A1957&lt;&gt;"","https://direcciones507.github.io/direcciones507/panel.html?codigo="&amp;A1957&amp;"&amp;nombre="&amp;ENCODEURL(B1957)&amp;"&amp;telefono="&amp;SUBSTITUTE(C1957,"-","")&amp;"&amp;referencia="&amp;ENCODEURL(E1957)&amp;"&amp;lat="&amp;IZQUIERDA(SUBSTITUTE(F1957," ",""),ENCONTRAR(",",SUBSTITUTE(F1957," ",""))-1)&amp;"&amp;lng="&amp;DERECHA(SUBSTITUTE(F1957," ",""),LARGO(SUBSTITUTE(F1957," ",""))-ENCONTRAR(",",SUBSTITUTE(F1957," ",""))),"")</f>
        <v/>
      </c>
    </row>
    <row r="1958" ht="15.75" customHeight="1" s="10">
      <c r="A1958" s="8">
        <f>CONCAT("AD507-",TEXT(ROW()-2,"0000"))</f>
        <v/>
      </c>
      <c r="C1958" s="8" t="n"/>
      <c r="F1958" s="8" t="n"/>
      <c r="G1958" s="8">
        <f>IF(F1958&lt;&gt;"",HYPERLINK("https://www.google.com/maps/search/?api=1&amp;query="&amp;SUBSTITUTE(F1958," ",""),"🗺 Google Maps"),"")</f>
        <v/>
      </c>
      <c r="H1958" s="8">
        <f>IF(F1958&lt;&gt;"",HYPERLINK("https://waze.com/ul?ll="&amp;SUBSTITUTE(F1958," ","")&amp;"&amp;navigate=yes","🚗 Waze"),"")</f>
        <v/>
      </c>
      <c r="I1958" s="8">
        <f>IF(F1958&lt;&gt;"",HYPERLINK("https://m.uber.com/ul/?action=setPickup&amp;pickup=my_location&amp;dropoff[latitude]="&amp;LEFT(SUBSTITUTE(F1958," ",""),FIND(",",SUBSTITUTE(F1958," ",""))-1)&amp;"&amp;dropoff[longitude]="&amp;MID(SUBSTITUTE(F1958," ",""),FIND(",",SUBSTITUTE(F1958," ",""))+1,99),"🚕 Uber"),"")</f>
        <v/>
      </c>
      <c r="J1958" s="8">
        <f>IF(F1958&lt;&gt;"","https://api.qrserver.com/v1/create-qr-code/?size=200x200&amp;data="&amp;ENCODEURL("https://www.google.com/maps/search/?api=1&amp;query="&amp;SUBSTITUTE(F1958," ","")),"")</f>
        <v/>
      </c>
      <c r="K1958" s="8">
        <f>IF(C1958&lt;&gt;"",HYPERLINK("https://wa.me/507"&amp;REGEXREPLACE(C1958,"[^0-9]","")&amp;"?text="&amp;ENCODEURL("Ya llegue. Codigo: "&amp;A1958&amp;". Ubicacion: "&amp;"https://www.google.com/maps/search/?api=1&amp;query="&amp;SUBSTITUTE(F1958," ","")),"📲 Avisar al cliente"),"")</f>
        <v/>
      </c>
      <c r="L1958" s="8">
        <f>IF(C1958&lt;&gt;"","https://api.qrserver.com/v1/create-qr-code/?size=200x200&amp;data="&amp;ENCODEURL("https://wa.me/507"&amp;REGEXREPLACE(C1958,"[^0-9]","")&amp;"?text="&amp;ENCODEURL("Ya llegue. Codigo: "&amp;A1958&amp;". Ubicacion: "&amp;"https://www.google.com/maps/search/?api=1&amp;query="&amp;SUBSTITUTE(F1958," ",""))),"")</f>
        <v/>
      </c>
      <c r="M1958" s="8">
        <f>IF(B1958&lt;&gt;"",TODAY(),"")</f>
        <v/>
      </c>
      <c r="N1958" s="8">
        <f>IF(F1958&lt;&gt;"",IFERROR(IF(AND(REGEXMATCH(SUBSTITUTE(TRIM(F1958)," ",""),"^-?\d+(\.\d+)?,-?\d+(\.\d+)?$"),VALUE(REGEXEXTRACT(SUBSTITUTE(TRIM(F1958)," ",""),"^-?\d+(\.\d+)?"))&gt;=-90,VALUE(REGEXEXTRACT(SUBSTITUTE(TRIM(F1958)," ",""),"^-?\d+(\.\d+)?"))&lt;=90,VALUE(REGEXEXTRACT(SUBSTITUTE(TRIM(F1958)," ",""),"-?\d+(\.\d+)?$"))&gt;=-180,VALUE(REGEXEXTRACT(SUBSTITUTE(TRIM(F1958)," ",""),"-?\d+(\.\d+)?$"))&lt;=180),"OK","REVISAR"),"REVISAR"),"")</f>
        <v/>
      </c>
      <c r="O1958">
        <f>IF(A1958&lt;&gt;"","https://direcciones507.github.io/direcciones507/panel.html?codigo="&amp;A1958&amp;"&amp;nombre="&amp;ENCODEURL(B1958)&amp;"&amp;telefono="&amp;SUBSTITUTE(C1958,"-","")&amp;"&amp;referencia="&amp;ENCODEURL(E1958)&amp;"&amp;lat="&amp;IZQUIERDA(SUBSTITUTE(F1958," ",""),ENCONTRAR(",",SUBSTITUTE(F1958," ",""))-1)&amp;"&amp;lng="&amp;DERECHA(SUBSTITUTE(F1958," ",""),LARGO(SUBSTITUTE(F1958," ",""))-ENCONTRAR(",",SUBSTITUTE(F1958," ",""))),"")</f>
        <v/>
      </c>
    </row>
    <row r="1959" ht="15.75" customHeight="1" s="10">
      <c r="A1959" s="8">
        <f>CONCAT("AD507-",TEXT(ROW()-2,"0000"))</f>
        <v/>
      </c>
      <c r="C1959" s="8" t="n"/>
      <c r="F1959" s="8" t="n"/>
      <c r="G1959" s="8">
        <f>IF(F1959&lt;&gt;"",HYPERLINK("https://www.google.com/maps/search/?api=1&amp;query="&amp;SUBSTITUTE(F1959," ",""),"🗺 Google Maps"),"")</f>
        <v/>
      </c>
      <c r="H1959" s="8">
        <f>IF(F1959&lt;&gt;"",HYPERLINK("https://waze.com/ul?ll="&amp;SUBSTITUTE(F1959," ","")&amp;"&amp;navigate=yes","🚗 Waze"),"")</f>
        <v/>
      </c>
      <c r="I1959" s="8">
        <f>IF(F1959&lt;&gt;"",HYPERLINK("https://m.uber.com/ul/?action=setPickup&amp;pickup=my_location&amp;dropoff[latitude]="&amp;LEFT(SUBSTITUTE(F1959," ",""),FIND(",",SUBSTITUTE(F1959," ",""))-1)&amp;"&amp;dropoff[longitude]="&amp;MID(SUBSTITUTE(F1959," ",""),FIND(",",SUBSTITUTE(F1959," ",""))+1,99),"🚕 Uber"),"")</f>
        <v/>
      </c>
      <c r="J1959" s="8">
        <f>IF(F1959&lt;&gt;"","https://api.qrserver.com/v1/create-qr-code/?size=200x200&amp;data="&amp;ENCODEURL("https://www.google.com/maps/search/?api=1&amp;query="&amp;SUBSTITUTE(F1959," ","")),"")</f>
        <v/>
      </c>
      <c r="K1959" s="8">
        <f>IF(C1959&lt;&gt;"",HYPERLINK("https://wa.me/507"&amp;REGEXREPLACE(C1959,"[^0-9]","")&amp;"?text="&amp;ENCODEURL("Ya llegue. Codigo: "&amp;A1959&amp;". Ubicacion: "&amp;"https://www.google.com/maps/search/?api=1&amp;query="&amp;SUBSTITUTE(F1959," ","")),"📲 Avisar al cliente"),"")</f>
        <v/>
      </c>
      <c r="L1959" s="8">
        <f>IF(C1959&lt;&gt;"","https://api.qrserver.com/v1/create-qr-code/?size=200x200&amp;data="&amp;ENCODEURL("https://wa.me/507"&amp;REGEXREPLACE(C1959,"[^0-9]","")&amp;"?text="&amp;ENCODEURL("Ya llegue. Codigo: "&amp;A1959&amp;". Ubicacion: "&amp;"https://www.google.com/maps/search/?api=1&amp;query="&amp;SUBSTITUTE(F1959," ",""))),"")</f>
        <v/>
      </c>
      <c r="M1959" s="8">
        <f>IF(B1959&lt;&gt;"",TODAY(),"")</f>
        <v/>
      </c>
      <c r="N1959" s="8">
        <f>IF(F1959&lt;&gt;"",IFERROR(IF(AND(REGEXMATCH(SUBSTITUTE(TRIM(F1959)," ",""),"^-?\d+(\.\d+)?,-?\d+(\.\d+)?$"),VALUE(REGEXEXTRACT(SUBSTITUTE(TRIM(F1959)," ",""),"^-?\d+(\.\d+)?"))&gt;=-90,VALUE(REGEXEXTRACT(SUBSTITUTE(TRIM(F1959)," ",""),"^-?\d+(\.\d+)?"))&lt;=90,VALUE(REGEXEXTRACT(SUBSTITUTE(TRIM(F1959)," ",""),"-?\d+(\.\d+)?$"))&gt;=-180,VALUE(REGEXEXTRACT(SUBSTITUTE(TRIM(F1959)," ",""),"-?\d+(\.\d+)?$"))&lt;=180),"OK","REVISAR"),"REVISAR"),"")</f>
        <v/>
      </c>
      <c r="O1959">
        <f>IF(A1959&lt;&gt;"","https://direcciones507.github.io/direcciones507/panel.html?codigo="&amp;A1959&amp;"&amp;nombre="&amp;ENCODEURL(B1959)&amp;"&amp;telefono="&amp;SUBSTITUTE(C1959,"-","")&amp;"&amp;referencia="&amp;ENCODEURL(E1959)&amp;"&amp;lat="&amp;IZQUIERDA(SUBSTITUTE(F1959," ",""),ENCONTRAR(",",SUBSTITUTE(F1959," ",""))-1)&amp;"&amp;lng="&amp;DERECHA(SUBSTITUTE(F1959," ",""),LARGO(SUBSTITUTE(F1959," ",""))-ENCONTRAR(",",SUBSTITUTE(F1959," ",""))),"")</f>
        <v/>
      </c>
    </row>
    <row r="1960" ht="15.75" customHeight="1" s="10">
      <c r="A1960" s="8">
        <f>CONCAT("AD507-",TEXT(ROW()-2,"0000"))</f>
        <v/>
      </c>
      <c r="C1960" s="8" t="n"/>
      <c r="F1960" s="8" t="n"/>
      <c r="G1960" s="8">
        <f>IF(F1960&lt;&gt;"",HYPERLINK("https://www.google.com/maps/search/?api=1&amp;query="&amp;SUBSTITUTE(F1960," ",""),"🗺 Google Maps"),"")</f>
        <v/>
      </c>
      <c r="H1960" s="8">
        <f>IF(F1960&lt;&gt;"",HYPERLINK("https://waze.com/ul?ll="&amp;SUBSTITUTE(F1960," ","")&amp;"&amp;navigate=yes","🚗 Waze"),"")</f>
        <v/>
      </c>
      <c r="I1960" s="8">
        <f>IF(F1960&lt;&gt;"",HYPERLINK("https://m.uber.com/ul/?action=setPickup&amp;pickup=my_location&amp;dropoff[latitude]="&amp;LEFT(SUBSTITUTE(F1960," ",""),FIND(",",SUBSTITUTE(F1960," ",""))-1)&amp;"&amp;dropoff[longitude]="&amp;MID(SUBSTITUTE(F1960," ",""),FIND(",",SUBSTITUTE(F1960," ",""))+1,99),"🚕 Uber"),"")</f>
        <v/>
      </c>
      <c r="J1960" s="8">
        <f>IF(F1960&lt;&gt;"","https://api.qrserver.com/v1/create-qr-code/?size=200x200&amp;data="&amp;ENCODEURL("https://www.google.com/maps/search/?api=1&amp;query="&amp;SUBSTITUTE(F1960," ","")),"")</f>
        <v/>
      </c>
      <c r="K1960" s="8">
        <f>IF(C1960&lt;&gt;"",HYPERLINK("https://wa.me/507"&amp;REGEXREPLACE(C1960,"[^0-9]","")&amp;"?text="&amp;ENCODEURL("Ya llegue. Codigo: "&amp;A1960&amp;". Ubicacion: "&amp;"https://www.google.com/maps/search/?api=1&amp;query="&amp;SUBSTITUTE(F1960," ","")),"📲 Avisar al cliente"),"")</f>
        <v/>
      </c>
      <c r="L1960" s="8">
        <f>IF(C1960&lt;&gt;"","https://api.qrserver.com/v1/create-qr-code/?size=200x200&amp;data="&amp;ENCODEURL("https://wa.me/507"&amp;REGEXREPLACE(C1960,"[^0-9]","")&amp;"?text="&amp;ENCODEURL("Ya llegue. Codigo: "&amp;A1960&amp;". Ubicacion: "&amp;"https://www.google.com/maps/search/?api=1&amp;query="&amp;SUBSTITUTE(F1960," ",""))),"")</f>
        <v/>
      </c>
      <c r="M1960" s="8">
        <f>IF(B1960&lt;&gt;"",TODAY(),"")</f>
        <v/>
      </c>
      <c r="N1960" s="8">
        <f>IF(F1960&lt;&gt;"",IFERROR(IF(AND(REGEXMATCH(SUBSTITUTE(TRIM(F1960)," ",""),"^-?\d+(\.\d+)?,-?\d+(\.\d+)?$"),VALUE(REGEXEXTRACT(SUBSTITUTE(TRIM(F1960)," ",""),"^-?\d+(\.\d+)?"))&gt;=-90,VALUE(REGEXEXTRACT(SUBSTITUTE(TRIM(F1960)," ",""),"^-?\d+(\.\d+)?"))&lt;=90,VALUE(REGEXEXTRACT(SUBSTITUTE(TRIM(F1960)," ",""),"-?\d+(\.\d+)?$"))&gt;=-180,VALUE(REGEXEXTRACT(SUBSTITUTE(TRIM(F1960)," ",""),"-?\d+(\.\d+)?$"))&lt;=180),"OK","REVISAR"),"REVISAR"),"")</f>
        <v/>
      </c>
      <c r="O1960">
        <f>IF(A1960&lt;&gt;"","https://direcciones507.github.io/direcciones507/panel.html?codigo="&amp;A1960&amp;"&amp;nombre="&amp;ENCODEURL(B1960)&amp;"&amp;telefono="&amp;SUBSTITUTE(C1960,"-","")&amp;"&amp;referencia="&amp;ENCODEURL(E1960)&amp;"&amp;lat="&amp;IZQUIERDA(SUBSTITUTE(F1960," ",""),ENCONTRAR(",",SUBSTITUTE(F1960," ",""))-1)&amp;"&amp;lng="&amp;DERECHA(SUBSTITUTE(F1960," ",""),LARGO(SUBSTITUTE(F1960," ",""))-ENCONTRAR(",",SUBSTITUTE(F1960," ",""))),"")</f>
        <v/>
      </c>
    </row>
    <row r="1961" ht="15.75" customHeight="1" s="10">
      <c r="A1961" s="8">
        <f>CONCAT("AD507-",TEXT(ROW()-2,"0000"))</f>
        <v/>
      </c>
      <c r="C1961" s="8" t="n"/>
      <c r="F1961" s="8" t="n"/>
      <c r="G1961" s="8">
        <f>IF(F1961&lt;&gt;"",HYPERLINK("https://www.google.com/maps/search/?api=1&amp;query="&amp;SUBSTITUTE(F1961," ",""),"🗺 Google Maps"),"")</f>
        <v/>
      </c>
      <c r="H1961" s="8">
        <f>IF(F1961&lt;&gt;"",HYPERLINK("https://waze.com/ul?ll="&amp;SUBSTITUTE(F1961," ","")&amp;"&amp;navigate=yes","🚗 Waze"),"")</f>
        <v/>
      </c>
      <c r="I1961" s="8">
        <f>IF(F1961&lt;&gt;"",HYPERLINK("https://m.uber.com/ul/?action=setPickup&amp;pickup=my_location&amp;dropoff[latitude]="&amp;LEFT(SUBSTITUTE(F1961," ",""),FIND(",",SUBSTITUTE(F1961," ",""))-1)&amp;"&amp;dropoff[longitude]="&amp;MID(SUBSTITUTE(F1961," ",""),FIND(",",SUBSTITUTE(F1961," ",""))+1,99),"🚕 Uber"),"")</f>
        <v/>
      </c>
      <c r="J1961" s="8">
        <f>IF(F1961&lt;&gt;"","https://api.qrserver.com/v1/create-qr-code/?size=200x200&amp;data="&amp;ENCODEURL("https://www.google.com/maps/search/?api=1&amp;query="&amp;SUBSTITUTE(F1961," ","")),"")</f>
        <v/>
      </c>
      <c r="K1961" s="8">
        <f>IF(C1961&lt;&gt;"",HYPERLINK("https://wa.me/507"&amp;REGEXREPLACE(C1961,"[^0-9]","")&amp;"?text="&amp;ENCODEURL("Ya llegue. Codigo: "&amp;A1961&amp;". Ubicacion: "&amp;"https://www.google.com/maps/search/?api=1&amp;query="&amp;SUBSTITUTE(F1961," ","")),"📲 Avisar al cliente"),"")</f>
        <v/>
      </c>
      <c r="L1961" s="8">
        <f>IF(C1961&lt;&gt;"","https://api.qrserver.com/v1/create-qr-code/?size=200x200&amp;data="&amp;ENCODEURL("https://wa.me/507"&amp;REGEXREPLACE(C1961,"[^0-9]","")&amp;"?text="&amp;ENCODEURL("Ya llegue. Codigo: "&amp;A1961&amp;". Ubicacion: "&amp;"https://www.google.com/maps/search/?api=1&amp;query="&amp;SUBSTITUTE(F1961," ",""))),"")</f>
        <v/>
      </c>
      <c r="M1961" s="8">
        <f>IF(B1961&lt;&gt;"",TODAY(),"")</f>
        <v/>
      </c>
      <c r="N1961" s="8">
        <f>IF(F1961&lt;&gt;"",IFERROR(IF(AND(REGEXMATCH(SUBSTITUTE(TRIM(F1961)," ",""),"^-?\d+(\.\d+)?,-?\d+(\.\d+)?$"),VALUE(REGEXEXTRACT(SUBSTITUTE(TRIM(F1961)," ",""),"^-?\d+(\.\d+)?"))&gt;=-90,VALUE(REGEXEXTRACT(SUBSTITUTE(TRIM(F1961)," ",""),"^-?\d+(\.\d+)?"))&lt;=90,VALUE(REGEXEXTRACT(SUBSTITUTE(TRIM(F1961)," ",""),"-?\d+(\.\d+)?$"))&gt;=-180,VALUE(REGEXEXTRACT(SUBSTITUTE(TRIM(F1961)," ",""),"-?\d+(\.\d+)?$"))&lt;=180),"OK","REVISAR"),"REVISAR"),"")</f>
        <v/>
      </c>
      <c r="O1961">
        <f>IF(A1961&lt;&gt;"","https://direcciones507.github.io/direcciones507/panel.html?codigo="&amp;A1961&amp;"&amp;nombre="&amp;ENCODEURL(B1961)&amp;"&amp;telefono="&amp;SUBSTITUTE(C1961,"-","")&amp;"&amp;referencia="&amp;ENCODEURL(E1961)&amp;"&amp;lat="&amp;IZQUIERDA(SUBSTITUTE(F1961," ",""),ENCONTRAR(",",SUBSTITUTE(F1961," ",""))-1)&amp;"&amp;lng="&amp;DERECHA(SUBSTITUTE(F1961," ",""),LARGO(SUBSTITUTE(F1961," ",""))-ENCONTRAR(",",SUBSTITUTE(F1961," ",""))),"")</f>
        <v/>
      </c>
    </row>
    <row r="1962" ht="15.75" customHeight="1" s="10">
      <c r="A1962" s="8">
        <f>CONCAT("AD507-",TEXT(ROW()-2,"0000"))</f>
        <v/>
      </c>
      <c r="C1962" s="8" t="n"/>
      <c r="F1962" s="8" t="n"/>
      <c r="G1962" s="8">
        <f>IF(F1962&lt;&gt;"",HYPERLINK("https://www.google.com/maps/search/?api=1&amp;query="&amp;SUBSTITUTE(F1962," ",""),"🗺 Google Maps"),"")</f>
        <v/>
      </c>
      <c r="H1962" s="8">
        <f>IF(F1962&lt;&gt;"",HYPERLINK("https://waze.com/ul?ll="&amp;SUBSTITUTE(F1962," ","")&amp;"&amp;navigate=yes","🚗 Waze"),"")</f>
        <v/>
      </c>
      <c r="I1962" s="8">
        <f>IF(F1962&lt;&gt;"",HYPERLINK("https://m.uber.com/ul/?action=setPickup&amp;pickup=my_location&amp;dropoff[latitude]="&amp;LEFT(SUBSTITUTE(F1962," ",""),FIND(",",SUBSTITUTE(F1962," ",""))-1)&amp;"&amp;dropoff[longitude]="&amp;MID(SUBSTITUTE(F1962," ",""),FIND(",",SUBSTITUTE(F1962," ",""))+1,99),"🚕 Uber"),"")</f>
        <v/>
      </c>
      <c r="J1962" s="8">
        <f>IF(F1962&lt;&gt;"","https://api.qrserver.com/v1/create-qr-code/?size=200x200&amp;data="&amp;ENCODEURL("https://www.google.com/maps/search/?api=1&amp;query="&amp;SUBSTITUTE(F1962," ","")),"")</f>
        <v/>
      </c>
      <c r="K1962" s="8">
        <f>IF(C1962&lt;&gt;"",HYPERLINK("https://wa.me/507"&amp;REGEXREPLACE(C1962,"[^0-9]","")&amp;"?text="&amp;ENCODEURL("Ya llegue. Codigo: "&amp;A1962&amp;". Ubicacion: "&amp;"https://www.google.com/maps/search/?api=1&amp;query="&amp;SUBSTITUTE(F1962," ","")),"📲 Avisar al cliente"),"")</f>
        <v/>
      </c>
      <c r="L1962" s="8">
        <f>IF(C1962&lt;&gt;"","https://api.qrserver.com/v1/create-qr-code/?size=200x200&amp;data="&amp;ENCODEURL("https://wa.me/507"&amp;REGEXREPLACE(C1962,"[^0-9]","")&amp;"?text="&amp;ENCODEURL("Ya llegue. Codigo: "&amp;A1962&amp;". Ubicacion: "&amp;"https://www.google.com/maps/search/?api=1&amp;query="&amp;SUBSTITUTE(F1962," ",""))),"")</f>
        <v/>
      </c>
      <c r="M1962" s="8">
        <f>IF(B1962&lt;&gt;"",TODAY(),"")</f>
        <v/>
      </c>
      <c r="N1962" s="8">
        <f>IF(F1962&lt;&gt;"",IFERROR(IF(AND(REGEXMATCH(SUBSTITUTE(TRIM(F1962)," ",""),"^-?\d+(\.\d+)?,-?\d+(\.\d+)?$"),VALUE(REGEXEXTRACT(SUBSTITUTE(TRIM(F1962)," ",""),"^-?\d+(\.\d+)?"))&gt;=-90,VALUE(REGEXEXTRACT(SUBSTITUTE(TRIM(F1962)," ",""),"^-?\d+(\.\d+)?"))&lt;=90,VALUE(REGEXEXTRACT(SUBSTITUTE(TRIM(F1962)," ",""),"-?\d+(\.\d+)?$"))&gt;=-180,VALUE(REGEXEXTRACT(SUBSTITUTE(TRIM(F1962)," ",""),"-?\d+(\.\d+)?$"))&lt;=180),"OK","REVISAR"),"REVISAR"),"")</f>
        <v/>
      </c>
      <c r="O1962">
        <f>IF(A1962&lt;&gt;"","https://direcciones507.github.io/direcciones507/panel.html?codigo="&amp;A1962&amp;"&amp;nombre="&amp;ENCODEURL(B1962)&amp;"&amp;telefono="&amp;SUBSTITUTE(C1962,"-","")&amp;"&amp;referencia="&amp;ENCODEURL(E1962)&amp;"&amp;lat="&amp;IZQUIERDA(SUBSTITUTE(F1962," ",""),ENCONTRAR(",",SUBSTITUTE(F1962," ",""))-1)&amp;"&amp;lng="&amp;DERECHA(SUBSTITUTE(F1962," ",""),LARGO(SUBSTITUTE(F1962," ",""))-ENCONTRAR(",",SUBSTITUTE(F1962," ",""))),"")</f>
        <v/>
      </c>
    </row>
    <row r="1963" ht="15.75" customHeight="1" s="10">
      <c r="A1963" s="8">
        <f>CONCAT("AD507-",TEXT(ROW()-2,"0000"))</f>
        <v/>
      </c>
      <c r="C1963" s="8" t="n"/>
      <c r="F1963" s="8" t="n"/>
      <c r="G1963" s="8">
        <f>IF(F1963&lt;&gt;"",HYPERLINK("https://www.google.com/maps/search/?api=1&amp;query="&amp;SUBSTITUTE(F1963," ",""),"🗺 Google Maps"),"")</f>
        <v/>
      </c>
      <c r="H1963" s="8">
        <f>IF(F1963&lt;&gt;"",HYPERLINK("https://waze.com/ul?ll="&amp;SUBSTITUTE(F1963," ","")&amp;"&amp;navigate=yes","🚗 Waze"),"")</f>
        <v/>
      </c>
      <c r="I1963" s="8">
        <f>IF(F1963&lt;&gt;"",HYPERLINK("https://m.uber.com/ul/?action=setPickup&amp;pickup=my_location&amp;dropoff[latitude]="&amp;LEFT(SUBSTITUTE(F1963," ",""),FIND(",",SUBSTITUTE(F1963," ",""))-1)&amp;"&amp;dropoff[longitude]="&amp;MID(SUBSTITUTE(F1963," ",""),FIND(",",SUBSTITUTE(F1963," ",""))+1,99),"🚕 Uber"),"")</f>
        <v/>
      </c>
      <c r="J1963" s="8">
        <f>IF(F1963&lt;&gt;"","https://api.qrserver.com/v1/create-qr-code/?size=200x200&amp;data="&amp;ENCODEURL("https://www.google.com/maps/search/?api=1&amp;query="&amp;SUBSTITUTE(F1963," ","")),"")</f>
        <v/>
      </c>
      <c r="K1963" s="8">
        <f>IF(C1963&lt;&gt;"",HYPERLINK("https://wa.me/507"&amp;REGEXREPLACE(C1963,"[^0-9]","")&amp;"?text="&amp;ENCODEURL("Ya llegue. Codigo: "&amp;A1963&amp;". Ubicacion: "&amp;"https://www.google.com/maps/search/?api=1&amp;query="&amp;SUBSTITUTE(F1963," ","")),"📲 Avisar al cliente"),"")</f>
        <v/>
      </c>
      <c r="L1963" s="8">
        <f>IF(C1963&lt;&gt;"","https://api.qrserver.com/v1/create-qr-code/?size=200x200&amp;data="&amp;ENCODEURL("https://wa.me/507"&amp;REGEXREPLACE(C1963,"[^0-9]","")&amp;"?text="&amp;ENCODEURL("Ya llegue. Codigo: "&amp;A1963&amp;". Ubicacion: "&amp;"https://www.google.com/maps/search/?api=1&amp;query="&amp;SUBSTITUTE(F1963," ",""))),"")</f>
        <v/>
      </c>
      <c r="M1963" s="8">
        <f>IF(B1963&lt;&gt;"",TODAY(),"")</f>
        <v/>
      </c>
      <c r="N1963" s="8">
        <f>IF(F1963&lt;&gt;"",IFERROR(IF(AND(REGEXMATCH(SUBSTITUTE(TRIM(F1963)," ",""),"^-?\d+(\.\d+)?,-?\d+(\.\d+)?$"),VALUE(REGEXEXTRACT(SUBSTITUTE(TRIM(F1963)," ",""),"^-?\d+(\.\d+)?"))&gt;=-90,VALUE(REGEXEXTRACT(SUBSTITUTE(TRIM(F1963)," ",""),"^-?\d+(\.\d+)?"))&lt;=90,VALUE(REGEXEXTRACT(SUBSTITUTE(TRIM(F1963)," ",""),"-?\d+(\.\d+)?$"))&gt;=-180,VALUE(REGEXEXTRACT(SUBSTITUTE(TRIM(F1963)," ",""),"-?\d+(\.\d+)?$"))&lt;=180),"OK","REVISAR"),"REVISAR"),"")</f>
        <v/>
      </c>
      <c r="O1963">
        <f>IF(A1963&lt;&gt;"","https://direcciones507.github.io/direcciones507/panel.html?codigo="&amp;A1963&amp;"&amp;nombre="&amp;ENCODEURL(B1963)&amp;"&amp;telefono="&amp;SUBSTITUTE(C1963,"-","")&amp;"&amp;referencia="&amp;ENCODEURL(E1963)&amp;"&amp;lat="&amp;IZQUIERDA(SUBSTITUTE(F1963," ",""),ENCONTRAR(",",SUBSTITUTE(F1963," ",""))-1)&amp;"&amp;lng="&amp;DERECHA(SUBSTITUTE(F1963," ",""),LARGO(SUBSTITUTE(F1963," ",""))-ENCONTRAR(",",SUBSTITUTE(F1963," ",""))),"")</f>
        <v/>
      </c>
    </row>
    <row r="1964" ht="15.75" customHeight="1" s="10">
      <c r="A1964" s="8">
        <f>CONCAT("AD507-",TEXT(ROW()-2,"0000"))</f>
        <v/>
      </c>
      <c r="C1964" s="8" t="n"/>
      <c r="F1964" s="8" t="n"/>
      <c r="G1964" s="8">
        <f>IF(F1964&lt;&gt;"",HYPERLINK("https://www.google.com/maps/search/?api=1&amp;query="&amp;SUBSTITUTE(F1964," ",""),"🗺 Google Maps"),"")</f>
        <v/>
      </c>
      <c r="H1964" s="8">
        <f>IF(F1964&lt;&gt;"",HYPERLINK("https://waze.com/ul?ll="&amp;SUBSTITUTE(F1964," ","")&amp;"&amp;navigate=yes","🚗 Waze"),"")</f>
        <v/>
      </c>
      <c r="I1964" s="8">
        <f>IF(F1964&lt;&gt;"",HYPERLINK("https://m.uber.com/ul/?action=setPickup&amp;pickup=my_location&amp;dropoff[latitude]="&amp;LEFT(SUBSTITUTE(F1964," ",""),FIND(",",SUBSTITUTE(F1964," ",""))-1)&amp;"&amp;dropoff[longitude]="&amp;MID(SUBSTITUTE(F1964," ",""),FIND(",",SUBSTITUTE(F1964," ",""))+1,99),"🚕 Uber"),"")</f>
        <v/>
      </c>
      <c r="J1964" s="8">
        <f>IF(F1964&lt;&gt;"","https://api.qrserver.com/v1/create-qr-code/?size=200x200&amp;data="&amp;ENCODEURL("https://www.google.com/maps/search/?api=1&amp;query="&amp;SUBSTITUTE(F1964," ","")),"")</f>
        <v/>
      </c>
      <c r="K1964" s="8">
        <f>IF(C1964&lt;&gt;"",HYPERLINK("https://wa.me/507"&amp;REGEXREPLACE(C1964,"[^0-9]","")&amp;"?text="&amp;ENCODEURL("Ya llegue. Codigo: "&amp;A1964&amp;". Ubicacion: "&amp;"https://www.google.com/maps/search/?api=1&amp;query="&amp;SUBSTITUTE(F1964," ","")),"📲 Avisar al cliente"),"")</f>
        <v/>
      </c>
      <c r="L1964" s="8">
        <f>IF(C1964&lt;&gt;"","https://api.qrserver.com/v1/create-qr-code/?size=200x200&amp;data="&amp;ENCODEURL("https://wa.me/507"&amp;REGEXREPLACE(C1964,"[^0-9]","")&amp;"?text="&amp;ENCODEURL("Ya llegue. Codigo: "&amp;A1964&amp;". Ubicacion: "&amp;"https://www.google.com/maps/search/?api=1&amp;query="&amp;SUBSTITUTE(F1964," ",""))),"")</f>
        <v/>
      </c>
      <c r="M1964" s="8">
        <f>IF(B1964&lt;&gt;"",TODAY(),"")</f>
        <v/>
      </c>
      <c r="N1964" s="8">
        <f>IF(F1964&lt;&gt;"",IFERROR(IF(AND(REGEXMATCH(SUBSTITUTE(TRIM(F1964)," ",""),"^-?\d+(\.\d+)?,-?\d+(\.\d+)?$"),VALUE(REGEXEXTRACT(SUBSTITUTE(TRIM(F1964)," ",""),"^-?\d+(\.\d+)?"))&gt;=-90,VALUE(REGEXEXTRACT(SUBSTITUTE(TRIM(F1964)," ",""),"^-?\d+(\.\d+)?"))&lt;=90,VALUE(REGEXEXTRACT(SUBSTITUTE(TRIM(F1964)," ",""),"-?\d+(\.\d+)?$"))&gt;=-180,VALUE(REGEXEXTRACT(SUBSTITUTE(TRIM(F1964)," ",""),"-?\d+(\.\d+)?$"))&lt;=180),"OK","REVISAR"),"REVISAR"),"")</f>
        <v/>
      </c>
      <c r="O1964">
        <f>IF(A1964&lt;&gt;"","https://direcciones507.github.io/direcciones507/panel.html?codigo="&amp;A1964&amp;"&amp;nombre="&amp;ENCODEURL(B1964)&amp;"&amp;telefono="&amp;SUBSTITUTE(C1964,"-","")&amp;"&amp;referencia="&amp;ENCODEURL(E1964)&amp;"&amp;lat="&amp;IZQUIERDA(SUBSTITUTE(F1964," ",""),ENCONTRAR(",",SUBSTITUTE(F1964," ",""))-1)&amp;"&amp;lng="&amp;DERECHA(SUBSTITUTE(F1964," ",""),LARGO(SUBSTITUTE(F1964," ",""))-ENCONTRAR(",",SUBSTITUTE(F1964," ",""))),"")</f>
        <v/>
      </c>
    </row>
    <row r="1965" ht="15.75" customHeight="1" s="10">
      <c r="A1965" s="8">
        <f>CONCAT("AD507-",TEXT(ROW()-2,"0000"))</f>
        <v/>
      </c>
      <c r="C1965" s="8" t="n"/>
      <c r="F1965" s="8" t="n"/>
      <c r="G1965" s="8">
        <f>IF(F1965&lt;&gt;"",HYPERLINK("https://www.google.com/maps/search/?api=1&amp;query="&amp;SUBSTITUTE(F1965," ",""),"🗺 Google Maps"),"")</f>
        <v/>
      </c>
      <c r="H1965" s="8">
        <f>IF(F1965&lt;&gt;"",HYPERLINK("https://waze.com/ul?ll="&amp;SUBSTITUTE(F1965," ","")&amp;"&amp;navigate=yes","🚗 Waze"),"")</f>
        <v/>
      </c>
      <c r="I1965" s="8">
        <f>IF(F1965&lt;&gt;"",HYPERLINK("https://m.uber.com/ul/?action=setPickup&amp;pickup=my_location&amp;dropoff[latitude]="&amp;LEFT(SUBSTITUTE(F1965," ",""),FIND(",",SUBSTITUTE(F1965," ",""))-1)&amp;"&amp;dropoff[longitude]="&amp;MID(SUBSTITUTE(F1965," ",""),FIND(",",SUBSTITUTE(F1965," ",""))+1,99),"🚕 Uber"),"")</f>
        <v/>
      </c>
      <c r="J1965" s="8">
        <f>IF(F1965&lt;&gt;"","https://api.qrserver.com/v1/create-qr-code/?size=200x200&amp;data="&amp;ENCODEURL("https://www.google.com/maps/search/?api=1&amp;query="&amp;SUBSTITUTE(F1965," ","")),"")</f>
        <v/>
      </c>
      <c r="K1965" s="8">
        <f>IF(C1965&lt;&gt;"",HYPERLINK("https://wa.me/507"&amp;REGEXREPLACE(C1965,"[^0-9]","")&amp;"?text="&amp;ENCODEURL("Ya llegue. Codigo: "&amp;A1965&amp;". Ubicacion: "&amp;"https://www.google.com/maps/search/?api=1&amp;query="&amp;SUBSTITUTE(F1965," ","")),"📲 Avisar al cliente"),"")</f>
        <v/>
      </c>
      <c r="L1965" s="8">
        <f>IF(C1965&lt;&gt;"","https://api.qrserver.com/v1/create-qr-code/?size=200x200&amp;data="&amp;ENCODEURL("https://wa.me/507"&amp;REGEXREPLACE(C1965,"[^0-9]","")&amp;"?text="&amp;ENCODEURL("Ya llegue. Codigo: "&amp;A1965&amp;". Ubicacion: "&amp;"https://www.google.com/maps/search/?api=1&amp;query="&amp;SUBSTITUTE(F1965," ",""))),"")</f>
        <v/>
      </c>
      <c r="M1965" s="8">
        <f>IF(B1965&lt;&gt;"",TODAY(),"")</f>
        <v/>
      </c>
      <c r="N1965" s="8">
        <f>IF(F1965&lt;&gt;"",IFERROR(IF(AND(REGEXMATCH(SUBSTITUTE(TRIM(F1965)," ",""),"^-?\d+(\.\d+)?,-?\d+(\.\d+)?$"),VALUE(REGEXEXTRACT(SUBSTITUTE(TRIM(F1965)," ",""),"^-?\d+(\.\d+)?"))&gt;=-90,VALUE(REGEXEXTRACT(SUBSTITUTE(TRIM(F1965)," ",""),"^-?\d+(\.\d+)?"))&lt;=90,VALUE(REGEXEXTRACT(SUBSTITUTE(TRIM(F1965)," ",""),"-?\d+(\.\d+)?$"))&gt;=-180,VALUE(REGEXEXTRACT(SUBSTITUTE(TRIM(F1965)," ",""),"-?\d+(\.\d+)?$"))&lt;=180),"OK","REVISAR"),"REVISAR"),"")</f>
        <v/>
      </c>
      <c r="O1965">
        <f>IF(A1965&lt;&gt;"","https://direcciones507.github.io/direcciones507/panel.html?codigo="&amp;A1965&amp;"&amp;nombre="&amp;ENCODEURL(B1965)&amp;"&amp;telefono="&amp;SUBSTITUTE(C1965,"-","")&amp;"&amp;referencia="&amp;ENCODEURL(E1965)&amp;"&amp;lat="&amp;IZQUIERDA(SUBSTITUTE(F1965," ",""),ENCONTRAR(",",SUBSTITUTE(F1965," ",""))-1)&amp;"&amp;lng="&amp;DERECHA(SUBSTITUTE(F1965," ",""),LARGO(SUBSTITUTE(F1965," ",""))-ENCONTRAR(",",SUBSTITUTE(F1965," ",""))),"")</f>
        <v/>
      </c>
    </row>
    <row r="1966" ht="15.75" customHeight="1" s="10">
      <c r="A1966" s="8">
        <f>CONCAT("AD507-",TEXT(ROW()-2,"0000"))</f>
        <v/>
      </c>
      <c r="C1966" s="8" t="n"/>
      <c r="F1966" s="8" t="n"/>
      <c r="G1966" s="8">
        <f>IF(F1966&lt;&gt;"",HYPERLINK("https://www.google.com/maps/search/?api=1&amp;query="&amp;SUBSTITUTE(F1966," ",""),"🗺 Google Maps"),"")</f>
        <v/>
      </c>
      <c r="H1966" s="8">
        <f>IF(F1966&lt;&gt;"",HYPERLINK("https://waze.com/ul?ll="&amp;SUBSTITUTE(F1966," ","")&amp;"&amp;navigate=yes","🚗 Waze"),"")</f>
        <v/>
      </c>
      <c r="I1966" s="8">
        <f>IF(F1966&lt;&gt;"",HYPERLINK("https://m.uber.com/ul/?action=setPickup&amp;pickup=my_location&amp;dropoff[latitude]="&amp;LEFT(SUBSTITUTE(F1966," ",""),FIND(",",SUBSTITUTE(F1966," ",""))-1)&amp;"&amp;dropoff[longitude]="&amp;MID(SUBSTITUTE(F1966," ",""),FIND(",",SUBSTITUTE(F1966," ",""))+1,99),"🚕 Uber"),"")</f>
        <v/>
      </c>
      <c r="J1966" s="8">
        <f>IF(F1966&lt;&gt;"","https://api.qrserver.com/v1/create-qr-code/?size=200x200&amp;data="&amp;ENCODEURL("https://www.google.com/maps/search/?api=1&amp;query="&amp;SUBSTITUTE(F1966," ","")),"")</f>
        <v/>
      </c>
      <c r="K1966" s="8">
        <f>IF(C1966&lt;&gt;"",HYPERLINK("https://wa.me/507"&amp;REGEXREPLACE(C1966,"[^0-9]","")&amp;"?text="&amp;ENCODEURL("Ya llegue. Codigo: "&amp;A1966&amp;". Ubicacion: "&amp;"https://www.google.com/maps/search/?api=1&amp;query="&amp;SUBSTITUTE(F1966," ","")),"📲 Avisar al cliente"),"")</f>
        <v/>
      </c>
      <c r="L1966" s="8">
        <f>IF(C1966&lt;&gt;"","https://api.qrserver.com/v1/create-qr-code/?size=200x200&amp;data="&amp;ENCODEURL("https://wa.me/507"&amp;REGEXREPLACE(C1966,"[^0-9]","")&amp;"?text="&amp;ENCODEURL("Ya llegue. Codigo: "&amp;A1966&amp;". Ubicacion: "&amp;"https://www.google.com/maps/search/?api=1&amp;query="&amp;SUBSTITUTE(F1966," ",""))),"")</f>
        <v/>
      </c>
      <c r="M1966" s="8">
        <f>IF(B1966&lt;&gt;"",TODAY(),"")</f>
        <v/>
      </c>
      <c r="N1966" s="8">
        <f>IF(F1966&lt;&gt;"",IFERROR(IF(AND(REGEXMATCH(SUBSTITUTE(TRIM(F1966)," ",""),"^-?\d+(\.\d+)?,-?\d+(\.\d+)?$"),VALUE(REGEXEXTRACT(SUBSTITUTE(TRIM(F1966)," ",""),"^-?\d+(\.\d+)?"))&gt;=-90,VALUE(REGEXEXTRACT(SUBSTITUTE(TRIM(F1966)," ",""),"^-?\d+(\.\d+)?"))&lt;=90,VALUE(REGEXEXTRACT(SUBSTITUTE(TRIM(F1966)," ",""),"-?\d+(\.\d+)?$"))&gt;=-180,VALUE(REGEXEXTRACT(SUBSTITUTE(TRIM(F1966)," ",""),"-?\d+(\.\d+)?$"))&lt;=180),"OK","REVISAR"),"REVISAR"),"")</f>
        <v/>
      </c>
      <c r="O1966">
        <f>IF(A1966&lt;&gt;"","https://direcciones507.github.io/direcciones507/panel.html?codigo="&amp;A1966&amp;"&amp;nombre="&amp;ENCODEURL(B1966)&amp;"&amp;telefono="&amp;SUBSTITUTE(C1966,"-","")&amp;"&amp;referencia="&amp;ENCODEURL(E1966)&amp;"&amp;lat="&amp;IZQUIERDA(SUBSTITUTE(F1966," ",""),ENCONTRAR(",",SUBSTITUTE(F1966," ",""))-1)&amp;"&amp;lng="&amp;DERECHA(SUBSTITUTE(F1966," ",""),LARGO(SUBSTITUTE(F1966," ",""))-ENCONTRAR(",",SUBSTITUTE(F1966," ",""))),"")</f>
        <v/>
      </c>
    </row>
    <row r="1967" ht="15.75" customHeight="1" s="10">
      <c r="A1967" s="8">
        <f>CONCAT("AD507-",TEXT(ROW()-2,"0000"))</f>
        <v/>
      </c>
      <c r="C1967" s="8" t="n"/>
      <c r="F1967" s="8" t="n"/>
      <c r="G1967" s="8">
        <f>IF(F1967&lt;&gt;"",HYPERLINK("https://www.google.com/maps/search/?api=1&amp;query="&amp;SUBSTITUTE(F1967," ",""),"🗺 Google Maps"),"")</f>
        <v/>
      </c>
      <c r="H1967" s="8">
        <f>IF(F1967&lt;&gt;"",HYPERLINK("https://waze.com/ul?ll="&amp;SUBSTITUTE(F1967," ","")&amp;"&amp;navigate=yes","🚗 Waze"),"")</f>
        <v/>
      </c>
      <c r="I1967" s="8">
        <f>IF(F1967&lt;&gt;"",HYPERLINK("https://m.uber.com/ul/?action=setPickup&amp;pickup=my_location&amp;dropoff[latitude]="&amp;LEFT(SUBSTITUTE(F1967," ",""),FIND(",",SUBSTITUTE(F1967," ",""))-1)&amp;"&amp;dropoff[longitude]="&amp;MID(SUBSTITUTE(F1967," ",""),FIND(",",SUBSTITUTE(F1967," ",""))+1,99),"🚕 Uber"),"")</f>
        <v/>
      </c>
      <c r="J1967" s="8">
        <f>IF(F1967&lt;&gt;"","https://api.qrserver.com/v1/create-qr-code/?size=200x200&amp;data="&amp;ENCODEURL("https://www.google.com/maps/search/?api=1&amp;query="&amp;SUBSTITUTE(F1967," ","")),"")</f>
        <v/>
      </c>
      <c r="K1967" s="8">
        <f>IF(C1967&lt;&gt;"",HYPERLINK("https://wa.me/507"&amp;REGEXREPLACE(C1967,"[^0-9]","")&amp;"?text="&amp;ENCODEURL("Ya llegue. Codigo: "&amp;A1967&amp;". Ubicacion: "&amp;"https://www.google.com/maps/search/?api=1&amp;query="&amp;SUBSTITUTE(F1967," ","")),"📲 Avisar al cliente"),"")</f>
        <v/>
      </c>
      <c r="L1967" s="8">
        <f>IF(C1967&lt;&gt;"","https://api.qrserver.com/v1/create-qr-code/?size=200x200&amp;data="&amp;ENCODEURL("https://wa.me/507"&amp;REGEXREPLACE(C1967,"[^0-9]","")&amp;"?text="&amp;ENCODEURL("Ya llegue. Codigo: "&amp;A1967&amp;". Ubicacion: "&amp;"https://www.google.com/maps/search/?api=1&amp;query="&amp;SUBSTITUTE(F1967," ",""))),"")</f>
        <v/>
      </c>
      <c r="M1967" s="8">
        <f>IF(B1967&lt;&gt;"",TODAY(),"")</f>
        <v/>
      </c>
      <c r="N1967" s="8">
        <f>IF(F1967&lt;&gt;"",IFERROR(IF(AND(REGEXMATCH(SUBSTITUTE(TRIM(F1967)," ",""),"^-?\d+(\.\d+)?,-?\d+(\.\d+)?$"),VALUE(REGEXEXTRACT(SUBSTITUTE(TRIM(F1967)," ",""),"^-?\d+(\.\d+)?"))&gt;=-90,VALUE(REGEXEXTRACT(SUBSTITUTE(TRIM(F1967)," ",""),"^-?\d+(\.\d+)?"))&lt;=90,VALUE(REGEXEXTRACT(SUBSTITUTE(TRIM(F1967)," ",""),"-?\d+(\.\d+)?$"))&gt;=-180,VALUE(REGEXEXTRACT(SUBSTITUTE(TRIM(F1967)," ",""),"-?\d+(\.\d+)?$"))&lt;=180),"OK","REVISAR"),"REVISAR"),"")</f>
        <v/>
      </c>
      <c r="O1967">
        <f>IF(A1967&lt;&gt;"","https://direcciones507.github.io/direcciones507/panel.html?codigo="&amp;A1967&amp;"&amp;nombre="&amp;ENCODEURL(B1967)&amp;"&amp;telefono="&amp;SUBSTITUTE(C1967,"-","")&amp;"&amp;referencia="&amp;ENCODEURL(E1967)&amp;"&amp;lat="&amp;IZQUIERDA(SUBSTITUTE(F1967," ",""),ENCONTRAR(",",SUBSTITUTE(F1967," ",""))-1)&amp;"&amp;lng="&amp;DERECHA(SUBSTITUTE(F1967," ",""),LARGO(SUBSTITUTE(F1967," ",""))-ENCONTRAR(",",SUBSTITUTE(F1967," ",""))),"")</f>
        <v/>
      </c>
    </row>
    <row r="1968" ht="15.75" customHeight="1" s="10">
      <c r="A1968" s="8">
        <f>CONCAT("AD507-",TEXT(ROW()-2,"0000"))</f>
        <v/>
      </c>
      <c r="C1968" s="8" t="n"/>
      <c r="F1968" s="8" t="n"/>
      <c r="G1968" s="8">
        <f>IF(F1968&lt;&gt;"",HYPERLINK("https://www.google.com/maps/search/?api=1&amp;query="&amp;SUBSTITUTE(F1968," ",""),"🗺 Google Maps"),"")</f>
        <v/>
      </c>
      <c r="H1968" s="8">
        <f>IF(F1968&lt;&gt;"",HYPERLINK("https://waze.com/ul?ll="&amp;SUBSTITUTE(F1968," ","")&amp;"&amp;navigate=yes","🚗 Waze"),"")</f>
        <v/>
      </c>
      <c r="I1968" s="8">
        <f>IF(F1968&lt;&gt;"",HYPERLINK("https://m.uber.com/ul/?action=setPickup&amp;pickup=my_location&amp;dropoff[latitude]="&amp;LEFT(SUBSTITUTE(F1968," ",""),FIND(",",SUBSTITUTE(F1968," ",""))-1)&amp;"&amp;dropoff[longitude]="&amp;MID(SUBSTITUTE(F1968," ",""),FIND(",",SUBSTITUTE(F1968," ",""))+1,99),"🚕 Uber"),"")</f>
        <v/>
      </c>
      <c r="J1968" s="8">
        <f>IF(F1968&lt;&gt;"","https://api.qrserver.com/v1/create-qr-code/?size=200x200&amp;data="&amp;ENCODEURL("https://www.google.com/maps/search/?api=1&amp;query="&amp;SUBSTITUTE(F1968," ","")),"")</f>
        <v/>
      </c>
      <c r="K1968" s="8">
        <f>IF(C1968&lt;&gt;"",HYPERLINK("https://wa.me/507"&amp;REGEXREPLACE(C1968,"[^0-9]","")&amp;"?text="&amp;ENCODEURL("Ya llegue. Codigo: "&amp;A1968&amp;". Ubicacion: "&amp;"https://www.google.com/maps/search/?api=1&amp;query="&amp;SUBSTITUTE(F1968," ","")),"📲 Avisar al cliente"),"")</f>
        <v/>
      </c>
      <c r="L1968" s="8">
        <f>IF(C1968&lt;&gt;"","https://api.qrserver.com/v1/create-qr-code/?size=200x200&amp;data="&amp;ENCODEURL("https://wa.me/507"&amp;REGEXREPLACE(C1968,"[^0-9]","")&amp;"?text="&amp;ENCODEURL("Ya llegue. Codigo: "&amp;A1968&amp;". Ubicacion: "&amp;"https://www.google.com/maps/search/?api=1&amp;query="&amp;SUBSTITUTE(F1968," ",""))),"")</f>
        <v/>
      </c>
      <c r="M1968" s="8">
        <f>IF(B1968&lt;&gt;"",TODAY(),"")</f>
        <v/>
      </c>
      <c r="N1968" s="8">
        <f>IF(F1968&lt;&gt;"",IFERROR(IF(AND(REGEXMATCH(SUBSTITUTE(TRIM(F1968)," ",""),"^-?\d+(\.\d+)?,-?\d+(\.\d+)?$"),VALUE(REGEXEXTRACT(SUBSTITUTE(TRIM(F1968)," ",""),"^-?\d+(\.\d+)?"))&gt;=-90,VALUE(REGEXEXTRACT(SUBSTITUTE(TRIM(F1968)," ",""),"^-?\d+(\.\d+)?"))&lt;=90,VALUE(REGEXEXTRACT(SUBSTITUTE(TRIM(F1968)," ",""),"-?\d+(\.\d+)?$"))&gt;=-180,VALUE(REGEXEXTRACT(SUBSTITUTE(TRIM(F1968)," ",""),"-?\d+(\.\d+)?$"))&lt;=180),"OK","REVISAR"),"REVISAR"),"")</f>
        <v/>
      </c>
      <c r="O1968">
        <f>IF(A1968&lt;&gt;"","https://direcciones507.github.io/direcciones507/panel.html?codigo="&amp;A1968&amp;"&amp;nombre="&amp;ENCODEURL(B1968)&amp;"&amp;telefono="&amp;SUBSTITUTE(C1968,"-","")&amp;"&amp;referencia="&amp;ENCODEURL(E1968)&amp;"&amp;lat="&amp;IZQUIERDA(SUBSTITUTE(F1968," ",""),ENCONTRAR(",",SUBSTITUTE(F1968," ",""))-1)&amp;"&amp;lng="&amp;DERECHA(SUBSTITUTE(F1968," ",""),LARGO(SUBSTITUTE(F1968," ",""))-ENCONTRAR(",",SUBSTITUTE(F1968," ",""))),"")</f>
        <v/>
      </c>
    </row>
    <row r="1969" ht="15.75" customHeight="1" s="10">
      <c r="A1969" s="8">
        <f>CONCAT("AD507-",TEXT(ROW()-2,"0000"))</f>
        <v/>
      </c>
      <c r="C1969" s="8" t="n"/>
      <c r="F1969" s="8" t="n"/>
      <c r="G1969" s="8">
        <f>IF(F1969&lt;&gt;"",HYPERLINK("https://www.google.com/maps/search/?api=1&amp;query="&amp;SUBSTITUTE(F1969," ",""),"🗺 Google Maps"),"")</f>
        <v/>
      </c>
      <c r="H1969" s="8">
        <f>IF(F1969&lt;&gt;"",HYPERLINK("https://waze.com/ul?ll="&amp;SUBSTITUTE(F1969," ","")&amp;"&amp;navigate=yes","🚗 Waze"),"")</f>
        <v/>
      </c>
      <c r="I1969" s="8">
        <f>IF(F1969&lt;&gt;"",HYPERLINK("https://m.uber.com/ul/?action=setPickup&amp;pickup=my_location&amp;dropoff[latitude]="&amp;LEFT(SUBSTITUTE(F1969," ",""),FIND(",",SUBSTITUTE(F1969," ",""))-1)&amp;"&amp;dropoff[longitude]="&amp;MID(SUBSTITUTE(F1969," ",""),FIND(",",SUBSTITUTE(F1969," ",""))+1,99),"🚕 Uber"),"")</f>
        <v/>
      </c>
      <c r="J1969" s="8">
        <f>IF(F1969&lt;&gt;"","https://api.qrserver.com/v1/create-qr-code/?size=200x200&amp;data="&amp;ENCODEURL("https://www.google.com/maps/search/?api=1&amp;query="&amp;SUBSTITUTE(F1969," ","")),"")</f>
        <v/>
      </c>
      <c r="K1969" s="8">
        <f>IF(C1969&lt;&gt;"",HYPERLINK("https://wa.me/507"&amp;REGEXREPLACE(C1969,"[^0-9]","")&amp;"?text="&amp;ENCODEURL("Ya llegue. Codigo: "&amp;A1969&amp;". Ubicacion: "&amp;"https://www.google.com/maps/search/?api=1&amp;query="&amp;SUBSTITUTE(F1969," ","")),"📲 Avisar al cliente"),"")</f>
        <v/>
      </c>
      <c r="L1969" s="8">
        <f>IF(C1969&lt;&gt;"","https://api.qrserver.com/v1/create-qr-code/?size=200x200&amp;data="&amp;ENCODEURL("https://wa.me/507"&amp;REGEXREPLACE(C1969,"[^0-9]","")&amp;"?text="&amp;ENCODEURL("Ya llegue. Codigo: "&amp;A1969&amp;". Ubicacion: "&amp;"https://www.google.com/maps/search/?api=1&amp;query="&amp;SUBSTITUTE(F1969," ",""))),"")</f>
        <v/>
      </c>
      <c r="M1969" s="8">
        <f>IF(B1969&lt;&gt;"",TODAY(),"")</f>
        <v/>
      </c>
      <c r="N1969" s="8">
        <f>IF(F1969&lt;&gt;"",IFERROR(IF(AND(REGEXMATCH(SUBSTITUTE(TRIM(F1969)," ",""),"^-?\d+(\.\d+)?,-?\d+(\.\d+)?$"),VALUE(REGEXEXTRACT(SUBSTITUTE(TRIM(F1969)," ",""),"^-?\d+(\.\d+)?"))&gt;=-90,VALUE(REGEXEXTRACT(SUBSTITUTE(TRIM(F1969)," ",""),"^-?\d+(\.\d+)?"))&lt;=90,VALUE(REGEXEXTRACT(SUBSTITUTE(TRIM(F1969)," ",""),"-?\d+(\.\d+)?$"))&gt;=-180,VALUE(REGEXEXTRACT(SUBSTITUTE(TRIM(F1969)," ",""),"-?\d+(\.\d+)?$"))&lt;=180),"OK","REVISAR"),"REVISAR"),"")</f>
        <v/>
      </c>
      <c r="O1969">
        <f>IF(A1969&lt;&gt;"","https://direcciones507.github.io/direcciones507/panel.html?codigo="&amp;A1969&amp;"&amp;nombre="&amp;ENCODEURL(B1969)&amp;"&amp;telefono="&amp;SUBSTITUTE(C1969,"-","")&amp;"&amp;referencia="&amp;ENCODEURL(E1969)&amp;"&amp;lat="&amp;IZQUIERDA(SUBSTITUTE(F1969," ",""),ENCONTRAR(",",SUBSTITUTE(F1969," ",""))-1)&amp;"&amp;lng="&amp;DERECHA(SUBSTITUTE(F1969," ",""),LARGO(SUBSTITUTE(F1969," ",""))-ENCONTRAR(",",SUBSTITUTE(F1969," ",""))),"")</f>
        <v/>
      </c>
    </row>
    <row r="1970" ht="15.75" customHeight="1" s="10">
      <c r="A1970" s="8">
        <f>CONCAT("AD507-",TEXT(ROW()-2,"0000"))</f>
        <v/>
      </c>
      <c r="C1970" s="8" t="n"/>
      <c r="F1970" s="8" t="n"/>
      <c r="G1970" s="8">
        <f>IF(F1970&lt;&gt;"",HYPERLINK("https://www.google.com/maps/search/?api=1&amp;query="&amp;SUBSTITUTE(F1970," ",""),"🗺 Google Maps"),"")</f>
        <v/>
      </c>
      <c r="H1970" s="8">
        <f>IF(F1970&lt;&gt;"",HYPERLINK("https://waze.com/ul?ll="&amp;SUBSTITUTE(F1970," ","")&amp;"&amp;navigate=yes","🚗 Waze"),"")</f>
        <v/>
      </c>
      <c r="I1970" s="8">
        <f>IF(F1970&lt;&gt;"",HYPERLINK("https://m.uber.com/ul/?action=setPickup&amp;pickup=my_location&amp;dropoff[latitude]="&amp;LEFT(SUBSTITUTE(F1970," ",""),FIND(",",SUBSTITUTE(F1970," ",""))-1)&amp;"&amp;dropoff[longitude]="&amp;MID(SUBSTITUTE(F1970," ",""),FIND(",",SUBSTITUTE(F1970," ",""))+1,99),"🚕 Uber"),"")</f>
        <v/>
      </c>
      <c r="J1970" s="8">
        <f>IF(F1970&lt;&gt;"","https://api.qrserver.com/v1/create-qr-code/?size=200x200&amp;data="&amp;ENCODEURL("https://www.google.com/maps/search/?api=1&amp;query="&amp;SUBSTITUTE(F1970," ","")),"")</f>
        <v/>
      </c>
      <c r="K1970" s="8">
        <f>IF(C1970&lt;&gt;"",HYPERLINK("https://wa.me/507"&amp;REGEXREPLACE(C1970,"[^0-9]","")&amp;"?text="&amp;ENCODEURL("Ya llegue. Codigo: "&amp;A1970&amp;". Ubicacion: "&amp;"https://www.google.com/maps/search/?api=1&amp;query="&amp;SUBSTITUTE(F1970," ","")),"📲 Avisar al cliente"),"")</f>
        <v/>
      </c>
      <c r="L1970" s="8">
        <f>IF(C1970&lt;&gt;"","https://api.qrserver.com/v1/create-qr-code/?size=200x200&amp;data="&amp;ENCODEURL("https://wa.me/507"&amp;REGEXREPLACE(C1970,"[^0-9]","")&amp;"?text="&amp;ENCODEURL("Ya llegue. Codigo: "&amp;A1970&amp;". Ubicacion: "&amp;"https://www.google.com/maps/search/?api=1&amp;query="&amp;SUBSTITUTE(F1970," ",""))),"")</f>
        <v/>
      </c>
      <c r="M1970" s="8">
        <f>IF(B1970&lt;&gt;"",TODAY(),"")</f>
        <v/>
      </c>
      <c r="N1970" s="8">
        <f>IF(F1970&lt;&gt;"",IFERROR(IF(AND(REGEXMATCH(SUBSTITUTE(TRIM(F1970)," ",""),"^-?\d+(\.\d+)?,-?\d+(\.\d+)?$"),VALUE(REGEXEXTRACT(SUBSTITUTE(TRIM(F1970)," ",""),"^-?\d+(\.\d+)?"))&gt;=-90,VALUE(REGEXEXTRACT(SUBSTITUTE(TRIM(F1970)," ",""),"^-?\d+(\.\d+)?"))&lt;=90,VALUE(REGEXEXTRACT(SUBSTITUTE(TRIM(F1970)," ",""),"-?\d+(\.\d+)?$"))&gt;=-180,VALUE(REGEXEXTRACT(SUBSTITUTE(TRIM(F1970)," ",""),"-?\d+(\.\d+)?$"))&lt;=180),"OK","REVISAR"),"REVISAR"),"")</f>
        <v/>
      </c>
      <c r="O1970">
        <f>IF(A1970&lt;&gt;"","https://direcciones507.github.io/direcciones507/panel.html?codigo="&amp;A1970&amp;"&amp;nombre="&amp;ENCODEURL(B1970)&amp;"&amp;telefono="&amp;SUBSTITUTE(C1970,"-","")&amp;"&amp;referencia="&amp;ENCODEURL(E1970)&amp;"&amp;lat="&amp;IZQUIERDA(SUBSTITUTE(F1970," ",""),ENCONTRAR(",",SUBSTITUTE(F1970," ",""))-1)&amp;"&amp;lng="&amp;DERECHA(SUBSTITUTE(F1970," ",""),LARGO(SUBSTITUTE(F1970," ",""))-ENCONTRAR(",",SUBSTITUTE(F1970," ",""))),"")</f>
        <v/>
      </c>
    </row>
    <row r="1971" ht="15.75" customHeight="1" s="10">
      <c r="A1971" s="8">
        <f>CONCAT("AD507-",TEXT(ROW()-2,"0000"))</f>
        <v/>
      </c>
      <c r="C1971" s="8" t="n"/>
      <c r="F1971" s="8" t="n"/>
      <c r="G1971" s="8">
        <f>IF(F1971&lt;&gt;"",HYPERLINK("https://www.google.com/maps/search/?api=1&amp;query="&amp;SUBSTITUTE(F1971," ",""),"🗺 Google Maps"),"")</f>
        <v/>
      </c>
      <c r="H1971" s="8">
        <f>IF(F1971&lt;&gt;"",HYPERLINK("https://waze.com/ul?ll="&amp;SUBSTITUTE(F1971," ","")&amp;"&amp;navigate=yes","🚗 Waze"),"")</f>
        <v/>
      </c>
      <c r="I1971" s="8">
        <f>IF(F1971&lt;&gt;"",HYPERLINK("https://m.uber.com/ul/?action=setPickup&amp;pickup=my_location&amp;dropoff[latitude]="&amp;LEFT(SUBSTITUTE(F1971," ",""),FIND(",",SUBSTITUTE(F1971," ",""))-1)&amp;"&amp;dropoff[longitude]="&amp;MID(SUBSTITUTE(F1971," ",""),FIND(",",SUBSTITUTE(F1971," ",""))+1,99),"🚕 Uber"),"")</f>
        <v/>
      </c>
      <c r="J1971" s="8">
        <f>IF(F1971&lt;&gt;"","https://api.qrserver.com/v1/create-qr-code/?size=200x200&amp;data="&amp;ENCODEURL("https://www.google.com/maps/search/?api=1&amp;query="&amp;SUBSTITUTE(F1971," ","")),"")</f>
        <v/>
      </c>
      <c r="K1971" s="8">
        <f>IF(C1971&lt;&gt;"",HYPERLINK("https://wa.me/507"&amp;REGEXREPLACE(C1971,"[^0-9]","")&amp;"?text="&amp;ENCODEURL("Ya llegue. Codigo: "&amp;A1971&amp;". Ubicacion: "&amp;"https://www.google.com/maps/search/?api=1&amp;query="&amp;SUBSTITUTE(F1971," ","")),"📲 Avisar al cliente"),"")</f>
        <v/>
      </c>
      <c r="L1971" s="8">
        <f>IF(C1971&lt;&gt;"","https://api.qrserver.com/v1/create-qr-code/?size=200x200&amp;data="&amp;ENCODEURL("https://wa.me/507"&amp;REGEXREPLACE(C1971,"[^0-9]","")&amp;"?text="&amp;ENCODEURL("Ya llegue. Codigo: "&amp;A1971&amp;". Ubicacion: "&amp;"https://www.google.com/maps/search/?api=1&amp;query="&amp;SUBSTITUTE(F1971," ",""))),"")</f>
        <v/>
      </c>
      <c r="M1971" s="8">
        <f>IF(B1971&lt;&gt;"",TODAY(),"")</f>
        <v/>
      </c>
      <c r="N1971" s="8">
        <f>IF(F1971&lt;&gt;"",IFERROR(IF(AND(REGEXMATCH(SUBSTITUTE(TRIM(F1971)," ",""),"^-?\d+(\.\d+)?,-?\d+(\.\d+)?$"),VALUE(REGEXEXTRACT(SUBSTITUTE(TRIM(F1971)," ",""),"^-?\d+(\.\d+)?"))&gt;=-90,VALUE(REGEXEXTRACT(SUBSTITUTE(TRIM(F1971)," ",""),"^-?\d+(\.\d+)?"))&lt;=90,VALUE(REGEXEXTRACT(SUBSTITUTE(TRIM(F1971)," ",""),"-?\d+(\.\d+)?$"))&gt;=-180,VALUE(REGEXEXTRACT(SUBSTITUTE(TRIM(F1971)," ",""),"-?\d+(\.\d+)?$"))&lt;=180),"OK","REVISAR"),"REVISAR"),"")</f>
        <v/>
      </c>
      <c r="O1971">
        <f>IF(A1971&lt;&gt;"","https://direcciones507.github.io/direcciones507/panel.html?codigo="&amp;A1971&amp;"&amp;nombre="&amp;ENCODEURL(B1971)&amp;"&amp;telefono="&amp;SUBSTITUTE(C1971,"-","")&amp;"&amp;referencia="&amp;ENCODEURL(E1971)&amp;"&amp;lat="&amp;IZQUIERDA(SUBSTITUTE(F1971," ",""),ENCONTRAR(",",SUBSTITUTE(F1971," ",""))-1)&amp;"&amp;lng="&amp;DERECHA(SUBSTITUTE(F1971," ",""),LARGO(SUBSTITUTE(F1971," ",""))-ENCONTRAR(",",SUBSTITUTE(F1971," ",""))),"")</f>
        <v/>
      </c>
    </row>
    <row r="1972" ht="15.75" customHeight="1" s="10">
      <c r="A1972" s="8">
        <f>CONCAT("AD507-",TEXT(ROW()-2,"0000"))</f>
        <v/>
      </c>
      <c r="C1972" s="8" t="n"/>
      <c r="F1972" s="8" t="n"/>
      <c r="G1972" s="8">
        <f>IF(F1972&lt;&gt;"",HYPERLINK("https://www.google.com/maps/search/?api=1&amp;query="&amp;SUBSTITUTE(F1972," ",""),"🗺 Google Maps"),"")</f>
        <v/>
      </c>
      <c r="H1972" s="8">
        <f>IF(F1972&lt;&gt;"",HYPERLINK("https://waze.com/ul?ll="&amp;SUBSTITUTE(F1972," ","")&amp;"&amp;navigate=yes","🚗 Waze"),"")</f>
        <v/>
      </c>
      <c r="I1972" s="8">
        <f>IF(F1972&lt;&gt;"",HYPERLINK("https://m.uber.com/ul/?action=setPickup&amp;pickup=my_location&amp;dropoff[latitude]="&amp;LEFT(SUBSTITUTE(F1972," ",""),FIND(",",SUBSTITUTE(F1972," ",""))-1)&amp;"&amp;dropoff[longitude]="&amp;MID(SUBSTITUTE(F1972," ",""),FIND(",",SUBSTITUTE(F1972," ",""))+1,99),"🚕 Uber"),"")</f>
        <v/>
      </c>
      <c r="J1972" s="8">
        <f>IF(F1972&lt;&gt;"","https://api.qrserver.com/v1/create-qr-code/?size=200x200&amp;data="&amp;ENCODEURL("https://www.google.com/maps/search/?api=1&amp;query="&amp;SUBSTITUTE(F1972," ","")),"")</f>
        <v/>
      </c>
      <c r="K1972" s="8">
        <f>IF(C1972&lt;&gt;"",HYPERLINK("https://wa.me/507"&amp;REGEXREPLACE(C1972,"[^0-9]","")&amp;"?text="&amp;ENCODEURL("Ya llegue. Codigo: "&amp;A1972&amp;". Ubicacion: "&amp;"https://www.google.com/maps/search/?api=1&amp;query="&amp;SUBSTITUTE(F1972," ","")),"📲 Avisar al cliente"),"")</f>
        <v/>
      </c>
      <c r="L1972" s="8">
        <f>IF(C1972&lt;&gt;"","https://api.qrserver.com/v1/create-qr-code/?size=200x200&amp;data="&amp;ENCODEURL("https://wa.me/507"&amp;REGEXREPLACE(C1972,"[^0-9]","")&amp;"?text="&amp;ENCODEURL("Ya llegue. Codigo: "&amp;A1972&amp;". Ubicacion: "&amp;"https://www.google.com/maps/search/?api=1&amp;query="&amp;SUBSTITUTE(F1972," ",""))),"")</f>
        <v/>
      </c>
      <c r="M1972" s="8">
        <f>IF(B1972&lt;&gt;"",TODAY(),"")</f>
        <v/>
      </c>
      <c r="N1972" s="8">
        <f>IF(F1972&lt;&gt;"",IFERROR(IF(AND(REGEXMATCH(SUBSTITUTE(TRIM(F1972)," ",""),"^-?\d+(\.\d+)?,-?\d+(\.\d+)?$"),VALUE(REGEXEXTRACT(SUBSTITUTE(TRIM(F1972)," ",""),"^-?\d+(\.\d+)?"))&gt;=-90,VALUE(REGEXEXTRACT(SUBSTITUTE(TRIM(F1972)," ",""),"^-?\d+(\.\d+)?"))&lt;=90,VALUE(REGEXEXTRACT(SUBSTITUTE(TRIM(F1972)," ",""),"-?\d+(\.\d+)?$"))&gt;=-180,VALUE(REGEXEXTRACT(SUBSTITUTE(TRIM(F1972)," ",""),"-?\d+(\.\d+)?$"))&lt;=180),"OK","REVISAR"),"REVISAR"),"")</f>
        <v/>
      </c>
      <c r="O1972">
        <f>IF(A1972&lt;&gt;"","https://direcciones507.github.io/direcciones507/panel.html?codigo="&amp;A1972&amp;"&amp;nombre="&amp;ENCODEURL(B1972)&amp;"&amp;telefono="&amp;SUBSTITUTE(C1972,"-","")&amp;"&amp;referencia="&amp;ENCODEURL(E1972)&amp;"&amp;lat="&amp;IZQUIERDA(SUBSTITUTE(F1972," ",""),ENCONTRAR(",",SUBSTITUTE(F1972," ",""))-1)&amp;"&amp;lng="&amp;DERECHA(SUBSTITUTE(F1972," ",""),LARGO(SUBSTITUTE(F1972," ",""))-ENCONTRAR(",",SUBSTITUTE(F1972," ",""))),"")</f>
        <v/>
      </c>
    </row>
    <row r="1973" ht="15.75" customHeight="1" s="10">
      <c r="A1973" s="8">
        <f>CONCAT("AD507-",TEXT(ROW()-2,"0000"))</f>
        <v/>
      </c>
      <c r="C1973" s="8" t="n"/>
      <c r="F1973" s="8" t="n"/>
      <c r="G1973" s="8">
        <f>IF(F1973&lt;&gt;"",HYPERLINK("https://www.google.com/maps/search/?api=1&amp;query="&amp;SUBSTITUTE(F1973," ",""),"🗺 Google Maps"),"")</f>
        <v/>
      </c>
      <c r="H1973" s="8">
        <f>IF(F1973&lt;&gt;"",HYPERLINK("https://waze.com/ul?ll="&amp;SUBSTITUTE(F1973," ","")&amp;"&amp;navigate=yes","🚗 Waze"),"")</f>
        <v/>
      </c>
      <c r="I1973" s="8">
        <f>IF(F1973&lt;&gt;"",HYPERLINK("https://m.uber.com/ul/?action=setPickup&amp;pickup=my_location&amp;dropoff[latitude]="&amp;LEFT(SUBSTITUTE(F1973," ",""),FIND(",",SUBSTITUTE(F1973," ",""))-1)&amp;"&amp;dropoff[longitude]="&amp;MID(SUBSTITUTE(F1973," ",""),FIND(",",SUBSTITUTE(F1973," ",""))+1,99),"🚕 Uber"),"")</f>
        <v/>
      </c>
      <c r="J1973" s="8">
        <f>IF(F1973&lt;&gt;"","https://api.qrserver.com/v1/create-qr-code/?size=200x200&amp;data="&amp;ENCODEURL("https://www.google.com/maps/search/?api=1&amp;query="&amp;SUBSTITUTE(F1973," ","")),"")</f>
        <v/>
      </c>
      <c r="K1973" s="8">
        <f>IF(C1973&lt;&gt;"",HYPERLINK("https://wa.me/507"&amp;REGEXREPLACE(C1973,"[^0-9]","")&amp;"?text="&amp;ENCODEURL("Ya llegue. Codigo: "&amp;A1973&amp;". Ubicacion: "&amp;"https://www.google.com/maps/search/?api=1&amp;query="&amp;SUBSTITUTE(F1973," ","")),"📲 Avisar al cliente"),"")</f>
        <v/>
      </c>
      <c r="L1973" s="8">
        <f>IF(C1973&lt;&gt;"","https://api.qrserver.com/v1/create-qr-code/?size=200x200&amp;data="&amp;ENCODEURL("https://wa.me/507"&amp;REGEXREPLACE(C1973,"[^0-9]","")&amp;"?text="&amp;ENCODEURL("Ya llegue. Codigo: "&amp;A1973&amp;". Ubicacion: "&amp;"https://www.google.com/maps/search/?api=1&amp;query="&amp;SUBSTITUTE(F1973," ",""))),"")</f>
        <v/>
      </c>
      <c r="M1973" s="8">
        <f>IF(B1973&lt;&gt;"",TODAY(),"")</f>
        <v/>
      </c>
      <c r="N1973" s="8">
        <f>IF(F1973&lt;&gt;"",IFERROR(IF(AND(REGEXMATCH(SUBSTITUTE(TRIM(F1973)," ",""),"^-?\d+(\.\d+)?,-?\d+(\.\d+)?$"),VALUE(REGEXEXTRACT(SUBSTITUTE(TRIM(F1973)," ",""),"^-?\d+(\.\d+)?"))&gt;=-90,VALUE(REGEXEXTRACT(SUBSTITUTE(TRIM(F1973)," ",""),"^-?\d+(\.\d+)?"))&lt;=90,VALUE(REGEXEXTRACT(SUBSTITUTE(TRIM(F1973)," ",""),"-?\d+(\.\d+)?$"))&gt;=-180,VALUE(REGEXEXTRACT(SUBSTITUTE(TRIM(F1973)," ",""),"-?\d+(\.\d+)?$"))&lt;=180),"OK","REVISAR"),"REVISAR"),"")</f>
        <v/>
      </c>
      <c r="O1973">
        <f>IF(A1973&lt;&gt;"","https://direcciones507.github.io/direcciones507/panel.html?codigo="&amp;A1973&amp;"&amp;nombre="&amp;ENCODEURL(B1973)&amp;"&amp;telefono="&amp;SUBSTITUTE(C1973,"-","")&amp;"&amp;referencia="&amp;ENCODEURL(E1973)&amp;"&amp;lat="&amp;IZQUIERDA(SUBSTITUTE(F1973," ",""),ENCONTRAR(",",SUBSTITUTE(F1973," ",""))-1)&amp;"&amp;lng="&amp;DERECHA(SUBSTITUTE(F1973," ",""),LARGO(SUBSTITUTE(F1973," ",""))-ENCONTRAR(",",SUBSTITUTE(F1973," ",""))),"")</f>
        <v/>
      </c>
    </row>
    <row r="1974" ht="15.75" customHeight="1" s="10">
      <c r="A1974" s="8">
        <f>CONCAT("AD507-",TEXT(ROW()-2,"0000"))</f>
        <v/>
      </c>
      <c r="C1974" s="8" t="n"/>
      <c r="F1974" s="8" t="n"/>
      <c r="G1974" s="8">
        <f>IF(F1974&lt;&gt;"",HYPERLINK("https://www.google.com/maps/search/?api=1&amp;query="&amp;SUBSTITUTE(F1974," ",""),"🗺 Google Maps"),"")</f>
        <v/>
      </c>
      <c r="H1974" s="8">
        <f>IF(F1974&lt;&gt;"",HYPERLINK("https://waze.com/ul?ll="&amp;SUBSTITUTE(F1974," ","")&amp;"&amp;navigate=yes","🚗 Waze"),"")</f>
        <v/>
      </c>
      <c r="I1974" s="8">
        <f>IF(F1974&lt;&gt;"",HYPERLINK("https://m.uber.com/ul/?action=setPickup&amp;pickup=my_location&amp;dropoff[latitude]="&amp;LEFT(SUBSTITUTE(F1974," ",""),FIND(",",SUBSTITUTE(F1974," ",""))-1)&amp;"&amp;dropoff[longitude]="&amp;MID(SUBSTITUTE(F1974," ",""),FIND(",",SUBSTITUTE(F1974," ",""))+1,99),"🚕 Uber"),"")</f>
        <v/>
      </c>
      <c r="J1974" s="8">
        <f>IF(F1974&lt;&gt;"","https://api.qrserver.com/v1/create-qr-code/?size=200x200&amp;data="&amp;ENCODEURL("https://www.google.com/maps/search/?api=1&amp;query="&amp;SUBSTITUTE(F1974," ","")),"")</f>
        <v/>
      </c>
      <c r="K1974" s="8">
        <f>IF(C1974&lt;&gt;"",HYPERLINK("https://wa.me/507"&amp;REGEXREPLACE(C1974,"[^0-9]","")&amp;"?text="&amp;ENCODEURL("Ya llegue. Codigo: "&amp;A1974&amp;". Ubicacion: "&amp;"https://www.google.com/maps/search/?api=1&amp;query="&amp;SUBSTITUTE(F1974," ","")),"📲 Avisar al cliente"),"")</f>
        <v/>
      </c>
      <c r="L1974" s="8">
        <f>IF(C1974&lt;&gt;"","https://api.qrserver.com/v1/create-qr-code/?size=200x200&amp;data="&amp;ENCODEURL("https://wa.me/507"&amp;REGEXREPLACE(C1974,"[^0-9]","")&amp;"?text="&amp;ENCODEURL("Ya llegue. Codigo: "&amp;A1974&amp;". Ubicacion: "&amp;"https://www.google.com/maps/search/?api=1&amp;query="&amp;SUBSTITUTE(F1974," ",""))),"")</f>
        <v/>
      </c>
      <c r="M1974" s="8">
        <f>IF(B1974&lt;&gt;"",TODAY(),"")</f>
        <v/>
      </c>
      <c r="N1974" s="8">
        <f>IF(F1974&lt;&gt;"",IFERROR(IF(AND(REGEXMATCH(SUBSTITUTE(TRIM(F1974)," ",""),"^-?\d+(\.\d+)?,-?\d+(\.\d+)?$"),VALUE(REGEXEXTRACT(SUBSTITUTE(TRIM(F1974)," ",""),"^-?\d+(\.\d+)?"))&gt;=-90,VALUE(REGEXEXTRACT(SUBSTITUTE(TRIM(F1974)," ",""),"^-?\d+(\.\d+)?"))&lt;=90,VALUE(REGEXEXTRACT(SUBSTITUTE(TRIM(F1974)," ",""),"-?\d+(\.\d+)?$"))&gt;=-180,VALUE(REGEXEXTRACT(SUBSTITUTE(TRIM(F1974)," ",""),"-?\d+(\.\d+)?$"))&lt;=180),"OK","REVISAR"),"REVISAR"),"")</f>
        <v/>
      </c>
      <c r="O1974">
        <f>IF(A1974&lt;&gt;"","https://direcciones507.github.io/direcciones507/panel.html?codigo="&amp;A1974&amp;"&amp;nombre="&amp;ENCODEURL(B1974)&amp;"&amp;telefono="&amp;SUBSTITUTE(C1974,"-","")&amp;"&amp;referencia="&amp;ENCODEURL(E1974)&amp;"&amp;lat="&amp;IZQUIERDA(SUBSTITUTE(F1974," ",""),ENCONTRAR(",",SUBSTITUTE(F1974," ",""))-1)&amp;"&amp;lng="&amp;DERECHA(SUBSTITUTE(F1974," ",""),LARGO(SUBSTITUTE(F1974," ",""))-ENCONTRAR(",",SUBSTITUTE(F1974," ",""))),"")</f>
        <v/>
      </c>
    </row>
    <row r="1975" ht="15.75" customHeight="1" s="10">
      <c r="A1975" s="8">
        <f>CONCAT("AD507-",TEXT(ROW()-2,"0000"))</f>
        <v/>
      </c>
      <c r="C1975" s="8" t="n"/>
      <c r="F1975" s="8" t="n"/>
      <c r="G1975" s="8">
        <f>IF(F1975&lt;&gt;"",HYPERLINK("https://www.google.com/maps/search/?api=1&amp;query="&amp;SUBSTITUTE(F1975," ",""),"🗺 Google Maps"),"")</f>
        <v/>
      </c>
      <c r="H1975" s="8">
        <f>IF(F1975&lt;&gt;"",HYPERLINK("https://waze.com/ul?ll="&amp;SUBSTITUTE(F1975," ","")&amp;"&amp;navigate=yes","🚗 Waze"),"")</f>
        <v/>
      </c>
      <c r="I1975" s="8">
        <f>IF(F1975&lt;&gt;"",HYPERLINK("https://m.uber.com/ul/?action=setPickup&amp;pickup=my_location&amp;dropoff[latitude]="&amp;LEFT(SUBSTITUTE(F1975," ",""),FIND(",",SUBSTITUTE(F1975," ",""))-1)&amp;"&amp;dropoff[longitude]="&amp;MID(SUBSTITUTE(F1975," ",""),FIND(",",SUBSTITUTE(F1975," ",""))+1,99),"🚕 Uber"),"")</f>
        <v/>
      </c>
      <c r="J1975" s="8">
        <f>IF(F1975&lt;&gt;"","https://api.qrserver.com/v1/create-qr-code/?size=200x200&amp;data="&amp;ENCODEURL("https://www.google.com/maps/search/?api=1&amp;query="&amp;SUBSTITUTE(F1975," ","")),"")</f>
        <v/>
      </c>
      <c r="K1975" s="8">
        <f>IF(C1975&lt;&gt;"",HYPERLINK("https://wa.me/507"&amp;REGEXREPLACE(C1975,"[^0-9]","")&amp;"?text="&amp;ENCODEURL("Ya llegue. Codigo: "&amp;A1975&amp;". Ubicacion: "&amp;"https://www.google.com/maps/search/?api=1&amp;query="&amp;SUBSTITUTE(F1975," ","")),"📲 Avisar al cliente"),"")</f>
        <v/>
      </c>
      <c r="L1975" s="8">
        <f>IF(C1975&lt;&gt;"","https://api.qrserver.com/v1/create-qr-code/?size=200x200&amp;data="&amp;ENCODEURL("https://wa.me/507"&amp;REGEXREPLACE(C1975,"[^0-9]","")&amp;"?text="&amp;ENCODEURL("Ya llegue. Codigo: "&amp;A1975&amp;". Ubicacion: "&amp;"https://www.google.com/maps/search/?api=1&amp;query="&amp;SUBSTITUTE(F1975," ",""))),"")</f>
        <v/>
      </c>
      <c r="M1975" s="8">
        <f>IF(B1975&lt;&gt;"",TODAY(),"")</f>
        <v/>
      </c>
      <c r="N1975" s="8">
        <f>IF(F1975&lt;&gt;"",IFERROR(IF(AND(REGEXMATCH(SUBSTITUTE(TRIM(F1975)," ",""),"^-?\d+(\.\d+)?,-?\d+(\.\d+)?$"),VALUE(REGEXEXTRACT(SUBSTITUTE(TRIM(F1975)," ",""),"^-?\d+(\.\d+)?"))&gt;=-90,VALUE(REGEXEXTRACT(SUBSTITUTE(TRIM(F1975)," ",""),"^-?\d+(\.\d+)?"))&lt;=90,VALUE(REGEXEXTRACT(SUBSTITUTE(TRIM(F1975)," ",""),"-?\d+(\.\d+)?$"))&gt;=-180,VALUE(REGEXEXTRACT(SUBSTITUTE(TRIM(F1975)," ",""),"-?\d+(\.\d+)?$"))&lt;=180),"OK","REVISAR"),"REVISAR"),"")</f>
        <v/>
      </c>
      <c r="O1975">
        <f>IF(A1975&lt;&gt;"","https://direcciones507.github.io/direcciones507/panel.html?codigo="&amp;A1975&amp;"&amp;nombre="&amp;ENCODEURL(B1975)&amp;"&amp;telefono="&amp;SUBSTITUTE(C1975,"-","")&amp;"&amp;referencia="&amp;ENCODEURL(E1975)&amp;"&amp;lat="&amp;IZQUIERDA(SUBSTITUTE(F1975," ",""),ENCONTRAR(",",SUBSTITUTE(F1975," ",""))-1)&amp;"&amp;lng="&amp;DERECHA(SUBSTITUTE(F1975," ",""),LARGO(SUBSTITUTE(F1975," ",""))-ENCONTRAR(",",SUBSTITUTE(F1975," ",""))),"")</f>
        <v/>
      </c>
    </row>
    <row r="1976" ht="15.75" customHeight="1" s="10">
      <c r="A1976" s="8">
        <f>CONCAT("AD507-",TEXT(ROW()-2,"0000"))</f>
        <v/>
      </c>
      <c r="C1976" s="8" t="n"/>
      <c r="F1976" s="8" t="n"/>
      <c r="G1976" s="8">
        <f>IF(F1976&lt;&gt;"",HYPERLINK("https://www.google.com/maps/search/?api=1&amp;query="&amp;SUBSTITUTE(F1976," ",""),"🗺 Google Maps"),"")</f>
        <v/>
      </c>
      <c r="H1976" s="8">
        <f>IF(F1976&lt;&gt;"",HYPERLINK("https://waze.com/ul?ll="&amp;SUBSTITUTE(F1976," ","")&amp;"&amp;navigate=yes","🚗 Waze"),"")</f>
        <v/>
      </c>
      <c r="I1976" s="8">
        <f>IF(F1976&lt;&gt;"",HYPERLINK("https://m.uber.com/ul/?action=setPickup&amp;pickup=my_location&amp;dropoff[latitude]="&amp;LEFT(SUBSTITUTE(F1976," ",""),FIND(",",SUBSTITUTE(F1976," ",""))-1)&amp;"&amp;dropoff[longitude]="&amp;MID(SUBSTITUTE(F1976," ",""),FIND(",",SUBSTITUTE(F1976," ",""))+1,99),"🚕 Uber"),"")</f>
        <v/>
      </c>
      <c r="J1976" s="8">
        <f>IF(F1976&lt;&gt;"","https://api.qrserver.com/v1/create-qr-code/?size=200x200&amp;data="&amp;ENCODEURL("https://www.google.com/maps/search/?api=1&amp;query="&amp;SUBSTITUTE(F1976," ","")),"")</f>
        <v/>
      </c>
      <c r="K1976" s="8">
        <f>IF(C1976&lt;&gt;"",HYPERLINK("https://wa.me/507"&amp;REGEXREPLACE(C1976,"[^0-9]","")&amp;"?text="&amp;ENCODEURL("Ya llegue. Codigo: "&amp;A1976&amp;". Ubicacion: "&amp;"https://www.google.com/maps/search/?api=1&amp;query="&amp;SUBSTITUTE(F1976," ","")),"📲 Avisar al cliente"),"")</f>
        <v/>
      </c>
      <c r="L1976" s="8">
        <f>IF(C1976&lt;&gt;"","https://api.qrserver.com/v1/create-qr-code/?size=200x200&amp;data="&amp;ENCODEURL("https://wa.me/507"&amp;REGEXREPLACE(C1976,"[^0-9]","")&amp;"?text="&amp;ENCODEURL("Ya llegue. Codigo: "&amp;A1976&amp;". Ubicacion: "&amp;"https://www.google.com/maps/search/?api=1&amp;query="&amp;SUBSTITUTE(F1976," ",""))),"")</f>
        <v/>
      </c>
      <c r="M1976" s="8">
        <f>IF(B1976&lt;&gt;"",TODAY(),"")</f>
        <v/>
      </c>
      <c r="N1976" s="8">
        <f>IF(F1976&lt;&gt;"",IFERROR(IF(AND(REGEXMATCH(SUBSTITUTE(TRIM(F1976)," ",""),"^-?\d+(\.\d+)?,-?\d+(\.\d+)?$"),VALUE(REGEXEXTRACT(SUBSTITUTE(TRIM(F1976)," ",""),"^-?\d+(\.\d+)?"))&gt;=-90,VALUE(REGEXEXTRACT(SUBSTITUTE(TRIM(F1976)," ",""),"^-?\d+(\.\d+)?"))&lt;=90,VALUE(REGEXEXTRACT(SUBSTITUTE(TRIM(F1976)," ",""),"-?\d+(\.\d+)?$"))&gt;=-180,VALUE(REGEXEXTRACT(SUBSTITUTE(TRIM(F1976)," ",""),"-?\d+(\.\d+)?$"))&lt;=180),"OK","REVISAR"),"REVISAR"),"")</f>
        <v/>
      </c>
      <c r="O1976">
        <f>IF(A1976&lt;&gt;"","https://direcciones507.github.io/direcciones507/panel.html?codigo="&amp;A1976&amp;"&amp;nombre="&amp;ENCODEURL(B1976)&amp;"&amp;telefono="&amp;SUBSTITUTE(C1976,"-","")&amp;"&amp;referencia="&amp;ENCODEURL(E1976)&amp;"&amp;lat="&amp;IZQUIERDA(SUBSTITUTE(F1976," ",""),ENCONTRAR(",",SUBSTITUTE(F1976," ",""))-1)&amp;"&amp;lng="&amp;DERECHA(SUBSTITUTE(F1976," ",""),LARGO(SUBSTITUTE(F1976," ",""))-ENCONTRAR(",",SUBSTITUTE(F1976," ",""))),"")</f>
        <v/>
      </c>
    </row>
    <row r="1977" ht="15.75" customHeight="1" s="10">
      <c r="A1977" s="8">
        <f>CONCAT("AD507-",TEXT(ROW()-2,"0000"))</f>
        <v/>
      </c>
      <c r="C1977" s="8" t="n"/>
      <c r="F1977" s="8" t="n"/>
      <c r="G1977" s="8">
        <f>IF(F1977&lt;&gt;"",HYPERLINK("https://www.google.com/maps/search/?api=1&amp;query="&amp;SUBSTITUTE(F1977," ",""),"🗺 Google Maps"),"")</f>
        <v/>
      </c>
      <c r="H1977" s="8">
        <f>IF(F1977&lt;&gt;"",HYPERLINK("https://waze.com/ul?ll="&amp;SUBSTITUTE(F1977," ","")&amp;"&amp;navigate=yes","🚗 Waze"),"")</f>
        <v/>
      </c>
      <c r="I1977" s="8">
        <f>IF(F1977&lt;&gt;"",HYPERLINK("https://m.uber.com/ul/?action=setPickup&amp;pickup=my_location&amp;dropoff[latitude]="&amp;LEFT(SUBSTITUTE(F1977," ",""),FIND(",",SUBSTITUTE(F1977," ",""))-1)&amp;"&amp;dropoff[longitude]="&amp;MID(SUBSTITUTE(F1977," ",""),FIND(",",SUBSTITUTE(F1977," ",""))+1,99),"🚕 Uber"),"")</f>
        <v/>
      </c>
      <c r="J1977" s="8">
        <f>IF(F1977&lt;&gt;"","https://api.qrserver.com/v1/create-qr-code/?size=200x200&amp;data="&amp;ENCODEURL("https://www.google.com/maps/search/?api=1&amp;query="&amp;SUBSTITUTE(F1977," ","")),"")</f>
        <v/>
      </c>
      <c r="K1977" s="8">
        <f>IF(C1977&lt;&gt;"",HYPERLINK("https://wa.me/507"&amp;REGEXREPLACE(C1977,"[^0-9]","")&amp;"?text="&amp;ENCODEURL("Ya llegue. Codigo: "&amp;A1977&amp;". Ubicacion: "&amp;"https://www.google.com/maps/search/?api=1&amp;query="&amp;SUBSTITUTE(F1977," ","")),"📲 Avisar al cliente"),"")</f>
        <v/>
      </c>
      <c r="L1977" s="8">
        <f>IF(C1977&lt;&gt;"","https://api.qrserver.com/v1/create-qr-code/?size=200x200&amp;data="&amp;ENCODEURL("https://wa.me/507"&amp;REGEXREPLACE(C1977,"[^0-9]","")&amp;"?text="&amp;ENCODEURL("Ya llegue. Codigo: "&amp;A1977&amp;". Ubicacion: "&amp;"https://www.google.com/maps/search/?api=1&amp;query="&amp;SUBSTITUTE(F1977," ",""))),"")</f>
        <v/>
      </c>
      <c r="M1977" s="8">
        <f>IF(B1977&lt;&gt;"",TODAY(),"")</f>
        <v/>
      </c>
      <c r="N1977" s="8">
        <f>IF(F1977&lt;&gt;"",IFERROR(IF(AND(REGEXMATCH(SUBSTITUTE(TRIM(F1977)," ",""),"^-?\d+(\.\d+)?,-?\d+(\.\d+)?$"),VALUE(REGEXEXTRACT(SUBSTITUTE(TRIM(F1977)," ",""),"^-?\d+(\.\d+)?"))&gt;=-90,VALUE(REGEXEXTRACT(SUBSTITUTE(TRIM(F1977)," ",""),"^-?\d+(\.\d+)?"))&lt;=90,VALUE(REGEXEXTRACT(SUBSTITUTE(TRIM(F1977)," ",""),"-?\d+(\.\d+)?$"))&gt;=-180,VALUE(REGEXEXTRACT(SUBSTITUTE(TRIM(F1977)," ",""),"-?\d+(\.\d+)?$"))&lt;=180),"OK","REVISAR"),"REVISAR"),"")</f>
        <v/>
      </c>
      <c r="O1977">
        <f>IF(A1977&lt;&gt;"","https://direcciones507.github.io/direcciones507/panel.html?codigo="&amp;A1977&amp;"&amp;nombre="&amp;ENCODEURL(B1977)&amp;"&amp;telefono="&amp;SUBSTITUTE(C1977,"-","")&amp;"&amp;referencia="&amp;ENCODEURL(E1977)&amp;"&amp;lat="&amp;IZQUIERDA(SUBSTITUTE(F1977," ",""),ENCONTRAR(",",SUBSTITUTE(F1977," ",""))-1)&amp;"&amp;lng="&amp;DERECHA(SUBSTITUTE(F1977," ",""),LARGO(SUBSTITUTE(F1977," ",""))-ENCONTRAR(",",SUBSTITUTE(F1977," ",""))),"")</f>
        <v/>
      </c>
    </row>
    <row r="1978" ht="15.75" customHeight="1" s="10">
      <c r="A1978" s="8">
        <f>CONCAT("AD507-",TEXT(ROW()-2,"0000"))</f>
        <v/>
      </c>
      <c r="C1978" s="8" t="n"/>
      <c r="F1978" s="8" t="n"/>
      <c r="G1978" s="8">
        <f>IF(F1978&lt;&gt;"",HYPERLINK("https://www.google.com/maps/search/?api=1&amp;query="&amp;SUBSTITUTE(F1978," ",""),"🗺 Google Maps"),"")</f>
        <v/>
      </c>
      <c r="H1978" s="8">
        <f>IF(F1978&lt;&gt;"",HYPERLINK("https://waze.com/ul?ll="&amp;SUBSTITUTE(F1978," ","")&amp;"&amp;navigate=yes","🚗 Waze"),"")</f>
        <v/>
      </c>
      <c r="I1978" s="8">
        <f>IF(F1978&lt;&gt;"",HYPERLINK("https://m.uber.com/ul/?action=setPickup&amp;pickup=my_location&amp;dropoff[latitude]="&amp;LEFT(SUBSTITUTE(F1978," ",""),FIND(",",SUBSTITUTE(F1978," ",""))-1)&amp;"&amp;dropoff[longitude]="&amp;MID(SUBSTITUTE(F1978," ",""),FIND(",",SUBSTITUTE(F1978," ",""))+1,99),"🚕 Uber"),"")</f>
        <v/>
      </c>
      <c r="J1978" s="8">
        <f>IF(F1978&lt;&gt;"","https://api.qrserver.com/v1/create-qr-code/?size=200x200&amp;data="&amp;ENCODEURL("https://www.google.com/maps/search/?api=1&amp;query="&amp;SUBSTITUTE(F1978," ","")),"")</f>
        <v/>
      </c>
      <c r="K1978" s="8">
        <f>IF(C1978&lt;&gt;"",HYPERLINK("https://wa.me/507"&amp;REGEXREPLACE(C1978,"[^0-9]","")&amp;"?text="&amp;ENCODEURL("Ya llegue. Codigo: "&amp;A1978&amp;". Ubicacion: "&amp;"https://www.google.com/maps/search/?api=1&amp;query="&amp;SUBSTITUTE(F1978," ","")),"📲 Avisar al cliente"),"")</f>
        <v/>
      </c>
      <c r="L1978" s="8">
        <f>IF(C1978&lt;&gt;"","https://api.qrserver.com/v1/create-qr-code/?size=200x200&amp;data="&amp;ENCODEURL("https://wa.me/507"&amp;REGEXREPLACE(C1978,"[^0-9]","")&amp;"?text="&amp;ENCODEURL("Ya llegue. Codigo: "&amp;A1978&amp;". Ubicacion: "&amp;"https://www.google.com/maps/search/?api=1&amp;query="&amp;SUBSTITUTE(F1978," ",""))),"")</f>
        <v/>
      </c>
      <c r="M1978" s="8">
        <f>IF(B1978&lt;&gt;"",TODAY(),"")</f>
        <v/>
      </c>
      <c r="N1978" s="8">
        <f>IF(F1978&lt;&gt;"",IFERROR(IF(AND(REGEXMATCH(SUBSTITUTE(TRIM(F1978)," ",""),"^-?\d+(\.\d+)?,-?\d+(\.\d+)?$"),VALUE(REGEXEXTRACT(SUBSTITUTE(TRIM(F1978)," ",""),"^-?\d+(\.\d+)?"))&gt;=-90,VALUE(REGEXEXTRACT(SUBSTITUTE(TRIM(F1978)," ",""),"^-?\d+(\.\d+)?"))&lt;=90,VALUE(REGEXEXTRACT(SUBSTITUTE(TRIM(F1978)," ",""),"-?\d+(\.\d+)?$"))&gt;=-180,VALUE(REGEXEXTRACT(SUBSTITUTE(TRIM(F1978)," ",""),"-?\d+(\.\d+)?$"))&lt;=180),"OK","REVISAR"),"REVISAR"),"")</f>
        <v/>
      </c>
      <c r="O1978">
        <f>IF(A1978&lt;&gt;"","https://direcciones507.github.io/direcciones507/panel.html?codigo="&amp;A1978&amp;"&amp;nombre="&amp;ENCODEURL(B1978)&amp;"&amp;telefono="&amp;SUBSTITUTE(C1978,"-","")&amp;"&amp;referencia="&amp;ENCODEURL(E1978)&amp;"&amp;lat="&amp;IZQUIERDA(SUBSTITUTE(F1978," ",""),ENCONTRAR(",",SUBSTITUTE(F1978," ",""))-1)&amp;"&amp;lng="&amp;DERECHA(SUBSTITUTE(F1978," ",""),LARGO(SUBSTITUTE(F1978," ",""))-ENCONTRAR(",",SUBSTITUTE(F1978," ",""))),"")</f>
        <v/>
      </c>
    </row>
    <row r="1979" ht="15.75" customHeight="1" s="10">
      <c r="A1979" s="8">
        <f>CONCAT("AD507-",TEXT(ROW()-2,"0000"))</f>
        <v/>
      </c>
      <c r="C1979" s="8" t="n"/>
      <c r="F1979" s="8" t="n"/>
      <c r="G1979" s="8">
        <f>IF(F1979&lt;&gt;"",HYPERLINK("https://www.google.com/maps/search/?api=1&amp;query="&amp;SUBSTITUTE(F1979," ",""),"🗺 Google Maps"),"")</f>
        <v/>
      </c>
      <c r="H1979" s="8">
        <f>IF(F1979&lt;&gt;"",HYPERLINK("https://waze.com/ul?ll="&amp;SUBSTITUTE(F1979," ","")&amp;"&amp;navigate=yes","🚗 Waze"),"")</f>
        <v/>
      </c>
      <c r="I1979" s="8">
        <f>IF(F1979&lt;&gt;"",HYPERLINK("https://m.uber.com/ul/?action=setPickup&amp;pickup=my_location&amp;dropoff[latitude]="&amp;LEFT(SUBSTITUTE(F1979," ",""),FIND(",",SUBSTITUTE(F1979," ",""))-1)&amp;"&amp;dropoff[longitude]="&amp;MID(SUBSTITUTE(F1979," ",""),FIND(",",SUBSTITUTE(F1979," ",""))+1,99),"🚕 Uber"),"")</f>
        <v/>
      </c>
      <c r="J1979" s="8">
        <f>IF(F1979&lt;&gt;"","https://api.qrserver.com/v1/create-qr-code/?size=200x200&amp;data="&amp;ENCODEURL("https://www.google.com/maps/search/?api=1&amp;query="&amp;SUBSTITUTE(F1979," ","")),"")</f>
        <v/>
      </c>
      <c r="K1979" s="8">
        <f>IF(C1979&lt;&gt;"",HYPERLINK("https://wa.me/507"&amp;REGEXREPLACE(C1979,"[^0-9]","")&amp;"?text="&amp;ENCODEURL("Ya llegue. Codigo: "&amp;A1979&amp;". Ubicacion: "&amp;"https://www.google.com/maps/search/?api=1&amp;query="&amp;SUBSTITUTE(F1979," ","")),"📲 Avisar al cliente"),"")</f>
        <v/>
      </c>
      <c r="L1979" s="8">
        <f>IF(C1979&lt;&gt;"","https://api.qrserver.com/v1/create-qr-code/?size=200x200&amp;data="&amp;ENCODEURL("https://wa.me/507"&amp;REGEXREPLACE(C1979,"[^0-9]","")&amp;"?text="&amp;ENCODEURL("Ya llegue. Codigo: "&amp;A1979&amp;". Ubicacion: "&amp;"https://www.google.com/maps/search/?api=1&amp;query="&amp;SUBSTITUTE(F1979," ",""))),"")</f>
        <v/>
      </c>
      <c r="M1979" s="8">
        <f>IF(B1979&lt;&gt;"",TODAY(),"")</f>
        <v/>
      </c>
      <c r="N1979" s="8">
        <f>IF(F1979&lt;&gt;"",IFERROR(IF(AND(REGEXMATCH(SUBSTITUTE(TRIM(F1979)," ",""),"^-?\d+(\.\d+)?,-?\d+(\.\d+)?$"),VALUE(REGEXEXTRACT(SUBSTITUTE(TRIM(F1979)," ",""),"^-?\d+(\.\d+)?"))&gt;=-90,VALUE(REGEXEXTRACT(SUBSTITUTE(TRIM(F1979)," ",""),"^-?\d+(\.\d+)?"))&lt;=90,VALUE(REGEXEXTRACT(SUBSTITUTE(TRIM(F1979)," ",""),"-?\d+(\.\d+)?$"))&gt;=-180,VALUE(REGEXEXTRACT(SUBSTITUTE(TRIM(F1979)," ",""),"-?\d+(\.\d+)?$"))&lt;=180),"OK","REVISAR"),"REVISAR"),"")</f>
        <v/>
      </c>
      <c r="O1979">
        <f>IF(A1979&lt;&gt;"","https://direcciones507.github.io/direcciones507/panel.html?codigo="&amp;A1979&amp;"&amp;nombre="&amp;ENCODEURL(B1979)&amp;"&amp;telefono="&amp;SUBSTITUTE(C1979,"-","")&amp;"&amp;referencia="&amp;ENCODEURL(E1979)&amp;"&amp;lat="&amp;IZQUIERDA(SUBSTITUTE(F1979," ",""),ENCONTRAR(",",SUBSTITUTE(F1979," ",""))-1)&amp;"&amp;lng="&amp;DERECHA(SUBSTITUTE(F1979," ",""),LARGO(SUBSTITUTE(F1979," ",""))-ENCONTRAR(",",SUBSTITUTE(F1979," ",""))),"")</f>
        <v/>
      </c>
    </row>
    <row r="1980" ht="15.75" customHeight="1" s="10">
      <c r="A1980" s="8">
        <f>CONCAT("AD507-",TEXT(ROW()-2,"0000"))</f>
        <v/>
      </c>
      <c r="C1980" s="8" t="n"/>
      <c r="F1980" s="8" t="n"/>
      <c r="G1980" s="8">
        <f>IF(F1980&lt;&gt;"",HYPERLINK("https://www.google.com/maps/search/?api=1&amp;query="&amp;SUBSTITUTE(F1980," ",""),"🗺 Google Maps"),"")</f>
        <v/>
      </c>
      <c r="H1980" s="8">
        <f>IF(F1980&lt;&gt;"",HYPERLINK("https://waze.com/ul?ll="&amp;SUBSTITUTE(F1980," ","")&amp;"&amp;navigate=yes","🚗 Waze"),"")</f>
        <v/>
      </c>
      <c r="I1980" s="8">
        <f>IF(F1980&lt;&gt;"",HYPERLINK("https://m.uber.com/ul/?action=setPickup&amp;pickup=my_location&amp;dropoff[latitude]="&amp;LEFT(SUBSTITUTE(F1980," ",""),FIND(",",SUBSTITUTE(F1980," ",""))-1)&amp;"&amp;dropoff[longitude]="&amp;MID(SUBSTITUTE(F1980," ",""),FIND(",",SUBSTITUTE(F1980," ",""))+1,99),"🚕 Uber"),"")</f>
        <v/>
      </c>
      <c r="J1980" s="8">
        <f>IF(F1980&lt;&gt;"","https://api.qrserver.com/v1/create-qr-code/?size=200x200&amp;data="&amp;ENCODEURL("https://www.google.com/maps/search/?api=1&amp;query="&amp;SUBSTITUTE(F1980," ","")),"")</f>
        <v/>
      </c>
      <c r="K1980" s="8">
        <f>IF(C1980&lt;&gt;"",HYPERLINK("https://wa.me/507"&amp;REGEXREPLACE(C1980,"[^0-9]","")&amp;"?text="&amp;ENCODEURL("Ya llegue. Codigo: "&amp;A1980&amp;". Ubicacion: "&amp;"https://www.google.com/maps/search/?api=1&amp;query="&amp;SUBSTITUTE(F1980," ","")),"📲 Avisar al cliente"),"")</f>
        <v/>
      </c>
      <c r="L1980" s="8">
        <f>IF(C1980&lt;&gt;"","https://api.qrserver.com/v1/create-qr-code/?size=200x200&amp;data="&amp;ENCODEURL("https://wa.me/507"&amp;REGEXREPLACE(C1980,"[^0-9]","")&amp;"?text="&amp;ENCODEURL("Ya llegue. Codigo: "&amp;A1980&amp;". Ubicacion: "&amp;"https://www.google.com/maps/search/?api=1&amp;query="&amp;SUBSTITUTE(F1980," ",""))),"")</f>
        <v/>
      </c>
      <c r="M1980" s="8">
        <f>IF(B1980&lt;&gt;"",TODAY(),"")</f>
        <v/>
      </c>
      <c r="N1980" s="8">
        <f>IF(F1980&lt;&gt;"",IFERROR(IF(AND(REGEXMATCH(SUBSTITUTE(TRIM(F1980)," ",""),"^-?\d+(\.\d+)?,-?\d+(\.\d+)?$"),VALUE(REGEXEXTRACT(SUBSTITUTE(TRIM(F1980)," ",""),"^-?\d+(\.\d+)?"))&gt;=-90,VALUE(REGEXEXTRACT(SUBSTITUTE(TRIM(F1980)," ",""),"^-?\d+(\.\d+)?"))&lt;=90,VALUE(REGEXEXTRACT(SUBSTITUTE(TRIM(F1980)," ",""),"-?\d+(\.\d+)?$"))&gt;=-180,VALUE(REGEXEXTRACT(SUBSTITUTE(TRIM(F1980)," ",""),"-?\d+(\.\d+)?$"))&lt;=180),"OK","REVISAR"),"REVISAR"),"")</f>
        <v/>
      </c>
      <c r="O1980">
        <f>IF(A1980&lt;&gt;"","https://direcciones507.github.io/direcciones507/panel.html?codigo="&amp;A1980&amp;"&amp;nombre="&amp;ENCODEURL(B1980)&amp;"&amp;telefono="&amp;SUBSTITUTE(C1980,"-","")&amp;"&amp;referencia="&amp;ENCODEURL(E1980)&amp;"&amp;lat="&amp;IZQUIERDA(SUBSTITUTE(F1980," ",""),ENCONTRAR(",",SUBSTITUTE(F1980," ",""))-1)&amp;"&amp;lng="&amp;DERECHA(SUBSTITUTE(F1980," ",""),LARGO(SUBSTITUTE(F1980," ",""))-ENCONTRAR(",",SUBSTITUTE(F1980," ",""))),"")</f>
        <v/>
      </c>
    </row>
    <row r="1981" ht="15.75" customHeight="1" s="10">
      <c r="A1981" s="8">
        <f>CONCAT("AD507-",TEXT(ROW()-2,"0000"))</f>
        <v/>
      </c>
      <c r="C1981" s="8" t="n"/>
      <c r="F1981" s="8" t="n"/>
      <c r="G1981" s="8">
        <f>IF(F1981&lt;&gt;"",HYPERLINK("https://www.google.com/maps/search/?api=1&amp;query="&amp;SUBSTITUTE(F1981," ",""),"🗺 Google Maps"),"")</f>
        <v/>
      </c>
      <c r="H1981" s="8">
        <f>IF(F1981&lt;&gt;"",HYPERLINK("https://waze.com/ul?ll="&amp;SUBSTITUTE(F1981," ","")&amp;"&amp;navigate=yes","🚗 Waze"),"")</f>
        <v/>
      </c>
      <c r="I1981" s="8">
        <f>IF(F1981&lt;&gt;"",HYPERLINK("https://m.uber.com/ul/?action=setPickup&amp;pickup=my_location&amp;dropoff[latitude]="&amp;LEFT(SUBSTITUTE(F1981," ",""),FIND(",",SUBSTITUTE(F1981," ",""))-1)&amp;"&amp;dropoff[longitude]="&amp;MID(SUBSTITUTE(F1981," ",""),FIND(",",SUBSTITUTE(F1981," ",""))+1,99),"🚕 Uber"),"")</f>
        <v/>
      </c>
      <c r="J1981" s="8">
        <f>IF(F1981&lt;&gt;"","https://api.qrserver.com/v1/create-qr-code/?size=200x200&amp;data="&amp;ENCODEURL("https://www.google.com/maps/search/?api=1&amp;query="&amp;SUBSTITUTE(F1981," ","")),"")</f>
        <v/>
      </c>
      <c r="K1981" s="8">
        <f>IF(C1981&lt;&gt;"",HYPERLINK("https://wa.me/507"&amp;REGEXREPLACE(C1981,"[^0-9]","")&amp;"?text="&amp;ENCODEURL("Ya llegue. Codigo: "&amp;A1981&amp;". Ubicacion: "&amp;"https://www.google.com/maps/search/?api=1&amp;query="&amp;SUBSTITUTE(F1981," ","")),"📲 Avisar al cliente"),"")</f>
        <v/>
      </c>
      <c r="L1981" s="8">
        <f>IF(C1981&lt;&gt;"","https://api.qrserver.com/v1/create-qr-code/?size=200x200&amp;data="&amp;ENCODEURL("https://wa.me/507"&amp;REGEXREPLACE(C1981,"[^0-9]","")&amp;"?text="&amp;ENCODEURL("Ya llegue. Codigo: "&amp;A1981&amp;". Ubicacion: "&amp;"https://www.google.com/maps/search/?api=1&amp;query="&amp;SUBSTITUTE(F1981," ",""))),"")</f>
        <v/>
      </c>
      <c r="M1981" s="8">
        <f>IF(B1981&lt;&gt;"",TODAY(),"")</f>
        <v/>
      </c>
      <c r="N1981" s="8">
        <f>IF(F1981&lt;&gt;"",IFERROR(IF(AND(REGEXMATCH(SUBSTITUTE(TRIM(F1981)," ",""),"^-?\d+(\.\d+)?,-?\d+(\.\d+)?$"),VALUE(REGEXEXTRACT(SUBSTITUTE(TRIM(F1981)," ",""),"^-?\d+(\.\d+)?"))&gt;=-90,VALUE(REGEXEXTRACT(SUBSTITUTE(TRIM(F1981)," ",""),"^-?\d+(\.\d+)?"))&lt;=90,VALUE(REGEXEXTRACT(SUBSTITUTE(TRIM(F1981)," ",""),"-?\d+(\.\d+)?$"))&gt;=-180,VALUE(REGEXEXTRACT(SUBSTITUTE(TRIM(F1981)," ",""),"-?\d+(\.\d+)?$"))&lt;=180),"OK","REVISAR"),"REVISAR"),"")</f>
        <v/>
      </c>
      <c r="O1981">
        <f>IF(A1981&lt;&gt;"","https://direcciones507.github.io/direcciones507/panel.html?codigo="&amp;A1981&amp;"&amp;nombre="&amp;ENCODEURL(B1981)&amp;"&amp;telefono="&amp;SUBSTITUTE(C1981,"-","")&amp;"&amp;referencia="&amp;ENCODEURL(E1981)&amp;"&amp;lat="&amp;IZQUIERDA(SUBSTITUTE(F1981," ",""),ENCONTRAR(",",SUBSTITUTE(F1981," ",""))-1)&amp;"&amp;lng="&amp;DERECHA(SUBSTITUTE(F1981," ",""),LARGO(SUBSTITUTE(F1981," ",""))-ENCONTRAR(",",SUBSTITUTE(F1981," ",""))),"")</f>
        <v/>
      </c>
    </row>
    <row r="1982" ht="15.75" customHeight="1" s="10">
      <c r="A1982" s="8">
        <f>CONCAT("AD507-",TEXT(ROW()-2,"0000"))</f>
        <v/>
      </c>
      <c r="C1982" s="8" t="n"/>
      <c r="F1982" s="8" t="n"/>
      <c r="G1982" s="8">
        <f>IF(F1982&lt;&gt;"",HYPERLINK("https://www.google.com/maps/search/?api=1&amp;query="&amp;SUBSTITUTE(F1982," ",""),"🗺 Google Maps"),"")</f>
        <v/>
      </c>
      <c r="H1982" s="8">
        <f>IF(F1982&lt;&gt;"",HYPERLINK("https://waze.com/ul?ll="&amp;SUBSTITUTE(F1982," ","")&amp;"&amp;navigate=yes","🚗 Waze"),"")</f>
        <v/>
      </c>
      <c r="I1982" s="8">
        <f>IF(F1982&lt;&gt;"",HYPERLINK("https://m.uber.com/ul/?action=setPickup&amp;pickup=my_location&amp;dropoff[latitude]="&amp;LEFT(SUBSTITUTE(F1982," ",""),FIND(",",SUBSTITUTE(F1982," ",""))-1)&amp;"&amp;dropoff[longitude]="&amp;MID(SUBSTITUTE(F1982," ",""),FIND(",",SUBSTITUTE(F1982," ",""))+1,99),"🚕 Uber"),"")</f>
        <v/>
      </c>
      <c r="J1982" s="8">
        <f>IF(F1982&lt;&gt;"","https://api.qrserver.com/v1/create-qr-code/?size=200x200&amp;data="&amp;ENCODEURL("https://www.google.com/maps/search/?api=1&amp;query="&amp;SUBSTITUTE(F1982," ","")),"")</f>
        <v/>
      </c>
      <c r="K1982" s="8">
        <f>IF(C1982&lt;&gt;"",HYPERLINK("https://wa.me/507"&amp;REGEXREPLACE(C1982,"[^0-9]","")&amp;"?text="&amp;ENCODEURL("Ya llegue. Codigo: "&amp;A1982&amp;". Ubicacion: "&amp;"https://www.google.com/maps/search/?api=1&amp;query="&amp;SUBSTITUTE(F1982," ","")),"📲 Avisar al cliente"),"")</f>
        <v/>
      </c>
      <c r="L1982" s="8">
        <f>IF(C1982&lt;&gt;"","https://api.qrserver.com/v1/create-qr-code/?size=200x200&amp;data="&amp;ENCODEURL("https://wa.me/507"&amp;REGEXREPLACE(C1982,"[^0-9]","")&amp;"?text="&amp;ENCODEURL("Ya llegue. Codigo: "&amp;A1982&amp;". Ubicacion: "&amp;"https://www.google.com/maps/search/?api=1&amp;query="&amp;SUBSTITUTE(F1982," ",""))),"")</f>
        <v/>
      </c>
      <c r="M1982" s="8">
        <f>IF(B1982&lt;&gt;"",TODAY(),"")</f>
        <v/>
      </c>
      <c r="N1982" s="8">
        <f>IF(F1982&lt;&gt;"",IFERROR(IF(AND(REGEXMATCH(SUBSTITUTE(TRIM(F1982)," ",""),"^-?\d+(\.\d+)?,-?\d+(\.\d+)?$"),VALUE(REGEXEXTRACT(SUBSTITUTE(TRIM(F1982)," ",""),"^-?\d+(\.\d+)?"))&gt;=-90,VALUE(REGEXEXTRACT(SUBSTITUTE(TRIM(F1982)," ",""),"^-?\d+(\.\d+)?"))&lt;=90,VALUE(REGEXEXTRACT(SUBSTITUTE(TRIM(F1982)," ",""),"-?\d+(\.\d+)?$"))&gt;=-180,VALUE(REGEXEXTRACT(SUBSTITUTE(TRIM(F1982)," ",""),"-?\d+(\.\d+)?$"))&lt;=180),"OK","REVISAR"),"REVISAR"),"")</f>
        <v/>
      </c>
      <c r="O1982">
        <f>IF(A1982&lt;&gt;"","https://direcciones507.github.io/direcciones507/panel.html?codigo="&amp;A1982&amp;"&amp;nombre="&amp;ENCODEURL(B1982)&amp;"&amp;telefono="&amp;SUBSTITUTE(C1982,"-","")&amp;"&amp;referencia="&amp;ENCODEURL(E1982)&amp;"&amp;lat="&amp;IZQUIERDA(SUBSTITUTE(F1982," ",""),ENCONTRAR(",",SUBSTITUTE(F1982," ",""))-1)&amp;"&amp;lng="&amp;DERECHA(SUBSTITUTE(F1982," ",""),LARGO(SUBSTITUTE(F1982," ",""))-ENCONTRAR(",",SUBSTITUTE(F1982," ",""))),"")</f>
        <v/>
      </c>
    </row>
    <row r="1983" ht="15.75" customHeight="1" s="10">
      <c r="A1983" s="8">
        <f>CONCAT("AD507-",TEXT(ROW()-2,"0000"))</f>
        <v/>
      </c>
      <c r="C1983" s="8" t="n"/>
      <c r="F1983" s="8" t="n"/>
      <c r="G1983" s="8">
        <f>IF(F1983&lt;&gt;"",HYPERLINK("https://www.google.com/maps/search/?api=1&amp;query="&amp;SUBSTITUTE(F1983," ",""),"🗺 Google Maps"),"")</f>
        <v/>
      </c>
      <c r="H1983" s="8">
        <f>IF(F1983&lt;&gt;"",HYPERLINK("https://waze.com/ul?ll="&amp;SUBSTITUTE(F1983," ","")&amp;"&amp;navigate=yes","🚗 Waze"),"")</f>
        <v/>
      </c>
      <c r="I1983" s="8">
        <f>IF(F1983&lt;&gt;"",HYPERLINK("https://m.uber.com/ul/?action=setPickup&amp;pickup=my_location&amp;dropoff[latitude]="&amp;LEFT(SUBSTITUTE(F1983," ",""),FIND(",",SUBSTITUTE(F1983," ",""))-1)&amp;"&amp;dropoff[longitude]="&amp;MID(SUBSTITUTE(F1983," ",""),FIND(",",SUBSTITUTE(F1983," ",""))+1,99),"🚕 Uber"),"")</f>
        <v/>
      </c>
      <c r="J1983" s="8">
        <f>IF(F1983&lt;&gt;"","https://api.qrserver.com/v1/create-qr-code/?size=200x200&amp;data="&amp;ENCODEURL("https://www.google.com/maps/search/?api=1&amp;query="&amp;SUBSTITUTE(F1983," ","")),"")</f>
        <v/>
      </c>
      <c r="K1983" s="8">
        <f>IF(C1983&lt;&gt;"",HYPERLINK("https://wa.me/507"&amp;REGEXREPLACE(C1983,"[^0-9]","")&amp;"?text="&amp;ENCODEURL("Ya llegue. Codigo: "&amp;A1983&amp;". Ubicacion: "&amp;"https://www.google.com/maps/search/?api=1&amp;query="&amp;SUBSTITUTE(F1983," ","")),"📲 Avisar al cliente"),"")</f>
        <v/>
      </c>
      <c r="L1983" s="8">
        <f>IF(C1983&lt;&gt;"","https://api.qrserver.com/v1/create-qr-code/?size=200x200&amp;data="&amp;ENCODEURL("https://wa.me/507"&amp;REGEXREPLACE(C1983,"[^0-9]","")&amp;"?text="&amp;ENCODEURL("Ya llegue. Codigo: "&amp;A1983&amp;". Ubicacion: "&amp;"https://www.google.com/maps/search/?api=1&amp;query="&amp;SUBSTITUTE(F1983," ",""))),"")</f>
        <v/>
      </c>
      <c r="M1983" s="8">
        <f>IF(B1983&lt;&gt;"",TODAY(),"")</f>
        <v/>
      </c>
      <c r="N1983" s="8">
        <f>IF(F1983&lt;&gt;"",IFERROR(IF(AND(REGEXMATCH(SUBSTITUTE(TRIM(F1983)," ",""),"^-?\d+(\.\d+)?,-?\d+(\.\d+)?$"),VALUE(REGEXEXTRACT(SUBSTITUTE(TRIM(F1983)," ",""),"^-?\d+(\.\d+)?"))&gt;=-90,VALUE(REGEXEXTRACT(SUBSTITUTE(TRIM(F1983)," ",""),"^-?\d+(\.\d+)?"))&lt;=90,VALUE(REGEXEXTRACT(SUBSTITUTE(TRIM(F1983)," ",""),"-?\d+(\.\d+)?$"))&gt;=-180,VALUE(REGEXEXTRACT(SUBSTITUTE(TRIM(F1983)," ",""),"-?\d+(\.\d+)?$"))&lt;=180),"OK","REVISAR"),"REVISAR"),"")</f>
        <v/>
      </c>
      <c r="O1983">
        <f>IF(A1983&lt;&gt;"","https://direcciones507.github.io/direcciones507/panel.html?codigo="&amp;A1983&amp;"&amp;nombre="&amp;ENCODEURL(B1983)&amp;"&amp;telefono="&amp;SUBSTITUTE(C1983,"-","")&amp;"&amp;referencia="&amp;ENCODEURL(E1983)&amp;"&amp;lat="&amp;IZQUIERDA(SUBSTITUTE(F1983," ",""),ENCONTRAR(",",SUBSTITUTE(F1983," ",""))-1)&amp;"&amp;lng="&amp;DERECHA(SUBSTITUTE(F1983," ",""),LARGO(SUBSTITUTE(F1983," ",""))-ENCONTRAR(",",SUBSTITUTE(F1983," ",""))),"")</f>
        <v/>
      </c>
    </row>
    <row r="1984" ht="15.75" customHeight="1" s="10">
      <c r="A1984" s="8">
        <f>CONCAT("AD507-",TEXT(ROW()-2,"0000"))</f>
        <v/>
      </c>
      <c r="C1984" s="8" t="n"/>
      <c r="F1984" s="8" t="n"/>
      <c r="G1984" s="8">
        <f>IF(F1984&lt;&gt;"",HYPERLINK("https://www.google.com/maps/search/?api=1&amp;query="&amp;SUBSTITUTE(F1984," ",""),"🗺 Google Maps"),"")</f>
        <v/>
      </c>
      <c r="H1984" s="8">
        <f>IF(F1984&lt;&gt;"",HYPERLINK("https://waze.com/ul?ll="&amp;SUBSTITUTE(F1984," ","")&amp;"&amp;navigate=yes","🚗 Waze"),"")</f>
        <v/>
      </c>
      <c r="I1984" s="8">
        <f>IF(F1984&lt;&gt;"",HYPERLINK("https://m.uber.com/ul/?action=setPickup&amp;pickup=my_location&amp;dropoff[latitude]="&amp;LEFT(SUBSTITUTE(F1984," ",""),FIND(",",SUBSTITUTE(F1984," ",""))-1)&amp;"&amp;dropoff[longitude]="&amp;MID(SUBSTITUTE(F1984," ",""),FIND(",",SUBSTITUTE(F1984," ",""))+1,99),"🚕 Uber"),"")</f>
        <v/>
      </c>
      <c r="J1984" s="8">
        <f>IF(F1984&lt;&gt;"","https://api.qrserver.com/v1/create-qr-code/?size=200x200&amp;data="&amp;ENCODEURL("https://www.google.com/maps/search/?api=1&amp;query="&amp;SUBSTITUTE(F1984," ","")),"")</f>
        <v/>
      </c>
      <c r="K1984" s="8">
        <f>IF(C1984&lt;&gt;"",HYPERLINK("https://wa.me/507"&amp;REGEXREPLACE(C1984,"[^0-9]","")&amp;"?text="&amp;ENCODEURL("Ya llegue. Codigo: "&amp;A1984&amp;". Ubicacion: "&amp;"https://www.google.com/maps/search/?api=1&amp;query="&amp;SUBSTITUTE(F1984," ","")),"📲 Avisar al cliente"),"")</f>
        <v/>
      </c>
      <c r="L1984" s="8">
        <f>IF(C1984&lt;&gt;"","https://api.qrserver.com/v1/create-qr-code/?size=200x200&amp;data="&amp;ENCODEURL("https://wa.me/507"&amp;REGEXREPLACE(C1984,"[^0-9]","")&amp;"?text="&amp;ENCODEURL("Ya llegue. Codigo: "&amp;A1984&amp;". Ubicacion: "&amp;"https://www.google.com/maps/search/?api=1&amp;query="&amp;SUBSTITUTE(F1984," ",""))),"")</f>
        <v/>
      </c>
      <c r="M1984" s="8">
        <f>IF(B1984&lt;&gt;"",TODAY(),"")</f>
        <v/>
      </c>
      <c r="N1984" s="8">
        <f>IF(F1984&lt;&gt;"",IFERROR(IF(AND(REGEXMATCH(SUBSTITUTE(TRIM(F1984)," ",""),"^-?\d+(\.\d+)?,-?\d+(\.\d+)?$"),VALUE(REGEXEXTRACT(SUBSTITUTE(TRIM(F1984)," ",""),"^-?\d+(\.\d+)?"))&gt;=-90,VALUE(REGEXEXTRACT(SUBSTITUTE(TRIM(F1984)," ",""),"^-?\d+(\.\d+)?"))&lt;=90,VALUE(REGEXEXTRACT(SUBSTITUTE(TRIM(F1984)," ",""),"-?\d+(\.\d+)?$"))&gt;=-180,VALUE(REGEXEXTRACT(SUBSTITUTE(TRIM(F1984)," ",""),"-?\d+(\.\d+)?$"))&lt;=180),"OK","REVISAR"),"REVISAR"),"")</f>
        <v/>
      </c>
      <c r="O1984">
        <f>IF(A1984&lt;&gt;"","https://direcciones507.github.io/direcciones507/panel.html?codigo="&amp;A1984&amp;"&amp;nombre="&amp;ENCODEURL(B1984)&amp;"&amp;telefono="&amp;SUBSTITUTE(C1984,"-","")&amp;"&amp;referencia="&amp;ENCODEURL(E1984)&amp;"&amp;lat="&amp;IZQUIERDA(SUBSTITUTE(F1984," ",""),ENCONTRAR(",",SUBSTITUTE(F1984," ",""))-1)&amp;"&amp;lng="&amp;DERECHA(SUBSTITUTE(F1984," ",""),LARGO(SUBSTITUTE(F1984," ",""))-ENCONTRAR(",",SUBSTITUTE(F1984," ",""))),"")</f>
        <v/>
      </c>
    </row>
    <row r="1985" ht="15.75" customHeight="1" s="10">
      <c r="A1985" s="8">
        <f>CONCAT("AD507-",TEXT(ROW()-2,"0000"))</f>
        <v/>
      </c>
      <c r="C1985" s="8" t="n"/>
      <c r="F1985" s="8" t="n"/>
      <c r="G1985" s="8">
        <f>IF(F1985&lt;&gt;"",HYPERLINK("https://www.google.com/maps/search/?api=1&amp;query="&amp;SUBSTITUTE(F1985," ",""),"🗺 Google Maps"),"")</f>
        <v/>
      </c>
      <c r="H1985" s="8">
        <f>IF(F1985&lt;&gt;"",HYPERLINK("https://waze.com/ul?ll="&amp;SUBSTITUTE(F1985," ","")&amp;"&amp;navigate=yes","🚗 Waze"),"")</f>
        <v/>
      </c>
      <c r="I1985" s="8">
        <f>IF(F1985&lt;&gt;"",HYPERLINK("https://m.uber.com/ul/?action=setPickup&amp;pickup=my_location&amp;dropoff[latitude]="&amp;LEFT(SUBSTITUTE(F1985," ",""),FIND(",",SUBSTITUTE(F1985," ",""))-1)&amp;"&amp;dropoff[longitude]="&amp;MID(SUBSTITUTE(F1985," ",""),FIND(",",SUBSTITUTE(F1985," ",""))+1,99),"🚕 Uber"),"")</f>
        <v/>
      </c>
      <c r="J1985" s="8">
        <f>IF(F1985&lt;&gt;"","https://api.qrserver.com/v1/create-qr-code/?size=200x200&amp;data="&amp;ENCODEURL("https://www.google.com/maps/search/?api=1&amp;query="&amp;SUBSTITUTE(F1985," ","")),"")</f>
        <v/>
      </c>
      <c r="K1985" s="8">
        <f>IF(C1985&lt;&gt;"",HYPERLINK("https://wa.me/507"&amp;REGEXREPLACE(C1985,"[^0-9]","")&amp;"?text="&amp;ENCODEURL("Ya llegue. Codigo: "&amp;A1985&amp;". Ubicacion: "&amp;"https://www.google.com/maps/search/?api=1&amp;query="&amp;SUBSTITUTE(F1985," ","")),"📲 Avisar al cliente"),"")</f>
        <v/>
      </c>
      <c r="L1985" s="8">
        <f>IF(C1985&lt;&gt;"","https://api.qrserver.com/v1/create-qr-code/?size=200x200&amp;data="&amp;ENCODEURL("https://wa.me/507"&amp;REGEXREPLACE(C1985,"[^0-9]","")&amp;"?text="&amp;ENCODEURL("Ya llegue. Codigo: "&amp;A1985&amp;". Ubicacion: "&amp;"https://www.google.com/maps/search/?api=1&amp;query="&amp;SUBSTITUTE(F1985," ",""))),"")</f>
        <v/>
      </c>
      <c r="M1985" s="8">
        <f>IF(B1985&lt;&gt;"",TODAY(),"")</f>
        <v/>
      </c>
      <c r="N1985" s="8">
        <f>IF(F1985&lt;&gt;"",IFERROR(IF(AND(REGEXMATCH(SUBSTITUTE(TRIM(F1985)," ",""),"^-?\d+(\.\d+)?,-?\d+(\.\d+)?$"),VALUE(REGEXEXTRACT(SUBSTITUTE(TRIM(F1985)," ",""),"^-?\d+(\.\d+)?"))&gt;=-90,VALUE(REGEXEXTRACT(SUBSTITUTE(TRIM(F1985)," ",""),"^-?\d+(\.\d+)?"))&lt;=90,VALUE(REGEXEXTRACT(SUBSTITUTE(TRIM(F1985)," ",""),"-?\d+(\.\d+)?$"))&gt;=-180,VALUE(REGEXEXTRACT(SUBSTITUTE(TRIM(F1985)," ",""),"-?\d+(\.\d+)?$"))&lt;=180),"OK","REVISAR"),"REVISAR"),"")</f>
        <v/>
      </c>
      <c r="O1985">
        <f>IF(A1985&lt;&gt;"","https://direcciones507.github.io/direcciones507/panel.html?codigo="&amp;A1985&amp;"&amp;nombre="&amp;ENCODEURL(B1985)&amp;"&amp;telefono="&amp;SUBSTITUTE(C1985,"-","")&amp;"&amp;referencia="&amp;ENCODEURL(E1985)&amp;"&amp;lat="&amp;IZQUIERDA(SUBSTITUTE(F1985," ",""),ENCONTRAR(",",SUBSTITUTE(F1985," ",""))-1)&amp;"&amp;lng="&amp;DERECHA(SUBSTITUTE(F1985," ",""),LARGO(SUBSTITUTE(F1985," ",""))-ENCONTRAR(",",SUBSTITUTE(F1985," ",""))),"")</f>
        <v/>
      </c>
    </row>
    <row r="1986" ht="15.75" customHeight="1" s="10">
      <c r="A1986" s="8">
        <f>CONCAT("AD507-",TEXT(ROW()-2,"0000"))</f>
        <v/>
      </c>
      <c r="C1986" s="8" t="n"/>
      <c r="F1986" s="8" t="n"/>
      <c r="G1986" s="8">
        <f>IF(F1986&lt;&gt;"",HYPERLINK("https://www.google.com/maps/search/?api=1&amp;query="&amp;SUBSTITUTE(F1986," ",""),"🗺 Google Maps"),"")</f>
        <v/>
      </c>
      <c r="H1986" s="8">
        <f>IF(F1986&lt;&gt;"",HYPERLINK("https://waze.com/ul?ll="&amp;SUBSTITUTE(F1986," ","")&amp;"&amp;navigate=yes","🚗 Waze"),"")</f>
        <v/>
      </c>
      <c r="I1986" s="8">
        <f>IF(F1986&lt;&gt;"",HYPERLINK("https://m.uber.com/ul/?action=setPickup&amp;pickup=my_location&amp;dropoff[latitude]="&amp;LEFT(SUBSTITUTE(F1986," ",""),FIND(",",SUBSTITUTE(F1986," ",""))-1)&amp;"&amp;dropoff[longitude]="&amp;MID(SUBSTITUTE(F1986," ",""),FIND(",",SUBSTITUTE(F1986," ",""))+1,99),"🚕 Uber"),"")</f>
        <v/>
      </c>
      <c r="J1986" s="8">
        <f>IF(F1986&lt;&gt;"","https://api.qrserver.com/v1/create-qr-code/?size=200x200&amp;data="&amp;ENCODEURL("https://www.google.com/maps/search/?api=1&amp;query="&amp;SUBSTITUTE(F1986," ","")),"")</f>
        <v/>
      </c>
      <c r="K1986" s="8">
        <f>IF(C1986&lt;&gt;"",HYPERLINK("https://wa.me/507"&amp;REGEXREPLACE(C1986,"[^0-9]","")&amp;"?text="&amp;ENCODEURL("Ya llegue. Codigo: "&amp;A1986&amp;". Ubicacion: "&amp;"https://www.google.com/maps/search/?api=1&amp;query="&amp;SUBSTITUTE(F1986," ","")),"📲 Avisar al cliente"),"")</f>
        <v/>
      </c>
      <c r="L1986" s="8">
        <f>IF(C1986&lt;&gt;"","https://api.qrserver.com/v1/create-qr-code/?size=200x200&amp;data="&amp;ENCODEURL("https://wa.me/507"&amp;REGEXREPLACE(C1986,"[^0-9]","")&amp;"?text="&amp;ENCODEURL("Ya llegue. Codigo: "&amp;A1986&amp;". Ubicacion: "&amp;"https://www.google.com/maps/search/?api=1&amp;query="&amp;SUBSTITUTE(F1986," ",""))),"")</f>
        <v/>
      </c>
      <c r="M1986" s="8">
        <f>IF(B1986&lt;&gt;"",TODAY(),"")</f>
        <v/>
      </c>
      <c r="N1986" s="8">
        <f>IF(F1986&lt;&gt;"",IFERROR(IF(AND(REGEXMATCH(SUBSTITUTE(TRIM(F1986)," ",""),"^-?\d+(\.\d+)?,-?\d+(\.\d+)?$"),VALUE(REGEXEXTRACT(SUBSTITUTE(TRIM(F1986)," ",""),"^-?\d+(\.\d+)?"))&gt;=-90,VALUE(REGEXEXTRACT(SUBSTITUTE(TRIM(F1986)," ",""),"^-?\d+(\.\d+)?"))&lt;=90,VALUE(REGEXEXTRACT(SUBSTITUTE(TRIM(F1986)," ",""),"-?\d+(\.\d+)?$"))&gt;=-180,VALUE(REGEXEXTRACT(SUBSTITUTE(TRIM(F1986)," ",""),"-?\d+(\.\d+)?$"))&lt;=180),"OK","REVISAR"),"REVISAR"),"")</f>
        <v/>
      </c>
      <c r="O1986">
        <f>IF(A1986&lt;&gt;"","https://direcciones507.github.io/direcciones507/panel.html?codigo="&amp;A1986&amp;"&amp;nombre="&amp;ENCODEURL(B1986)&amp;"&amp;telefono="&amp;SUBSTITUTE(C1986,"-","")&amp;"&amp;referencia="&amp;ENCODEURL(E1986)&amp;"&amp;lat="&amp;IZQUIERDA(SUBSTITUTE(F1986," ",""),ENCONTRAR(",",SUBSTITUTE(F1986," ",""))-1)&amp;"&amp;lng="&amp;DERECHA(SUBSTITUTE(F1986," ",""),LARGO(SUBSTITUTE(F1986," ",""))-ENCONTRAR(",",SUBSTITUTE(F1986," ",""))),"")</f>
        <v/>
      </c>
    </row>
    <row r="1987" ht="15.75" customHeight="1" s="10">
      <c r="A1987" s="8">
        <f>CONCAT("AD507-",TEXT(ROW()-2,"0000"))</f>
        <v/>
      </c>
      <c r="C1987" s="8" t="n"/>
      <c r="F1987" s="8" t="n"/>
      <c r="G1987" s="8">
        <f>IF(F1987&lt;&gt;"",HYPERLINK("https://www.google.com/maps/search/?api=1&amp;query="&amp;SUBSTITUTE(F1987," ",""),"🗺 Google Maps"),"")</f>
        <v/>
      </c>
      <c r="H1987" s="8">
        <f>IF(F1987&lt;&gt;"",HYPERLINK("https://waze.com/ul?ll="&amp;SUBSTITUTE(F1987," ","")&amp;"&amp;navigate=yes","🚗 Waze"),"")</f>
        <v/>
      </c>
      <c r="I1987" s="8">
        <f>IF(F1987&lt;&gt;"",HYPERLINK("https://m.uber.com/ul/?action=setPickup&amp;pickup=my_location&amp;dropoff[latitude]="&amp;LEFT(SUBSTITUTE(F1987," ",""),FIND(",",SUBSTITUTE(F1987," ",""))-1)&amp;"&amp;dropoff[longitude]="&amp;MID(SUBSTITUTE(F1987," ",""),FIND(",",SUBSTITUTE(F1987," ",""))+1,99),"🚕 Uber"),"")</f>
        <v/>
      </c>
      <c r="J1987" s="8">
        <f>IF(F1987&lt;&gt;"","https://api.qrserver.com/v1/create-qr-code/?size=200x200&amp;data="&amp;ENCODEURL("https://www.google.com/maps/search/?api=1&amp;query="&amp;SUBSTITUTE(F1987," ","")),"")</f>
        <v/>
      </c>
      <c r="K1987" s="8">
        <f>IF(C1987&lt;&gt;"",HYPERLINK("https://wa.me/507"&amp;REGEXREPLACE(C1987,"[^0-9]","")&amp;"?text="&amp;ENCODEURL("Ya llegue. Codigo: "&amp;A1987&amp;". Ubicacion: "&amp;"https://www.google.com/maps/search/?api=1&amp;query="&amp;SUBSTITUTE(F1987," ","")),"📲 Avisar al cliente"),"")</f>
        <v/>
      </c>
      <c r="L1987" s="8">
        <f>IF(C1987&lt;&gt;"","https://api.qrserver.com/v1/create-qr-code/?size=200x200&amp;data="&amp;ENCODEURL("https://wa.me/507"&amp;REGEXREPLACE(C1987,"[^0-9]","")&amp;"?text="&amp;ENCODEURL("Ya llegue. Codigo: "&amp;A1987&amp;". Ubicacion: "&amp;"https://www.google.com/maps/search/?api=1&amp;query="&amp;SUBSTITUTE(F1987," ",""))),"")</f>
        <v/>
      </c>
      <c r="M1987" s="8">
        <f>IF(B1987&lt;&gt;"",TODAY(),"")</f>
        <v/>
      </c>
      <c r="N1987" s="8">
        <f>IF(F1987&lt;&gt;"",IFERROR(IF(AND(REGEXMATCH(SUBSTITUTE(TRIM(F1987)," ",""),"^-?\d+(\.\d+)?,-?\d+(\.\d+)?$"),VALUE(REGEXEXTRACT(SUBSTITUTE(TRIM(F1987)," ",""),"^-?\d+(\.\d+)?"))&gt;=-90,VALUE(REGEXEXTRACT(SUBSTITUTE(TRIM(F1987)," ",""),"^-?\d+(\.\d+)?"))&lt;=90,VALUE(REGEXEXTRACT(SUBSTITUTE(TRIM(F1987)," ",""),"-?\d+(\.\d+)?$"))&gt;=-180,VALUE(REGEXEXTRACT(SUBSTITUTE(TRIM(F1987)," ",""),"-?\d+(\.\d+)?$"))&lt;=180),"OK","REVISAR"),"REVISAR"),"")</f>
        <v/>
      </c>
      <c r="O1987">
        <f>IF(A1987&lt;&gt;"","https://direcciones507.github.io/direcciones507/panel.html?codigo="&amp;A1987&amp;"&amp;nombre="&amp;ENCODEURL(B1987)&amp;"&amp;telefono="&amp;SUBSTITUTE(C1987,"-","")&amp;"&amp;referencia="&amp;ENCODEURL(E1987)&amp;"&amp;lat="&amp;IZQUIERDA(SUBSTITUTE(F1987," ",""),ENCONTRAR(",",SUBSTITUTE(F1987," ",""))-1)&amp;"&amp;lng="&amp;DERECHA(SUBSTITUTE(F1987," ",""),LARGO(SUBSTITUTE(F1987," ",""))-ENCONTRAR(",",SUBSTITUTE(F1987," ",""))),"")</f>
        <v/>
      </c>
    </row>
    <row r="1988" ht="15.75" customHeight="1" s="10">
      <c r="A1988" s="8">
        <f>CONCAT("AD507-",TEXT(ROW()-2,"0000"))</f>
        <v/>
      </c>
      <c r="C1988" s="8" t="n"/>
      <c r="F1988" s="8" t="n"/>
      <c r="G1988" s="8">
        <f>IF(F1988&lt;&gt;"",HYPERLINK("https://www.google.com/maps/search/?api=1&amp;query="&amp;SUBSTITUTE(F1988," ",""),"🗺 Google Maps"),"")</f>
        <v/>
      </c>
      <c r="H1988" s="8">
        <f>IF(F1988&lt;&gt;"",HYPERLINK("https://waze.com/ul?ll="&amp;SUBSTITUTE(F1988," ","")&amp;"&amp;navigate=yes","🚗 Waze"),"")</f>
        <v/>
      </c>
      <c r="I1988" s="8">
        <f>IF(F1988&lt;&gt;"",HYPERLINK("https://m.uber.com/ul/?action=setPickup&amp;pickup=my_location&amp;dropoff[latitude]="&amp;LEFT(SUBSTITUTE(F1988," ",""),FIND(",",SUBSTITUTE(F1988," ",""))-1)&amp;"&amp;dropoff[longitude]="&amp;MID(SUBSTITUTE(F1988," ",""),FIND(",",SUBSTITUTE(F1988," ",""))+1,99),"🚕 Uber"),"")</f>
        <v/>
      </c>
      <c r="J1988" s="8">
        <f>IF(F1988&lt;&gt;"","https://api.qrserver.com/v1/create-qr-code/?size=200x200&amp;data="&amp;ENCODEURL("https://www.google.com/maps/search/?api=1&amp;query="&amp;SUBSTITUTE(F1988," ","")),"")</f>
        <v/>
      </c>
      <c r="K1988" s="8">
        <f>IF(C1988&lt;&gt;"",HYPERLINK("https://wa.me/507"&amp;REGEXREPLACE(C1988,"[^0-9]","")&amp;"?text="&amp;ENCODEURL("Ya llegue. Codigo: "&amp;A1988&amp;". Ubicacion: "&amp;"https://www.google.com/maps/search/?api=1&amp;query="&amp;SUBSTITUTE(F1988," ","")),"📲 Avisar al cliente"),"")</f>
        <v/>
      </c>
      <c r="L1988" s="8">
        <f>IF(C1988&lt;&gt;"","https://api.qrserver.com/v1/create-qr-code/?size=200x200&amp;data="&amp;ENCODEURL("https://wa.me/507"&amp;REGEXREPLACE(C1988,"[^0-9]","")&amp;"?text="&amp;ENCODEURL("Ya llegue. Codigo: "&amp;A1988&amp;". Ubicacion: "&amp;"https://www.google.com/maps/search/?api=1&amp;query="&amp;SUBSTITUTE(F1988," ",""))),"")</f>
        <v/>
      </c>
      <c r="M1988" s="8">
        <f>IF(B1988&lt;&gt;"",TODAY(),"")</f>
        <v/>
      </c>
      <c r="N1988" s="8">
        <f>IF(F1988&lt;&gt;"",IFERROR(IF(AND(REGEXMATCH(SUBSTITUTE(TRIM(F1988)," ",""),"^-?\d+(\.\d+)?,-?\d+(\.\d+)?$"),VALUE(REGEXEXTRACT(SUBSTITUTE(TRIM(F1988)," ",""),"^-?\d+(\.\d+)?"))&gt;=-90,VALUE(REGEXEXTRACT(SUBSTITUTE(TRIM(F1988)," ",""),"^-?\d+(\.\d+)?"))&lt;=90,VALUE(REGEXEXTRACT(SUBSTITUTE(TRIM(F1988)," ",""),"-?\d+(\.\d+)?$"))&gt;=-180,VALUE(REGEXEXTRACT(SUBSTITUTE(TRIM(F1988)," ",""),"-?\d+(\.\d+)?$"))&lt;=180),"OK","REVISAR"),"REVISAR"),"")</f>
        <v/>
      </c>
      <c r="O1988">
        <f>IF(A1988&lt;&gt;"","https://direcciones507.github.io/direcciones507/panel.html?codigo="&amp;A1988&amp;"&amp;nombre="&amp;ENCODEURL(B1988)&amp;"&amp;telefono="&amp;SUBSTITUTE(C1988,"-","")&amp;"&amp;referencia="&amp;ENCODEURL(E1988)&amp;"&amp;lat="&amp;IZQUIERDA(SUBSTITUTE(F1988," ",""),ENCONTRAR(",",SUBSTITUTE(F1988," ",""))-1)&amp;"&amp;lng="&amp;DERECHA(SUBSTITUTE(F1988," ",""),LARGO(SUBSTITUTE(F1988," ",""))-ENCONTRAR(",",SUBSTITUTE(F1988," ",""))),"")</f>
        <v/>
      </c>
    </row>
    <row r="1989" ht="15.75" customHeight="1" s="10">
      <c r="A1989" s="8">
        <f>CONCAT("AD507-",TEXT(ROW()-2,"0000"))</f>
        <v/>
      </c>
      <c r="C1989" s="8" t="n"/>
      <c r="F1989" s="8" t="n"/>
      <c r="G1989" s="8">
        <f>IF(F1989&lt;&gt;"",HYPERLINK("https://www.google.com/maps/search/?api=1&amp;query="&amp;SUBSTITUTE(F1989," ",""),"🗺 Google Maps"),"")</f>
        <v/>
      </c>
      <c r="H1989" s="8">
        <f>IF(F1989&lt;&gt;"",HYPERLINK("https://waze.com/ul?ll="&amp;SUBSTITUTE(F1989," ","")&amp;"&amp;navigate=yes","🚗 Waze"),"")</f>
        <v/>
      </c>
      <c r="I1989" s="8">
        <f>IF(F1989&lt;&gt;"",HYPERLINK("https://m.uber.com/ul/?action=setPickup&amp;pickup=my_location&amp;dropoff[latitude]="&amp;LEFT(SUBSTITUTE(F1989," ",""),FIND(",",SUBSTITUTE(F1989," ",""))-1)&amp;"&amp;dropoff[longitude]="&amp;MID(SUBSTITUTE(F1989," ",""),FIND(",",SUBSTITUTE(F1989," ",""))+1,99),"🚕 Uber"),"")</f>
        <v/>
      </c>
      <c r="J1989" s="8">
        <f>IF(F1989&lt;&gt;"","https://api.qrserver.com/v1/create-qr-code/?size=200x200&amp;data="&amp;ENCODEURL("https://www.google.com/maps/search/?api=1&amp;query="&amp;SUBSTITUTE(F1989," ","")),"")</f>
        <v/>
      </c>
      <c r="K1989" s="8">
        <f>IF(C1989&lt;&gt;"",HYPERLINK("https://wa.me/507"&amp;REGEXREPLACE(C1989,"[^0-9]","")&amp;"?text="&amp;ENCODEURL("Ya llegue. Codigo: "&amp;A1989&amp;". Ubicacion: "&amp;"https://www.google.com/maps/search/?api=1&amp;query="&amp;SUBSTITUTE(F1989," ","")),"📲 Avisar al cliente"),"")</f>
        <v/>
      </c>
      <c r="L1989" s="8">
        <f>IF(C1989&lt;&gt;"","https://api.qrserver.com/v1/create-qr-code/?size=200x200&amp;data="&amp;ENCODEURL("https://wa.me/507"&amp;REGEXREPLACE(C1989,"[^0-9]","")&amp;"?text="&amp;ENCODEURL("Ya llegue. Codigo: "&amp;A1989&amp;". Ubicacion: "&amp;"https://www.google.com/maps/search/?api=1&amp;query="&amp;SUBSTITUTE(F1989," ",""))),"")</f>
        <v/>
      </c>
      <c r="M1989" s="8">
        <f>IF(B1989&lt;&gt;"",TODAY(),"")</f>
        <v/>
      </c>
      <c r="N1989" s="8">
        <f>IF(F1989&lt;&gt;"",IFERROR(IF(AND(REGEXMATCH(SUBSTITUTE(TRIM(F1989)," ",""),"^-?\d+(\.\d+)?,-?\d+(\.\d+)?$"),VALUE(REGEXEXTRACT(SUBSTITUTE(TRIM(F1989)," ",""),"^-?\d+(\.\d+)?"))&gt;=-90,VALUE(REGEXEXTRACT(SUBSTITUTE(TRIM(F1989)," ",""),"^-?\d+(\.\d+)?"))&lt;=90,VALUE(REGEXEXTRACT(SUBSTITUTE(TRIM(F1989)," ",""),"-?\d+(\.\d+)?$"))&gt;=-180,VALUE(REGEXEXTRACT(SUBSTITUTE(TRIM(F1989)," ",""),"-?\d+(\.\d+)?$"))&lt;=180),"OK","REVISAR"),"REVISAR"),"")</f>
        <v/>
      </c>
      <c r="O1989">
        <f>IF(A1989&lt;&gt;"","https://direcciones507.github.io/direcciones507/panel.html?codigo="&amp;A1989&amp;"&amp;nombre="&amp;ENCODEURL(B1989)&amp;"&amp;telefono="&amp;SUBSTITUTE(C1989,"-","")&amp;"&amp;referencia="&amp;ENCODEURL(E1989)&amp;"&amp;lat="&amp;IZQUIERDA(SUBSTITUTE(F1989," ",""),ENCONTRAR(",",SUBSTITUTE(F1989," ",""))-1)&amp;"&amp;lng="&amp;DERECHA(SUBSTITUTE(F1989," ",""),LARGO(SUBSTITUTE(F1989," ",""))-ENCONTRAR(",",SUBSTITUTE(F1989," ",""))),"")</f>
        <v/>
      </c>
    </row>
    <row r="1990" ht="15.75" customHeight="1" s="10">
      <c r="A1990" s="8">
        <f>CONCAT("AD507-",TEXT(ROW()-2,"0000"))</f>
        <v/>
      </c>
      <c r="C1990" s="8" t="n"/>
      <c r="F1990" s="8" t="n"/>
      <c r="G1990" s="8">
        <f>IF(F1990&lt;&gt;"",HYPERLINK("https://www.google.com/maps/search/?api=1&amp;query="&amp;SUBSTITUTE(F1990," ",""),"🗺 Google Maps"),"")</f>
        <v/>
      </c>
      <c r="H1990" s="8">
        <f>IF(F1990&lt;&gt;"",HYPERLINK("https://waze.com/ul?ll="&amp;SUBSTITUTE(F1990," ","")&amp;"&amp;navigate=yes","🚗 Waze"),"")</f>
        <v/>
      </c>
      <c r="I1990" s="8">
        <f>IF(F1990&lt;&gt;"",HYPERLINK("https://m.uber.com/ul/?action=setPickup&amp;pickup=my_location&amp;dropoff[latitude]="&amp;LEFT(SUBSTITUTE(F1990," ",""),FIND(",",SUBSTITUTE(F1990," ",""))-1)&amp;"&amp;dropoff[longitude]="&amp;MID(SUBSTITUTE(F1990," ",""),FIND(",",SUBSTITUTE(F1990," ",""))+1,99),"🚕 Uber"),"")</f>
        <v/>
      </c>
      <c r="J1990" s="8">
        <f>IF(F1990&lt;&gt;"","https://api.qrserver.com/v1/create-qr-code/?size=200x200&amp;data="&amp;ENCODEURL("https://www.google.com/maps/search/?api=1&amp;query="&amp;SUBSTITUTE(F1990," ","")),"")</f>
        <v/>
      </c>
      <c r="K1990" s="8">
        <f>IF(C1990&lt;&gt;"",HYPERLINK("https://wa.me/507"&amp;REGEXREPLACE(C1990,"[^0-9]","")&amp;"?text="&amp;ENCODEURL("Ya llegue. Codigo: "&amp;A1990&amp;". Ubicacion: "&amp;"https://www.google.com/maps/search/?api=1&amp;query="&amp;SUBSTITUTE(F1990," ","")),"📲 Avisar al cliente"),"")</f>
        <v/>
      </c>
      <c r="L1990" s="8">
        <f>IF(C1990&lt;&gt;"","https://api.qrserver.com/v1/create-qr-code/?size=200x200&amp;data="&amp;ENCODEURL("https://wa.me/507"&amp;REGEXREPLACE(C1990,"[^0-9]","")&amp;"?text="&amp;ENCODEURL("Ya llegue. Codigo: "&amp;A1990&amp;". Ubicacion: "&amp;"https://www.google.com/maps/search/?api=1&amp;query="&amp;SUBSTITUTE(F1990," ",""))),"")</f>
        <v/>
      </c>
      <c r="M1990" s="8">
        <f>IF(B1990&lt;&gt;"",TODAY(),"")</f>
        <v/>
      </c>
      <c r="N1990" s="8">
        <f>IF(F1990&lt;&gt;"",IFERROR(IF(AND(REGEXMATCH(SUBSTITUTE(TRIM(F1990)," ",""),"^-?\d+(\.\d+)?,-?\d+(\.\d+)?$"),VALUE(REGEXEXTRACT(SUBSTITUTE(TRIM(F1990)," ",""),"^-?\d+(\.\d+)?"))&gt;=-90,VALUE(REGEXEXTRACT(SUBSTITUTE(TRIM(F1990)," ",""),"^-?\d+(\.\d+)?"))&lt;=90,VALUE(REGEXEXTRACT(SUBSTITUTE(TRIM(F1990)," ",""),"-?\d+(\.\d+)?$"))&gt;=-180,VALUE(REGEXEXTRACT(SUBSTITUTE(TRIM(F1990)," ",""),"-?\d+(\.\d+)?$"))&lt;=180),"OK","REVISAR"),"REVISAR"),"")</f>
        <v/>
      </c>
      <c r="O1990">
        <f>IF(A1990&lt;&gt;"","https://direcciones507.github.io/direcciones507/panel.html?codigo="&amp;A1990&amp;"&amp;nombre="&amp;ENCODEURL(B1990)&amp;"&amp;telefono="&amp;SUBSTITUTE(C1990,"-","")&amp;"&amp;referencia="&amp;ENCODEURL(E1990)&amp;"&amp;lat="&amp;IZQUIERDA(SUBSTITUTE(F1990," ",""),ENCONTRAR(",",SUBSTITUTE(F1990," ",""))-1)&amp;"&amp;lng="&amp;DERECHA(SUBSTITUTE(F1990," ",""),LARGO(SUBSTITUTE(F1990," ",""))-ENCONTRAR(",",SUBSTITUTE(F1990," ",""))),"")</f>
        <v/>
      </c>
    </row>
    <row r="1991" ht="15.75" customHeight="1" s="10">
      <c r="A1991" s="8">
        <f>CONCAT("AD507-",TEXT(ROW()-2,"0000"))</f>
        <v/>
      </c>
      <c r="C1991" s="8" t="n"/>
      <c r="F1991" s="8" t="n"/>
      <c r="G1991" s="8">
        <f>IF(F1991&lt;&gt;"",HYPERLINK("https://www.google.com/maps/search/?api=1&amp;query="&amp;SUBSTITUTE(F1991," ",""),"🗺 Google Maps"),"")</f>
        <v/>
      </c>
      <c r="H1991" s="8">
        <f>IF(F1991&lt;&gt;"",HYPERLINK("https://waze.com/ul?ll="&amp;SUBSTITUTE(F1991," ","")&amp;"&amp;navigate=yes","🚗 Waze"),"")</f>
        <v/>
      </c>
      <c r="I1991" s="8">
        <f>IF(F1991&lt;&gt;"",HYPERLINK("https://m.uber.com/ul/?action=setPickup&amp;pickup=my_location&amp;dropoff[latitude]="&amp;LEFT(SUBSTITUTE(F1991," ",""),FIND(",",SUBSTITUTE(F1991," ",""))-1)&amp;"&amp;dropoff[longitude]="&amp;MID(SUBSTITUTE(F1991," ",""),FIND(",",SUBSTITUTE(F1991," ",""))+1,99),"🚕 Uber"),"")</f>
        <v/>
      </c>
      <c r="J1991" s="8">
        <f>IF(F1991&lt;&gt;"","https://api.qrserver.com/v1/create-qr-code/?size=200x200&amp;data="&amp;ENCODEURL("https://www.google.com/maps/search/?api=1&amp;query="&amp;SUBSTITUTE(F1991," ","")),"")</f>
        <v/>
      </c>
      <c r="K1991" s="8">
        <f>IF(C1991&lt;&gt;"",HYPERLINK("https://wa.me/507"&amp;REGEXREPLACE(C1991,"[^0-9]","")&amp;"?text="&amp;ENCODEURL("Ya llegue. Codigo: "&amp;A1991&amp;". Ubicacion: "&amp;"https://www.google.com/maps/search/?api=1&amp;query="&amp;SUBSTITUTE(F1991," ","")),"📲 Avisar al cliente"),"")</f>
        <v/>
      </c>
      <c r="L1991" s="8">
        <f>IF(C1991&lt;&gt;"","https://api.qrserver.com/v1/create-qr-code/?size=200x200&amp;data="&amp;ENCODEURL("https://wa.me/507"&amp;REGEXREPLACE(C1991,"[^0-9]","")&amp;"?text="&amp;ENCODEURL("Ya llegue. Codigo: "&amp;A1991&amp;". Ubicacion: "&amp;"https://www.google.com/maps/search/?api=1&amp;query="&amp;SUBSTITUTE(F1991," ",""))),"")</f>
        <v/>
      </c>
      <c r="M1991" s="8">
        <f>IF(B1991&lt;&gt;"",TODAY(),"")</f>
        <v/>
      </c>
      <c r="N1991" s="8">
        <f>IF(F1991&lt;&gt;"",IFERROR(IF(AND(REGEXMATCH(SUBSTITUTE(TRIM(F1991)," ",""),"^-?\d+(\.\d+)?,-?\d+(\.\d+)?$"),VALUE(REGEXEXTRACT(SUBSTITUTE(TRIM(F1991)," ",""),"^-?\d+(\.\d+)?"))&gt;=-90,VALUE(REGEXEXTRACT(SUBSTITUTE(TRIM(F1991)," ",""),"^-?\d+(\.\d+)?"))&lt;=90,VALUE(REGEXEXTRACT(SUBSTITUTE(TRIM(F1991)," ",""),"-?\d+(\.\d+)?$"))&gt;=-180,VALUE(REGEXEXTRACT(SUBSTITUTE(TRIM(F1991)," ",""),"-?\d+(\.\d+)?$"))&lt;=180),"OK","REVISAR"),"REVISAR"),"")</f>
        <v/>
      </c>
      <c r="O1991">
        <f>IF(A1991&lt;&gt;"","https://direcciones507.github.io/direcciones507/panel.html?codigo="&amp;A1991&amp;"&amp;nombre="&amp;ENCODEURL(B1991)&amp;"&amp;telefono="&amp;SUBSTITUTE(C1991,"-","")&amp;"&amp;referencia="&amp;ENCODEURL(E1991)&amp;"&amp;lat="&amp;IZQUIERDA(SUBSTITUTE(F1991," ",""),ENCONTRAR(",",SUBSTITUTE(F1991," ",""))-1)&amp;"&amp;lng="&amp;DERECHA(SUBSTITUTE(F1991," ",""),LARGO(SUBSTITUTE(F1991," ",""))-ENCONTRAR(",",SUBSTITUTE(F1991," ",""))),"")</f>
        <v/>
      </c>
    </row>
    <row r="1992" ht="15.75" customHeight="1" s="10">
      <c r="A1992" s="8">
        <f>CONCAT("AD507-",TEXT(ROW()-2,"0000"))</f>
        <v/>
      </c>
      <c r="C1992" s="8" t="n"/>
      <c r="F1992" s="8" t="n"/>
      <c r="G1992" s="8">
        <f>IF(F1992&lt;&gt;"",HYPERLINK("https://www.google.com/maps/search/?api=1&amp;query="&amp;SUBSTITUTE(F1992," ",""),"🗺 Google Maps"),"")</f>
        <v/>
      </c>
      <c r="H1992" s="8">
        <f>IF(F1992&lt;&gt;"",HYPERLINK("https://waze.com/ul?ll="&amp;SUBSTITUTE(F1992," ","")&amp;"&amp;navigate=yes","🚗 Waze"),"")</f>
        <v/>
      </c>
      <c r="I1992" s="8">
        <f>IF(F1992&lt;&gt;"",HYPERLINK("https://m.uber.com/ul/?action=setPickup&amp;pickup=my_location&amp;dropoff[latitude]="&amp;LEFT(SUBSTITUTE(F1992," ",""),FIND(",",SUBSTITUTE(F1992," ",""))-1)&amp;"&amp;dropoff[longitude]="&amp;MID(SUBSTITUTE(F1992," ",""),FIND(",",SUBSTITUTE(F1992," ",""))+1,99),"🚕 Uber"),"")</f>
        <v/>
      </c>
      <c r="J1992" s="8">
        <f>IF(F1992&lt;&gt;"","https://api.qrserver.com/v1/create-qr-code/?size=200x200&amp;data="&amp;ENCODEURL("https://www.google.com/maps/search/?api=1&amp;query="&amp;SUBSTITUTE(F1992," ","")),"")</f>
        <v/>
      </c>
      <c r="K1992" s="8">
        <f>IF(C1992&lt;&gt;"",HYPERLINK("https://wa.me/507"&amp;REGEXREPLACE(C1992,"[^0-9]","")&amp;"?text="&amp;ENCODEURL("Ya llegue. Codigo: "&amp;A1992&amp;". Ubicacion: "&amp;"https://www.google.com/maps/search/?api=1&amp;query="&amp;SUBSTITUTE(F1992," ","")),"📲 Avisar al cliente"),"")</f>
        <v/>
      </c>
      <c r="L1992" s="8">
        <f>IF(C1992&lt;&gt;"","https://api.qrserver.com/v1/create-qr-code/?size=200x200&amp;data="&amp;ENCODEURL("https://wa.me/507"&amp;REGEXREPLACE(C1992,"[^0-9]","")&amp;"?text="&amp;ENCODEURL("Ya llegue. Codigo: "&amp;A1992&amp;". Ubicacion: "&amp;"https://www.google.com/maps/search/?api=1&amp;query="&amp;SUBSTITUTE(F1992," ",""))),"")</f>
        <v/>
      </c>
      <c r="M1992" s="8">
        <f>IF(B1992&lt;&gt;"",TODAY(),"")</f>
        <v/>
      </c>
      <c r="N1992" s="8">
        <f>IF(F1992&lt;&gt;"",IFERROR(IF(AND(REGEXMATCH(SUBSTITUTE(TRIM(F1992)," ",""),"^-?\d+(\.\d+)?,-?\d+(\.\d+)?$"),VALUE(REGEXEXTRACT(SUBSTITUTE(TRIM(F1992)," ",""),"^-?\d+(\.\d+)?"))&gt;=-90,VALUE(REGEXEXTRACT(SUBSTITUTE(TRIM(F1992)," ",""),"^-?\d+(\.\d+)?"))&lt;=90,VALUE(REGEXEXTRACT(SUBSTITUTE(TRIM(F1992)," ",""),"-?\d+(\.\d+)?$"))&gt;=-180,VALUE(REGEXEXTRACT(SUBSTITUTE(TRIM(F1992)," ",""),"-?\d+(\.\d+)?$"))&lt;=180),"OK","REVISAR"),"REVISAR"),"")</f>
        <v/>
      </c>
      <c r="O1992">
        <f>IF(A1992&lt;&gt;"","https://direcciones507.github.io/direcciones507/panel.html?codigo="&amp;A1992&amp;"&amp;nombre="&amp;ENCODEURL(B1992)&amp;"&amp;telefono="&amp;SUBSTITUTE(C1992,"-","")&amp;"&amp;referencia="&amp;ENCODEURL(E1992)&amp;"&amp;lat="&amp;IZQUIERDA(SUBSTITUTE(F1992," ",""),ENCONTRAR(",",SUBSTITUTE(F1992," ",""))-1)&amp;"&amp;lng="&amp;DERECHA(SUBSTITUTE(F1992," ",""),LARGO(SUBSTITUTE(F1992," ",""))-ENCONTRAR(",",SUBSTITUTE(F1992," ",""))),"")</f>
        <v/>
      </c>
    </row>
    <row r="1993" ht="15.75" customHeight="1" s="10">
      <c r="A1993" s="8">
        <f>CONCAT("AD507-",TEXT(ROW()-2,"0000"))</f>
        <v/>
      </c>
      <c r="C1993" s="8" t="n"/>
      <c r="F1993" s="8" t="n"/>
      <c r="G1993" s="8">
        <f>IF(F1993&lt;&gt;"",HYPERLINK("https://www.google.com/maps/search/?api=1&amp;query="&amp;SUBSTITUTE(F1993," ",""),"🗺 Google Maps"),"")</f>
        <v/>
      </c>
      <c r="H1993" s="8">
        <f>IF(F1993&lt;&gt;"",HYPERLINK("https://waze.com/ul?ll="&amp;SUBSTITUTE(F1993," ","")&amp;"&amp;navigate=yes","🚗 Waze"),"")</f>
        <v/>
      </c>
      <c r="I1993" s="8">
        <f>IF(F1993&lt;&gt;"",HYPERLINK("https://m.uber.com/ul/?action=setPickup&amp;pickup=my_location&amp;dropoff[latitude]="&amp;LEFT(SUBSTITUTE(F1993," ",""),FIND(",",SUBSTITUTE(F1993," ",""))-1)&amp;"&amp;dropoff[longitude]="&amp;MID(SUBSTITUTE(F1993," ",""),FIND(",",SUBSTITUTE(F1993," ",""))+1,99),"🚕 Uber"),"")</f>
        <v/>
      </c>
      <c r="J1993" s="8">
        <f>IF(F1993&lt;&gt;"","https://api.qrserver.com/v1/create-qr-code/?size=200x200&amp;data="&amp;ENCODEURL("https://www.google.com/maps/search/?api=1&amp;query="&amp;SUBSTITUTE(F1993," ","")),"")</f>
        <v/>
      </c>
      <c r="K1993" s="8">
        <f>IF(C1993&lt;&gt;"",HYPERLINK("https://wa.me/507"&amp;REGEXREPLACE(C1993,"[^0-9]","")&amp;"?text="&amp;ENCODEURL("Ya llegue. Codigo: "&amp;A1993&amp;". Ubicacion: "&amp;"https://www.google.com/maps/search/?api=1&amp;query="&amp;SUBSTITUTE(F1993," ","")),"📲 Avisar al cliente"),"")</f>
        <v/>
      </c>
      <c r="L1993" s="8">
        <f>IF(C1993&lt;&gt;"","https://api.qrserver.com/v1/create-qr-code/?size=200x200&amp;data="&amp;ENCODEURL("https://wa.me/507"&amp;REGEXREPLACE(C1993,"[^0-9]","")&amp;"?text="&amp;ENCODEURL("Ya llegue. Codigo: "&amp;A1993&amp;". Ubicacion: "&amp;"https://www.google.com/maps/search/?api=1&amp;query="&amp;SUBSTITUTE(F1993," ",""))),"")</f>
        <v/>
      </c>
      <c r="M1993" s="8">
        <f>IF(B1993&lt;&gt;"",TODAY(),"")</f>
        <v/>
      </c>
      <c r="N1993" s="8">
        <f>IF(F1993&lt;&gt;"",IFERROR(IF(AND(REGEXMATCH(SUBSTITUTE(TRIM(F1993)," ",""),"^-?\d+(\.\d+)?,-?\d+(\.\d+)?$"),VALUE(REGEXEXTRACT(SUBSTITUTE(TRIM(F1993)," ",""),"^-?\d+(\.\d+)?"))&gt;=-90,VALUE(REGEXEXTRACT(SUBSTITUTE(TRIM(F1993)," ",""),"^-?\d+(\.\d+)?"))&lt;=90,VALUE(REGEXEXTRACT(SUBSTITUTE(TRIM(F1993)," ",""),"-?\d+(\.\d+)?$"))&gt;=-180,VALUE(REGEXEXTRACT(SUBSTITUTE(TRIM(F1993)," ",""),"-?\d+(\.\d+)?$"))&lt;=180),"OK","REVISAR"),"REVISAR"),"")</f>
        <v/>
      </c>
      <c r="O1993">
        <f>IF(A1993&lt;&gt;"","https://direcciones507.github.io/direcciones507/panel.html?codigo="&amp;A1993&amp;"&amp;nombre="&amp;ENCODEURL(B1993)&amp;"&amp;telefono="&amp;SUBSTITUTE(C1993,"-","")&amp;"&amp;referencia="&amp;ENCODEURL(E1993)&amp;"&amp;lat="&amp;IZQUIERDA(SUBSTITUTE(F1993," ",""),ENCONTRAR(",",SUBSTITUTE(F1993," ",""))-1)&amp;"&amp;lng="&amp;DERECHA(SUBSTITUTE(F1993," ",""),LARGO(SUBSTITUTE(F1993," ",""))-ENCONTRAR(",",SUBSTITUTE(F1993," ",""))),"")</f>
        <v/>
      </c>
    </row>
    <row r="1994" ht="15.75" customHeight="1" s="10">
      <c r="A1994" s="8">
        <f>CONCAT("AD507-",TEXT(ROW()-2,"0000"))</f>
        <v/>
      </c>
      <c r="C1994" s="8" t="n"/>
      <c r="F1994" s="8" t="n"/>
      <c r="G1994" s="8">
        <f>IF(F1994&lt;&gt;"",HYPERLINK("https://www.google.com/maps/search/?api=1&amp;query="&amp;SUBSTITUTE(F1994," ",""),"🗺 Google Maps"),"")</f>
        <v/>
      </c>
      <c r="H1994" s="8">
        <f>IF(F1994&lt;&gt;"",HYPERLINK("https://waze.com/ul?ll="&amp;SUBSTITUTE(F1994," ","")&amp;"&amp;navigate=yes","🚗 Waze"),"")</f>
        <v/>
      </c>
      <c r="I1994" s="8">
        <f>IF(F1994&lt;&gt;"",HYPERLINK("https://m.uber.com/ul/?action=setPickup&amp;pickup=my_location&amp;dropoff[latitude]="&amp;LEFT(SUBSTITUTE(F1994," ",""),FIND(",",SUBSTITUTE(F1994," ",""))-1)&amp;"&amp;dropoff[longitude]="&amp;MID(SUBSTITUTE(F1994," ",""),FIND(",",SUBSTITUTE(F1994," ",""))+1,99),"🚕 Uber"),"")</f>
        <v/>
      </c>
      <c r="J1994" s="8">
        <f>IF(F1994&lt;&gt;"","https://api.qrserver.com/v1/create-qr-code/?size=200x200&amp;data="&amp;ENCODEURL("https://www.google.com/maps/search/?api=1&amp;query="&amp;SUBSTITUTE(F1994," ","")),"")</f>
        <v/>
      </c>
      <c r="K1994" s="8">
        <f>IF(C1994&lt;&gt;"",HYPERLINK("https://wa.me/507"&amp;REGEXREPLACE(C1994,"[^0-9]","")&amp;"?text="&amp;ENCODEURL("Ya llegue. Codigo: "&amp;A1994&amp;". Ubicacion: "&amp;"https://www.google.com/maps/search/?api=1&amp;query="&amp;SUBSTITUTE(F1994," ","")),"📲 Avisar al cliente"),"")</f>
        <v/>
      </c>
      <c r="L1994" s="8">
        <f>IF(C1994&lt;&gt;"","https://api.qrserver.com/v1/create-qr-code/?size=200x200&amp;data="&amp;ENCODEURL("https://wa.me/507"&amp;REGEXREPLACE(C1994,"[^0-9]","")&amp;"?text="&amp;ENCODEURL("Ya llegue. Codigo: "&amp;A1994&amp;". Ubicacion: "&amp;"https://www.google.com/maps/search/?api=1&amp;query="&amp;SUBSTITUTE(F1994," ",""))),"")</f>
        <v/>
      </c>
      <c r="M1994" s="8">
        <f>IF(B1994&lt;&gt;"",TODAY(),"")</f>
        <v/>
      </c>
      <c r="N1994" s="8">
        <f>IF(F1994&lt;&gt;"",IFERROR(IF(AND(REGEXMATCH(SUBSTITUTE(TRIM(F1994)," ",""),"^-?\d+(\.\d+)?,-?\d+(\.\d+)?$"),VALUE(REGEXEXTRACT(SUBSTITUTE(TRIM(F1994)," ",""),"^-?\d+(\.\d+)?"))&gt;=-90,VALUE(REGEXEXTRACT(SUBSTITUTE(TRIM(F1994)," ",""),"^-?\d+(\.\d+)?"))&lt;=90,VALUE(REGEXEXTRACT(SUBSTITUTE(TRIM(F1994)," ",""),"-?\d+(\.\d+)?$"))&gt;=-180,VALUE(REGEXEXTRACT(SUBSTITUTE(TRIM(F1994)," ",""),"-?\d+(\.\d+)?$"))&lt;=180),"OK","REVISAR"),"REVISAR"),"")</f>
        <v/>
      </c>
      <c r="O1994">
        <f>IF(A1994&lt;&gt;"","https://direcciones507.github.io/direcciones507/panel.html?codigo="&amp;A1994&amp;"&amp;nombre="&amp;ENCODEURL(B1994)&amp;"&amp;telefono="&amp;SUBSTITUTE(C1994,"-","")&amp;"&amp;referencia="&amp;ENCODEURL(E1994)&amp;"&amp;lat="&amp;IZQUIERDA(SUBSTITUTE(F1994," ",""),ENCONTRAR(",",SUBSTITUTE(F1994," ",""))-1)&amp;"&amp;lng="&amp;DERECHA(SUBSTITUTE(F1994," ",""),LARGO(SUBSTITUTE(F1994," ",""))-ENCONTRAR(",",SUBSTITUTE(F1994," ",""))),"")</f>
        <v/>
      </c>
    </row>
    <row r="1995" ht="15.75" customHeight="1" s="10">
      <c r="A1995" s="8">
        <f>CONCAT("AD507-",TEXT(ROW()-2,"0000"))</f>
        <v/>
      </c>
      <c r="C1995" s="8" t="n"/>
      <c r="F1995" s="8" t="n"/>
      <c r="G1995" s="8">
        <f>IF(F1995&lt;&gt;"",HYPERLINK("https://www.google.com/maps/search/?api=1&amp;query="&amp;SUBSTITUTE(F1995," ",""),"🗺 Google Maps"),"")</f>
        <v/>
      </c>
      <c r="H1995" s="8">
        <f>IF(F1995&lt;&gt;"",HYPERLINK("https://waze.com/ul?ll="&amp;SUBSTITUTE(F1995," ","")&amp;"&amp;navigate=yes","🚗 Waze"),"")</f>
        <v/>
      </c>
      <c r="I1995" s="8">
        <f>IF(F1995&lt;&gt;"",HYPERLINK("https://m.uber.com/ul/?action=setPickup&amp;pickup=my_location&amp;dropoff[latitude]="&amp;LEFT(SUBSTITUTE(F1995," ",""),FIND(",",SUBSTITUTE(F1995," ",""))-1)&amp;"&amp;dropoff[longitude]="&amp;MID(SUBSTITUTE(F1995," ",""),FIND(",",SUBSTITUTE(F1995," ",""))+1,99),"🚕 Uber"),"")</f>
        <v/>
      </c>
      <c r="J1995" s="8">
        <f>IF(F1995&lt;&gt;"","https://api.qrserver.com/v1/create-qr-code/?size=200x200&amp;data="&amp;ENCODEURL("https://www.google.com/maps/search/?api=1&amp;query="&amp;SUBSTITUTE(F1995," ","")),"")</f>
        <v/>
      </c>
      <c r="K1995" s="8">
        <f>IF(C1995&lt;&gt;"",HYPERLINK("https://wa.me/507"&amp;REGEXREPLACE(C1995,"[^0-9]","")&amp;"?text="&amp;ENCODEURL("Ya llegue. Codigo: "&amp;A1995&amp;". Ubicacion: "&amp;"https://www.google.com/maps/search/?api=1&amp;query="&amp;SUBSTITUTE(F1995," ","")),"📲 Avisar al cliente"),"")</f>
        <v/>
      </c>
      <c r="L1995" s="8">
        <f>IF(C1995&lt;&gt;"","https://api.qrserver.com/v1/create-qr-code/?size=200x200&amp;data="&amp;ENCODEURL("https://wa.me/507"&amp;REGEXREPLACE(C1995,"[^0-9]","")&amp;"?text="&amp;ENCODEURL("Ya llegue. Codigo: "&amp;A1995&amp;". Ubicacion: "&amp;"https://www.google.com/maps/search/?api=1&amp;query="&amp;SUBSTITUTE(F1995," ",""))),"")</f>
        <v/>
      </c>
      <c r="M1995" s="8">
        <f>IF(B1995&lt;&gt;"",TODAY(),"")</f>
        <v/>
      </c>
      <c r="N1995" s="8">
        <f>IF(F1995&lt;&gt;"",IFERROR(IF(AND(REGEXMATCH(SUBSTITUTE(TRIM(F1995)," ",""),"^-?\d+(\.\d+)?,-?\d+(\.\d+)?$"),VALUE(REGEXEXTRACT(SUBSTITUTE(TRIM(F1995)," ",""),"^-?\d+(\.\d+)?"))&gt;=-90,VALUE(REGEXEXTRACT(SUBSTITUTE(TRIM(F1995)," ",""),"^-?\d+(\.\d+)?"))&lt;=90,VALUE(REGEXEXTRACT(SUBSTITUTE(TRIM(F1995)," ",""),"-?\d+(\.\d+)?$"))&gt;=-180,VALUE(REGEXEXTRACT(SUBSTITUTE(TRIM(F1995)," ",""),"-?\d+(\.\d+)?$"))&lt;=180),"OK","REVISAR"),"REVISAR"),"")</f>
        <v/>
      </c>
      <c r="O1995">
        <f>IF(A1995&lt;&gt;"","https://direcciones507.github.io/direcciones507/panel.html?codigo="&amp;A1995&amp;"&amp;nombre="&amp;ENCODEURL(B1995)&amp;"&amp;telefono="&amp;SUBSTITUTE(C1995,"-","")&amp;"&amp;referencia="&amp;ENCODEURL(E1995)&amp;"&amp;lat="&amp;IZQUIERDA(SUBSTITUTE(F1995," ",""),ENCONTRAR(",",SUBSTITUTE(F1995," ",""))-1)&amp;"&amp;lng="&amp;DERECHA(SUBSTITUTE(F1995," ",""),LARGO(SUBSTITUTE(F1995," ",""))-ENCONTRAR(",",SUBSTITUTE(F1995," ",""))),"")</f>
        <v/>
      </c>
    </row>
    <row r="1996" ht="15.75" customHeight="1" s="10">
      <c r="A1996" s="8">
        <f>CONCAT("AD507-",TEXT(ROW()-2,"0000"))</f>
        <v/>
      </c>
      <c r="C1996" s="8" t="n"/>
      <c r="F1996" s="8" t="n"/>
      <c r="G1996" s="8">
        <f>IF(F1996&lt;&gt;"",HYPERLINK("https://www.google.com/maps/search/?api=1&amp;query="&amp;SUBSTITUTE(F1996," ",""),"🗺 Google Maps"),"")</f>
        <v/>
      </c>
      <c r="H1996" s="8">
        <f>IF(F1996&lt;&gt;"",HYPERLINK("https://waze.com/ul?ll="&amp;SUBSTITUTE(F1996," ","")&amp;"&amp;navigate=yes","🚗 Waze"),"")</f>
        <v/>
      </c>
      <c r="I1996" s="8">
        <f>IF(F1996&lt;&gt;"",HYPERLINK("https://m.uber.com/ul/?action=setPickup&amp;pickup=my_location&amp;dropoff[latitude]="&amp;LEFT(SUBSTITUTE(F1996," ",""),FIND(",",SUBSTITUTE(F1996," ",""))-1)&amp;"&amp;dropoff[longitude]="&amp;MID(SUBSTITUTE(F1996," ",""),FIND(",",SUBSTITUTE(F1996," ",""))+1,99),"🚕 Uber"),"")</f>
        <v/>
      </c>
      <c r="J1996" s="8">
        <f>IF(F1996&lt;&gt;"","https://api.qrserver.com/v1/create-qr-code/?size=200x200&amp;data="&amp;ENCODEURL("https://www.google.com/maps/search/?api=1&amp;query="&amp;SUBSTITUTE(F1996," ","")),"")</f>
        <v/>
      </c>
      <c r="K1996" s="8">
        <f>IF(C1996&lt;&gt;"",HYPERLINK("https://wa.me/507"&amp;REGEXREPLACE(C1996,"[^0-9]","")&amp;"?text="&amp;ENCODEURL("Ya llegue. Codigo: "&amp;A1996&amp;". Ubicacion: "&amp;"https://www.google.com/maps/search/?api=1&amp;query="&amp;SUBSTITUTE(F1996," ","")),"📲 Avisar al cliente"),"")</f>
        <v/>
      </c>
      <c r="L1996" s="8">
        <f>IF(C1996&lt;&gt;"","https://api.qrserver.com/v1/create-qr-code/?size=200x200&amp;data="&amp;ENCODEURL("https://wa.me/507"&amp;REGEXREPLACE(C1996,"[^0-9]","")&amp;"?text="&amp;ENCODEURL("Ya llegue. Codigo: "&amp;A1996&amp;". Ubicacion: "&amp;"https://www.google.com/maps/search/?api=1&amp;query="&amp;SUBSTITUTE(F1996," ",""))),"")</f>
        <v/>
      </c>
      <c r="M1996" s="8">
        <f>IF(B1996&lt;&gt;"",TODAY(),"")</f>
        <v/>
      </c>
      <c r="N1996" s="8">
        <f>IF(F1996&lt;&gt;"",IFERROR(IF(AND(REGEXMATCH(SUBSTITUTE(TRIM(F1996)," ",""),"^-?\d+(\.\d+)?,-?\d+(\.\d+)?$"),VALUE(REGEXEXTRACT(SUBSTITUTE(TRIM(F1996)," ",""),"^-?\d+(\.\d+)?"))&gt;=-90,VALUE(REGEXEXTRACT(SUBSTITUTE(TRIM(F1996)," ",""),"^-?\d+(\.\d+)?"))&lt;=90,VALUE(REGEXEXTRACT(SUBSTITUTE(TRIM(F1996)," ",""),"-?\d+(\.\d+)?$"))&gt;=-180,VALUE(REGEXEXTRACT(SUBSTITUTE(TRIM(F1996)," ",""),"-?\d+(\.\d+)?$"))&lt;=180),"OK","REVISAR"),"REVISAR"),"")</f>
        <v/>
      </c>
      <c r="O1996">
        <f>IF(A1996&lt;&gt;"","https://direcciones507.github.io/direcciones507/panel.html?codigo="&amp;A1996&amp;"&amp;nombre="&amp;ENCODEURL(B1996)&amp;"&amp;telefono="&amp;SUBSTITUTE(C1996,"-","")&amp;"&amp;referencia="&amp;ENCODEURL(E1996)&amp;"&amp;lat="&amp;IZQUIERDA(SUBSTITUTE(F1996," ",""),ENCONTRAR(",",SUBSTITUTE(F1996," ",""))-1)&amp;"&amp;lng="&amp;DERECHA(SUBSTITUTE(F1996," ",""),LARGO(SUBSTITUTE(F1996," ",""))-ENCONTRAR(",",SUBSTITUTE(F1996," ",""))),"")</f>
        <v/>
      </c>
    </row>
    <row r="1997" ht="15.75" customHeight="1" s="10">
      <c r="A1997" s="8">
        <f>CONCAT("AD507-",TEXT(ROW()-2,"0000"))</f>
        <v/>
      </c>
      <c r="C1997" s="8" t="n"/>
      <c r="F1997" s="8" t="n"/>
      <c r="G1997" s="8">
        <f>IF(F1997&lt;&gt;"",HYPERLINK("https://www.google.com/maps/search/?api=1&amp;query="&amp;SUBSTITUTE(F1997," ",""),"🗺 Google Maps"),"")</f>
        <v/>
      </c>
      <c r="H1997" s="8">
        <f>IF(F1997&lt;&gt;"",HYPERLINK("https://waze.com/ul?ll="&amp;SUBSTITUTE(F1997," ","")&amp;"&amp;navigate=yes","🚗 Waze"),"")</f>
        <v/>
      </c>
      <c r="I1997" s="8">
        <f>IF(F1997&lt;&gt;"",HYPERLINK("https://m.uber.com/ul/?action=setPickup&amp;pickup=my_location&amp;dropoff[latitude]="&amp;LEFT(SUBSTITUTE(F1997," ",""),FIND(",",SUBSTITUTE(F1997," ",""))-1)&amp;"&amp;dropoff[longitude]="&amp;MID(SUBSTITUTE(F1997," ",""),FIND(",",SUBSTITUTE(F1997," ",""))+1,99),"🚕 Uber"),"")</f>
        <v/>
      </c>
      <c r="J1997" s="8">
        <f>IF(F1997&lt;&gt;"","https://api.qrserver.com/v1/create-qr-code/?size=200x200&amp;data="&amp;ENCODEURL("https://www.google.com/maps/search/?api=1&amp;query="&amp;SUBSTITUTE(F1997," ","")),"")</f>
        <v/>
      </c>
      <c r="K1997" s="8">
        <f>IF(C1997&lt;&gt;"",HYPERLINK("https://wa.me/507"&amp;REGEXREPLACE(C1997,"[^0-9]","")&amp;"?text="&amp;ENCODEURL("Ya llegue. Codigo: "&amp;A1997&amp;". Ubicacion: "&amp;"https://www.google.com/maps/search/?api=1&amp;query="&amp;SUBSTITUTE(F1997," ","")),"📲 Avisar al cliente"),"")</f>
        <v/>
      </c>
      <c r="L1997" s="8">
        <f>IF(C1997&lt;&gt;"","https://api.qrserver.com/v1/create-qr-code/?size=200x200&amp;data="&amp;ENCODEURL("https://wa.me/507"&amp;REGEXREPLACE(C1997,"[^0-9]","")&amp;"?text="&amp;ENCODEURL("Ya llegue. Codigo: "&amp;A1997&amp;". Ubicacion: "&amp;"https://www.google.com/maps/search/?api=1&amp;query="&amp;SUBSTITUTE(F1997," ",""))),"")</f>
        <v/>
      </c>
      <c r="M1997" s="8">
        <f>IF(B1997&lt;&gt;"",TODAY(),"")</f>
        <v/>
      </c>
      <c r="N1997" s="8">
        <f>IF(F1997&lt;&gt;"",IFERROR(IF(AND(REGEXMATCH(SUBSTITUTE(TRIM(F1997)," ",""),"^-?\d+(\.\d+)?,-?\d+(\.\d+)?$"),VALUE(REGEXEXTRACT(SUBSTITUTE(TRIM(F1997)," ",""),"^-?\d+(\.\d+)?"))&gt;=-90,VALUE(REGEXEXTRACT(SUBSTITUTE(TRIM(F1997)," ",""),"^-?\d+(\.\d+)?"))&lt;=90,VALUE(REGEXEXTRACT(SUBSTITUTE(TRIM(F1997)," ",""),"-?\d+(\.\d+)?$"))&gt;=-180,VALUE(REGEXEXTRACT(SUBSTITUTE(TRIM(F1997)," ",""),"-?\d+(\.\d+)?$"))&lt;=180),"OK","REVISAR"),"REVISAR"),"")</f>
        <v/>
      </c>
      <c r="O1997">
        <f>IF(A1997&lt;&gt;"","https://direcciones507.github.io/direcciones507/panel.html?codigo="&amp;A1997&amp;"&amp;nombre="&amp;ENCODEURL(B1997)&amp;"&amp;telefono="&amp;SUBSTITUTE(C1997,"-","")&amp;"&amp;referencia="&amp;ENCODEURL(E1997)&amp;"&amp;lat="&amp;IZQUIERDA(SUBSTITUTE(F1997," ",""),ENCONTRAR(",",SUBSTITUTE(F1997," ",""))-1)&amp;"&amp;lng="&amp;DERECHA(SUBSTITUTE(F1997," ",""),LARGO(SUBSTITUTE(F1997," ",""))-ENCONTRAR(",",SUBSTITUTE(F1997," ",""))),"")</f>
        <v/>
      </c>
    </row>
    <row r="1998" ht="15.75" customHeight="1" s="10">
      <c r="A1998" s="8">
        <f>CONCAT("AD507-",TEXT(ROW()-2,"0000"))</f>
        <v/>
      </c>
      <c r="C1998" s="8" t="n"/>
      <c r="F1998" s="8" t="n"/>
      <c r="G1998" s="8">
        <f>IF(F1998&lt;&gt;"",HYPERLINK("https://www.google.com/maps/search/?api=1&amp;query="&amp;SUBSTITUTE(F1998," ",""),"🗺 Google Maps"),"")</f>
        <v/>
      </c>
      <c r="H1998" s="8">
        <f>IF(F1998&lt;&gt;"",HYPERLINK("https://waze.com/ul?ll="&amp;SUBSTITUTE(F1998," ","")&amp;"&amp;navigate=yes","🚗 Waze"),"")</f>
        <v/>
      </c>
      <c r="I1998" s="8">
        <f>IF(F1998&lt;&gt;"",HYPERLINK("https://m.uber.com/ul/?action=setPickup&amp;pickup=my_location&amp;dropoff[latitude]="&amp;LEFT(SUBSTITUTE(F1998," ",""),FIND(",",SUBSTITUTE(F1998," ",""))-1)&amp;"&amp;dropoff[longitude]="&amp;MID(SUBSTITUTE(F1998," ",""),FIND(",",SUBSTITUTE(F1998," ",""))+1,99),"🚕 Uber"),"")</f>
        <v/>
      </c>
      <c r="J1998" s="8">
        <f>IF(F1998&lt;&gt;"","https://api.qrserver.com/v1/create-qr-code/?size=200x200&amp;data="&amp;ENCODEURL("https://www.google.com/maps/search/?api=1&amp;query="&amp;SUBSTITUTE(F1998," ","")),"")</f>
        <v/>
      </c>
      <c r="K1998" s="8">
        <f>IF(C1998&lt;&gt;"",HYPERLINK("https://wa.me/507"&amp;REGEXREPLACE(C1998,"[^0-9]","")&amp;"?text="&amp;ENCODEURL("Ya llegue. Codigo: "&amp;A1998&amp;". Ubicacion: "&amp;"https://www.google.com/maps/search/?api=1&amp;query="&amp;SUBSTITUTE(F1998," ","")),"📲 Avisar al cliente"),"")</f>
        <v/>
      </c>
      <c r="L1998" s="8">
        <f>IF(C1998&lt;&gt;"","https://api.qrserver.com/v1/create-qr-code/?size=200x200&amp;data="&amp;ENCODEURL("https://wa.me/507"&amp;REGEXREPLACE(C1998,"[^0-9]","")&amp;"?text="&amp;ENCODEURL("Ya llegue. Codigo: "&amp;A1998&amp;". Ubicacion: "&amp;"https://www.google.com/maps/search/?api=1&amp;query="&amp;SUBSTITUTE(F1998," ",""))),"")</f>
        <v/>
      </c>
      <c r="M1998" s="8">
        <f>IF(B1998&lt;&gt;"",TODAY(),"")</f>
        <v/>
      </c>
      <c r="N1998" s="8">
        <f>IF(F1998&lt;&gt;"",IFERROR(IF(AND(REGEXMATCH(SUBSTITUTE(TRIM(F1998)," ",""),"^-?\d+(\.\d+)?,-?\d+(\.\d+)?$"),VALUE(REGEXEXTRACT(SUBSTITUTE(TRIM(F1998)," ",""),"^-?\d+(\.\d+)?"))&gt;=-90,VALUE(REGEXEXTRACT(SUBSTITUTE(TRIM(F1998)," ",""),"^-?\d+(\.\d+)?"))&lt;=90,VALUE(REGEXEXTRACT(SUBSTITUTE(TRIM(F1998)," ",""),"-?\d+(\.\d+)?$"))&gt;=-180,VALUE(REGEXEXTRACT(SUBSTITUTE(TRIM(F1998)," ",""),"-?\d+(\.\d+)?$"))&lt;=180),"OK","REVISAR"),"REVISAR"),"")</f>
        <v/>
      </c>
      <c r="O1998">
        <f>IF(A1998&lt;&gt;"","https://direcciones507.github.io/direcciones507/panel.html?codigo="&amp;A1998&amp;"&amp;nombre="&amp;ENCODEURL(B1998)&amp;"&amp;telefono="&amp;SUBSTITUTE(C1998,"-","")&amp;"&amp;referencia="&amp;ENCODEURL(E1998)&amp;"&amp;lat="&amp;IZQUIERDA(SUBSTITUTE(F1998," ",""),ENCONTRAR(",",SUBSTITUTE(F1998," ",""))-1)&amp;"&amp;lng="&amp;DERECHA(SUBSTITUTE(F1998," ",""),LARGO(SUBSTITUTE(F1998," ",""))-ENCONTRAR(",",SUBSTITUTE(F1998," ",""))),"")</f>
        <v/>
      </c>
    </row>
    <row r="1999" ht="15.75" customHeight="1" s="10">
      <c r="A1999" s="8">
        <f>CONCAT("AD507-",TEXT(ROW()-2,"0000"))</f>
        <v/>
      </c>
      <c r="C1999" s="8" t="n"/>
      <c r="F1999" s="8" t="n"/>
      <c r="G1999" s="8">
        <f>IF(F1999&lt;&gt;"",HYPERLINK("https://www.google.com/maps/search/?api=1&amp;query="&amp;SUBSTITUTE(F1999," ",""),"🗺 Google Maps"),"")</f>
        <v/>
      </c>
      <c r="H1999" s="8">
        <f>IF(F1999&lt;&gt;"",HYPERLINK("https://waze.com/ul?ll="&amp;SUBSTITUTE(F1999," ","")&amp;"&amp;navigate=yes","🚗 Waze"),"")</f>
        <v/>
      </c>
      <c r="I1999" s="8">
        <f>IF(F1999&lt;&gt;"",HYPERLINK("https://m.uber.com/ul/?action=setPickup&amp;pickup=my_location&amp;dropoff[latitude]="&amp;LEFT(SUBSTITUTE(F1999," ",""),FIND(",",SUBSTITUTE(F1999," ",""))-1)&amp;"&amp;dropoff[longitude]="&amp;MID(SUBSTITUTE(F1999," ",""),FIND(",",SUBSTITUTE(F1999," ",""))+1,99),"🚕 Uber"),"")</f>
        <v/>
      </c>
      <c r="J1999" s="8">
        <f>IF(F1999&lt;&gt;"","https://api.qrserver.com/v1/create-qr-code/?size=200x200&amp;data="&amp;ENCODEURL("https://www.google.com/maps/search/?api=1&amp;query="&amp;SUBSTITUTE(F1999," ","")),"")</f>
        <v/>
      </c>
      <c r="K1999" s="8">
        <f>IF(C1999&lt;&gt;"",HYPERLINK("https://wa.me/507"&amp;REGEXREPLACE(C1999,"[^0-9]","")&amp;"?text="&amp;ENCODEURL("Ya llegue. Codigo: "&amp;A1999&amp;". Ubicacion: "&amp;"https://www.google.com/maps/search/?api=1&amp;query="&amp;SUBSTITUTE(F1999," ","")),"📲 Avisar al cliente"),"")</f>
        <v/>
      </c>
      <c r="L1999" s="8">
        <f>IF(C1999&lt;&gt;"","https://api.qrserver.com/v1/create-qr-code/?size=200x200&amp;data="&amp;ENCODEURL("https://wa.me/507"&amp;REGEXREPLACE(C1999,"[^0-9]","")&amp;"?text="&amp;ENCODEURL("Ya llegue. Codigo: "&amp;A1999&amp;". Ubicacion: "&amp;"https://www.google.com/maps/search/?api=1&amp;query="&amp;SUBSTITUTE(F1999," ",""))),"")</f>
        <v/>
      </c>
      <c r="M1999" s="8">
        <f>IF(B1999&lt;&gt;"",TODAY(),"")</f>
        <v/>
      </c>
      <c r="N1999" s="8">
        <f>IF(F1999&lt;&gt;"",IFERROR(IF(AND(REGEXMATCH(SUBSTITUTE(TRIM(F1999)," ",""),"^-?\d+(\.\d+)?,-?\d+(\.\d+)?$"),VALUE(REGEXEXTRACT(SUBSTITUTE(TRIM(F1999)," ",""),"^-?\d+(\.\d+)?"))&gt;=-90,VALUE(REGEXEXTRACT(SUBSTITUTE(TRIM(F1999)," ",""),"^-?\d+(\.\d+)?"))&lt;=90,VALUE(REGEXEXTRACT(SUBSTITUTE(TRIM(F1999)," ",""),"-?\d+(\.\d+)?$"))&gt;=-180,VALUE(REGEXEXTRACT(SUBSTITUTE(TRIM(F1999)," ",""),"-?\d+(\.\d+)?$"))&lt;=180),"OK","REVISAR"),"REVISAR"),"")</f>
        <v/>
      </c>
      <c r="O1999">
        <f>IF(A1999&lt;&gt;"","https://direcciones507.github.io/direcciones507/panel.html?codigo="&amp;A1999&amp;"&amp;nombre="&amp;ENCODEURL(B1999)&amp;"&amp;telefono="&amp;SUBSTITUTE(C1999,"-","")&amp;"&amp;referencia="&amp;ENCODEURL(E1999)&amp;"&amp;lat="&amp;IZQUIERDA(SUBSTITUTE(F1999," ",""),ENCONTRAR(",",SUBSTITUTE(F1999," ",""))-1)&amp;"&amp;lng="&amp;DERECHA(SUBSTITUTE(F1999," ",""),LARGO(SUBSTITUTE(F1999," ",""))-ENCONTRAR(",",SUBSTITUTE(F1999," ",""))),"")</f>
        <v/>
      </c>
    </row>
    <row r="2000" ht="15.75" customHeight="1" s="10">
      <c r="A2000" s="8">
        <f>CONCAT("AD507-",TEXT(ROW()-2,"0000"))</f>
        <v/>
      </c>
      <c r="C2000" s="8" t="n"/>
      <c r="F2000" s="8" t="n"/>
      <c r="G2000" s="8">
        <f>IF(F2000&lt;&gt;"",HYPERLINK("https://www.google.com/maps/search/?api=1&amp;query="&amp;SUBSTITUTE(F2000," ",""),"🗺 Google Maps"),"")</f>
        <v/>
      </c>
      <c r="H2000" s="8">
        <f>IF(F2000&lt;&gt;"",HYPERLINK("https://waze.com/ul?ll="&amp;SUBSTITUTE(F2000," ","")&amp;"&amp;navigate=yes","🚗 Waze"),"")</f>
        <v/>
      </c>
      <c r="I2000" s="8">
        <f>IF(F2000&lt;&gt;"",HYPERLINK("https://m.uber.com/ul/?action=setPickup&amp;pickup=my_location&amp;dropoff[latitude]="&amp;LEFT(SUBSTITUTE(F2000," ",""),FIND(",",SUBSTITUTE(F2000," ",""))-1)&amp;"&amp;dropoff[longitude]="&amp;MID(SUBSTITUTE(F2000," ",""),FIND(",",SUBSTITUTE(F2000," ",""))+1,99),"🚕 Uber"),"")</f>
        <v/>
      </c>
      <c r="J2000" s="8">
        <f>IF(F2000&lt;&gt;"","https://api.qrserver.com/v1/create-qr-code/?size=200x200&amp;data="&amp;ENCODEURL("https://www.google.com/maps/search/?api=1&amp;query="&amp;SUBSTITUTE(F2000," ","")),"")</f>
        <v/>
      </c>
      <c r="K2000" s="8">
        <f>IF(C2000&lt;&gt;"",HYPERLINK("https://wa.me/507"&amp;REGEXREPLACE(C2000,"[^0-9]","")&amp;"?text="&amp;ENCODEURL("Ya llegue. Codigo: "&amp;A2000&amp;". Ubicacion: "&amp;"https://www.google.com/maps/search/?api=1&amp;query="&amp;SUBSTITUTE(F2000," ","")),"📲 Avisar al cliente"),"")</f>
        <v/>
      </c>
      <c r="L2000" s="8">
        <f>IF(C2000&lt;&gt;"","https://api.qrserver.com/v1/create-qr-code/?size=200x200&amp;data="&amp;ENCODEURL("https://wa.me/507"&amp;REGEXREPLACE(C2000,"[^0-9]","")&amp;"?text="&amp;ENCODEURL("Ya llegue. Codigo: "&amp;A2000&amp;". Ubicacion: "&amp;"https://www.google.com/maps/search/?api=1&amp;query="&amp;SUBSTITUTE(F2000," ",""))),"")</f>
        <v/>
      </c>
      <c r="M2000" s="8">
        <f>IF(B2000&lt;&gt;"",TODAY(),"")</f>
        <v/>
      </c>
      <c r="N2000" s="8">
        <f>IF(F2000&lt;&gt;"",IFERROR(IF(AND(REGEXMATCH(SUBSTITUTE(TRIM(F2000)," ",""),"^-?\d+(\.\d+)?,-?\d+(\.\d+)?$"),VALUE(REGEXEXTRACT(SUBSTITUTE(TRIM(F2000)," ",""),"^-?\d+(\.\d+)?"))&gt;=-90,VALUE(REGEXEXTRACT(SUBSTITUTE(TRIM(F2000)," ",""),"^-?\d+(\.\d+)?"))&lt;=90,VALUE(REGEXEXTRACT(SUBSTITUTE(TRIM(F2000)," ",""),"-?\d+(\.\d+)?$"))&gt;=-180,VALUE(REGEXEXTRACT(SUBSTITUTE(TRIM(F2000)," ",""),"-?\d+(\.\d+)?$"))&lt;=180),"OK","REVISAR"),"REVISAR"),"")</f>
        <v/>
      </c>
      <c r="O2000">
        <f>IF(A2000&lt;&gt;"","https://direcciones507.github.io/direcciones507/panel.html?codigo="&amp;A2000&amp;"&amp;nombre="&amp;ENCODEURL(B2000)&amp;"&amp;telefono="&amp;SUBSTITUTE(C2000,"-","")&amp;"&amp;referencia="&amp;ENCODEURL(E2000)&amp;"&amp;lat="&amp;IZQUIERDA(SUBSTITUTE(F2000," ",""),ENCONTRAR(",",SUBSTITUTE(F2000," ",""))-1)&amp;"&amp;lng="&amp;DERECHA(SUBSTITUTE(F2000," ",""),LARGO(SUBSTITUTE(F2000," ",""))-ENCONTRAR(",",SUBSTITUTE(F2000," ",""))),"")</f>
        <v/>
      </c>
    </row>
  </sheetData>
  <mergeCells count="1">
    <mergeCell ref="A1:N1"/>
  </mergeCells>
  <dataValidations count="2">
    <dataValidation sqref="C3:C2000" showDropDown="0" showInputMessage="0" showErrorMessage="0" allowBlank="1" type="custom">
      <formula1>GT(LEN(C3),(6))</formula1>
    </dataValidation>
    <dataValidation sqref="F3:F2000" showDropDown="0" showInputMessage="0" showErrorMessage="0" allowBlank="1" type="custom">
      <formula1>GT(LEN(F3),(5))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2026-02-14T03:32:00Z</dcterms:created>
  <dcterms:modified xmlns:dcterms="http://purl.org/dc/terms/" xmlns:xsi="http://www.w3.org/2001/XMLSchema-instance" xsi:type="dcterms:W3CDTF">2026-02-14T03:32:01Z</dcterms:modified>
</cp:coreProperties>
</file>